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xml"/>
  <Override PartName="/xl/charts/chart8.xml" ContentType="application/vnd.openxmlformats-officedocument.drawingml.chart+xml"/>
  <Override PartName="/xl/drawings/drawing12.xml" ContentType="application/vnd.openxmlformats-officedocument.drawing+xml"/>
  <Override PartName="/xl/charts/chart9.xml" ContentType="application/vnd.openxmlformats-officedocument.drawingml.chart+xml"/>
  <Override PartName="/xl/drawings/drawing13.xml" ContentType="application/vnd.openxmlformats-officedocument.drawing+xml"/>
  <Override PartName="/xl/charts/chart10.xml" ContentType="application/vnd.openxmlformats-officedocument.drawingml.chart+xml"/>
  <Override PartName="/xl/drawings/drawing14.xml" ContentType="application/vnd.openxmlformats-officedocument.drawing+xml"/>
  <Override PartName="/xl/charts/chart11.xml" ContentType="application/vnd.openxmlformats-officedocument.drawingml.chart+xml"/>
  <Override PartName="/xl/drawings/drawing15.xml" ContentType="application/vnd.openxmlformats-officedocument.drawing+xml"/>
  <Override PartName="/xl/charts/chart12.xml" ContentType="application/vnd.openxmlformats-officedocument.drawingml.chart+xml"/>
  <Override PartName="/xl/drawings/drawing16.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https://idinet.illesbalears.travel/Idinet/Estadistica/ESTADISTICA/Allotj i restaur/2023/"/>
    </mc:Choice>
  </mc:AlternateContent>
  <xr:revisionPtr revIDLastSave="0" documentId="13_ncr:1_{83C2123C-5410-434E-8776-65402A59A0D5}" xr6:coauthVersionLast="47" xr6:coauthVersionMax="47" xr10:uidLastSave="{00000000-0000-0000-0000-000000000000}"/>
  <workbookProtection workbookAlgorithmName="SHA-512" workbookHashValue="Xf1fk/JtNpj+bxd0la+q/nfui7J+tJ4WhUkWyYDOlgGmBexWt1C3a/XotHV/LddK388bZlpusmUjZZ3lG6JnTw==" workbookSaltValue="GVjyyrcwXp82NTTehdMVPQ==" workbookSpinCount="100000" lockStructure="1"/>
  <bookViews>
    <workbookView xWindow="-120" yWindow="-120" windowWidth="29040" windowHeight="15720" xr2:uid="{00000000-000D-0000-FFFF-FFFF00000000}"/>
  </bookViews>
  <sheets>
    <sheet name="Índex (1)" sheetId="8" r:id="rId1"/>
    <sheet name="Índice (2)" sheetId="9" r:id="rId2"/>
    <sheet name="Table of contents (3)" sheetId="10" r:id="rId3"/>
    <sheet name="TotalAllotj_23 (4)" sheetId="59" r:id="rId4"/>
    <sheet name="Allotj.municipi_23 (5)" sheetId="60" r:id="rId5"/>
    <sheet name="TotalAllotj_22 (6)" sheetId="57" r:id="rId6"/>
    <sheet name="Allotj.municipi_22 (7)" sheetId="58" r:id="rId7"/>
    <sheet name="TotalAllotj_21 (8)" sheetId="55" r:id="rId8"/>
    <sheet name="Allotj.municipi_21 (9)" sheetId="56" r:id="rId9"/>
    <sheet name="TotalAllotj_20 (10)" sheetId="53" r:id="rId10"/>
    <sheet name="Allotj.municipi_20 (11)" sheetId="54" r:id="rId11"/>
    <sheet name="TotalAllotj_19 (12)" sheetId="51" r:id="rId12"/>
    <sheet name="Allotj.municipi_19 (13)" sheetId="52" r:id="rId13"/>
    <sheet name="TotalAllotj_18 (14)" sheetId="49" r:id="rId14"/>
    <sheet name="Allotj.municipi_18 (15)" sheetId="50" r:id="rId15"/>
    <sheet name="TotalAllotj_17 (16)" sheetId="47" r:id="rId16"/>
    <sheet name="Allotj.municipi_17 (17)" sheetId="48" r:id="rId17"/>
    <sheet name="TotalAllotj_16 (18)" sheetId="45" r:id="rId18"/>
    <sheet name="Allotj.municipi_16 (19)" sheetId="46" r:id="rId19"/>
    <sheet name="TotalAllotj_15 (20)" sheetId="43" r:id="rId20"/>
    <sheet name="Allotj.municipi_15 (21)" sheetId="44" r:id="rId21"/>
    <sheet name="TotalAllotj_14 (22)" sheetId="41" r:id="rId22"/>
    <sheet name="Allotj.municipi_14 (23)" sheetId="42" r:id="rId23"/>
    <sheet name="TotalAllotj_13 (24)" sheetId="39" r:id="rId24"/>
    <sheet name="Allotj.municipi_13 (25)" sheetId="40" r:id="rId25"/>
    <sheet name="TotalAllotj_12 (26)" sheetId="38" r:id="rId26"/>
    <sheet name="Allotj.municipi_12 (27)" sheetId="37" r:id="rId27"/>
    <sheet name="TotalAllotj_11 (28)" sheetId="33" r:id="rId28"/>
    <sheet name="Allotj.municipi_11 (29)" sheetId="34" r:id="rId29"/>
    <sheet name="TotalAllotj_10 (30)" sheetId="31" r:id="rId30"/>
    <sheet name="Allotj.municipi_10 (31)" sheetId="32" r:id="rId31"/>
    <sheet name="TotalAllotj_09 (32)" sheetId="3" r:id="rId32"/>
    <sheet name="Allotj.municipi_09 (33)" sheetId="4" r:id="rId33"/>
    <sheet name="TotalAllotj_08 (34)" sheetId="13" r:id="rId34"/>
    <sheet name="Allotj.municipi_08 (35)" sheetId="14" r:id="rId35"/>
    <sheet name="TotalAllotj_07 (36)" sheetId="15" r:id="rId36"/>
    <sheet name="Allotj.municipi_07 (37)" sheetId="16" r:id="rId37"/>
    <sheet name="TotalAllotj_06 (38)" sheetId="17" r:id="rId38"/>
    <sheet name="Allotj.municipi_06 (39)" sheetId="18" r:id="rId39"/>
    <sheet name="TotalAllotj_05 (40)" sheetId="19" r:id="rId40"/>
    <sheet name="Allotj.municipi_05 (41)" sheetId="20" r:id="rId41"/>
    <sheet name="TotalAllotj_04 (42)" sheetId="21" r:id="rId42"/>
    <sheet name="Allotj.municipi_04 (43)" sheetId="22" r:id="rId43"/>
  </sheets>
  <definedNames>
    <definedName name="_xlnm.Print_Area" localSheetId="0">'Índex (1)'!$A$1:$K$117</definedName>
    <definedName name="_xlnm.Print_Area" localSheetId="1">'Índice (2)'!$A$1:$K$118</definedName>
    <definedName name="_xlnm.Print_Area" localSheetId="2">'Table of contents (3)'!$A$1:$K$117</definedName>
    <definedName name="_xlnm.Print_Area" localSheetId="37">'TotalAllotj_06 (38)'!$A$1:$M$47</definedName>
    <definedName name="_xlnm.Print_Area" localSheetId="33">'TotalAllotj_08 (34)'!$A$1:$M$47</definedName>
    <definedName name="_xlnm.Print_Area" localSheetId="25">'TotalAllotj_12 (26)'!$A$3:$M$41</definedName>
    <definedName name="_xlnm.Print_Area" localSheetId="21">'TotalAllotj_14 (22)'!$A$3:$M$42</definedName>
    <definedName name="_xlnm.Print_Area" localSheetId="19">'TotalAllotj_15 (20)'!$A$1:$M$48</definedName>
    <definedName name="_xlnm.Print_Area" localSheetId="17">'TotalAllotj_16 (18)'!$A$1:$M$48</definedName>
    <definedName name="_xlnm.Print_Area" localSheetId="15">'TotalAllotj_17 (16)'!$A$1:$M$48</definedName>
    <definedName name="_xlnm.Print_Area" localSheetId="13">'TotalAllotj_18 (14)'!$A$1:$M$48</definedName>
    <definedName name="_xlnm.Print_Area" localSheetId="11">'TotalAllotj_19 (12)'!$A$1:$M$48</definedName>
    <definedName name="_xlnm.Print_Area" localSheetId="9">'TotalAllotj_20 (10)'!$A$1:$M$48</definedName>
    <definedName name="_xlnm.Print_Area" localSheetId="7">'TotalAllotj_21 (8)'!$A$1:$M$48</definedName>
    <definedName name="_xlnm.Print_Area" localSheetId="5">'TotalAllotj_22 (6)'!$A$1:$M$48</definedName>
    <definedName name="_xlnm.Print_Area" localSheetId="3">'TotalAllotj_23 (4)'!$A$1:$M$48</definedName>
    <definedName name="_xlnm.Print_Titles" localSheetId="42">'Allotj.municipi_04 (43)'!$A:$A</definedName>
    <definedName name="_xlnm.Print_Titles" localSheetId="40">'Allotj.municipi_05 (41)'!$A:$A</definedName>
    <definedName name="_xlnm.Print_Titles" localSheetId="38">'Allotj.municipi_06 (39)'!$A:$A</definedName>
    <definedName name="_xlnm.Print_Titles" localSheetId="36">'Allotj.municipi_07 (37)'!$A:$A</definedName>
    <definedName name="_xlnm.Print_Titles" localSheetId="34">'Allotj.municipi_08 (35)'!$A:$A</definedName>
    <definedName name="_xlnm.Print_Titles" localSheetId="32">'Allotj.municipi_09 (33)'!$A:$A</definedName>
    <definedName name="_xlnm.Print_Titles" localSheetId="30">'Allotj.municipi_10 (31)'!$A:$A</definedName>
    <definedName name="_xlnm.Print_Titles" localSheetId="28">'Allotj.municipi_11 (29)'!$A:$A</definedName>
    <definedName name="_xlnm.Print_Titles" localSheetId="26">'Allotj.municipi_12 (27)'!$A:$A</definedName>
    <definedName name="_xlnm.Print_Titles" localSheetId="24">'Allotj.municipi_13 (25)'!$A:$A</definedName>
    <definedName name="_xlnm.Print_Titles" localSheetId="22">'Allotj.municipi_14 (23)'!$A:$A</definedName>
    <definedName name="_xlnm.Print_Titles" localSheetId="20">'Allotj.municipi_15 (21)'!$A:$A</definedName>
    <definedName name="_xlnm.Print_Titles" localSheetId="18">'Allotj.municipi_16 (19)'!$A:$A</definedName>
    <definedName name="_xlnm.Print_Titles" localSheetId="16">'Allotj.municipi_17 (17)'!$A:$A</definedName>
    <definedName name="_xlnm.Print_Titles" localSheetId="14">'Allotj.municipi_18 (15)'!$A:$A</definedName>
    <definedName name="_xlnm.Print_Titles" localSheetId="12">'Allotj.municipi_19 (13)'!$A:$A</definedName>
    <definedName name="_xlnm.Print_Titles" localSheetId="10">'Allotj.municipi_20 (11)'!$A:$A</definedName>
    <definedName name="_xlnm.Print_Titles" localSheetId="8">'Allotj.municipi_21 (9)'!$A:$A</definedName>
    <definedName name="_xlnm.Print_Titles" localSheetId="6">'Allotj.municipi_22 (7)'!$A:$A</definedName>
    <definedName name="_xlnm.Print_Titles" localSheetId="4">'Allotj.municipi_23 (5)'!$A:$A</definedName>
    <definedName name="Z_847D0DE7_BCD0_4A9F_9E04_8C2D6BB91BCD_.wvu.Rows" localSheetId="28" hidden="1">'Allotj.municipi_11 (29)'!#REF!</definedName>
    <definedName name="Z_847D0DE7_BCD0_4A9F_9E04_8C2D6BB91BCD_.wvu.Rows" localSheetId="26" hidden="1">'Allotj.municipi_12 (27)'!#REF!</definedName>
    <definedName name="Z_847D0DE7_BCD0_4A9F_9E04_8C2D6BB91BCD_.wvu.Rows" localSheetId="24" hidden="1">'Allotj.municipi_13 (25)'!#REF!</definedName>
    <definedName name="Z_847D0DE7_BCD0_4A9F_9E04_8C2D6BB91BCD_.wvu.Rows" localSheetId="22" hidden="1">'Allotj.municipi_14 (23)'!#REF!</definedName>
    <definedName name="Z_847D0DE7_BCD0_4A9F_9E04_8C2D6BB91BCD_.wvu.Rows" localSheetId="20" hidden="1">'Allotj.municipi_15 (21)'!#REF!</definedName>
    <definedName name="Z_847D0DE7_BCD0_4A9F_9E04_8C2D6BB91BCD_.wvu.Rows" localSheetId="18" hidden="1">'Allotj.municipi_16 (19)'!#REF!</definedName>
    <definedName name="Z_847D0DE7_BCD0_4A9F_9E04_8C2D6BB91BCD_.wvu.Rows" localSheetId="16" hidden="1">'Allotj.municipi_17 (17)'!#REF!</definedName>
    <definedName name="Z_847D0DE7_BCD0_4A9F_9E04_8C2D6BB91BCD_.wvu.Rows" localSheetId="14" hidden="1">'Allotj.municipi_18 (15)'!#REF!</definedName>
    <definedName name="Z_847D0DE7_BCD0_4A9F_9E04_8C2D6BB91BCD_.wvu.Rows" localSheetId="12" hidden="1">'Allotj.municipi_19 (13)'!#REF!</definedName>
    <definedName name="Z_847D0DE7_BCD0_4A9F_9E04_8C2D6BB91BCD_.wvu.Rows" localSheetId="10" hidden="1">'Allotj.municipi_20 (11)'!#REF!</definedName>
    <definedName name="Z_847D0DE7_BCD0_4A9F_9E04_8C2D6BB91BCD_.wvu.Rows" localSheetId="8" hidden="1">'Allotj.municipi_21 (9)'!#REF!</definedName>
    <definedName name="Z_847D0DE7_BCD0_4A9F_9E04_8C2D6BB91BCD_.wvu.Rows" localSheetId="6" hidden="1">'Allotj.municipi_22 (7)'!#REF!</definedName>
    <definedName name="Z_847D0DE7_BCD0_4A9F_9E04_8C2D6BB91BCD_.wvu.Rows" localSheetId="4" hidden="1">'Allotj.municipi_23 (5)'!#REF!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Z11" i="60" l="1"/>
  <c r="CA11" i="60"/>
  <c r="BZ12" i="60"/>
  <c r="CA12" i="60"/>
  <c r="BZ13" i="60"/>
  <c r="CA13" i="60"/>
  <c r="BZ14" i="60"/>
  <c r="CA14" i="60"/>
  <c r="CA10" i="60"/>
  <c r="BZ10" i="60"/>
  <c r="AP15" i="60"/>
  <c r="AQ15" i="60"/>
  <c r="AT15" i="60"/>
  <c r="AU15" i="60"/>
  <c r="L35" i="59" l="1"/>
  <c r="K35" i="59"/>
  <c r="J35" i="59"/>
  <c r="L30" i="59"/>
  <c r="M27" i="59" s="1"/>
  <c r="K30" i="59"/>
  <c r="J30" i="59"/>
  <c r="L25" i="59"/>
  <c r="K25" i="59"/>
  <c r="J25" i="59"/>
  <c r="L19" i="59"/>
  <c r="M17" i="59" s="1"/>
  <c r="K19" i="59"/>
  <c r="J19" i="59"/>
  <c r="E44" i="59"/>
  <c r="F41" i="59" s="1"/>
  <c r="D44" i="59"/>
  <c r="C44" i="59"/>
  <c r="E37" i="59"/>
  <c r="D37" i="59"/>
  <c r="C37" i="59"/>
  <c r="E27" i="59"/>
  <c r="D27" i="59"/>
  <c r="C27" i="59"/>
  <c r="E17" i="59"/>
  <c r="D17" i="59"/>
  <c r="C17" i="59"/>
  <c r="BY15" i="60"/>
  <c r="BX15" i="60"/>
  <c r="BW15" i="60"/>
  <c r="BV15" i="60"/>
  <c r="BU15" i="60"/>
  <c r="BT15" i="60"/>
  <c r="BS15" i="60"/>
  <c r="BR15" i="60"/>
  <c r="BQ15" i="60"/>
  <c r="BP15" i="60"/>
  <c r="BO15" i="60"/>
  <c r="BN15" i="60"/>
  <c r="BM15" i="60"/>
  <c r="BL15" i="60"/>
  <c r="BK15" i="60"/>
  <c r="BJ15" i="60"/>
  <c r="BI15" i="60"/>
  <c r="BH15" i="60"/>
  <c r="BG15" i="60"/>
  <c r="BF15" i="60"/>
  <c r="BE15" i="60"/>
  <c r="BD15" i="60"/>
  <c r="BC15" i="60"/>
  <c r="BB15" i="60"/>
  <c r="BA15" i="60"/>
  <c r="AZ15" i="60"/>
  <c r="AY15" i="60"/>
  <c r="AX15" i="60"/>
  <c r="AW15" i="60"/>
  <c r="AV15" i="60"/>
  <c r="AS15" i="60"/>
  <c r="AR15" i="60"/>
  <c r="AO15" i="60"/>
  <c r="AN15" i="60"/>
  <c r="AM15" i="60"/>
  <c r="AL15" i="60"/>
  <c r="AK15" i="60"/>
  <c r="AJ15" i="60"/>
  <c r="AI15" i="60"/>
  <c r="AH15" i="60"/>
  <c r="AG15" i="60"/>
  <c r="AF15" i="60"/>
  <c r="AE15" i="60"/>
  <c r="AD15" i="60"/>
  <c r="AC15" i="60"/>
  <c r="AB15" i="60"/>
  <c r="AA15" i="60"/>
  <c r="Z15" i="60"/>
  <c r="Y15" i="60"/>
  <c r="X15" i="60"/>
  <c r="W15" i="60"/>
  <c r="V15" i="60"/>
  <c r="U15" i="60"/>
  <c r="T15" i="60"/>
  <c r="S15" i="60"/>
  <c r="R15" i="60"/>
  <c r="Q15" i="60"/>
  <c r="P15" i="60"/>
  <c r="O15" i="60"/>
  <c r="N15" i="60"/>
  <c r="M15" i="60"/>
  <c r="L15" i="60"/>
  <c r="K15" i="60"/>
  <c r="J15" i="60"/>
  <c r="I15" i="60"/>
  <c r="H15" i="60"/>
  <c r="G15" i="60"/>
  <c r="F15" i="60"/>
  <c r="E15" i="60"/>
  <c r="D15" i="60"/>
  <c r="C15" i="60"/>
  <c r="B15" i="60"/>
  <c r="BZ15" i="60"/>
  <c r="M32" i="59"/>
  <c r="M34" i="59"/>
  <c r="M33" i="59"/>
  <c r="F25" i="59"/>
  <c r="F27" i="59" s="1"/>
  <c r="F26" i="59"/>
  <c r="F15" i="59"/>
  <c r="BW10" i="58"/>
  <c r="AI10" i="58"/>
  <c r="E35" i="57"/>
  <c r="D35" i="57"/>
  <c r="K42" i="59" l="1"/>
  <c r="M24" i="59"/>
  <c r="M23" i="59"/>
  <c r="M25" i="59" s="1"/>
  <c r="L42" i="59"/>
  <c r="J42" i="59"/>
  <c r="CA15" i="60"/>
  <c r="M28" i="59"/>
  <c r="M30" i="59" s="1"/>
  <c r="M29" i="59"/>
  <c r="M15" i="59"/>
  <c r="M19" i="59"/>
  <c r="F39" i="59"/>
  <c r="F42" i="59"/>
  <c r="F40" i="59"/>
  <c r="M35" i="59"/>
  <c r="F35" i="59"/>
  <c r="F11" i="59"/>
  <c r="F12" i="59"/>
  <c r="M12" i="59"/>
  <c r="F13" i="59"/>
  <c r="M13" i="59"/>
  <c r="F14" i="59"/>
  <c r="BV11" i="58"/>
  <c r="BW11" i="58"/>
  <c r="BV12" i="58"/>
  <c r="BW12" i="58"/>
  <c r="BV13" i="58"/>
  <c r="BW13" i="58"/>
  <c r="BV14" i="58"/>
  <c r="BW14" i="58"/>
  <c r="BV10" i="58"/>
  <c r="BS15" i="58"/>
  <c r="BR15" i="58"/>
  <c r="H15" i="58"/>
  <c r="I15" i="58"/>
  <c r="F44" i="59" l="1"/>
  <c r="F17" i="59"/>
  <c r="F36" i="59"/>
  <c r="F31" i="59"/>
  <c r="F34" i="59"/>
  <c r="F30" i="59"/>
  <c r="F29" i="59"/>
  <c r="F33" i="59"/>
  <c r="BW15" i="58"/>
  <c r="BV15" i="58"/>
  <c r="BU15" i="58"/>
  <c r="BT15" i="58"/>
  <c r="BQ15" i="58"/>
  <c r="BP15" i="58"/>
  <c r="BO15" i="58"/>
  <c r="BN15" i="58"/>
  <c r="BM15" i="58"/>
  <c r="BL15" i="58"/>
  <c r="BK15" i="58"/>
  <c r="BJ15" i="58"/>
  <c r="BI15" i="58"/>
  <c r="BH15" i="58"/>
  <c r="BG15" i="58"/>
  <c r="BF15" i="58"/>
  <c r="BE15" i="58"/>
  <c r="BD15" i="58"/>
  <c r="BC15" i="58"/>
  <c r="BB15" i="58"/>
  <c r="BA15" i="58"/>
  <c r="AZ15" i="58"/>
  <c r="AY15" i="58"/>
  <c r="AX15" i="58"/>
  <c r="AW15" i="58"/>
  <c r="AV15" i="58"/>
  <c r="AU15" i="58"/>
  <c r="AT15" i="58"/>
  <c r="AS15" i="58"/>
  <c r="AR15" i="58"/>
  <c r="AQ15" i="58"/>
  <c r="AP15" i="58"/>
  <c r="AO15" i="58"/>
  <c r="AN15" i="58"/>
  <c r="AM15" i="58"/>
  <c r="AL15" i="58"/>
  <c r="AK15" i="58"/>
  <c r="AJ15" i="58"/>
  <c r="AI15" i="58"/>
  <c r="AH15" i="58"/>
  <c r="AG15" i="58"/>
  <c r="AF15" i="58"/>
  <c r="AE15" i="58"/>
  <c r="AD15" i="58"/>
  <c r="AC15" i="58"/>
  <c r="AB15" i="58"/>
  <c r="AA15" i="58"/>
  <c r="Z15" i="58"/>
  <c r="Y15" i="58"/>
  <c r="X15" i="58"/>
  <c r="W15" i="58"/>
  <c r="V15" i="58"/>
  <c r="U15" i="58"/>
  <c r="T15" i="58"/>
  <c r="S15" i="58"/>
  <c r="R15" i="58"/>
  <c r="Q15" i="58"/>
  <c r="P15" i="58"/>
  <c r="O15" i="58"/>
  <c r="N15" i="58"/>
  <c r="M15" i="58"/>
  <c r="L15" i="58"/>
  <c r="K15" i="58"/>
  <c r="J15" i="58"/>
  <c r="G15" i="58"/>
  <c r="F15" i="58"/>
  <c r="E15" i="58"/>
  <c r="D15" i="58"/>
  <c r="C15" i="58"/>
  <c r="B15" i="58"/>
  <c r="E44" i="57"/>
  <c r="F39" i="57" s="1"/>
  <c r="D44" i="57"/>
  <c r="C44" i="57"/>
  <c r="E37" i="57"/>
  <c r="F36" i="57" s="1"/>
  <c r="D37" i="57"/>
  <c r="C37" i="57"/>
  <c r="L35" i="57"/>
  <c r="M33" i="57" s="1"/>
  <c r="K35" i="57"/>
  <c r="J35" i="57"/>
  <c r="L30" i="57"/>
  <c r="M28" i="57" s="1"/>
  <c r="K30" i="57"/>
  <c r="J30" i="57"/>
  <c r="E27" i="57"/>
  <c r="F26" i="57" s="1"/>
  <c r="D27" i="57"/>
  <c r="C27" i="57"/>
  <c r="L25" i="57"/>
  <c r="M21" i="57" s="1"/>
  <c r="M25" i="57" s="1"/>
  <c r="K25" i="57"/>
  <c r="J25" i="57"/>
  <c r="L19" i="57"/>
  <c r="M15" i="57" s="1"/>
  <c r="K19" i="57"/>
  <c r="J19" i="57"/>
  <c r="E17" i="57"/>
  <c r="F14" i="57" s="1"/>
  <c r="D17" i="57"/>
  <c r="C17" i="57"/>
  <c r="F11" i="57"/>
  <c r="J42" i="57" l="1"/>
  <c r="F37" i="59"/>
  <c r="F34" i="57"/>
  <c r="F33" i="57"/>
  <c r="F29" i="57"/>
  <c r="F13" i="57"/>
  <c r="F15" i="57"/>
  <c r="L42" i="57"/>
  <c r="F40" i="57"/>
  <c r="K42" i="57"/>
  <c r="F30" i="57"/>
  <c r="F31" i="57"/>
  <c r="F35" i="57"/>
  <c r="F25" i="57"/>
  <c r="F27" i="57" s="1"/>
  <c r="F12" i="57"/>
  <c r="F17" i="57" s="1"/>
  <c r="M17" i="57"/>
  <c r="M19" i="57"/>
  <c r="M27" i="57"/>
  <c r="F41" i="57"/>
  <c r="M13" i="57"/>
  <c r="M29" i="57"/>
  <c r="M32" i="57"/>
  <c r="M34" i="57"/>
  <c r="M12" i="57"/>
  <c r="F42" i="57"/>
  <c r="AT15" i="56"/>
  <c r="AU15" i="56"/>
  <c r="AB15" i="56"/>
  <c r="AC15" i="56"/>
  <c r="BX12" i="56"/>
  <c r="BY12" i="56"/>
  <c r="BX13" i="56"/>
  <c r="BY13" i="56"/>
  <c r="BX14" i="56"/>
  <c r="BY14" i="56"/>
  <c r="BX11" i="56"/>
  <c r="BY11" i="56"/>
  <c r="BY10" i="56"/>
  <c r="BX10" i="56"/>
  <c r="BW15" i="56"/>
  <c r="BV15" i="56"/>
  <c r="BU15" i="56"/>
  <c r="BT15" i="56"/>
  <c r="BS15" i="56"/>
  <c r="BR15" i="56"/>
  <c r="BQ15" i="56"/>
  <c r="BP15" i="56"/>
  <c r="BO15" i="56"/>
  <c r="BN15" i="56"/>
  <c r="BM15" i="56"/>
  <c r="BL15" i="56"/>
  <c r="BK15" i="56"/>
  <c r="BJ15" i="56"/>
  <c r="BI15" i="56"/>
  <c r="BH15" i="56"/>
  <c r="BG15" i="56"/>
  <c r="BF15" i="56"/>
  <c r="BE15" i="56"/>
  <c r="BD15" i="56"/>
  <c r="BC15" i="56"/>
  <c r="BB15" i="56"/>
  <c r="BA15" i="56"/>
  <c r="AZ15" i="56"/>
  <c r="AY15" i="56"/>
  <c r="AX15" i="56"/>
  <c r="AW15" i="56"/>
  <c r="AV15" i="56"/>
  <c r="AS15" i="56"/>
  <c r="AR15" i="56"/>
  <c r="AQ15" i="56"/>
  <c r="AP15" i="56"/>
  <c r="AO15" i="56"/>
  <c r="AN15" i="56"/>
  <c r="AM15" i="56"/>
  <c r="AL15" i="56"/>
  <c r="AK15" i="56"/>
  <c r="AJ15" i="56"/>
  <c r="AI15" i="56"/>
  <c r="AH15" i="56"/>
  <c r="AG15" i="56"/>
  <c r="AF15" i="56"/>
  <c r="AE15" i="56"/>
  <c r="AD15" i="56"/>
  <c r="AA15" i="56"/>
  <c r="Z15" i="56"/>
  <c r="Y15" i="56"/>
  <c r="X15" i="56"/>
  <c r="W15" i="56"/>
  <c r="V15" i="56"/>
  <c r="U15" i="56"/>
  <c r="T15" i="56"/>
  <c r="S15" i="56"/>
  <c r="R15" i="56"/>
  <c r="Q15" i="56"/>
  <c r="P15" i="56"/>
  <c r="O15" i="56"/>
  <c r="N15" i="56"/>
  <c r="M15" i="56"/>
  <c r="L15" i="56"/>
  <c r="K15" i="56"/>
  <c r="J15" i="56"/>
  <c r="I15" i="56"/>
  <c r="H15" i="56"/>
  <c r="G15" i="56"/>
  <c r="F15" i="56"/>
  <c r="E15" i="56"/>
  <c r="D15" i="56"/>
  <c r="C15" i="56"/>
  <c r="B15" i="56"/>
  <c r="E44" i="55"/>
  <c r="F42" i="55" s="1"/>
  <c r="D44" i="55"/>
  <c r="C44" i="55"/>
  <c r="E37" i="55"/>
  <c r="F32" i="55" s="1"/>
  <c r="D37" i="55"/>
  <c r="C37" i="55"/>
  <c r="L35" i="55"/>
  <c r="M34" i="55" s="1"/>
  <c r="K35" i="55"/>
  <c r="J35" i="55"/>
  <c r="F34" i="55"/>
  <c r="F33" i="55"/>
  <c r="F31" i="55"/>
  <c r="L30" i="55"/>
  <c r="M29" i="55" s="1"/>
  <c r="M27" i="55"/>
  <c r="K30" i="55"/>
  <c r="J30" i="55"/>
  <c r="F30" i="55"/>
  <c r="E27" i="55"/>
  <c r="F25" i="55" s="1"/>
  <c r="D27" i="55"/>
  <c r="C27" i="55"/>
  <c r="L25" i="55"/>
  <c r="M21" i="55" s="1"/>
  <c r="M25" i="55" s="1"/>
  <c r="K25" i="55"/>
  <c r="J25" i="55"/>
  <c r="L19" i="55"/>
  <c r="M16" i="55" s="1"/>
  <c r="K19" i="55"/>
  <c r="J19" i="55"/>
  <c r="E17" i="55"/>
  <c r="F15" i="55" s="1"/>
  <c r="D17" i="55"/>
  <c r="C17" i="55"/>
  <c r="BV14" i="54"/>
  <c r="BW14" i="54"/>
  <c r="BW10" i="54"/>
  <c r="BW11" i="54"/>
  <c r="BW12" i="54"/>
  <c r="BW13" i="54"/>
  <c r="BV10" i="54"/>
  <c r="BV11" i="54"/>
  <c r="BV12" i="54"/>
  <c r="BV13" i="54"/>
  <c r="AR15" i="54"/>
  <c r="AS15" i="54"/>
  <c r="BU15" i="54"/>
  <c r="BT15" i="54"/>
  <c r="BS15" i="54"/>
  <c r="BR15" i="54"/>
  <c r="BQ15" i="54"/>
  <c r="BP15" i="54"/>
  <c r="BO15" i="54"/>
  <c r="BN15" i="54"/>
  <c r="BM15" i="54"/>
  <c r="BL15" i="54"/>
  <c r="BK15" i="54"/>
  <c r="BJ15" i="54"/>
  <c r="BI15" i="54"/>
  <c r="BH15" i="54"/>
  <c r="BG15" i="54"/>
  <c r="BF15" i="54"/>
  <c r="BE15" i="54"/>
  <c r="BD15" i="54"/>
  <c r="BC15" i="54"/>
  <c r="BB15" i="54"/>
  <c r="BA15" i="54"/>
  <c r="AZ15" i="54"/>
  <c r="AY15" i="54"/>
  <c r="AX15" i="54"/>
  <c r="AW15" i="54"/>
  <c r="AV15" i="54"/>
  <c r="AU15" i="54"/>
  <c r="AT15" i="54"/>
  <c r="AQ15" i="54"/>
  <c r="AP15" i="54"/>
  <c r="AO15" i="54"/>
  <c r="AN15" i="54"/>
  <c r="AM15" i="54"/>
  <c r="AL15" i="54"/>
  <c r="AK15" i="54"/>
  <c r="AJ15" i="54"/>
  <c r="AI15" i="54"/>
  <c r="AH15" i="54"/>
  <c r="AG15" i="54"/>
  <c r="AF15" i="54"/>
  <c r="AE15" i="54"/>
  <c r="AD15" i="54"/>
  <c r="AC15" i="54"/>
  <c r="AB15" i="54"/>
  <c r="AA15" i="54"/>
  <c r="Z15" i="54"/>
  <c r="Y15" i="54"/>
  <c r="X15" i="54"/>
  <c r="W15" i="54"/>
  <c r="V15" i="54"/>
  <c r="U15" i="54"/>
  <c r="T15" i="54"/>
  <c r="S15" i="54"/>
  <c r="R15" i="54"/>
  <c r="Q15" i="54"/>
  <c r="P15" i="54"/>
  <c r="O15" i="54"/>
  <c r="N15" i="54"/>
  <c r="M15" i="54"/>
  <c r="L15" i="54"/>
  <c r="K15" i="54"/>
  <c r="J15" i="54"/>
  <c r="I15" i="54"/>
  <c r="H15" i="54"/>
  <c r="G15" i="54"/>
  <c r="F15" i="54"/>
  <c r="E15" i="54"/>
  <c r="D15" i="54"/>
  <c r="C15" i="54"/>
  <c r="B15" i="54"/>
  <c r="E44" i="53"/>
  <c r="F39" i="53" s="1"/>
  <c r="D44" i="53"/>
  <c r="C44" i="53"/>
  <c r="E37" i="53"/>
  <c r="D37" i="53"/>
  <c r="C37" i="53"/>
  <c r="L35" i="53"/>
  <c r="M32" i="53" s="1"/>
  <c r="K35" i="53"/>
  <c r="J35" i="53"/>
  <c r="L30" i="53"/>
  <c r="K30" i="53"/>
  <c r="J30" i="53"/>
  <c r="E27" i="53"/>
  <c r="D27" i="53"/>
  <c r="C27" i="53"/>
  <c r="L25" i="53"/>
  <c r="M24" i="53" s="1"/>
  <c r="K25" i="53"/>
  <c r="J25" i="53"/>
  <c r="L19" i="53"/>
  <c r="K19" i="53"/>
  <c r="J19" i="53"/>
  <c r="E17" i="53"/>
  <c r="F13" i="53" s="1"/>
  <c r="D17" i="53"/>
  <c r="C17" i="53"/>
  <c r="L25" i="45"/>
  <c r="M24" i="45" s="1"/>
  <c r="K25" i="45"/>
  <c r="J25" i="45"/>
  <c r="L25" i="47"/>
  <c r="M24" i="47" s="1"/>
  <c r="K25" i="47"/>
  <c r="J25" i="47"/>
  <c r="K25" i="43"/>
  <c r="L25" i="43"/>
  <c r="M22" i="43" s="1"/>
  <c r="J25" i="43"/>
  <c r="BT11" i="52"/>
  <c r="BU11" i="52"/>
  <c r="BT12" i="52"/>
  <c r="BU12" i="52"/>
  <c r="BT13" i="52"/>
  <c r="BU13" i="52"/>
  <c r="BT14" i="52"/>
  <c r="BU14" i="52"/>
  <c r="BU10" i="52"/>
  <c r="BT10" i="52"/>
  <c r="BS15" i="52"/>
  <c r="BR15" i="52"/>
  <c r="BQ15" i="52"/>
  <c r="BP15" i="52"/>
  <c r="BO15" i="52"/>
  <c r="BN15" i="52"/>
  <c r="BM15" i="52"/>
  <c r="BL15" i="52"/>
  <c r="BK15" i="52"/>
  <c r="BJ15" i="52"/>
  <c r="BI15" i="52"/>
  <c r="BH15" i="52"/>
  <c r="BG15" i="52"/>
  <c r="BF15" i="52"/>
  <c r="BE15" i="52"/>
  <c r="BD15" i="52"/>
  <c r="BC15" i="52"/>
  <c r="BB15" i="52"/>
  <c r="BA15" i="52"/>
  <c r="AZ15" i="52"/>
  <c r="AY15" i="52"/>
  <c r="AX15" i="52"/>
  <c r="AW15" i="52"/>
  <c r="AV15" i="52"/>
  <c r="AU15" i="52"/>
  <c r="AT15" i="52"/>
  <c r="AS15" i="52"/>
  <c r="AR15" i="52"/>
  <c r="AQ15" i="52"/>
  <c r="AP15" i="52"/>
  <c r="AO15" i="52"/>
  <c r="AN15" i="52"/>
  <c r="AM15" i="52"/>
  <c r="AL15" i="52"/>
  <c r="AK15" i="52"/>
  <c r="AJ15" i="52"/>
  <c r="AI15" i="52"/>
  <c r="AH15" i="52"/>
  <c r="AG15" i="52"/>
  <c r="AF15" i="52"/>
  <c r="AE15" i="52"/>
  <c r="AD15" i="52"/>
  <c r="AC15" i="52"/>
  <c r="AB15" i="52"/>
  <c r="AA15" i="52"/>
  <c r="Z15" i="52"/>
  <c r="Y15" i="52"/>
  <c r="X15" i="52"/>
  <c r="W15" i="52"/>
  <c r="V15" i="52"/>
  <c r="U15" i="52"/>
  <c r="T15" i="52"/>
  <c r="S15" i="52"/>
  <c r="R15" i="52"/>
  <c r="Q15" i="52"/>
  <c r="P15" i="52"/>
  <c r="O15" i="52"/>
  <c r="N15" i="52"/>
  <c r="M15" i="52"/>
  <c r="L15" i="52"/>
  <c r="K15" i="52"/>
  <c r="J15" i="52"/>
  <c r="I15" i="52"/>
  <c r="H15" i="52"/>
  <c r="G15" i="52"/>
  <c r="F15" i="52"/>
  <c r="E15" i="52"/>
  <c r="D15" i="52"/>
  <c r="C15" i="52"/>
  <c r="B15" i="52"/>
  <c r="E44" i="51"/>
  <c r="F41" i="51" s="1"/>
  <c r="D44" i="51"/>
  <c r="C44" i="51"/>
  <c r="E37" i="51"/>
  <c r="F35" i="51" s="1"/>
  <c r="D37" i="51"/>
  <c r="C37" i="51"/>
  <c r="L35" i="51"/>
  <c r="M34" i="51" s="1"/>
  <c r="K35" i="51"/>
  <c r="J35" i="51"/>
  <c r="L30" i="51"/>
  <c r="M28" i="51" s="1"/>
  <c r="K30" i="51"/>
  <c r="J30" i="51"/>
  <c r="E27" i="51"/>
  <c r="F26" i="51" s="1"/>
  <c r="D27" i="51"/>
  <c r="C27" i="51"/>
  <c r="L25" i="51"/>
  <c r="M24" i="51" s="1"/>
  <c r="K25" i="51"/>
  <c r="J25" i="51"/>
  <c r="L19" i="51"/>
  <c r="M13" i="51" s="1"/>
  <c r="K19" i="51"/>
  <c r="J19" i="51"/>
  <c r="E17" i="51"/>
  <c r="D17" i="51"/>
  <c r="C17" i="51"/>
  <c r="CF14" i="50"/>
  <c r="CG14" i="50"/>
  <c r="CF13" i="50"/>
  <c r="CG13" i="50"/>
  <c r="CF12" i="50"/>
  <c r="CG12" i="50"/>
  <c r="CF11" i="50"/>
  <c r="CG11" i="50"/>
  <c r="CG10" i="50"/>
  <c r="CF10" i="50"/>
  <c r="K15" i="50"/>
  <c r="J15" i="50"/>
  <c r="BV11" i="48"/>
  <c r="BW11" i="48"/>
  <c r="BV12" i="48"/>
  <c r="BW12" i="48"/>
  <c r="BV13" i="48"/>
  <c r="BW13" i="48"/>
  <c r="BV14" i="48"/>
  <c r="BW14" i="48"/>
  <c r="BW10" i="48"/>
  <c r="BV10" i="48"/>
  <c r="BP11" i="37"/>
  <c r="BQ11" i="37"/>
  <c r="BP12" i="37"/>
  <c r="BQ12" i="37"/>
  <c r="BP13" i="37"/>
  <c r="BQ13" i="37"/>
  <c r="BP14" i="37"/>
  <c r="BQ14" i="37"/>
  <c r="BQ10" i="37"/>
  <c r="BP10" i="37"/>
  <c r="AE15" i="37"/>
  <c r="BQ15" i="37"/>
  <c r="AD15" i="37"/>
  <c r="BP15" i="37" s="1"/>
  <c r="BY14" i="44"/>
  <c r="BX14" i="44"/>
  <c r="BY13" i="44"/>
  <c r="BX13" i="44"/>
  <c r="BY12" i="44"/>
  <c r="BX12" i="44"/>
  <c r="BY11" i="44"/>
  <c r="BX11" i="44"/>
  <c r="BY10" i="44"/>
  <c r="BX10" i="44"/>
  <c r="AK15" i="44"/>
  <c r="AJ15" i="44"/>
  <c r="BV11" i="46"/>
  <c r="BW11" i="46"/>
  <c r="BV12" i="46"/>
  <c r="BW12" i="46"/>
  <c r="BV13" i="46"/>
  <c r="BW13" i="46"/>
  <c r="BV14" i="46"/>
  <c r="BW14" i="46"/>
  <c r="BW10" i="46"/>
  <c r="BV10" i="46"/>
  <c r="AI15" i="46"/>
  <c r="AH15" i="46"/>
  <c r="AJ15" i="46"/>
  <c r="AK15" i="46"/>
  <c r="D35" i="39"/>
  <c r="E35" i="39"/>
  <c r="F28" i="39" s="1"/>
  <c r="C35" i="39"/>
  <c r="D34" i="38"/>
  <c r="E34" i="38"/>
  <c r="F28" i="38" s="1"/>
  <c r="C34" i="38"/>
  <c r="L19" i="43"/>
  <c r="M15" i="43" s="1"/>
  <c r="K19" i="43"/>
  <c r="J19" i="43"/>
  <c r="L19" i="45"/>
  <c r="M13" i="45" s="1"/>
  <c r="K19" i="45"/>
  <c r="J19" i="45"/>
  <c r="L19" i="47"/>
  <c r="M13" i="47" s="1"/>
  <c r="K19" i="47"/>
  <c r="J19" i="47"/>
  <c r="C15" i="50"/>
  <c r="D15" i="50"/>
  <c r="E15" i="50"/>
  <c r="F15" i="50"/>
  <c r="G15" i="50"/>
  <c r="H15" i="50"/>
  <c r="I15" i="50"/>
  <c r="L15" i="50"/>
  <c r="M15" i="50"/>
  <c r="N15" i="50"/>
  <c r="O15" i="50"/>
  <c r="P15" i="50"/>
  <c r="Q15" i="50"/>
  <c r="R15" i="50"/>
  <c r="S15" i="50"/>
  <c r="T15" i="50"/>
  <c r="U15" i="50"/>
  <c r="V15" i="50"/>
  <c r="W15" i="50"/>
  <c r="X15" i="50"/>
  <c r="Y15" i="50"/>
  <c r="Z15" i="50"/>
  <c r="AA15" i="50"/>
  <c r="AB15" i="50"/>
  <c r="AC15" i="50"/>
  <c r="AD15" i="50"/>
  <c r="AE15" i="50"/>
  <c r="AF15" i="50"/>
  <c r="AG15" i="50"/>
  <c r="AH15" i="50"/>
  <c r="AI15" i="50"/>
  <c r="AJ15" i="50"/>
  <c r="AK15" i="50"/>
  <c r="AL15" i="50"/>
  <c r="AM15" i="50"/>
  <c r="AN15" i="50"/>
  <c r="AO15" i="50"/>
  <c r="AP15" i="50"/>
  <c r="AQ15" i="50"/>
  <c r="AR15" i="50"/>
  <c r="AS15" i="50"/>
  <c r="AT15" i="50"/>
  <c r="AU15" i="50"/>
  <c r="AV15" i="50"/>
  <c r="AW15" i="50"/>
  <c r="AX15" i="50"/>
  <c r="AY15" i="50"/>
  <c r="AZ15" i="50"/>
  <c r="BA15" i="50"/>
  <c r="BB15" i="50"/>
  <c r="BC15" i="50"/>
  <c r="BD15" i="50"/>
  <c r="BE15" i="50"/>
  <c r="BF15" i="50"/>
  <c r="BG15" i="50"/>
  <c r="BH15" i="50"/>
  <c r="BI15" i="50"/>
  <c r="BJ15" i="50"/>
  <c r="BK15" i="50"/>
  <c r="BL15" i="50"/>
  <c r="BM15" i="50"/>
  <c r="BN15" i="50"/>
  <c r="BO15" i="50"/>
  <c r="BP15" i="50"/>
  <c r="BQ15" i="50"/>
  <c r="BR15" i="50"/>
  <c r="BS15" i="50"/>
  <c r="BT15" i="50"/>
  <c r="BU15" i="50"/>
  <c r="BV15" i="50"/>
  <c r="BW15" i="50"/>
  <c r="BX15" i="50"/>
  <c r="BY15" i="50"/>
  <c r="BZ15" i="50"/>
  <c r="CA15" i="50"/>
  <c r="CB15" i="50"/>
  <c r="CC15" i="50"/>
  <c r="CD15" i="50"/>
  <c r="CE15" i="50"/>
  <c r="K25" i="49"/>
  <c r="L25" i="49"/>
  <c r="J25" i="49"/>
  <c r="L19" i="49"/>
  <c r="M17" i="49" s="1"/>
  <c r="K19" i="49"/>
  <c r="J19" i="49"/>
  <c r="E17" i="49"/>
  <c r="F15" i="49" s="1"/>
  <c r="D17" i="49"/>
  <c r="C17" i="49"/>
  <c r="B15" i="50"/>
  <c r="E44" i="49"/>
  <c r="F42" i="49" s="1"/>
  <c r="D44" i="49"/>
  <c r="C44" i="49"/>
  <c r="E37" i="49"/>
  <c r="F34" i="49" s="1"/>
  <c r="D37" i="49"/>
  <c r="C37" i="49"/>
  <c r="L35" i="49"/>
  <c r="M34" i="49" s="1"/>
  <c r="K35" i="49"/>
  <c r="J35" i="49"/>
  <c r="E27" i="49"/>
  <c r="F25" i="49" s="1"/>
  <c r="D27" i="49"/>
  <c r="C27" i="49"/>
  <c r="L30" i="49"/>
  <c r="M29" i="49" s="1"/>
  <c r="K30" i="49"/>
  <c r="J30" i="49"/>
  <c r="AH15" i="48"/>
  <c r="AI15" i="48"/>
  <c r="BU15" i="48"/>
  <c r="BT15" i="48"/>
  <c r="BS15" i="48"/>
  <c r="BR15" i="48"/>
  <c r="BQ15" i="48"/>
  <c r="BP15" i="48"/>
  <c r="BO15" i="48"/>
  <c r="BN15" i="48"/>
  <c r="BM15" i="48"/>
  <c r="BL15" i="48"/>
  <c r="BK15" i="48"/>
  <c r="BJ15" i="48"/>
  <c r="BI15" i="48"/>
  <c r="BH15" i="48"/>
  <c r="BG15" i="48"/>
  <c r="BF15" i="48"/>
  <c r="BE15" i="48"/>
  <c r="BD15" i="48"/>
  <c r="BC15" i="48"/>
  <c r="BB15" i="48"/>
  <c r="BA15" i="48"/>
  <c r="AZ15" i="48"/>
  <c r="AY15" i="48"/>
  <c r="AX15" i="48"/>
  <c r="AW15" i="48"/>
  <c r="AV15" i="48"/>
  <c r="AU15" i="48"/>
  <c r="AT15" i="48"/>
  <c r="AS15" i="48"/>
  <c r="AR15" i="48"/>
  <c r="AQ15" i="48"/>
  <c r="AP15" i="48"/>
  <c r="AO15" i="48"/>
  <c r="AN15" i="48"/>
  <c r="AM15" i="48"/>
  <c r="AL15" i="48"/>
  <c r="AK15" i="48"/>
  <c r="AJ15" i="48"/>
  <c r="AG15" i="48"/>
  <c r="AF15" i="48"/>
  <c r="AE15" i="48"/>
  <c r="AD15" i="48"/>
  <c r="AC15" i="48"/>
  <c r="AB15" i="48"/>
  <c r="AA15" i="48"/>
  <c r="Z15" i="48"/>
  <c r="Y15" i="48"/>
  <c r="X15" i="48"/>
  <c r="W15" i="48"/>
  <c r="V15" i="48"/>
  <c r="U15" i="48"/>
  <c r="T15" i="48"/>
  <c r="S15" i="48"/>
  <c r="R15" i="48"/>
  <c r="Q15" i="48"/>
  <c r="P15" i="48"/>
  <c r="O15" i="48"/>
  <c r="N15" i="48"/>
  <c r="M15" i="48"/>
  <c r="L15" i="48"/>
  <c r="K15" i="48"/>
  <c r="J15" i="48"/>
  <c r="I15" i="48"/>
  <c r="H15" i="48"/>
  <c r="G15" i="48"/>
  <c r="F15" i="48"/>
  <c r="E15" i="48"/>
  <c r="D15" i="48"/>
  <c r="C15" i="48"/>
  <c r="B15" i="48"/>
  <c r="E44" i="47"/>
  <c r="D44" i="47"/>
  <c r="C44" i="47"/>
  <c r="E37" i="47"/>
  <c r="F33" i="47" s="1"/>
  <c r="D37" i="47"/>
  <c r="C37" i="47"/>
  <c r="L35" i="47"/>
  <c r="M32" i="47" s="1"/>
  <c r="K35" i="47"/>
  <c r="J35" i="47"/>
  <c r="E27" i="47"/>
  <c r="F25" i="47" s="1"/>
  <c r="D27" i="47"/>
  <c r="C27" i="47"/>
  <c r="L30" i="47"/>
  <c r="M29" i="47" s="1"/>
  <c r="K30" i="47"/>
  <c r="J30" i="47"/>
  <c r="E17" i="47"/>
  <c r="F11" i="47" s="1"/>
  <c r="D17" i="47"/>
  <c r="C17" i="47"/>
  <c r="BU15" i="46"/>
  <c r="BT15" i="46"/>
  <c r="BS15" i="46"/>
  <c r="BR15" i="46"/>
  <c r="BQ15" i="46"/>
  <c r="BP15" i="46"/>
  <c r="BO15" i="46"/>
  <c r="BN15" i="46"/>
  <c r="BM15" i="46"/>
  <c r="BL15" i="46"/>
  <c r="BK15" i="46"/>
  <c r="BJ15" i="46"/>
  <c r="BI15" i="46"/>
  <c r="BH15" i="46"/>
  <c r="BG15" i="46"/>
  <c r="BF15" i="46"/>
  <c r="BE15" i="46"/>
  <c r="BD15" i="46"/>
  <c r="BC15" i="46"/>
  <c r="BB15" i="46"/>
  <c r="BA15" i="46"/>
  <c r="AZ15" i="46"/>
  <c r="AY15" i="46"/>
  <c r="AX15" i="46"/>
  <c r="AW15" i="46"/>
  <c r="AV15" i="46"/>
  <c r="AU15" i="46"/>
  <c r="AT15" i="46"/>
  <c r="AS15" i="46"/>
  <c r="AR15" i="46"/>
  <c r="AQ15" i="46"/>
  <c r="AP15" i="46"/>
  <c r="AO15" i="46"/>
  <c r="AN15" i="46"/>
  <c r="AM15" i="46"/>
  <c r="AL15" i="46"/>
  <c r="AG15" i="46"/>
  <c r="AF15" i="46"/>
  <c r="AE15" i="46"/>
  <c r="AD15" i="46"/>
  <c r="AC15" i="46"/>
  <c r="AB15" i="46"/>
  <c r="AA15" i="46"/>
  <c r="Z15" i="46"/>
  <c r="Y15" i="46"/>
  <c r="X15" i="46"/>
  <c r="W15" i="46"/>
  <c r="V15" i="46"/>
  <c r="U15" i="46"/>
  <c r="T15" i="46"/>
  <c r="S15" i="46"/>
  <c r="R15" i="46"/>
  <c r="Q15" i="46"/>
  <c r="P15" i="46"/>
  <c r="O15" i="46"/>
  <c r="N15" i="46"/>
  <c r="M15" i="46"/>
  <c r="L15" i="46"/>
  <c r="K15" i="46"/>
  <c r="J15" i="46"/>
  <c r="I15" i="46"/>
  <c r="H15" i="46"/>
  <c r="G15" i="46"/>
  <c r="F15" i="46"/>
  <c r="E15" i="46"/>
  <c r="D15" i="46"/>
  <c r="C15" i="46"/>
  <c r="B15" i="46"/>
  <c r="E44" i="45"/>
  <c r="F42" i="45" s="1"/>
  <c r="D44" i="45"/>
  <c r="C44" i="45"/>
  <c r="E37" i="45"/>
  <c r="F34" i="45" s="1"/>
  <c r="D37" i="45"/>
  <c r="C37" i="45"/>
  <c r="L35" i="45"/>
  <c r="M33" i="45" s="1"/>
  <c r="K35" i="45"/>
  <c r="J35" i="45"/>
  <c r="E27" i="45"/>
  <c r="F25" i="45" s="1"/>
  <c r="D27" i="45"/>
  <c r="C27" i="45"/>
  <c r="L30" i="45"/>
  <c r="K30" i="45"/>
  <c r="J30" i="45"/>
  <c r="E17" i="45"/>
  <c r="F11" i="45" s="1"/>
  <c r="D17" i="45"/>
  <c r="C17" i="45"/>
  <c r="C15" i="44"/>
  <c r="D15" i="44"/>
  <c r="E15" i="44"/>
  <c r="F15" i="44"/>
  <c r="G15" i="44"/>
  <c r="H15" i="44"/>
  <c r="I15" i="44"/>
  <c r="J15" i="44"/>
  <c r="K15" i="44"/>
  <c r="L15" i="44"/>
  <c r="M15" i="44"/>
  <c r="N15" i="44"/>
  <c r="O15" i="44"/>
  <c r="P15" i="44"/>
  <c r="Q15" i="44"/>
  <c r="R15" i="44"/>
  <c r="S15" i="44"/>
  <c r="T15" i="44"/>
  <c r="U15" i="44"/>
  <c r="V15" i="44"/>
  <c r="W15" i="44"/>
  <c r="X15" i="44"/>
  <c r="Y15" i="44"/>
  <c r="Z15" i="44"/>
  <c r="AA15" i="44"/>
  <c r="AB15" i="44"/>
  <c r="AC15" i="44"/>
  <c r="AD15" i="44"/>
  <c r="AE15" i="44"/>
  <c r="AF15" i="44"/>
  <c r="AG15" i="44"/>
  <c r="AH15" i="44"/>
  <c r="AI15" i="44"/>
  <c r="AL15" i="44"/>
  <c r="AM15" i="44"/>
  <c r="AN15" i="44"/>
  <c r="AO15" i="44"/>
  <c r="AP15" i="44"/>
  <c r="AQ15" i="44"/>
  <c r="AR15" i="44"/>
  <c r="AS15" i="44"/>
  <c r="AT15" i="44"/>
  <c r="AU15" i="44"/>
  <c r="AV15" i="44"/>
  <c r="AW15" i="44"/>
  <c r="AX15" i="44"/>
  <c r="AY15" i="44"/>
  <c r="AZ15" i="44"/>
  <c r="BA15" i="44"/>
  <c r="BB15" i="44"/>
  <c r="BC15" i="44"/>
  <c r="BD15" i="44"/>
  <c r="BE15" i="44"/>
  <c r="BF15" i="44"/>
  <c r="BG15" i="44"/>
  <c r="BH15" i="44"/>
  <c r="BI15" i="44"/>
  <c r="BJ15" i="44"/>
  <c r="BK15" i="44"/>
  <c r="BL15" i="44"/>
  <c r="BM15" i="44"/>
  <c r="BN15" i="44"/>
  <c r="BO15" i="44"/>
  <c r="BP15" i="44"/>
  <c r="BQ15" i="44"/>
  <c r="BR15" i="44"/>
  <c r="BS15" i="44"/>
  <c r="BT15" i="44"/>
  <c r="BU15" i="44"/>
  <c r="BV15" i="44"/>
  <c r="BW15" i="44"/>
  <c r="K35" i="43"/>
  <c r="L35" i="43"/>
  <c r="M34" i="43" s="1"/>
  <c r="J35" i="43"/>
  <c r="K30" i="43"/>
  <c r="L30" i="43"/>
  <c r="M28" i="43" s="1"/>
  <c r="J30" i="43"/>
  <c r="D25" i="43"/>
  <c r="E25" i="43"/>
  <c r="F24" i="43" s="1"/>
  <c r="C25" i="43"/>
  <c r="D42" i="43"/>
  <c r="E42" i="43"/>
  <c r="F38" i="43" s="1"/>
  <c r="C42" i="43"/>
  <c r="D35" i="43"/>
  <c r="E35" i="43"/>
  <c r="F34" i="43" s="1"/>
  <c r="C35" i="43"/>
  <c r="D35" i="41"/>
  <c r="E35" i="41"/>
  <c r="C35" i="41"/>
  <c r="BW11" i="42"/>
  <c r="BW15" i="42" s="1"/>
  <c r="BV11" i="42"/>
  <c r="BV15" i="42" s="1"/>
  <c r="AA15" i="42"/>
  <c r="Z15" i="42"/>
  <c r="D15" i="43"/>
  <c r="E15" i="43"/>
  <c r="F13" i="43" s="1"/>
  <c r="C15" i="43"/>
  <c r="D15" i="41"/>
  <c r="K42" i="41" s="1"/>
  <c r="E15" i="41"/>
  <c r="F11" i="41" s="1"/>
  <c r="C15" i="41"/>
  <c r="G15" i="42"/>
  <c r="F15" i="42"/>
  <c r="B15" i="44"/>
  <c r="E45" i="33"/>
  <c r="D45" i="33"/>
  <c r="C45" i="33"/>
  <c r="E38" i="33"/>
  <c r="F35" i="33" s="1"/>
  <c r="D38" i="33"/>
  <c r="C38" i="33"/>
  <c r="L32" i="33"/>
  <c r="M30" i="33" s="1"/>
  <c r="K32" i="33"/>
  <c r="J32" i="33"/>
  <c r="E30" i="33"/>
  <c r="F29" i="33" s="1"/>
  <c r="D30" i="33"/>
  <c r="C30" i="33"/>
  <c r="L27" i="33"/>
  <c r="M26" i="33" s="1"/>
  <c r="K27" i="33"/>
  <c r="J27" i="33"/>
  <c r="E25" i="33"/>
  <c r="F21" i="33" s="1"/>
  <c r="C25" i="33"/>
  <c r="L22" i="33"/>
  <c r="M19" i="33" s="1"/>
  <c r="K22" i="33"/>
  <c r="J22" i="33"/>
  <c r="L16" i="33"/>
  <c r="M14" i="33" s="1"/>
  <c r="K16" i="33"/>
  <c r="J16" i="33"/>
  <c r="E15" i="33"/>
  <c r="F13" i="33" s="1"/>
  <c r="D15" i="33"/>
  <c r="C15" i="33"/>
  <c r="BS10" i="32"/>
  <c r="BS11" i="32"/>
  <c r="BS12" i="32"/>
  <c r="BS13" i="32"/>
  <c r="BS14" i="32"/>
  <c r="BR11" i="32"/>
  <c r="BR12" i="32"/>
  <c r="BR13" i="32"/>
  <c r="BR14" i="32"/>
  <c r="BR10" i="32"/>
  <c r="BI15" i="32"/>
  <c r="BH15" i="32"/>
  <c r="BG15" i="32"/>
  <c r="BF15" i="32"/>
  <c r="E15" i="32"/>
  <c r="F15" i="32"/>
  <c r="G15" i="32"/>
  <c r="H15" i="32"/>
  <c r="I15" i="32"/>
  <c r="J15" i="32"/>
  <c r="K15" i="32"/>
  <c r="L15" i="32"/>
  <c r="M15" i="32"/>
  <c r="N15" i="32"/>
  <c r="O15" i="32"/>
  <c r="P15" i="32"/>
  <c r="Q15" i="32"/>
  <c r="R15" i="32"/>
  <c r="S15" i="32"/>
  <c r="T15" i="32"/>
  <c r="U15" i="32"/>
  <c r="V15" i="32"/>
  <c r="W15" i="32"/>
  <c r="X15" i="32"/>
  <c r="Y15" i="32"/>
  <c r="Z15" i="32"/>
  <c r="AB15" i="32"/>
  <c r="AC15" i="32"/>
  <c r="AD15" i="32"/>
  <c r="AE15" i="32"/>
  <c r="AF15" i="32"/>
  <c r="AG15" i="32"/>
  <c r="AH15" i="32"/>
  <c r="AI15" i="32"/>
  <c r="AJ15" i="32"/>
  <c r="AK15" i="32"/>
  <c r="AL15" i="32"/>
  <c r="AM15" i="32"/>
  <c r="AN15" i="32"/>
  <c r="AO15" i="32"/>
  <c r="AP15" i="32"/>
  <c r="AQ15" i="32"/>
  <c r="AR15" i="32"/>
  <c r="AS15" i="32"/>
  <c r="AT15" i="32"/>
  <c r="AU15" i="32"/>
  <c r="AV15" i="32"/>
  <c r="AW15" i="32"/>
  <c r="AX15" i="32"/>
  <c r="AY15" i="32"/>
  <c r="AZ15" i="32"/>
  <c r="BA15" i="32"/>
  <c r="BB15" i="32"/>
  <c r="BC15" i="32"/>
  <c r="BD15" i="32"/>
  <c r="BE15" i="32"/>
  <c r="BJ15" i="32"/>
  <c r="BK15" i="32"/>
  <c r="BL15" i="32"/>
  <c r="BM15" i="32"/>
  <c r="BN15" i="32"/>
  <c r="BO15" i="32"/>
  <c r="BP15" i="32"/>
  <c r="BQ15" i="32"/>
  <c r="D15" i="32"/>
  <c r="C15" i="32"/>
  <c r="B15" i="32"/>
  <c r="K32" i="31"/>
  <c r="L32" i="31"/>
  <c r="M30" i="31" s="1"/>
  <c r="J32" i="31"/>
  <c r="K27" i="31"/>
  <c r="L27" i="31"/>
  <c r="M25" i="31" s="1"/>
  <c r="J27" i="31"/>
  <c r="K22" i="31"/>
  <c r="L22" i="31"/>
  <c r="M19" i="31" s="1"/>
  <c r="J22" i="31"/>
  <c r="K16" i="31"/>
  <c r="L16" i="31"/>
  <c r="M14" i="31" s="1"/>
  <c r="J16" i="31"/>
  <c r="D45" i="31"/>
  <c r="E45" i="31"/>
  <c r="F42" i="31" s="1"/>
  <c r="C45" i="31"/>
  <c r="D30" i="31"/>
  <c r="E30" i="31"/>
  <c r="F28" i="31" s="1"/>
  <c r="C30" i="31"/>
  <c r="E25" i="31"/>
  <c r="F22" i="31" s="1"/>
  <c r="C25" i="31"/>
  <c r="D38" i="31"/>
  <c r="E38" i="31"/>
  <c r="F34" i="31" s="1"/>
  <c r="C38" i="31"/>
  <c r="D15" i="31"/>
  <c r="E15" i="31"/>
  <c r="C15" i="31"/>
  <c r="F33" i="3"/>
  <c r="F34" i="3"/>
  <c r="F35" i="3"/>
  <c r="F36" i="3"/>
  <c r="F32" i="3"/>
  <c r="F11" i="3"/>
  <c r="F26" i="45"/>
  <c r="F30" i="47"/>
  <c r="F12" i="45"/>
  <c r="F12" i="47"/>
  <c r="M14" i="49"/>
  <c r="M24" i="49"/>
  <c r="F42" i="51"/>
  <c r="F22" i="33"/>
  <c r="M11" i="33"/>
  <c r="M13" i="33"/>
  <c r="M12" i="33"/>
  <c r="M22" i="45"/>
  <c r="M27" i="43"/>
  <c r="F14" i="43"/>
  <c r="F11" i="43"/>
  <c r="F23" i="43"/>
  <c r="M27" i="45"/>
  <c r="M15" i="45"/>
  <c r="F40" i="47"/>
  <c r="F35" i="49"/>
  <c r="F36" i="49"/>
  <c r="F33" i="49"/>
  <c r="F31" i="49"/>
  <c r="M27" i="51"/>
  <c r="M29" i="51"/>
  <c r="F33" i="53"/>
  <c r="F15" i="53"/>
  <c r="F12" i="55"/>
  <c r="F36" i="55"/>
  <c r="F11" i="55"/>
  <c r="F39" i="49"/>
  <c r="M19" i="51"/>
  <c r="F13" i="47"/>
  <c r="F27" i="41"/>
  <c r="M29" i="33"/>
  <c r="M31" i="33"/>
  <c r="F12" i="53"/>
  <c r="F40" i="45"/>
  <c r="F41" i="45"/>
  <c r="F15" i="47"/>
  <c r="F14" i="33"/>
  <c r="M25" i="33"/>
  <c r="F26" i="49"/>
  <c r="L42" i="45"/>
  <c r="F39" i="45"/>
  <c r="F36" i="31" l="1"/>
  <c r="BY15" i="56"/>
  <c r="F28" i="33"/>
  <c r="F32" i="33"/>
  <c r="F35" i="55"/>
  <c r="J42" i="47"/>
  <c r="F11" i="33"/>
  <c r="M33" i="55"/>
  <c r="F12" i="33"/>
  <c r="F25" i="51"/>
  <c r="F27" i="51" s="1"/>
  <c r="F40" i="55"/>
  <c r="F39" i="55"/>
  <c r="F35" i="47"/>
  <c r="M21" i="51"/>
  <c r="F36" i="45"/>
  <c r="M17" i="55"/>
  <c r="F12" i="49"/>
  <c r="K41" i="31"/>
  <c r="M21" i="53"/>
  <c r="F29" i="55"/>
  <c r="F15" i="45"/>
  <c r="F37" i="57"/>
  <c r="M15" i="55"/>
  <c r="F13" i="45"/>
  <c r="F17" i="45" s="1"/>
  <c r="F33" i="45"/>
  <c r="F23" i="31"/>
  <c r="F35" i="45"/>
  <c r="CF15" i="50"/>
  <c r="F41" i="49"/>
  <c r="F40" i="49"/>
  <c r="L42" i="47"/>
  <c r="F32" i="38"/>
  <c r="F31" i="45"/>
  <c r="BV15" i="48"/>
  <c r="M13" i="55"/>
  <c r="M12" i="55"/>
  <c r="M12" i="31"/>
  <c r="F26" i="47"/>
  <c r="F34" i="33"/>
  <c r="J42" i="41"/>
  <c r="F23" i="33"/>
  <c r="M32" i="45"/>
  <c r="F29" i="45"/>
  <c r="F16" i="49"/>
  <c r="M13" i="49"/>
  <c r="M25" i="51"/>
  <c r="F41" i="53"/>
  <c r="M15" i="47"/>
  <c r="M12" i="45"/>
  <c r="M12" i="43"/>
  <c r="M33" i="53"/>
  <c r="F44" i="45"/>
  <c r="M25" i="53"/>
  <c r="J41" i="33"/>
  <c r="K42" i="43"/>
  <c r="M31" i="31"/>
  <c r="M30" i="51"/>
  <c r="J41" i="31"/>
  <c r="M26" i="31"/>
  <c r="F25" i="33"/>
  <c r="F32" i="31"/>
  <c r="BR15" i="32"/>
  <c r="K42" i="47"/>
  <c r="F27" i="47"/>
  <c r="M34" i="53"/>
  <c r="M35" i="53" s="1"/>
  <c r="M19" i="55"/>
  <c r="F11" i="53"/>
  <c r="F17" i="53" s="1"/>
  <c r="M29" i="31"/>
  <c r="F13" i="55"/>
  <c r="F29" i="49"/>
  <c r="F30" i="49"/>
  <c r="M21" i="45"/>
  <c r="M25" i="45" s="1"/>
  <c r="F31" i="39"/>
  <c r="F35" i="31"/>
  <c r="F13" i="49"/>
  <c r="F17" i="47"/>
  <c r="M33" i="43"/>
  <c r="M24" i="33"/>
  <c r="M27" i="33" s="1"/>
  <c r="F33" i="31"/>
  <c r="BX15" i="44"/>
  <c r="F12" i="43"/>
  <c r="F15" i="43" s="1"/>
  <c r="BU15" i="52"/>
  <c r="J42" i="53"/>
  <c r="J42" i="55"/>
  <c r="M35" i="57"/>
  <c r="F30" i="33"/>
  <c r="F25" i="43"/>
  <c r="M33" i="49"/>
  <c r="J42" i="51"/>
  <c r="F39" i="51"/>
  <c r="BW15" i="54"/>
  <c r="K42" i="55"/>
  <c r="M14" i="55"/>
  <c r="F44" i="57"/>
  <c r="M30" i="57"/>
  <c r="F42" i="53"/>
  <c r="M27" i="47"/>
  <c r="M32" i="43"/>
  <c r="M21" i="47"/>
  <c r="F37" i="55"/>
  <c r="M33" i="47"/>
  <c r="F29" i="39"/>
  <c r="K42" i="51"/>
  <c r="F36" i="47"/>
  <c r="M13" i="31"/>
  <c r="L42" i="49"/>
  <c r="M11" i="45"/>
  <c r="F28" i="43"/>
  <c r="F29" i="31"/>
  <c r="F30" i="31" s="1"/>
  <c r="M15" i="49"/>
  <c r="M13" i="43"/>
  <c r="M11" i="43"/>
  <c r="F27" i="43"/>
  <c r="F14" i="41"/>
  <c r="F27" i="39"/>
  <c r="M28" i="49"/>
  <c r="F11" i="49"/>
  <c r="M16" i="49"/>
  <c r="F30" i="38"/>
  <c r="BS15" i="32"/>
  <c r="BY15" i="44"/>
  <c r="BW15" i="48"/>
  <c r="M32" i="49"/>
  <c r="M11" i="49"/>
  <c r="M28" i="47"/>
  <c r="M30" i="47" s="1"/>
  <c r="M34" i="47"/>
  <c r="F40" i="31"/>
  <c r="F34" i="47"/>
  <c r="F43" i="31"/>
  <c r="M16" i="33"/>
  <c r="CG15" i="50"/>
  <c r="M28" i="55"/>
  <c r="M30" i="55" s="1"/>
  <c r="F31" i="47"/>
  <c r="M20" i="31"/>
  <c r="M11" i="47"/>
  <c r="M21" i="31"/>
  <c r="F41" i="31"/>
  <c r="F29" i="47"/>
  <c r="F17" i="55"/>
  <c r="M12" i="49"/>
  <c r="M29" i="43"/>
  <c r="M30" i="43" s="1"/>
  <c r="F33" i="39"/>
  <c r="M11" i="31"/>
  <c r="F21" i="31"/>
  <c r="F25" i="31" s="1"/>
  <c r="M27" i="49"/>
  <c r="M19" i="49"/>
  <c r="F26" i="38"/>
  <c r="J42" i="43"/>
  <c r="BV15" i="46"/>
  <c r="M22" i="47"/>
  <c r="K42" i="49"/>
  <c r="F27" i="38"/>
  <c r="BT15" i="52"/>
  <c r="F40" i="53"/>
  <c r="M32" i="55"/>
  <c r="M35" i="55" s="1"/>
  <c r="F41" i="55"/>
  <c r="F44" i="55" s="1"/>
  <c r="BX15" i="56"/>
  <c r="F43" i="33"/>
  <c r="F40" i="33"/>
  <c r="F41" i="33"/>
  <c r="F42" i="33"/>
  <c r="F31" i="51"/>
  <c r="F36" i="51"/>
  <c r="L41" i="33"/>
  <c r="F36" i="33"/>
  <c r="F33" i="33"/>
  <c r="J42" i="45"/>
  <c r="F27" i="45"/>
  <c r="M23" i="49"/>
  <c r="M22" i="49"/>
  <c r="M21" i="49"/>
  <c r="M32" i="51"/>
  <c r="M33" i="51"/>
  <c r="L41" i="31"/>
  <c r="F13" i="31"/>
  <c r="F14" i="31"/>
  <c r="F11" i="31"/>
  <c r="K41" i="33"/>
  <c r="F28" i="41"/>
  <c r="F29" i="41"/>
  <c r="F31" i="41"/>
  <c r="F12" i="51"/>
  <c r="F11" i="51"/>
  <c r="F13" i="51"/>
  <c r="F15" i="51"/>
  <c r="L42" i="53"/>
  <c r="F25" i="53"/>
  <c r="F26" i="53"/>
  <c r="F32" i="41"/>
  <c r="F33" i="41"/>
  <c r="F39" i="43"/>
  <c r="F37" i="43"/>
  <c r="F40" i="43"/>
  <c r="L42" i="43"/>
  <c r="K42" i="45"/>
  <c r="M28" i="45"/>
  <c r="M29" i="45"/>
  <c r="BW15" i="46"/>
  <c r="F27" i="49"/>
  <c r="J42" i="49"/>
  <c r="F29" i="51"/>
  <c r="F34" i="51"/>
  <c r="F33" i="51"/>
  <c r="F30" i="53"/>
  <c r="F29" i="53"/>
  <c r="F34" i="53"/>
  <c r="F36" i="53"/>
  <c r="F31" i="53"/>
  <c r="L42" i="51"/>
  <c r="F12" i="31"/>
  <c r="F34" i="41"/>
  <c r="F15" i="33"/>
  <c r="M32" i="33"/>
  <c r="F35" i="53"/>
  <c r="F30" i="51"/>
  <c r="F12" i="41"/>
  <c r="L42" i="41"/>
  <c r="F13" i="41"/>
  <c r="F33" i="43"/>
  <c r="F30" i="43"/>
  <c r="F31" i="43"/>
  <c r="F32" i="43"/>
  <c r="F29" i="43"/>
  <c r="F39" i="47"/>
  <c r="F41" i="47"/>
  <c r="F42" i="47"/>
  <c r="M12" i="51"/>
  <c r="M15" i="51"/>
  <c r="M14" i="51"/>
  <c r="K42" i="53"/>
  <c r="M19" i="53"/>
  <c r="M12" i="53"/>
  <c r="M14" i="53"/>
  <c r="M17" i="53"/>
  <c r="M13" i="53"/>
  <c r="M15" i="53"/>
  <c r="M29" i="53"/>
  <c r="M28" i="53"/>
  <c r="M27" i="53"/>
  <c r="BV15" i="54"/>
  <c r="F26" i="55"/>
  <c r="F27" i="55" s="1"/>
  <c r="L42" i="55"/>
  <c r="M21" i="33"/>
  <c r="M22" i="33" s="1"/>
  <c r="M34" i="45"/>
  <c r="M35" i="45" s="1"/>
  <c r="F40" i="51"/>
  <c r="M12" i="47"/>
  <c r="M21" i="43"/>
  <c r="M24" i="43"/>
  <c r="F30" i="45"/>
  <c r="M24" i="31"/>
  <c r="F44" i="49" l="1"/>
  <c r="M35" i="43"/>
  <c r="F44" i="51"/>
  <c r="M30" i="49"/>
  <c r="M30" i="45"/>
  <c r="M27" i="31"/>
  <c r="M19" i="47"/>
  <c r="M19" i="45"/>
  <c r="F37" i="49"/>
  <c r="F37" i="45"/>
  <c r="F35" i="39"/>
  <c r="M35" i="47"/>
  <c r="F38" i="31"/>
  <c r="F17" i="49"/>
  <c r="M32" i="31"/>
  <c r="M16" i="31"/>
  <c r="M35" i="49"/>
  <c r="F44" i="53"/>
  <c r="F35" i="43"/>
  <c r="F38" i="33"/>
  <c r="F37" i="47"/>
  <c r="M22" i="31"/>
  <c r="F45" i="31"/>
  <c r="M19" i="43"/>
  <c r="F35" i="41"/>
  <c r="F34" i="38"/>
  <c r="M25" i="47"/>
  <c r="F37" i="53"/>
  <c r="F37" i="51"/>
  <c r="F27" i="53"/>
  <c r="F17" i="51"/>
  <c r="M35" i="51"/>
  <c r="F45" i="33"/>
  <c r="M25" i="43"/>
  <c r="M30" i="53"/>
  <c r="F44" i="47"/>
  <c r="F42" i="43"/>
  <c r="F15" i="31"/>
  <c r="M25" i="49"/>
</calcChain>
</file>

<file path=xl/sharedStrings.xml><?xml version="1.0" encoding="utf-8"?>
<sst xmlns="http://schemas.openxmlformats.org/spreadsheetml/2006/main" count="4937" uniqueCount="453">
  <si>
    <t>TIPUS D'ESTABLIMENT</t>
  </si>
  <si>
    <t>NRE. D'ESTABL.</t>
  </si>
  <si>
    <t>NRE. UNITATS</t>
  </si>
  <si>
    <t>NRE. PLACES</t>
  </si>
  <si>
    <t>% PLACES</t>
  </si>
  <si>
    <t>TIPO DE ESTABLECIMIENTO</t>
  </si>
  <si>
    <t>Nº ESTABL.</t>
  </si>
  <si>
    <t>Nº UNIDADES</t>
  </si>
  <si>
    <t>Nº PLAZAS</t>
  </si>
  <si>
    <t>% PLAZAS</t>
  </si>
  <si>
    <t>ESTABLISHMENT TYPE</t>
  </si>
  <si>
    <t>NO. ESTABL.</t>
  </si>
  <si>
    <t>NO. UNITS</t>
  </si>
  <si>
    <t>NO. BEDS</t>
  </si>
  <si>
    <t>% BEDS</t>
  </si>
  <si>
    <t>A 1 Ll</t>
  </si>
  <si>
    <t>HA 1*</t>
  </si>
  <si>
    <t>A 2 Ll</t>
  </si>
  <si>
    <t>HA 2*</t>
  </si>
  <si>
    <t>A 3 Ll</t>
  </si>
  <si>
    <t>HA 3*</t>
  </si>
  <si>
    <t>A 4 Ll</t>
  </si>
  <si>
    <t>HA 4*</t>
  </si>
  <si>
    <t>Total A</t>
  </si>
  <si>
    <t>HA 5*</t>
  </si>
  <si>
    <t>Total HA</t>
  </si>
  <si>
    <t>HR</t>
  </si>
  <si>
    <t>AG</t>
  </si>
  <si>
    <t>RA 1*</t>
  </si>
  <si>
    <t>TI</t>
  </si>
  <si>
    <t>RA 2*</t>
  </si>
  <si>
    <t>RA 3*</t>
  </si>
  <si>
    <t>CT T</t>
  </si>
  <si>
    <t>RA 4*</t>
  </si>
  <si>
    <t>CT S</t>
  </si>
  <si>
    <t>RA 5*</t>
  </si>
  <si>
    <t>CT P</t>
  </si>
  <si>
    <t>Total RA</t>
  </si>
  <si>
    <t>CT LUXE</t>
  </si>
  <si>
    <t>Total CT</t>
  </si>
  <si>
    <t>HS 1*</t>
  </si>
  <si>
    <t>HS 2*</t>
  </si>
  <si>
    <t>CV 1*</t>
  </si>
  <si>
    <t>HS 3*</t>
  </si>
  <si>
    <t>CV 2*</t>
  </si>
  <si>
    <t xml:space="preserve">Total HS </t>
  </si>
  <si>
    <t>CV 3*</t>
  </si>
  <si>
    <t>Total CV</t>
  </si>
  <si>
    <t>HSR 1*</t>
  </si>
  <si>
    <t>HSR 2*</t>
  </si>
  <si>
    <t>H 1*</t>
  </si>
  <si>
    <t>HSR 3*</t>
  </si>
  <si>
    <t>H 2*</t>
  </si>
  <si>
    <t>Total HSR</t>
  </si>
  <si>
    <t>H 3*</t>
  </si>
  <si>
    <t>H 4 *</t>
  </si>
  <si>
    <t>CH</t>
  </si>
  <si>
    <t>H 5*</t>
  </si>
  <si>
    <t>F</t>
  </si>
  <si>
    <t>H 5* G.L.</t>
  </si>
  <si>
    <t>PENS 2*</t>
  </si>
  <si>
    <t>Total H</t>
  </si>
  <si>
    <t>HR 1*</t>
  </si>
  <si>
    <t>HR 2*</t>
  </si>
  <si>
    <t>HR 3*</t>
  </si>
  <si>
    <t>TOTAL</t>
  </si>
  <si>
    <t>HR 4 *</t>
  </si>
  <si>
    <t>HR 5*</t>
  </si>
  <si>
    <t>Total HR*</t>
  </si>
  <si>
    <t>Capacitat d'allotjament per tipus d'establiment i categoria a Eivissa (2010)</t>
  </si>
  <si>
    <t>Capacidad de alojamiento por tipo de establecimiento y categoría en Ibiza (2010)</t>
  </si>
  <si>
    <t>Accommodation capacity by type of establishment and category in Ibiza (2010)</t>
  </si>
  <si>
    <t>AP 1 Ll</t>
  </si>
  <si>
    <t>AP 2 Ll</t>
  </si>
  <si>
    <t>AP 3 Ll</t>
  </si>
  <si>
    <t>AP 4 Ll</t>
  </si>
  <si>
    <t>Total AP</t>
  </si>
  <si>
    <t>Capacitat d'allotjament per tipus d'establiment i categoria a Eivissa (2009)</t>
  </si>
  <si>
    <t>Capacidad de alojamiento por tipo de establecimiento y categoría en Ibiza (2009)</t>
  </si>
  <si>
    <t>Accommodation capacity by type of establishment and category in Ibiza (2009)</t>
  </si>
  <si>
    <t/>
  </si>
  <si>
    <r>
      <t xml:space="preserve">EIVISSA </t>
    </r>
    <r>
      <rPr>
        <b/>
        <i/>
        <sz val="11"/>
        <color indexed="9"/>
        <rFont val="LegacySanITCBoo"/>
        <family val="2"/>
      </rPr>
      <t>/ IBIZA / IBIZA</t>
    </r>
  </si>
  <si>
    <t>ESTABL.</t>
  </si>
  <si>
    <t>PLACES</t>
  </si>
  <si>
    <t>SANT ANTONI DE PORTMANY</t>
  </si>
  <si>
    <t>SANT JOAN DE LABRITJA</t>
  </si>
  <si>
    <t>SANT JOSEP DE SA TALAIA</t>
  </si>
  <si>
    <t>SANTA EULÀRIA DES RIU</t>
  </si>
  <si>
    <t>Distribució de la capacitat d'allotjament per municipis a Eivissa (2010)</t>
  </si>
  <si>
    <t>Distribución de la capacidad de alojamiento por municipios en Ibiza (2010)</t>
  </si>
  <si>
    <t>Distribution of accommodation capacity broken down by municipalities in Ibiza (2010)</t>
  </si>
  <si>
    <t>H 4*</t>
  </si>
  <si>
    <t>HR  1*</t>
  </si>
  <si>
    <t>HR 4*</t>
  </si>
  <si>
    <t>CT</t>
  </si>
  <si>
    <t>Distribució de la capacitat d'allotjament per municipis a Eivissa (2009)</t>
  </si>
  <si>
    <t>Distribución de la capacidad de alojamiento por municipios en Ibiza (2009)</t>
  </si>
  <si>
    <t>Distribution of accommodation capacity broken down by municipalities in Ibiza (2009)</t>
  </si>
  <si>
    <t>Capacitat d'allotjament per tipus d'establiment i categoria a Eivissa (2008)</t>
  </si>
  <si>
    <t>Capacidad de alojamiento por tipo de establecimiento y categoría en Ibiza (2008)</t>
  </si>
  <si>
    <t>Accommodation capacity by type of establishment and category in Ibiza (2008)</t>
  </si>
  <si>
    <t>Distribució de la capacitat d'allotjament per municipis a Eivissa (2008)</t>
  </si>
  <si>
    <t>Distribución de la capacidad de alojamiento por municipios en Ibiza (2008)</t>
  </si>
  <si>
    <t>Distribution of accommodation capacity broken down by municipalities in Ibiza (2008)</t>
  </si>
  <si>
    <t>Capacitat d'allotjament per tipus d'establiment i categoria a Eivissa (2007)</t>
  </si>
  <si>
    <t>Capacidad de alojamiento por tipo de establecimiento y categoría en Ibiza (2007)</t>
  </si>
  <si>
    <t>Accommodation capacity by type of establishment and category in Ibiza (2007)</t>
  </si>
  <si>
    <t>Distribució de la capacitat d'allotjament per municipis a Eivissa (2007)</t>
  </si>
  <si>
    <t>Distribución de la capacidad de alojamiento por municipios en Ibiza (2007)</t>
  </si>
  <si>
    <t>Distribution of accommodation capacity broken down by municipalities in Ibiza (2007)</t>
  </si>
  <si>
    <t>Capacitat d'allotjament per tipus d'establiment i categoria a Eivissa (2006)</t>
  </si>
  <si>
    <t>Capacidad de alojamiento por tipo de establecimiento y categoría en Ibiza (2006)</t>
  </si>
  <si>
    <t>Accommodation capacity by type of establishment and category in Ibiza (2006)</t>
  </si>
  <si>
    <t>Distribució de la capacitat d'allotjament per municipis a Eivissa (2006)</t>
  </si>
  <si>
    <t>Distribución de la capacidad de alojamiento por municipios en Ibiza (2006)</t>
  </si>
  <si>
    <t>Distribution of accommodation capacity broken down by municipalities in Ibiza (2006)</t>
  </si>
  <si>
    <t>Capacitat d'allotjament per tipus d'establiment i categoria a Eivissa (2005)</t>
  </si>
  <si>
    <t>Capacidad de alojamiento por tipo de establecimiento y categoría en Ibiza (2005)</t>
  </si>
  <si>
    <t>Accommodation capacity by type of establishment and category in Ibiza (2005)</t>
  </si>
  <si>
    <t>Distribució de la capacitat d'allotjament per municipis a Eivissa (2005)</t>
  </si>
  <si>
    <t>Distribución de la capacidad de alojamiento por municipios en Ibiza (2005)</t>
  </si>
  <si>
    <t>Distribution of accommodation capacity broken down by municipalities in Ibiza (2005)</t>
  </si>
  <si>
    <t>Capacitat d'allotjament per tipus d'establiment i categoria a Eivissa (2004)</t>
  </si>
  <si>
    <t>Capacidad de alojamiento por tipo de establecimiento y categoría en Ibiza (2004)</t>
  </si>
  <si>
    <t>Accommodation capacity by type of establishment and category in Ibiza (2004)</t>
  </si>
  <si>
    <t>Distribució de la capacitat d'allotjament per municipis a Eivissa (2004)</t>
  </si>
  <si>
    <t>Distribución de la capacidad de alojamiento por municipios en Ibiza (2004)</t>
  </si>
  <si>
    <t>Distribution of accommodation capacity broken down by municipalities in Ibiza (2004)</t>
  </si>
  <si>
    <r>
      <t>MUNICIPI /</t>
    </r>
    <r>
      <rPr>
        <b/>
        <i/>
        <sz val="11"/>
        <color indexed="9"/>
        <rFont val="LegacySanITCBoo"/>
        <family val="2"/>
      </rPr>
      <t xml:space="preserve"> MUNICIPIO / MUNICIPALITY </t>
    </r>
  </si>
  <si>
    <r>
      <t>MUNICIPI /</t>
    </r>
    <r>
      <rPr>
        <b/>
        <i/>
        <sz val="11"/>
        <color indexed="9"/>
        <rFont val="LegacySanITCBoo"/>
        <family val="2"/>
      </rPr>
      <t xml:space="preserve"> MUNICIPIO / MUNICIPALITY</t>
    </r>
  </si>
  <si>
    <r>
      <t>MUNICIPI /</t>
    </r>
    <r>
      <rPr>
        <b/>
        <i/>
        <sz val="11"/>
        <color indexed="9"/>
        <rFont val="LegacySanITCBoo"/>
        <family val="2"/>
      </rPr>
      <t xml:space="preserve"> MUNICIPIO / MUNICIPALITY (*)</t>
    </r>
  </si>
  <si>
    <t>CTT</t>
  </si>
  <si>
    <t>CTS</t>
  </si>
  <si>
    <t>CTP</t>
  </si>
  <si>
    <t>(*) No es mostren els grups d'allotjament sense establiments</t>
  </si>
  <si>
    <t xml:space="preserve"> No se muestran los grupos de alojamiento sin establecimientos</t>
  </si>
  <si>
    <t>The accomodation groups without establishments are not shown</t>
  </si>
  <si>
    <t>Capacitat d'allotjament per tipus d'establiment i categoria a Eivissa (2011)</t>
  </si>
  <si>
    <t>Capacidad de alojamiento por tipo de establecimiento y categoría en Ibiza (2011)</t>
  </si>
  <si>
    <t>Accommodation capacity by type of establishment and category in Ibiza (2011)</t>
  </si>
  <si>
    <t>Distribució de la capacitat d'allotjament per municipis a Eivissa (2011)</t>
  </si>
  <si>
    <t>Distribución de la capacidad de alojamiento por municipios en Ibiza (2011)</t>
  </si>
  <si>
    <t>Distribution of accommodation capacity broken down by municipalities in Ibiza (2011)</t>
  </si>
  <si>
    <t>H 3* SUP.</t>
  </si>
  <si>
    <t>H 4* SUP.</t>
  </si>
  <si>
    <t>HA 3* SUP</t>
  </si>
  <si>
    <t>HA 4* SUP</t>
  </si>
  <si>
    <t>HA 5* G.L.</t>
  </si>
  <si>
    <t>Capacitat d'allotjament per tipus d'establiment i categoria a Eivissa (2012)</t>
  </si>
  <si>
    <t>Capacidad de alojamiento por tipo de establecimiento y categoría en Ibiza (2012)</t>
  </si>
  <si>
    <t>Accommodation capacity by type of establishment and category in Ibiza (2012)</t>
  </si>
  <si>
    <t>Distribució de la capacitat d'allotjament per municipis a Eivissa (2012)</t>
  </si>
  <si>
    <t>Distribución de la capacidad de alojamiento por municipios en Ibiza (2012)</t>
  </si>
  <si>
    <t>Distribution of accommodation capacity broken down by municipalities in Ibiza (2012)</t>
  </si>
  <si>
    <t xml:space="preserve"> ALLOTJAMENT. EIVISSA  </t>
  </si>
  <si>
    <t xml:space="preserve"> ALOJAMIENTO. IBIZA </t>
  </si>
  <si>
    <t>Capacitat d'allotjament per tipus d'establiment i categoria a Eivissa (2013)</t>
  </si>
  <si>
    <t>Capacidad de alojamiento por tipo de establecimiento y categoría en Ibiza (2013)</t>
  </si>
  <si>
    <t>Accommodation capacity by type of establishment and category in Ibiza (2013)</t>
  </si>
  <si>
    <t>Distribució de la capacitat d'allotjament per municipis a Eivissa (2013)</t>
  </si>
  <si>
    <t>Distribución de la capacidad de alojamiento por municipios en Ibiza (2013)</t>
  </si>
  <si>
    <t>Distribution of accommodation capacity broken down by municipalities in Ibiza (2013)</t>
  </si>
  <si>
    <t xml:space="preserve">H 5* </t>
  </si>
  <si>
    <t>Distribució de la capacitat d'allotjament per municipis a Eivissa (2014)</t>
  </si>
  <si>
    <t>Distribución de la capacidad de alojamiento por municipios en Ibiza (2014)</t>
  </si>
  <si>
    <t>Distribution of accommodation capacity broken down by municipalities in Ibiza (2014)</t>
  </si>
  <si>
    <t>Capacitat d'allotjament per tipus d'establiment i categoria a Eivissa (2014)</t>
  </si>
  <si>
    <t>Capacidad de alojamiento por tipo de establecimiento y categoría en Ibiza (2014)</t>
  </si>
  <si>
    <t>Accommodation capacity by type of establishment and category in Ibiza (2014)</t>
  </si>
  <si>
    <t>Capacitat d'allotjament per tipus d'establiment i categoria a Eivissa (2015)</t>
  </si>
  <si>
    <t>Capacidad de alojamiento por tipo de establecimiento y categoría en Ibiza (2015)</t>
  </si>
  <si>
    <t>Accommodation capacity by type of establishment and category in Ibiza (2015)</t>
  </si>
  <si>
    <t>Distribució de la capacitat d'allotjament per municipis a Eivissa (2015)</t>
  </si>
  <si>
    <t>Distribución de la capacidad de alojamiento por municipios en Ibiza (2015)</t>
  </si>
  <si>
    <t>Distribution of accommodation capacity broken down by municipalities in Ibiza (2015)</t>
  </si>
  <si>
    <t>Definicions</t>
  </si>
  <si>
    <t>a) Per als apartaments turístics, dues places per estudi projectat i tres places per apartament d’un dormitori, a més de dues places més per cada dormitori que es projecti.</t>
  </si>
  <si>
    <t>b) Per als hotels i hotels-apartament, dues places per habitació, podent-se computar fins al 10% del total de les habitacions de què es disposi com a individuals.</t>
  </si>
  <si>
    <t>Les unitats d’allotjament amb sala d’estar s’hauran de computar com dues places per cada bany de què disposin.</t>
  </si>
  <si>
    <t>No computen a efectes d’aquest article i a efectes del còmput global de qualsevol establiment els llits supletoris destinats a infants menors de dotze anys.</t>
  </si>
  <si>
    <t>En el cas de nous hotels de ciutat poden computar-se com a individuals fins al 90% del total de les habitacions.</t>
  </si>
  <si>
    <t xml:space="preserve">Definiciones </t>
  </si>
  <si>
    <t>a) Para los apartamentos turísticos, dos plazas por estudio proyectado y tres plazas por apartamento de un dormitorio, además de dos plazas más por cada dormitorio que se proyecte.</t>
  </si>
  <si>
    <t xml:space="preserve">b) Para los hoteles y hoteles-apartamento, dos plazas por habitación, pudiéndose computar hasta el 10% del total de las habitaciones de que se disponga como individuales. </t>
  </si>
  <si>
    <t>Las unidades de alojamiento con sala de estar se tendrán que computar como dos plazas por cada baño de que dispongan.</t>
  </si>
  <si>
    <t>No computarán a efectos del cómputo global de cualquier establecimiento las camas supletorias destinadas a niños menores de doce años.</t>
  </si>
  <si>
    <t>En el caso de nuevos hoteles de ciudad podrán computarse como individuales hasta el 90% del total de las habitaciones.</t>
  </si>
  <si>
    <t xml:space="preserve">a) Habitaciones. Su superficie será, al menos, de 10 metros cuadrados para las habitaciones dobles y de 6 metros cuadrados para las individuales. La altura del suelo al techo no podrá ser inferior a 2,50 metros. </t>
  </si>
  <si>
    <t xml:space="preserve">b) Servicios sanitarios. El establecimiento dispondrá de, al menos, un lavabo, provisto de ducha, fregadero o WC. </t>
  </si>
  <si>
    <t xml:space="preserve">c) Comedor. Su superficie mínima será de 1 metro cuadrado por habitación. </t>
  </si>
  <si>
    <t xml:space="preserve"> </t>
  </si>
  <si>
    <t>Distribució de la capacitat d'allotjament per municipis a Eivissa (2016)</t>
  </si>
  <si>
    <t>Distribución de la capacidad de alojamiento por municipios en Ibiza (2016)</t>
  </si>
  <si>
    <t>Distribution of accommodation capacity broken down by municipalities in Ibiza (2016)</t>
  </si>
  <si>
    <t>Capacitat d'allotjament per tipus d'establiment i categoria a Eivissa (2016)</t>
  </si>
  <si>
    <t>Capacidad de alojamiento por tipo de establecimiento y categoría en Ibiza (2016)</t>
  </si>
  <si>
    <t>Accommodation capacity by type of establishment and category in Ibiza (2016)</t>
  </si>
  <si>
    <t>A 3 Ll SUP</t>
  </si>
  <si>
    <t>H 5* GL</t>
  </si>
  <si>
    <t>Distribució de la capacitat d'allotjament per municipis a Eivissa (2017)</t>
  </si>
  <si>
    <t>Distribución de la capacidad de alojamiento por municipios en Ibiza (2017)</t>
  </si>
  <si>
    <t>Distribution of accommodation capacity broken down by municipalities in Ibiza (2017)</t>
  </si>
  <si>
    <t>Capacitat d'allotjament per tipus d'establiment i categoria a Eivissa (2017)</t>
  </si>
  <si>
    <t>Capacidad de alojamiento por tipo de establecimiento y categoría en Ibiza (2017)</t>
  </si>
  <si>
    <t>Accommodation capacity by type of establishment and category in Ibiza (2017)</t>
  </si>
  <si>
    <t>Distribució de la capacitat d'allotjament per municipis a Eivissa (2018)</t>
  </si>
  <si>
    <t>Distribución de la capacidad de alojamiento por municipios en Ibiza (2018)</t>
  </si>
  <si>
    <t>Distribution of accommodation capacity broken down by municipalities in Ibiza (2018)</t>
  </si>
  <si>
    <t>Capacitat d'allotjament per tipus d'establiment i categoria a Eivissa (2018)</t>
  </si>
  <si>
    <t>Capacidad de alojamiento por tipo de establecimiento y categoría en Ibiza (2018)</t>
  </si>
  <si>
    <t>Accommodation capacity by type of establishment and category in Ibiza (2018)</t>
  </si>
  <si>
    <t>A 4 Ll SUP</t>
  </si>
  <si>
    <t>HA 3* SUP.</t>
  </si>
  <si>
    <t>HA 4* SUP.</t>
  </si>
  <si>
    <t>H 5*GL</t>
  </si>
  <si>
    <t xml:space="preserve"> ACCOMMODATION. IBIZA </t>
  </si>
  <si>
    <t>A 4 Ll SUP.</t>
  </si>
  <si>
    <t>EIVISSA</t>
  </si>
  <si>
    <t>TOTAL EIVISSA</t>
  </si>
  <si>
    <t xml:space="preserve">EIVISSA </t>
  </si>
  <si>
    <t>Capacitat d'allotjament per tipus d'establiment i categoria a Eivissa (2019)</t>
  </si>
  <si>
    <t>Capacidad de alojamiento por tipo de establecimiento y categoría en Ibiza (2019)</t>
  </si>
  <si>
    <t>Accommodation capacity by type of establishment and category in Ibiza (2019)</t>
  </si>
  <si>
    <t>Distribució de la capacitat d'allotjament per municipis a Eivissa (2019)</t>
  </si>
  <si>
    <t>Distribución de la capacidad de alojamiento por municipios en Ibiza (2019)</t>
  </si>
  <si>
    <t>Distribution of accommodation capacity broken down by municipalities in Ibiza (2019)</t>
  </si>
  <si>
    <t>HO</t>
  </si>
  <si>
    <t>Capacitat d'allotjament per tipus d'establiment i categoria a Eivissa (2020)</t>
  </si>
  <si>
    <t>Capacidad de alojamiento por tipo de establecimiento y categoría en Ibiza (2020)</t>
  </si>
  <si>
    <t>Accommodation capacity by type of establishment and category in Ibiza (2020)</t>
  </si>
  <si>
    <t>Distribució de la capacitat d'allotjament per municipis a Eivissa (2020)</t>
  </si>
  <si>
    <t>Distribución de la capacidad de alojamiento por municipios en Ibiza (2020)</t>
  </si>
  <si>
    <t>Distribution of accommodation capacity broken down by municipalities in Ibiza (2020)</t>
  </si>
  <si>
    <t>Distribució de la capacitat d'allotjament per municipis a Eivissa (2021)</t>
  </si>
  <si>
    <t>Distribución de la capacidad de alojamiento por municipios en Ibiza (2021)</t>
  </si>
  <si>
    <t>Distribution of accommodation capacity broken down by municipalities in Ibiza (2021)</t>
  </si>
  <si>
    <t>Capacitat d'allotjament per tipus d'establiment i categoria a Eivissa (2021)</t>
  </si>
  <si>
    <t>Capacidad de alojamiento por tipo de establecimiento y categoría en Ibiza (2021)</t>
  </si>
  <si>
    <t>Accommodation capacity by type of establishment and category in Ibiza (2021)</t>
  </si>
  <si>
    <r>
      <t xml:space="preserve">- </t>
    </r>
    <r>
      <rPr>
        <b/>
        <sz val="11"/>
        <color indexed="56"/>
        <rFont val="Calibri"/>
        <family val="2"/>
      </rPr>
      <t>Unitat</t>
    </r>
    <r>
      <rPr>
        <sz val="11"/>
        <color indexed="56"/>
        <rFont val="Calibri"/>
        <family val="2"/>
      </rPr>
      <t xml:space="preserve">: equival  a una habitació amb bany inclòs, excepte en els apartaments, que es considera la unitat l’apartament sencer. </t>
    </r>
  </si>
  <si>
    <r>
      <t xml:space="preserve">- </t>
    </r>
    <r>
      <rPr>
        <b/>
        <sz val="11"/>
        <color indexed="56"/>
        <rFont val="Calibri"/>
        <family val="2"/>
      </rPr>
      <t>Plaça</t>
    </r>
    <r>
      <rPr>
        <sz val="11"/>
        <color indexed="56"/>
        <rFont val="Calibri"/>
        <family val="2"/>
      </rPr>
      <t>: per al còmput de places, es considera una persona per llit fix de l'establiment. Els llits de matrimoni equivalen a dues places. El còmput de places per a nous establiments d’allotjament i per a les ampliacions dels ja existents es fa de la següent manera:</t>
    </r>
  </si>
  <si>
    <r>
      <t xml:space="preserve">- </t>
    </r>
    <r>
      <rPr>
        <b/>
        <sz val="11"/>
        <color indexed="56"/>
        <rFont val="Calibri"/>
        <family val="2"/>
      </rPr>
      <t>Empreses turístiques d’allotjament</t>
    </r>
    <r>
      <rPr>
        <sz val="11"/>
        <color indexed="56"/>
        <rFont val="Calibri"/>
        <family val="2"/>
      </rPr>
      <t xml:space="preserve"> : aquelles que desenvolupin una activitat consistent en la prestació d’un servei d’allotjament al públic mitjançant preu, de forma professional i habitual, tant si és de manera permanent com temporal, i amb la prestació de serveis complementaris o sense.</t>
    </r>
  </si>
  <si>
    <r>
      <t xml:space="preserve">- </t>
    </r>
    <r>
      <rPr>
        <b/>
        <sz val="11"/>
        <color indexed="56"/>
        <rFont val="Calibri"/>
        <family val="2"/>
      </rPr>
      <t>G.L.</t>
    </r>
    <r>
      <rPr>
        <sz val="11"/>
        <color indexed="56"/>
        <rFont val="Calibri"/>
        <family val="2"/>
      </rPr>
      <t>: gran luxe</t>
    </r>
  </si>
  <si>
    <r>
      <t xml:space="preserve">- </t>
    </r>
    <r>
      <rPr>
        <b/>
        <sz val="11"/>
        <color indexed="56"/>
        <rFont val="Calibri"/>
        <family val="2"/>
      </rPr>
      <t>(A) Apartament turístic</t>
    </r>
    <r>
      <rPr>
        <sz val="11"/>
        <color indexed="56"/>
        <rFont val="Calibri"/>
        <family val="2"/>
      </rPr>
      <t xml:space="preserve">: establiment destinat a prestar un servei d’allotjament turístic, que s’anunciï com a tal, compost per un conjunt d’unitats d’allotjament que disposen de mobiliari, instal·lacions, serveis i equip adequats per a la conservació, l’elaboració i el consum d’aliments i begudes, i en condicions que en permetin l’ocupació immediata, complint les exigències establertes reglamentàriament. Classificació: apartaments turístics d’1, 2, 3, 3 superior, 4 claus, 4 superior (Ll).
</t>
    </r>
  </si>
  <si>
    <r>
      <t xml:space="preserve">- </t>
    </r>
    <r>
      <rPr>
        <b/>
        <sz val="11"/>
        <color indexed="56"/>
        <rFont val="Calibri"/>
        <family val="2"/>
      </rPr>
      <t>(AG) Agroturisme</t>
    </r>
    <r>
      <rPr>
        <sz val="11"/>
        <color indexed="56"/>
        <rFont val="Calibri"/>
        <family val="2"/>
      </rPr>
      <t>: són els establiments que presten el servei d’allotjament turístic ubicats en edificacions construïdes abans de l’1 de gener de 1960, situades en sòl rústic i en una finca o finques que tinguin una superfície mínima de 21.000 m2 i que constitueixin una explotació agrària, ramadera o forestal.</t>
    </r>
  </si>
  <si>
    <r>
      <t xml:space="preserve">- </t>
    </r>
    <r>
      <rPr>
        <b/>
        <sz val="11"/>
        <color indexed="56"/>
        <rFont val="Calibri"/>
        <family val="2"/>
      </rPr>
      <t>(CH) Casa d’hostes</t>
    </r>
    <r>
      <rPr>
        <sz val="11"/>
        <color indexed="56"/>
        <rFont val="Calibri"/>
        <family val="2"/>
      </rPr>
      <t>: fonda que pot facilitar el servei d’esmorzar, així com els propis de cafeteria; en aquest darrer cas, aquests serveis han de ser facultats amb independència als d’allotjament.</t>
    </r>
  </si>
  <si>
    <r>
      <t xml:space="preserve">- </t>
    </r>
    <r>
      <rPr>
        <b/>
        <sz val="11"/>
        <color indexed="56"/>
        <rFont val="Calibri"/>
        <family val="2"/>
      </rPr>
      <t>(CT) Càmping turístic</t>
    </r>
    <r>
      <rPr>
        <sz val="11"/>
        <color indexed="56"/>
        <rFont val="Calibri"/>
        <family val="2"/>
      </rPr>
      <t xml:space="preserve">: espai delimitat, dotat i condicionat perquè sigui ocupat temporalment, amb capacitat per a més de 10 persones que pretenguin fer vida a l'aire lliure, i que utilitzin com a allotjament albergs mòbils, tendes de campanya, caravanes o altres elements similars. </t>
    </r>
  </si>
  <si>
    <r>
      <t xml:space="preserve">- </t>
    </r>
    <r>
      <rPr>
        <b/>
        <sz val="11"/>
        <color indexed="56"/>
        <rFont val="Calibri"/>
        <family val="2"/>
      </rPr>
      <t>(CV) Ciutat de vacances</t>
    </r>
    <r>
      <rPr>
        <sz val="11"/>
        <color indexed="56"/>
        <rFont val="Calibri"/>
        <family val="2"/>
      </rPr>
      <t xml:space="preserve">: establiment, situació, instal·lacions i serveis del qual permeten als clients, amb fórmules prèviament determinades, el gaudiment de les seves vacances en contacte directe amb la natura, facilitant per un preu fet allotjament en règim de pensió completa, juntament amb la possibilitat de practicar esport i participar en activitats d’esbarjo col·lectiu. Queden excloses les ciutats de vacances instal·lades per corporacions o organismes públics amb finalitat d'assistència social i sense ànim de lucre. Classificació: ciutat de vacances d’1, 2, 3 estrelles (*). </t>
    </r>
  </si>
  <si>
    <r>
      <t xml:space="preserve">- </t>
    </r>
    <r>
      <rPr>
        <b/>
        <sz val="11"/>
        <color indexed="56"/>
        <rFont val="Calibri"/>
        <family val="2"/>
      </rPr>
      <t>(F) Fonda</t>
    </r>
    <r>
      <rPr>
        <sz val="11"/>
        <color indexed="56"/>
        <rFont val="Calibri"/>
        <family val="2"/>
      </rPr>
      <t xml:space="preserve">: establiment hoteler que, sense poder ser classificat com hotel, hostal o hotel apartament, reuneix, com a mínim, les condicions següents: </t>
    </r>
  </si>
  <si>
    <t>a) Habitacions. La seva superfície serà, almenys, de 10 metres quadrats per a les habitacions dobles i de 6 metres quadrats per a les individuals. L’alçada del terra al sostre no podrà ser inferior a 2,50 metres.</t>
  </si>
  <si>
    <t>b) Serveis sanitaris. L'establiment disposarà de, almenys, un lavabo, proveït de dutxa, pica o WC.</t>
  </si>
  <si>
    <t>c) Menjador. La seva superfície mínima serà d'1 metre quadrat per habitació.</t>
  </si>
  <si>
    <r>
      <t xml:space="preserve">- </t>
    </r>
    <r>
      <rPr>
        <b/>
        <sz val="11"/>
        <color indexed="56"/>
        <rFont val="Calibri"/>
        <family val="2"/>
      </rPr>
      <t>(H) Hotel</t>
    </r>
    <r>
      <rPr>
        <sz val="11"/>
        <color indexed="56"/>
        <rFont val="Calibri"/>
        <family val="2"/>
      </rPr>
      <t xml:space="preserve">: establiment destinat a la prestació d’un servei d’allotjament turístic amb serveis complementaris o sense que ocupen la totalitat o una part independent d’un edifici o conjunt d’edificis les dependències dels quals constitueixen un tot homogeni amb entrades pròpies i independents, i que compleix, a més, la resta de requisits establerts reglamentàriament. Els ascensors i les escales de què disposin els hotels han de ser d’ús exclusiu. Classificació: hotels d' 1, 2, 3, 3 superior,  4, 4 superior, 5 estrelles, 5 gran luxe (*). </t>
    </r>
  </si>
  <si>
    <r>
      <t xml:space="preserve">- </t>
    </r>
    <r>
      <rPr>
        <b/>
        <sz val="11"/>
        <color indexed="56"/>
        <rFont val="Calibri"/>
        <family val="2"/>
      </rPr>
      <t>(HA) Hotel apartament</t>
    </r>
    <r>
      <rPr>
        <sz val="11"/>
        <color indexed="56"/>
        <rFont val="Calibri"/>
        <family val="2"/>
      </rPr>
      <t xml:space="preserve">: establiment que, a més de complir els requisits establerts per als hotels, disposa de les instal·lacions necessàries per a la conservació, l’elaboració i el consum d’aliments i begudes a l’interior d’alguna unitat d’allotjament, i s’ajusta als requisits establerts reglamentàriament. Classificació: hotels apartaments d' 1, 2, 3, 3 superior, 4, 4 superior, 5 estrelles, 5 gran luxe (*).  </t>
    </r>
  </si>
  <si>
    <r>
      <t xml:space="preserve">- </t>
    </r>
    <r>
      <rPr>
        <b/>
        <sz val="11"/>
        <color indexed="56"/>
        <rFont val="Calibri"/>
        <family val="2"/>
      </rPr>
      <t>(HO) Hostatgeria</t>
    </r>
    <r>
      <rPr>
        <sz val="11"/>
        <color indexed="56"/>
        <rFont val="Calibri"/>
        <family val="2"/>
      </rPr>
      <t>: establiment que formant part d'una església, capella o santuari destina algunes de les seves dependències al servei d'allotjament al públic en general.</t>
    </r>
  </si>
  <si>
    <r>
      <t xml:space="preserve">- </t>
    </r>
    <r>
      <rPr>
        <b/>
        <sz val="11"/>
        <color indexed="56"/>
        <rFont val="Calibri"/>
        <family val="2"/>
      </rPr>
      <t>(HR*) Hotel residència</t>
    </r>
    <r>
      <rPr>
        <sz val="11"/>
        <color indexed="56"/>
        <rFont val="Calibri"/>
        <family val="2"/>
      </rPr>
      <t>: hotel sense servei de menjador. Pot facilitar el servei d’esmorzar, així com els propis de cafeteria, però en aquest darrer cas, aquests serveis han de ser facultats amb independència als d’allotjament. Classificació: hotel residència d' 1, 2, 3, 4, 5 estrelles (*).</t>
    </r>
  </si>
  <si>
    <r>
      <t>-</t>
    </r>
    <r>
      <rPr>
        <b/>
        <sz val="11"/>
        <color indexed="56"/>
        <rFont val="Calibri"/>
        <family val="2"/>
      </rPr>
      <t xml:space="preserve"> (HR) Hotel rural</t>
    </r>
    <r>
      <rPr>
        <sz val="11"/>
        <color indexed="56"/>
        <rFont val="Calibri"/>
        <family val="2"/>
      </rPr>
      <t>: establiment que presta el servei d’allotjament turístic i està ubicat en edificacions construïdes abans de l’1 de gener de 1940, situades en sòl rústic i que disposen d’una superfície mínima de terreny de 49.000 m2, que ha de quedar vinculada a l’activitat.</t>
    </r>
  </si>
  <si>
    <r>
      <t xml:space="preserve">- </t>
    </r>
    <r>
      <rPr>
        <b/>
        <sz val="11"/>
        <color indexed="56"/>
        <rFont val="Calibri"/>
        <family val="2"/>
      </rPr>
      <t>(HS) Hostal</t>
    </r>
    <r>
      <rPr>
        <sz val="11"/>
        <color indexed="56"/>
        <rFont val="Calibri"/>
        <family val="2"/>
      </rPr>
      <t>: establiment que facilita al públic tant el servei d’allotjament com de restaurant, amb subjecció o no al règim de pensió completa, a elecció del client, i amb excepció dels hostals residències. Classificació: hostals d' 1, 2, 3 estrelles (*).</t>
    </r>
  </si>
  <si>
    <r>
      <t xml:space="preserve">- </t>
    </r>
    <r>
      <rPr>
        <b/>
        <sz val="11"/>
        <color indexed="56"/>
        <rFont val="Calibri"/>
        <family val="2"/>
      </rPr>
      <t>(HSR) Hostal residència</t>
    </r>
    <r>
      <rPr>
        <sz val="11"/>
        <color indexed="56"/>
        <rFont val="Calibri"/>
        <family val="2"/>
      </rPr>
      <t>: hostal que podrà facilitar el servei d’esmorzar, així com els propis de cafeteria; però en aquest darrer cas, aquests serveis hauran de ser facultats amb independència als d’allotjament. Classificació: hostal residència d’ 1, 2, 3, 4 estrelles (*).</t>
    </r>
  </si>
  <si>
    <r>
      <t xml:space="preserve">- </t>
    </r>
    <r>
      <rPr>
        <b/>
        <sz val="11"/>
        <color indexed="56"/>
        <rFont val="Calibri"/>
        <family val="2"/>
      </rPr>
      <t>(PENS) Pensió</t>
    </r>
    <r>
      <rPr>
        <sz val="11"/>
        <color indexed="56"/>
        <rFont val="Calibri"/>
        <family val="2"/>
      </rPr>
      <t>: establiment que no disposa de més de 12 habitacions i que habitualment facilita l’hostatge en règim de pensió completa. Classificació: pensió d’1, 2, 3 estrelles (*).</t>
    </r>
  </si>
  <si>
    <r>
      <t xml:space="preserve">- </t>
    </r>
    <r>
      <rPr>
        <b/>
        <sz val="11"/>
        <color indexed="56"/>
        <rFont val="Calibri"/>
        <family val="2"/>
      </rPr>
      <t>(RA) Residència apartament</t>
    </r>
    <r>
      <rPr>
        <sz val="11"/>
        <color indexed="56"/>
        <rFont val="Calibri"/>
        <family val="2"/>
      </rPr>
      <t>: hotel apartament que pot facilitar el servei d’esmorzar, així com els propis de cafeteria; però en aquest darrer cas, aquests serveis hauran de ser facultats amb independència als d’allotjament. Classificació: residència apartament d’1, 2, 3, 4, 5 estrelles  (*).</t>
    </r>
  </si>
  <si>
    <r>
      <t xml:space="preserve">- </t>
    </r>
    <r>
      <rPr>
        <b/>
        <sz val="11"/>
        <color indexed="56"/>
        <rFont val="Calibri"/>
        <family val="2"/>
      </rPr>
      <t>(TI) Turisme d’interior</t>
    </r>
    <r>
      <rPr>
        <sz val="11"/>
        <color indexed="56"/>
        <rFont val="Calibri"/>
        <family val="2"/>
      </rPr>
      <t>: establiment en què es presta el servei d’allotjament turístic en un edifici situat en el casc antic, en edificis catalogats o en edificis construïts abans de l’1 de gener de 1940.</t>
    </r>
  </si>
  <si>
    <r>
      <t xml:space="preserve">- </t>
    </r>
    <r>
      <rPr>
        <b/>
        <sz val="11"/>
        <color indexed="56"/>
        <rFont val="Calibri"/>
        <family val="2"/>
      </rPr>
      <t>Oferta extrahotelera</t>
    </r>
    <r>
      <rPr>
        <sz val="11"/>
        <color indexed="56"/>
        <rFont val="Calibri"/>
        <family val="2"/>
      </rPr>
      <t>: A, HR, AG i CT.</t>
    </r>
  </si>
  <si>
    <t>Notes metodològiques</t>
  </si>
  <si>
    <r>
      <t xml:space="preserve">- </t>
    </r>
    <r>
      <rPr>
        <b/>
        <i/>
        <sz val="11"/>
        <color indexed="56"/>
        <rFont val="Calibri"/>
        <family val="2"/>
      </rPr>
      <t>Unidad</t>
    </r>
    <r>
      <rPr>
        <i/>
        <sz val="11"/>
        <color indexed="56"/>
        <rFont val="Calibri"/>
        <family val="2"/>
      </rPr>
      <t xml:space="preserve">: equivale a una habitación con baño incluido, excepto en los apartamentos, que se considera la unidad del apartamento entero. </t>
    </r>
  </si>
  <si>
    <r>
      <t xml:space="preserve">- </t>
    </r>
    <r>
      <rPr>
        <b/>
        <i/>
        <sz val="11"/>
        <color indexed="56"/>
        <rFont val="Calibri"/>
        <family val="2"/>
      </rPr>
      <t>Plaza</t>
    </r>
    <r>
      <rPr>
        <i/>
        <sz val="11"/>
        <color indexed="56"/>
        <rFont val="Calibri"/>
        <family val="2"/>
      </rPr>
      <t>: para el cómputo de plazas, se considera una persona por cama fija del establecimiento. Las camas de matrimonio equivalen a dos plazas. El cómputo del número de plazas para nuevos establecimientos de alojamiento y para las ampliaciones de los ya existentes se tendrá que hacer de la manera siguiente:</t>
    </r>
  </si>
  <si>
    <r>
      <t xml:space="preserve">- </t>
    </r>
    <r>
      <rPr>
        <b/>
        <i/>
        <sz val="11"/>
        <color indexed="56"/>
        <rFont val="Calibri"/>
        <family val="2"/>
      </rPr>
      <t>Empresas turísticas de alojamiento</t>
    </r>
    <r>
      <rPr>
        <i/>
        <sz val="11"/>
        <color indexed="56"/>
        <rFont val="Calibri"/>
        <family val="2"/>
      </rPr>
      <t>: aquellas que desarrollen una actividad consistente en la prestación de un servicio de alojamiento al público mediante precio, de forma profesional y habitual, bien sea de modo permanente como temporal, y con o sin la prestación de servicios complementarios.</t>
    </r>
  </si>
  <si>
    <r>
      <t xml:space="preserve">- </t>
    </r>
    <r>
      <rPr>
        <b/>
        <i/>
        <sz val="11"/>
        <color indexed="56"/>
        <rFont val="Calibri"/>
        <family val="2"/>
      </rPr>
      <t>G.L.</t>
    </r>
    <r>
      <rPr>
        <i/>
        <sz val="11"/>
        <color indexed="56"/>
        <rFont val="Calibri"/>
        <family val="2"/>
      </rPr>
      <t>: gran lujo</t>
    </r>
  </si>
  <si>
    <r>
      <t xml:space="preserve">- </t>
    </r>
    <r>
      <rPr>
        <b/>
        <i/>
        <sz val="11"/>
        <color indexed="56"/>
        <rFont val="Calibri"/>
        <family val="2"/>
      </rPr>
      <t>(A) Apartamento turístico</t>
    </r>
    <r>
      <rPr>
        <i/>
        <sz val="11"/>
        <color indexed="56"/>
        <rFont val="Calibri"/>
        <family val="2"/>
      </rPr>
      <t>: establecimiento destinado a prestar un servicio de alojamiento turístico, que se anuncie como tal, compuesto por un conjunto de unidades de alojamiento que disponen de mobiliario, instalaciones, servicios y equipo adecuados para la conservación, la elaboración y el consumo de alimentos y bebidas, y en condiciones que permitan la ocupación inmediata, cumpliendo las exigencias establecidas reglamentariamente. Clasificación: apartamentos turísticos de 1, 2, 3, 3 superior, 4 llaves, 4 superior (Ll).</t>
    </r>
  </si>
  <si>
    <r>
      <t xml:space="preserve">- </t>
    </r>
    <r>
      <rPr>
        <b/>
        <i/>
        <sz val="11"/>
        <color indexed="56"/>
        <rFont val="Calibri"/>
        <family val="2"/>
      </rPr>
      <t>(CH) Casa de huéspedes</t>
    </r>
    <r>
      <rPr>
        <i/>
        <sz val="11"/>
        <color indexed="56"/>
        <rFont val="Calibri"/>
        <family val="2"/>
      </rPr>
      <t xml:space="preserve">: fonda que puede facilitar el servicio de desayuno, así como los propios de cafetería; en este último caso, estos servicios deberán ser facultados con independencia a los de alojamiento. </t>
    </r>
  </si>
  <si>
    <r>
      <t>-</t>
    </r>
    <r>
      <rPr>
        <b/>
        <i/>
        <sz val="11"/>
        <color indexed="56"/>
        <rFont val="Calibri"/>
        <family val="2"/>
      </rPr>
      <t xml:space="preserve"> (CT) Camping turístico</t>
    </r>
    <r>
      <rPr>
        <i/>
        <sz val="11"/>
        <color indexed="56"/>
        <rFont val="Calibri"/>
        <family val="2"/>
      </rPr>
      <t xml:space="preserve">: espacio delimitado, dotado y acondicionado para que sea ocupado temporalmente, con capacidad para más de 10 personas que pretendan hacer vida al aire libre, y que utilicen como alojamiento albergues móviles, tiendas de campaña , caravanas u otros elementos similares. </t>
    </r>
  </si>
  <si>
    <r>
      <t xml:space="preserve">- </t>
    </r>
    <r>
      <rPr>
        <b/>
        <i/>
        <sz val="11"/>
        <color indexed="56"/>
        <rFont val="Calibri"/>
        <family val="2"/>
      </rPr>
      <t>(CV) Ciudad de vacaciones</t>
    </r>
    <r>
      <rPr>
        <i/>
        <sz val="11"/>
        <color indexed="56"/>
        <rFont val="Calibri"/>
        <family val="2"/>
      </rPr>
      <t xml:space="preserve">: establecimiento, cuya situación, instalaciones y servicios permiten a los clientes, con fórmulas previamente determinadas, el disfrute de sus vacaciones en contacto directo con la naturaleza, facilitando, por un tanto alzado, hospedaje en régimen de pensión completa, junto con la posibilidad de practicar deporte y participar en actividades de ocio colectivo. Quedan excluidas las ciudades de vacaciones instaladas por corporaciones u organismos públicos con fines de asistencia social y sin ánimo de lucro. Clasificación: ciudad de vacaciones de 1, 2, 3 estrellas (*). </t>
    </r>
  </si>
  <si>
    <r>
      <t xml:space="preserve">- </t>
    </r>
    <r>
      <rPr>
        <b/>
        <i/>
        <sz val="11"/>
        <color indexed="56"/>
        <rFont val="Calibri"/>
        <family val="2"/>
      </rPr>
      <t>(F) Fonda</t>
    </r>
    <r>
      <rPr>
        <i/>
        <sz val="11"/>
        <color indexed="56"/>
        <rFont val="Calibri"/>
        <family val="2"/>
      </rPr>
      <t xml:space="preserve">: establecimiento hotelero que, sin poder ser clasificado como hotel, hostal u hotel apartamento, reúne, como mínimo, las siguientes condiciones: </t>
    </r>
  </si>
  <si>
    <r>
      <t xml:space="preserve">- </t>
    </r>
    <r>
      <rPr>
        <b/>
        <i/>
        <sz val="11"/>
        <color indexed="56"/>
        <rFont val="Calibri"/>
        <family val="2"/>
      </rPr>
      <t>(H) Hotel</t>
    </r>
    <r>
      <rPr>
        <i/>
        <sz val="11"/>
        <color indexed="56"/>
        <rFont val="Calibri"/>
        <family val="2"/>
      </rPr>
      <t xml:space="preserve">: establecimiento destinado a la prestación de un servicio de alojamiento turístico con servicios complementarios o sin que ocupan la totalidad o una parte independiente de un edificio o conjunto de edificios las dependencias de los cuales constituyen un todo homogéneo con entradas propias e independientes, y que cumplen, además, el resto de requisitos establecidos reglamentariamente. Los ascensores y las escaleras de que dispongan los hoteles han de ser de uso exclusivo. Clasificación: hoteles de 1, 2, 3, 3 superior,  4, 4 superior, 5 estrellas, 5 gran lujo (*). </t>
    </r>
  </si>
  <si>
    <r>
      <t xml:space="preserve">- </t>
    </r>
    <r>
      <rPr>
        <b/>
        <i/>
        <sz val="11"/>
        <color indexed="56"/>
        <rFont val="Calibri"/>
        <family val="2"/>
      </rPr>
      <t>(HA) Hotel apartamento</t>
    </r>
    <r>
      <rPr>
        <i/>
        <sz val="11"/>
        <color indexed="56"/>
        <rFont val="Calibri"/>
        <family val="2"/>
      </rPr>
      <t xml:space="preserve">: establecimiento que, además de cumplir los requisitos establecidos para los hoteles, dispone de las instalaciones necesarias para la conservación, la elaboración y el consumo de alimentos y bebidas en el interior de alguna unidad de alojamiento, y se ajusta a los requisitos establecidos reglamentariamente. Clasificación: hoteles apartamentos de 1, 2, 3, 3 superior, 4, 4 superior, 5 estrellas, 5 gran lujo (*).  </t>
    </r>
  </si>
  <si>
    <r>
      <t xml:space="preserve">- </t>
    </r>
    <r>
      <rPr>
        <b/>
        <i/>
        <sz val="11"/>
        <color indexed="56"/>
        <rFont val="Calibri"/>
        <family val="2"/>
      </rPr>
      <t>(HO) Hospedería</t>
    </r>
    <r>
      <rPr>
        <i/>
        <sz val="11"/>
        <color indexed="56"/>
        <rFont val="Calibri"/>
        <family val="2"/>
      </rPr>
      <t xml:space="preserve">: establecimiento que formando parte de una iglesia, capilla o santuario destina algunas de sus dependencias al servicio de alojamiento al público en general. </t>
    </r>
  </si>
  <si>
    <r>
      <t>-</t>
    </r>
    <r>
      <rPr>
        <b/>
        <i/>
        <sz val="11"/>
        <color indexed="56"/>
        <rFont val="Calibri"/>
        <family val="2"/>
      </rPr>
      <t xml:space="preserve"> (HR*) Hotel residencia</t>
    </r>
    <r>
      <rPr>
        <i/>
        <sz val="11"/>
        <color indexed="56"/>
        <rFont val="Calibri"/>
        <family val="2"/>
      </rPr>
      <t xml:space="preserve">: hotel sin servicio de comedor. Puede facilitar el servicio de desayuno, así como los propios de cafetería, pero en este último caso, estos servicios deben ser facultados con independencia a los de alojamiento. Clasificación: hotel residencia de 1, 2, 3, 4, 5 estrellas (*). </t>
    </r>
  </si>
  <si>
    <r>
      <t xml:space="preserve">- </t>
    </r>
    <r>
      <rPr>
        <b/>
        <i/>
        <sz val="11"/>
        <color indexed="56"/>
        <rFont val="Calibri"/>
        <family val="2"/>
      </rPr>
      <t>(HR) Hotel rural</t>
    </r>
    <r>
      <rPr>
        <i/>
        <sz val="11"/>
        <color indexed="56"/>
        <rFont val="Calibri"/>
        <family val="2"/>
      </rPr>
      <t>: establecimiento que presta el servicio de alojamiento turístico y está ubicado en edificaciones construidas antes del 1 de enero de 1940, situadas en suelo rústico y que disponen de una superficie mínima de terreno de 49.000 m2, que ha de quedar vinculada a la actividad.</t>
    </r>
  </si>
  <si>
    <r>
      <t xml:space="preserve">- </t>
    </r>
    <r>
      <rPr>
        <b/>
        <i/>
        <sz val="11"/>
        <color indexed="56"/>
        <rFont val="Calibri"/>
        <family val="2"/>
      </rPr>
      <t>(HS) Hostal</t>
    </r>
    <r>
      <rPr>
        <i/>
        <sz val="11"/>
        <color indexed="56"/>
        <rFont val="Calibri"/>
        <family val="2"/>
      </rPr>
      <t xml:space="preserve">: establecimiento que facilita al público tanto el servicio de alojamiento como de restaurante, con sujeción o no al régimen de pensión completa, a elección del cliente, y con excepción de los hostales residencias. Clasificación: hostales de 1, 2, 3 estrellas (*). </t>
    </r>
  </si>
  <si>
    <r>
      <t xml:space="preserve">- </t>
    </r>
    <r>
      <rPr>
        <b/>
        <i/>
        <sz val="11"/>
        <color indexed="56"/>
        <rFont val="Calibri"/>
        <family val="2"/>
      </rPr>
      <t>(HSR) Hostal residencia</t>
    </r>
    <r>
      <rPr>
        <i/>
        <sz val="11"/>
        <color indexed="56"/>
        <rFont val="Calibri"/>
        <family val="2"/>
      </rPr>
      <t xml:space="preserve">: hostal que podrá facilitar el servicio de desayuno, así como los propios de cafetería, pero en este último caso, estos servicios deberán ser facultados con independencia a los de alojamiento. Clasificación: hostal residencia de 1, 2, 3, 4 estrellas (*). </t>
    </r>
  </si>
  <si>
    <r>
      <t xml:space="preserve">- </t>
    </r>
    <r>
      <rPr>
        <b/>
        <i/>
        <sz val="11"/>
        <color indexed="56"/>
        <rFont val="Calibri"/>
        <family val="2"/>
      </rPr>
      <t>(PENS) Pensión</t>
    </r>
    <r>
      <rPr>
        <i/>
        <sz val="11"/>
        <color indexed="56"/>
        <rFont val="Calibri"/>
        <family val="2"/>
      </rPr>
      <t>: establecimiento que no dispone de más de 12 habitaciones y que habitualmente facilita el hospedaje en régimen de pensión completa. Clasificación: pensión de 1, 2, 3 estrellas (*).</t>
    </r>
  </si>
  <si>
    <r>
      <t xml:space="preserve">- </t>
    </r>
    <r>
      <rPr>
        <b/>
        <i/>
        <sz val="11"/>
        <color indexed="56"/>
        <rFont val="Calibri"/>
        <family val="2"/>
      </rPr>
      <t>(RA) Residencia apartamento</t>
    </r>
    <r>
      <rPr>
        <i/>
        <sz val="11"/>
        <color indexed="56"/>
        <rFont val="Calibri"/>
        <family val="2"/>
      </rPr>
      <t>: hotel apartamento que puede facilitar el servicio de desayuno, así como los propios de cafetería, pero en este último caso, estos servicios deberán ser facultados con independencia a los de alojamiento. Clasificación: residencia apartamento de 1, 2, 3, 4, 5 estrellas (*).</t>
    </r>
  </si>
  <si>
    <r>
      <t xml:space="preserve">- </t>
    </r>
    <r>
      <rPr>
        <b/>
        <i/>
        <sz val="11"/>
        <color indexed="56"/>
        <rFont val="Calibri"/>
        <family val="2"/>
      </rPr>
      <t>(TI) Turismo de interior</t>
    </r>
    <r>
      <rPr>
        <i/>
        <sz val="11"/>
        <color indexed="56"/>
        <rFont val="Calibri"/>
        <family val="2"/>
      </rPr>
      <t>: establecimiento en que se presta el servicio de alojamiento turístico en un edificio situado en el casco antiguo, en edificios catalogados o en edificios construidos antes del 1 de enero de 1940.</t>
    </r>
  </si>
  <si>
    <r>
      <t xml:space="preserve">- </t>
    </r>
    <r>
      <rPr>
        <b/>
        <i/>
        <sz val="11"/>
        <color indexed="56"/>
        <rFont val="Calibri"/>
        <family val="2"/>
      </rPr>
      <t>Oferta extrahotelera</t>
    </r>
    <r>
      <rPr>
        <i/>
        <sz val="11"/>
        <color indexed="56"/>
        <rFont val="Calibri"/>
        <family val="2"/>
      </rPr>
      <t>: A, HR, AG y CT.</t>
    </r>
  </si>
  <si>
    <t>Notas metodológicas</t>
  </si>
  <si>
    <r>
      <rPr>
        <b/>
        <i/>
        <sz val="11"/>
        <color indexed="56"/>
        <rFont val="Calibri"/>
        <family val="2"/>
      </rPr>
      <t>Definitions</t>
    </r>
  </si>
  <si>
    <t> </t>
  </si>
  <si>
    <r>
      <t xml:space="preserve">- </t>
    </r>
    <r>
      <rPr>
        <b/>
        <i/>
        <sz val="11"/>
        <color indexed="56"/>
        <rFont val="Calibri"/>
        <family val="2"/>
      </rPr>
      <t>Single unit</t>
    </r>
    <r>
      <rPr>
        <i/>
        <sz val="11"/>
        <color indexed="56"/>
        <rFont val="Calibri"/>
        <family val="2"/>
      </rPr>
      <t>: equivalent to one room with bathroom included, except in apartments, where the whole apartment is considered a single unit.</t>
    </r>
  </si>
  <si>
    <r>
      <t xml:space="preserve">- </t>
    </r>
    <r>
      <rPr>
        <b/>
        <i/>
        <sz val="11"/>
        <color indexed="56"/>
        <rFont val="Calibri"/>
        <family val="2"/>
      </rPr>
      <t>Bed place</t>
    </r>
    <r>
      <rPr>
        <i/>
        <sz val="11"/>
        <color indexed="56"/>
        <rFont val="Calibri"/>
        <family val="2"/>
      </rPr>
      <t>: bed places are calculated as one person per fixed bed in the establishment. Double beds equate to two bed places. The number of bed places for new accommodation establishments and for enlargements of existing ones should be calculated as follows:</t>
    </r>
  </si>
  <si>
    <t>a) For tourist apartments, two bed places per study as designed and three bed places per one-bedroom apartment, as well as two bed places more for each additional bedroom planned.</t>
  </si>
  <si>
    <t>b) For hotels and apartment hotels, two bed places per room, with up to 10% of the total number of rooms calculable as single rooms. Accommodation units with lounge should be calculated as two bed places for every bathroom.</t>
  </si>
  <si>
    <t>Extra beds used for children under the age of 12 should not be included in the calculations for any establishment.</t>
  </si>
  <si>
    <t>In new city hotels, up to 90% of the rooms may be calculated as single rooms.</t>
  </si>
  <si>
    <r>
      <t xml:space="preserve">- </t>
    </r>
    <r>
      <rPr>
        <b/>
        <i/>
        <sz val="11"/>
        <color indexed="56"/>
        <rFont val="Calibri"/>
        <family val="2"/>
      </rPr>
      <t>Tourist accommodation companies</t>
    </r>
    <r>
      <rPr>
        <i/>
        <sz val="11"/>
        <color indexed="56"/>
        <rFont val="Calibri"/>
        <family val="2"/>
      </rPr>
      <t>: companies providing a professional, regular paid-for accommodation service to the public, on a permanent or temporary basis, with or without any complementary services.</t>
    </r>
  </si>
  <si>
    <r>
      <t xml:space="preserve">- </t>
    </r>
    <r>
      <rPr>
        <b/>
        <i/>
        <sz val="11"/>
        <color indexed="56"/>
        <rFont val="Calibri"/>
        <family val="2"/>
      </rPr>
      <t xml:space="preserve">G.L. </t>
    </r>
    <r>
      <rPr>
        <i/>
        <sz val="11"/>
        <color indexed="56"/>
        <rFont val="Calibri"/>
        <family val="2"/>
      </rPr>
      <t>: Great luxury</t>
    </r>
  </si>
  <si>
    <r>
      <t xml:space="preserve">- </t>
    </r>
    <r>
      <rPr>
        <b/>
        <i/>
        <sz val="11"/>
        <color indexed="56"/>
        <rFont val="Calibri"/>
        <family val="2"/>
      </rPr>
      <t>(A) Tourist apartment</t>
    </r>
    <r>
      <rPr>
        <i/>
        <sz val="11"/>
        <color indexed="56"/>
        <rFont val="Calibri"/>
        <family val="2"/>
      </rPr>
      <t>: establishments providing tourist accommodation and advertised as such, comprising a series of accommodation units with furnishings, facilities, services and fittings suitable for storing, preparing and consuming food and drinks, in conditions allowing for immediate occupation, and meeting all mandatory requirements. Classification: tourist apartment of 1, 2, 3, 3 superior, 4 keys, 4 superior (Ll).</t>
    </r>
  </si>
  <si>
    <r>
      <t xml:space="preserve">- </t>
    </r>
    <r>
      <rPr>
        <b/>
        <i/>
        <sz val="11"/>
        <color indexed="56"/>
        <rFont val="Calibri"/>
        <family val="2"/>
      </rPr>
      <t>(AG) Agro-tourism</t>
    </r>
    <r>
      <rPr>
        <i/>
        <sz val="11"/>
        <color indexed="56"/>
        <rFont val="Calibri"/>
        <family val="2"/>
      </rPr>
      <t>: establishments providing tourist accommodation in properties built before 1 January 1960, located on rural land covering at least 21,000 square metres and used for farming, livestock or forestry activities.</t>
    </r>
  </si>
  <si>
    <r>
      <t xml:space="preserve">-  </t>
    </r>
    <r>
      <rPr>
        <b/>
        <i/>
        <sz val="11"/>
        <color indexed="56"/>
        <rFont val="Calibri"/>
        <family val="2"/>
      </rPr>
      <t>(CH) Guest house</t>
    </r>
    <r>
      <rPr>
        <i/>
        <sz val="11"/>
        <color indexed="56"/>
        <rFont val="Calibri"/>
        <family val="2"/>
      </rPr>
      <t>: establishment where breakfast may be provided, in addition to cafeteria services, however, in the case of the latter, such services should be subject to the appropriate authorisation, independently from the accommodation.</t>
    </r>
  </si>
  <si>
    <r>
      <t xml:space="preserve">-  </t>
    </r>
    <r>
      <rPr>
        <b/>
        <i/>
        <sz val="11"/>
        <color indexed="56"/>
        <rFont val="Calibri"/>
        <family val="2"/>
      </rPr>
      <t>(CT) Tourist campsite</t>
    </r>
    <r>
      <rPr>
        <i/>
        <sz val="11"/>
        <color indexed="56"/>
        <rFont val="Calibri"/>
        <family val="2"/>
      </rPr>
      <t xml:space="preserve">: an area defined, equipped and conditioned for temporary occupation, with capacity for more than 10 persons who intend to live in the open-air, using mobile homes, tents, caravans or other similar elements as accommodation. </t>
    </r>
  </si>
  <si>
    <r>
      <t xml:space="preserve">-  </t>
    </r>
    <r>
      <rPr>
        <b/>
        <i/>
        <sz val="11"/>
        <color indexed="56"/>
        <rFont val="Calibri"/>
        <family val="2"/>
      </rPr>
      <t>(CV) Holiday villages</t>
    </r>
    <r>
      <rPr>
        <i/>
        <sz val="11"/>
        <color indexed="56"/>
        <rFont val="Calibri"/>
        <family val="2"/>
      </rPr>
      <t>: establishments whose location, installations and services allow clients, under predetermined schemes, to enjoy their holidays in direct contact with nature, providing them, for a fixed price, accommodation with fullboard, with the possibility of practising sport and participating in group leisure activities. However, excluded from the definition, are holiday villages built with a social aid orientation and on a non-profit making basis by public corporations or bodies. Classification: holiday village of 1, 2, 3 stars (*).</t>
    </r>
  </si>
  <si>
    <r>
      <t xml:space="preserve">-  </t>
    </r>
    <r>
      <rPr>
        <b/>
        <i/>
        <sz val="11"/>
        <color indexed="56"/>
        <rFont val="Calibri"/>
        <family val="2"/>
      </rPr>
      <t>(F) Fonda</t>
    </r>
    <r>
      <rPr>
        <i/>
        <sz val="11"/>
        <color indexed="56"/>
        <rFont val="Calibri"/>
        <family val="2"/>
      </rPr>
      <t>: hotel establishment which cannot be classified as a hotel, hostel or hotel apartment, which must comply, as a minimum, with the following conditions:</t>
    </r>
  </si>
  <si>
    <t>a) Rooms. Surface area should be, at least, 10 square metres for double rooms and 6 square metres for single rooms. The height from floor to ceiling must not be less than 2.50 metres.</t>
  </si>
  <si>
    <t xml:space="preserve">b) Sanitation. The establishment should provide, at least, one bathroom, equipped with a shower, washbasin and WC. </t>
  </si>
  <si>
    <t>c) Dining room. With a minimum surface area of 1 square metre per room.</t>
  </si>
  <si>
    <r>
      <t xml:space="preserve">- </t>
    </r>
    <r>
      <rPr>
        <b/>
        <i/>
        <sz val="11"/>
        <color indexed="56"/>
        <rFont val="Calibri"/>
        <family val="2"/>
      </rPr>
      <t>(H) Hotel</t>
    </r>
    <r>
      <rPr>
        <i/>
        <sz val="11"/>
        <color indexed="56"/>
        <rFont val="Calibri"/>
        <family val="2"/>
      </rPr>
      <t>: establishments providing tourist accommodation with or without complementary services and occupying all or an independent part of a building or set of buildings, the rooms of which form a homogenous whole, with its own separate entrances, and meeting all mandatory requirements. Hotel elevators and stairs must be for hotel use only. Classification: hotels rated as 1, 2, 3, 3 superior, 4, 4 superior, 5 stars, 5 grand luxe (*).</t>
    </r>
  </si>
  <si>
    <r>
      <t xml:space="preserve">- </t>
    </r>
    <r>
      <rPr>
        <b/>
        <i/>
        <sz val="11"/>
        <color indexed="56"/>
        <rFont val="Calibri"/>
        <family val="2"/>
      </rPr>
      <t>(HA) Apartment hotel</t>
    </r>
    <r>
      <rPr>
        <i/>
        <sz val="11"/>
        <color indexed="56"/>
        <rFont val="Calibri"/>
        <family val="2"/>
      </rPr>
      <t xml:space="preserve">: establishments meeting the requirements for hotels but with the facilities needed to store, prepare and consume food and drinks in some of the single units, and meeting all mandatory requirements. Classification: hotel apartments rated as 1, 2, 3, 3 superior, 4, 4 superior, 5 stars, 5 grand luxe (*). </t>
    </r>
  </si>
  <si>
    <r>
      <t xml:space="preserve">- </t>
    </r>
    <r>
      <rPr>
        <b/>
        <i/>
        <sz val="11"/>
        <color indexed="56"/>
        <rFont val="Calibri"/>
        <family val="2"/>
      </rPr>
      <t>(HO) Hostelry</t>
    </r>
    <r>
      <rPr>
        <i/>
        <sz val="11"/>
        <color indexed="56"/>
        <rFont val="Calibri"/>
        <family val="2"/>
      </rPr>
      <t xml:space="preserve">: an establishment that forms part of a church, chapel or shrine and uses some of its rooms to provide accommodation for the general public. </t>
    </r>
  </si>
  <si>
    <r>
      <t xml:space="preserve">- </t>
    </r>
    <r>
      <rPr>
        <b/>
        <i/>
        <sz val="11"/>
        <color indexed="56"/>
        <rFont val="Calibri"/>
        <family val="2"/>
      </rPr>
      <t>(HR*) Hotel residence</t>
    </r>
    <r>
      <rPr>
        <i/>
        <sz val="11"/>
        <color indexed="56"/>
        <rFont val="Calibri"/>
        <family val="2"/>
      </rPr>
      <t>: hotel without dining room. Breakfast may be provided, in addition to cafeteria services, however, in the case of the latter, such services should be subject to the appropriate authorisation, independently from the accommodation. Classification: hotel residence of 1, 2, 3, 4, 5 stars (*).</t>
    </r>
  </si>
  <si>
    <r>
      <t xml:space="preserve">- </t>
    </r>
    <r>
      <rPr>
        <b/>
        <i/>
        <sz val="11"/>
        <color indexed="56"/>
        <rFont val="Calibri"/>
        <family val="2"/>
      </rPr>
      <t>(HR) Rural hotel</t>
    </r>
    <r>
      <rPr>
        <i/>
        <sz val="11"/>
        <color indexed="56"/>
        <rFont val="Calibri"/>
        <family val="2"/>
      </rPr>
      <t>: establishments providing tourist accommodation in properties built before 1 January 1940, located on rural land covering at least 49,000 square metres and having retained links to the original activity.</t>
    </r>
  </si>
  <si>
    <r>
      <t xml:space="preserve">- </t>
    </r>
    <r>
      <rPr>
        <b/>
        <i/>
        <sz val="11"/>
        <color indexed="56"/>
        <rFont val="Calibri"/>
        <family val="2"/>
      </rPr>
      <t>(HS) Hostel</t>
    </r>
    <r>
      <rPr>
        <i/>
        <sz val="11"/>
        <color indexed="56"/>
        <rFont val="Calibri"/>
        <family val="2"/>
      </rPr>
      <t>: establishment that offers the public both accommodation and meals, conforming or not to full board at the choice of the client and excluding hostelresidencies. Classification: hostels of 1, 2, 3 stars (*).</t>
    </r>
  </si>
  <si>
    <r>
      <t xml:space="preserve">- </t>
    </r>
    <r>
      <rPr>
        <b/>
        <i/>
        <sz val="11"/>
        <color indexed="56"/>
        <rFont val="Calibri"/>
        <family val="2"/>
      </rPr>
      <t>(HSR) Hostel Residence</t>
    </r>
    <r>
      <rPr>
        <i/>
        <sz val="11"/>
        <color indexed="56"/>
        <rFont val="Calibri"/>
        <family val="2"/>
      </rPr>
      <t>: hostel where breakfast may be provided, in addition to cafeteria services, however, in the case of the latter, such services should be subject to the appropriate authorisation, independently from the accommodation. Classification: hostel residence of 1, 2, 3, 4 stars (*).</t>
    </r>
  </si>
  <si>
    <r>
      <t xml:space="preserve">-  </t>
    </r>
    <r>
      <rPr>
        <b/>
        <i/>
        <sz val="11"/>
        <color indexed="56"/>
        <rFont val="Calibri"/>
        <family val="2"/>
      </rPr>
      <t>(PENS) Boarding House</t>
    </r>
    <r>
      <rPr>
        <i/>
        <sz val="11"/>
        <color indexed="56"/>
        <rFont val="Calibri"/>
        <family val="2"/>
      </rPr>
      <t>: establishment with no more than 12 rooms, habitually offering accommodation with full-board. Classification: 1, 2, 3 star boarding house (*).</t>
    </r>
  </si>
  <si>
    <r>
      <t xml:space="preserve">- </t>
    </r>
    <r>
      <rPr>
        <b/>
        <i/>
        <sz val="11"/>
        <color indexed="56"/>
        <rFont val="Calibri"/>
        <family val="2"/>
      </rPr>
      <t>(RA) Apartment residence</t>
    </r>
    <r>
      <rPr>
        <i/>
        <sz val="11"/>
        <color indexed="56"/>
        <rFont val="Calibri"/>
        <family val="2"/>
      </rPr>
      <t>: hotel apartment where breakfast may be provided, in addition to cafeteria services, however, in the case of the latter, such services should be subject to the appropriate authorisation, independently from the accommodation. Classification: apartment residence of 1, 2, 3, 4, 5 stars (*).</t>
    </r>
  </si>
  <si>
    <r>
      <t xml:space="preserve">- </t>
    </r>
    <r>
      <rPr>
        <b/>
        <i/>
        <sz val="11"/>
        <color indexed="56"/>
        <rFont val="Calibri"/>
        <family val="2"/>
      </rPr>
      <t>(TI) Inland tourism</t>
    </r>
    <r>
      <rPr>
        <i/>
        <sz val="11"/>
        <color indexed="56"/>
        <rFont val="Calibri"/>
        <family val="2"/>
      </rPr>
      <t>: establishments where tourist accommodation is provided in the historic part of a town or village in catalogued buildings or properties built before 1 January 1940.</t>
    </r>
  </si>
  <si>
    <r>
      <t xml:space="preserve">-  </t>
    </r>
    <r>
      <rPr>
        <b/>
        <i/>
        <sz val="11"/>
        <color indexed="56"/>
        <rFont val="Calibri"/>
        <family val="2"/>
      </rPr>
      <t>Non-hotel offer</t>
    </r>
    <r>
      <rPr>
        <i/>
        <sz val="11"/>
        <color indexed="56"/>
        <rFont val="Calibri"/>
        <family val="2"/>
      </rPr>
      <t>: A, HR, TI, AG and CT.</t>
    </r>
  </si>
  <si>
    <r>
      <t>Methodological notes</t>
    </r>
    <r>
      <rPr>
        <i/>
        <sz val="11"/>
        <color indexed="56"/>
        <rFont val="Calibri"/>
        <family val="2"/>
      </rPr>
      <t xml:space="preserve"> </t>
    </r>
  </si>
  <si>
    <t>Capacitat d'allotjament per tipus d'establiment i categoria a Eivissa (2022)</t>
  </si>
  <si>
    <t>Capacidad de alojamiento por tipo de establecimiento y categoría en Ibiza (2022)</t>
  </si>
  <si>
    <t>Accommodation capacity by type of establishment and category in Ibiza (2022)</t>
  </si>
  <si>
    <t>A 3 Ll SUP.</t>
  </si>
  <si>
    <t>Distribució de la capacitat d'allotjament per municipis a Eivissa (2022)</t>
  </si>
  <si>
    <t>Distribución de la capacidad de alojamiento por municipios en Ibiza (2022)</t>
  </si>
  <si>
    <t>Distribution of accommodation capacity broken down by municipalities in Ibiza (2022)</t>
  </si>
  <si>
    <r>
      <t xml:space="preserve">- </t>
    </r>
    <r>
      <rPr>
        <b/>
        <i/>
        <sz val="11"/>
        <color indexed="56"/>
        <rFont val="Calibri"/>
        <family val="2"/>
      </rPr>
      <t>(AG) Agroturismo</t>
    </r>
    <r>
      <rPr>
        <i/>
        <sz val="11"/>
        <color indexed="56"/>
        <rFont val="Calibri"/>
        <family val="2"/>
      </rPr>
      <t>: son los establecimientos que prestan el servicio de alojamiento turístico ubicados en edificaciones construidas antes del 1 de enero de 1960, situadas en suelo rústico y en una finca o fincas que tengan una superficie mínima de 21.000 m2 y que constituyan una explotación agraria, ganadera o forestal.</t>
    </r>
  </si>
  <si>
    <t>Capacitat d'allotjament per tipus d'establiment i categoria a Eivissa (2023)</t>
  </si>
  <si>
    <t>Capacidad de alojamiento por tipo de establecimiento y categoría en Ibiza (2023)</t>
  </si>
  <si>
    <t>Accommodation capacity by type of establishment and category in Ibiza (2023)</t>
  </si>
  <si>
    <t>Distribució de la capacitat d'allotjament per municipis a Eivissa (2023)</t>
  </si>
  <si>
    <t>Distribución de la capacidad de alojamiento por municipios en Ibiza (2023)</t>
  </si>
  <si>
    <t>Distribution of accommodation capacity broken down by municipalities in Ibiza (2023)</t>
  </si>
  <si>
    <t>Capacitat d'allotjament per tipus d'establiment i categoria a Eivissa (2023)………………................……….……...…….………..…………..…………………..pàg 4</t>
  </si>
  <si>
    <t>Distribució de la capacitat d'allotjament per municipis a Eivissa (2023)…………………………..…..…………....…...……....................…………………………pàg 5</t>
  </si>
  <si>
    <t>Capacitat d'allotjament per tipus d'establiment i categoria a Eivissa (2022)………………................……….……...…….………..…………..…………………..pàg 6</t>
  </si>
  <si>
    <t>Distribució de la capacitat d'allotjament per municipis a Eivissa (2022)…………………………..…..…………....…...……....................…………………………pàg 7</t>
  </si>
  <si>
    <t>Capacitat d'allotjament per tipus d'establiment i categoria a Eivissa (2021)……………………..............….……………….………..…………..…………………..pàg 8</t>
  </si>
  <si>
    <t>Distribució de la capacitat d'allotjament per municipis a Eivissa (2021)……………….………........…………..…..…………....….…...………………………………pàg 9</t>
  </si>
  <si>
    <t>Capacitat d'allotjament per tipus d'establiment i categoria a Eivissa (2020)…………………..............……………………….........…………..…………………..pàg 10</t>
  </si>
  <si>
    <t>Distribució de la capacitat d'allotjament per municipis a Eivissa (2020)…………………………...…..………..............………...…....………………………………pàg 11</t>
  </si>
  <si>
    <t>Capacitat d'allotjament per tipus d'establiment i categoria a Eivissa (2019)………………….................…..……………....………..…...………………………..pàg 12</t>
  </si>
  <si>
    <t>Distribució de la capacitat d'allotjament per municipis a Eivissa (2019)……………………….................……..….…….………...……………………………………pàg 13</t>
  </si>
  <si>
    <t>Capacitat d'allotjament per tipus d'establiment i categoria a Eivissa (2018)……………...................…….…..……….……...……………………………………..pàg 14</t>
  </si>
  <si>
    <t>Distribució de la capacitat d'allotjament per municipis a Eivissa (2018)…………………….………….…..……….....……..................………………………………pàg 15</t>
  </si>
  <si>
    <t>Capacitat d'allotjament per tipus d'establiment i categoria a Eivissa (2017)……………….…….…………................……….…....………………………………..pàg 16</t>
  </si>
  <si>
    <t>Distribució de la capacitat d'allotjament per municipis a Eivissa (2017)…………………................……..…….….……..…..…………………………………………pàg 17</t>
  </si>
  <si>
    <t>Capacitat d'allotjament per tipus d'establiment i categoria a Eivissa (2016)…………………................……….……………...…………………...………………..pàg 18</t>
  </si>
  <si>
    <t>Distribució de la capacitat d'allotjament per municipis a Eivissa (2016)…………………………..……................…………….........……..…………………………pàg 19</t>
  </si>
  <si>
    <t>Capacitat d'allotjament per tipus d'establiment i categoria a Eivissa (2015)……………………………....……..................…….……...……..…………………..pàg 20</t>
  </si>
  <si>
    <t>Distribució de la capacitat d'allotjament per municipis a Eivissa (2015)……………………….…………………................………..……………..……...……………pàg 21</t>
  </si>
  <si>
    <t>Capacitat d'allotjament per tipus d'establiment i categoria a Eivissa (2014)…………………………………………..……................………….....………………..pàg 22</t>
  </si>
  <si>
    <t>Distribució de la capacitat d'allotjament per municipis a Eivissa (2014)………….……………………………..……...…………................…………..………………pàg 23</t>
  </si>
  <si>
    <t>Capacitat d'allotjament per tipus d'establiment i categoria a Eivissa (2013)………………………………..……………................……..……...…………………..pàg 24</t>
  </si>
  <si>
    <t>Distribució de la capacitat d'allotjament per municipis a Eivissa (2013)………………….................………………………………..…….....…………………………pàg 25</t>
  </si>
  <si>
    <t>Capacitat d'allotjament per tipus d'establiment i categoria a Eivissa (2012)………................……………………………………...…..…..………………………..pàg 26</t>
  </si>
  <si>
    <t>Distribució de la capacitat d'allotjament per municipis a Eivissa (2012)………………................……………..……………...….……..………………………………pàg 27</t>
  </si>
  <si>
    <t>Capacitat d'allotjament per tipus d'establiment i categoria a Eivissa (2011)………………………….………................…….………….....………………………..pàg 28</t>
  </si>
  <si>
    <t>Distribució de la capacitat d'allotjament per municipis a Eivissa (2011)…………………………..…….……................………………...………………..……………pàg 29</t>
  </si>
  <si>
    <t>Capacitat d'allotjament per tipus d'establiment i categoria a Eivissa (2010)………………………….……………...................….………………..………………..pàg 30</t>
  </si>
  <si>
    <t>Distribució de la capacitat d'allotjament per municipis a Eivissa (2010)………………………................……..…………...………………………..….………………pàg 31</t>
  </si>
  <si>
    <t>Capacitat d'allotjament per tipus d'establiment i categoria a Eivissa (2009)……….……………………………................….…………..……………………………pàg 32</t>
  </si>
  <si>
    <t>Distribució de la capacitat d'allotjament per municipis a Eivissa (2009)……………………………................…………………………….……………………………..pàg 33</t>
  </si>
  <si>
    <t>Capacitat d'allotjament per tipus d'establiment i categoria a Eivissa (2008)………………................……….……..………….………………………………………pàg 34</t>
  </si>
  <si>
    <t>Distribució de la capacitat d'allotjament per municipis a Eivissa (2008)…………................………….…………………………………….………...….……………..pàg 35</t>
  </si>
  <si>
    <t>Capacitat d'allotjament per tipus d'establiment i categoria a Eivissa (2007)……………................………….………….………………..……………………………pàg 36</t>
  </si>
  <si>
    <t>Distribució de la capacitat d'allotjament per municipis a Eivissa (2007)…………………................……………..…...………………………….……………………..pàg 37</t>
  </si>
  <si>
    <t>Capacitat d'allotjament per tipus d'establiment i categoria a Eivissa (2006)………………................…….………………..………….………………………………pàg 38</t>
  </si>
  <si>
    <t>Distribució de la capacitat d'allotjament per municipis a Eivissa (2006)………………................……………………………………………………….………………..pàg 39</t>
  </si>
  <si>
    <t>Capacitat d'allotjament per tipus d'establiment i categoria a Eivissa (2005)…………………................……………………………………...….……………………pàg 40</t>
  </si>
  <si>
    <t>Distribució de la capacitat d'allotjament per municipis a Eivissa (2005)…………………................………..…………………………………...…….………………..pàg 41</t>
  </si>
  <si>
    <t>Capacitat d'allotjament per tipus d'establiment i categoria a Eivissa (2004)…………………..................……………………………...……….…...………………pàg 42</t>
  </si>
  <si>
    <t>Distribució de la capacitat d'allotjament per municipis a Eivissa (2004)……………………………………...……..……….………................………………………..pàg 43</t>
  </si>
  <si>
    <t xml:space="preserve">La informació publicada de 2023 té caràcter provisional durant un any. </t>
  </si>
  <si>
    <t>Capacidad de alojamiento por tipo de establecimiento y categoría en Ibiza (2023)……………………………...................……....………………………………..pág 4</t>
  </si>
  <si>
    <t>Distribución de la capacidad de alojamiento por municipios en Ibiza (2023)………………………..................……..……………..…….………………………………pág 5</t>
  </si>
  <si>
    <t>Capacidad de alojamiento por tipo de establecimiento y categoría en Ibiza (2022)……………………………...................……....………………………………..pág 6</t>
  </si>
  <si>
    <t>Distribución de la capacidad de alojamiento por municipios en Ibiza (2022)………………………..................……..……………..…….………………………………pág 7</t>
  </si>
  <si>
    <t>Capacidad de alojamiento por tipo de establecimiento y categoría en Ibiza (2021)……………………………...................……....………………………………..pág 8</t>
  </si>
  <si>
    <t>Distribución de la capacidad de alojamiento por municipios en Ibiza (2021)………………………..................……..……………..…….………………………………pág 9</t>
  </si>
  <si>
    <t>Capacidad de alojamiento por tipo de establecimiento y categoría en Ibiza (2020)……………..................……………….……....………………………………..pág 10</t>
  </si>
  <si>
    <t>Distribución de la capacidad de alojamiento por municipios en Ibiza (2020)…………………..................…………..………………..….………………………………pág 11</t>
  </si>
  <si>
    <t>Capacidad de alojamiento por tipo de establecimiento y categoría en Ibiza (2019)……………..................……………….………....……………………………..pág 12</t>
  </si>
  <si>
    <t>Distribución de la capacidad de alojamiento por municipios en Ibiza (2019)………………………..................……….........………….………………………………pág 13</t>
  </si>
  <si>
    <t>Capacidad de alojamiento por tipo de establecimiento y categoría en Ibiza (2018)………………...................…………….…...…………………………………..pág 14</t>
  </si>
  <si>
    <t>Distribución de la capacidad de alojamiento por municipios en Ibiza (2018)……………...................………………..…….…………….………………………………pág 15</t>
  </si>
  <si>
    <t>Capacidad de alojamiento por tipo de establecimiento y categoría en Ibiza (2017)…………………………......................….……………………………………..pág 16</t>
  </si>
  <si>
    <t>Distribución de la capacidad de alojamiento por municipios en Ibiza (2017)……………………...................………..…….…………….………………………………pág 17</t>
  </si>
  <si>
    <t>Capacidad de alojamiento por tipo de establecimiento y categoría en Ibiza (2016)……………………...................………....……………………………………..pág 18</t>
  </si>
  <si>
    <t>Distribución de la capacidad de alojamiento por municipios en Ibiza (2016)…………………………..………...................…….……….………………………………pág 19</t>
  </si>
  <si>
    <t>Capacidad de alojamiento por tipo de establecimiento y categoría en Ibiza (2015)………………..................………………..……………………………………..pág 20</t>
  </si>
  <si>
    <t>Distribución de la capacidad de alojamiento por municipios en Ibiza (2015)………………..................……………..……………….....………………………………pág 21</t>
  </si>
  <si>
    <t>Capacidad de alojamiento por tipo de establecimiento y categoría en Ibiza (2014)……………………..................……….…….…………………………………..pág 22</t>
  </si>
  <si>
    <t>Distribución de la capacidad de alojamiento por municipios en Ibiza (2014)…………………………..……………....……...................………………………………pág 23</t>
  </si>
  <si>
    <t>Capacidad de alojamiento por tipo de establecimiento y categoría en Ibiza (2013)………………..................………….…….……………………………………..pág 24</t>
  </si>
  <si>
    <t>Distribución de la capacidad de alojamiento por municipios en Ibiza (2013)…………………………..…………………...................….……………………………...pág 25</t>
  </si>
  <si>
    <t>Capacidad de alojamiento por tipo de establecimiento y categoría en Ibiza (2012)………………………..................….…….……………………………………..pág 26</t>
  </si>
  <si>
    <t>Distribución de la capacidad de alojamiento por municipios en Ibiza (2012)…………………..................…………..…………...…….……………………………….pág 27</t>
  </si>
  <si>
    <t>Capacidad de alojamiento por tipo de establecimiento y categoría en Ibiza (2011)……………………..................……….…….…………………………………..pág 28</t>
  </si>
  <si>
    <t>Distribución de la capacidad de alojamiento por municipios en Ibiza (2011)……………………..................………..…………...…….……………………………….pág 29</t>
  </si>
  <si>
    <t>Capacidad de alojamiento por tipo de establecimiento y categoría en Ibiza (2010)………………..................………………..……………………………………..pág 30</t>
  </si>
  <si>
    <t>Distribución de la capacidad de alojamiento por municipios en Ibiza (2010)………………………..................………...……....………………………………………pág 31</t>
  </si>
  <si>
    <t>Capacidad de alojamiento por tipo de establecimiento y categoría en Ibiza (2009)……….………………..................….…………………………………………..pág 32</t>
  </si>
  <si>
    <t>Distribución de la capacidad de alojamiento por municipios en Ibiza (2009)…………………………………………......................………………….………………..pág 33</t>
  </si>
  <si>
    <t>Capacidad de alojamiento por tipo de establecimiento y categoría en Ibiza (2008)…………………...................……….…………………………………………..pág 34</t>
  </si>
  <si>
    <t>Distribución de la capacidad de alojamiento por municipios en Ibiza (2008)………………..................………………………..........………………………………..pág 35</t>
  </si>
  <si>
    <t>Capacidad de alojamiento por tipo de establecimiento y categoría en Ibiza (2007)……………..................…………….………….………………………………..pág 36</t>
  </si>
  <si>
    <t>Distribución de la capacidad de alojamiento por municipios en Ibiza (2007)………………………............……......…….…………....………………………………..pág 37</t>
  </si>
  <si>
    <t>Capacidad de alojamiento por tipo de establecimiento y categoría en Ibiza (2006)……………………....……………..................…………………………………pág 38</t>
  </si>
  <si>
    <t>Distribución de la capacidad de alojamiento por municipios en Ibiza (2006)………………...……………...…………......................………………………………..pág 39</t>
  </si>
  <si>
    <t>Capacidad de alojamiento por tipo de establecimiento y categoría en Ibiza (2005)……………………………...…….……..................……………………………pág 40</t>
  </si>
  <si>
    <t>Distribución de la capacidad de alojamiento por municipios en Ibiza (2005)………………………………….……….....……………………..................…………....pág 41</t>
  </si>
  <si>
    <t>Capacidad de alojamiento por tipo de establecimiento y categoría en Ibiza (2004)…………………………………..................…...………….……………………pág 42</t>
  </si>
  <si>
    <t>Distribución de la capacidad de alojamiento por municipios en Ibiza (2004)………………………………….........……….................….……….…………………..pág 43</t>
  </si>
  <si>
    <t xml:space="preserve">La información publicada de 2023 tiene carácter provisional durante un año. </t>
  </si>
  <si>
    <t>The published information for 2023 will be of a provisional nature for one year.</t>
  </si>
  <si>
    <t>Accommodation capacity by type of establishment and category in Ibiza (2023)………………………….………….................................................……………………………...pg 4</t>
  </si>
  <si>
    <t>Distribution of accommodation capacity broken down by municipalities in Ibiza (2023)………………….................................................……..……………………………..…pg 5</t>
  </si>
  <si>
    <t>Accommodation capacity by type of establishment and category in Ibiza (2022)………………………….………….................................................……………………………...pg 6</t>
  </si>
  <si>
    <t>Distribution of accommodation capacity broken down by municipalities in Ibiza (2022)………………….................................................……..……………………………..…pg 7</t>
  </si>
  <si>
    <t>Accommodation capacity by type of establishment and category in Ibiza (2021)………………………….………….................................................……………………………...pg 8</t>
  </si>
  <si>
    <t>Distribution of accommodation capacity broken down by municipalities in Ibiza (2021)………………….................................................……..……………………………..…pg 9</t>
  </si>
  <si>
    <t>Accommodation capacity by type of establishment and category in Ibiza (2020)……………….................................................…………….……………………………………...pg 10</t>
  </si>
  <si>
    <t>Distribution of accommodation capacity broken down by municipalities in Ibiza (2020)……………………..…..……………….................................................…………..…pg 11</t>
  </si>
  <si>
    <t>Accommodation capacity by type of establishment and category in Ibiza (2019)………………………................................................…….……………………………………...pg 12</t>
  </si>
  <si>
    <t>Distribution of accommodation capacity broken down by municipalities in Ibiza (2019)……………................................................…………..……………………………..…pg 13</t>
  </si>
  <si>
    <t>Accommodation capacity by type of establishment and category in Ibiza (2018)………………………….….……….................................................…………………………...pg 14</t>
  </si>
  <si>
    <t>Distribution of accommodation capacity broken down by municipalities in Ibiza (2018)………………………..................................................……………………………..…pg 15</t>
  </si>
  <si>
    <t>Accommodation capacity by type of establishment and category in Ibiza (2017)……………………................................................……….……………………………………...pg 16</t>
  </si>
  <si>
    <t>Distribution of accommodation capacity broken down by municipalities in Ibiza (2017)……………………..……………................................................…………………..…pg 17</t>
  </si>
  <si>
    <t>Accommodation capacity by type of establishment and category in Ibiza (2016)…………………................................................………….……………………………………...pg 18</t>
  </si>
  <si>
    <t>Distribution of accommodation capacity broken down by municipalities in Ibiza (2016)………………................................................………..……………………………..…pg 19</t>
  </si>
  <si>
    <t>Accommodation capacity by type of establishment and category in Ibiza (2015)………………………….……………................................................…………………………...pg 20</t>
  </si>
  <si>
    <t>Distribution of accommodation capacity broken down by municipalities in Ibiza (2015)………………………..................................................……………………………..…pg 21</t>
  </si>
  <si>
    <t>Accommodation capacity by type of establishment and category in Ibiza (2014)……………................................................……………….……………………………………...pg 22</t>
  </si>
  <si>
    <t>Distribution of accommodation capacity broken down by municipalities in Ibiza (2014)……………………................................................…..……………………………..…pg 23</t>
  </si>
  <si>
    <t>Accommodation capacity by type of establishment and category in Ibiza (2013)………………………................................................…….……………………………………...pg 24</t>
  </si>
  <si>
    <t>Distribution of accommodation capacity broken down by municipalities in Ibiza (2013)……………………..……………………................................................…………..…pg 25</t>
  </si>
  <si>
    <t>Accommodation capacity by type of establishment and category in Ibiza (2012)…………................................................………………….……………………………………...pg 26</t>
  </si>
  <si>
    <t>Distribution of accommodation capacity broken down by municipalities in Ibiza (2012)………………................................................………..………………………………..pg 27</t>
  </si>
  <si>
    <t>Accommodation capacity by type of establishment and category in Ibiza (2011)………………………….………................................................………………………………...pg 28</t>
  </si>
  <si>
    <t>Distribution of accommodation capacity broken down by municipalities in Ibiza (2011)……………………..………………................................................…………………..pg 29</t>
  </si>
  <si>
    <t>Accommodation capacity by type of establishment and category in Ibiza (2010)………………………….……………………................................................…………………...pg 30</t>
  </si>
  <si>
    <t>Distribution of accommodation capacity broken down by municipalities in Ibiza (2010)………………..................................................………………………………………..pg 31</t>
  </si>
  <si>
    <t>Accommodation capacity by type of establishment and category in Ibiza (2009)………................................................….………………………………………………………...pg 32</t>
  </si>
  <si>
    <t>Distribution of accommodation capacity broken down by municipalities in Ibiza (2009)…………………................................................…………..……….………………...pg 33</t>
  </si>
  <si>
    <t>Accommodation capacity by type of establishment and category in Ibiza (2008)………………...............................................….………………………………………………...pg 34</t>
  </si>
  <si>
    <t>Distribution of accommodation capacity broken down by municipalities in Ibiza (2008)…………………................................................……………………………………….pg 35</t>
  </si>
  <si>
    <t>Accommodation capacity by type of establishment and category in Ibiza (2007)……………………………….………………................................................……………………pg 36</t>
  </si>
  <si>
    <t>Distribution of accommodation capacity broken down by municipalities in Ibiza (2007)……………………………………………................................................…………….pg 37</t>
  </si>
  <si>
    <t>Accommodation capacity by type of establishment and category in Ibiza (2006)…………………….................................................………………………………………………pg 38</t>
  </si>
  <si>
    <t>Distribution of accommodation capacity broken down by municipalities in Ibiza (2006)……………….....……………................................................……………………….pg 39</t>
  </si>
  <si>
    <t>Accommodation capacity by type of establishment and category in Ibiza (2005)………………………………….………................................................…………………………pg 40</t>
  </si>
  <si>
    <t>Distribution of accommodation capacity broken down by municipalities in Ibiza (2005)………………………………….………....................................................…….…...pg 41</t>
  </si>
  <si>
    <t>Accommodation capacity by type of establishment and category in Ibiza (2004)……………………………………….................................................……….…………………..pg 42</t>
  </si>
  <si>
    <t>Distribution of accommodation capacity broken down by municipalities in Ibiza (2004)……………….....................................................……….…………………………...pg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</si>
</sst>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 _P_t_s_-;\-* #,##0\ _P_t_s_-;_-* &quot;-&quot;\ _P_t_s_-;_-@_-"/>
    <numFmt numFmtId="165" formatCode="0.0%"/>
  </numFmts>
  <fonts count="53">
    <font>
      <sz val="11"/>
      <color theme="1"/>
      <name val="Calibri"/>
      <family val="2"/>
      <scheme val="minor"/>
    </font>
    <font>
      <sz val="10"/>
      <name val="Arial"/>
      <family val="2"/>
    </font>
    <font>
      <sz val="10"/>
      <name val="Arial"/>
      <family val="2"/>
    </font>
    <font>
      <sz val="11"/>
      <color indexed="60"/>
      <name val="Calibri"/>
      <family val="2"/>
    </font>
    <font>
      <b/>
      <sz val="11"/>
      <color indexed="8"/>
      <name val="Calibri"/>
      <family val="2"/>
    </font>
    <font>
      <b/>
      <sz val="13"/>
      <name val="LegacySanITCBoo"/>
      <family val="2"/>
    </font>
    <font>
      <b/>
      <sz val="11"/>
      <name val="LegacySanITCBoo"/>
      <family val="2"/>
    </font>
    <font>
      <sz val="11"/>
      <name val="LegacySanITCBoo"/>
      <family val="2"/>
    </font>
    <font>
      <sz val="10"/>
      <name val="LegacySanITCBoo"/>
      <family val="2"/>
    </font>
    <font>
      <b/>
      <i/>
      <sz val="11"/>
      <name val="LegacySanITCBoo"/>
      <family val="2"/>
    </font>
    <font>
      <b/>
      <sz val="10"/>
      <name val="Arial"/>
      <family val="2"/>
    </font>
    <font>
      <b/>
      <i/>
      <sz val="13"/>
      <name val="LegacySanITCBoo"/>
      <family val="2"/>
    </font>
    <font>
      <i/>
      <sz val="10"/>
      <name val="Arial"/>
      <family val="2"/>
    </font>
    <font>
      <i/>
      <sz val="10"/>
      <name val="LegacySanITCBoo"/>
      <family val="2"/>
    </font>
    <font>
      <b/>
      <i/>
      <sz val="11"/>
      <color indexed="9"/>
      <name val="LegacySanITCBoo"/>
      <family val="2"/>
    </font>
    <font>
      <b/>
      <sz val="10"/>
      <name val="LegacySanITCBoo"/>
      <family val="2"/>
    </font>
    <font>
      <b/>
      <i/>
      <sz val="10"/>
      <name val="LegacySanITCBoo"/>
      <family val="2"/>
    </font>
    <font>
      <b/>
      <i/>
      <sz val="10"/>
      <name val="Arial"/>
      <family val="2"/>
    </font>
    <font>
      <sz val="11"/>
      <color indexed="8"/>
      <name val="LegacySanITCBoo"/>
      <family val="2"/>
    </font>
    <font>
      <sz val="8"/>
      <name val="LegacySanITCBoo"/>
      <family val="2"/>
    </font>
    <font>
      <i/>
      <sz val="8"/>
      <name val="LegacySanITCBoo"/>
      <family val="2"/>
    </font>
    <font>
      <sz val="10"/>
      <name val="Arial"/>
      <family val="2"/>
    </font>
    <font>
      <b/>
      <sz val="11"/>
      <color indexed="8"/>
      <name val="LegacySanITCBoo"/>
      <family val="2"/>
    </font>
    <font>
      <sz val="10"/>
      <name val="Arial"/>
      <family val="2"/>
    </font>
    <font>
      <b/>
      <sz val="11"/>
      <name val="LegacySanITCBoo"/>
    </font>
    <font>
      <sz val="11"/>
      <color indexed="56"/>
      <name val="Calibri"/>
      <family val="2"/>
    </font>
    <font>
      <b/>
      <sz val="11"/>
      <color indexed="56"/>
      <name val="Calibri"/>
      <family val="2"/>
    </font>
    <font>
      <i/>
      <sz val="11"/>
      <color indexed="56"/>
      <name val="Calibri"/>
      <family val="2"/>
    </font>
    <font>
      <b/>
      <i/>
      <sz val="11"/>
      <color indexed="56"/>
      <name val="Calibri"/>
      <family val="2"/>
    </font>
    <font>
      <sz val="11"/>
      <color theme="1"/>
      <name val="Calibri"/>
      <family val="2"/>
      <scheme val="minor"/>
    </font>
    <font>
      <sz val="11"/>
      <color theme="0"/>
      <name val="Calibri"/>
      <family val="2"/>
      <scheme val="minor"/>
    </font>
    <font>
      <u/>
      <sz val="11"/>
      <color theme="10"/>
      <name val="Calibri"/>
      <family val="2"/>
    </font>
    <font>
      <b/>
      <i/>
      <sz val="11"/>
      <color rgb="FFFF0000"/>
      <name val="LegacySanITCBoo"/>
      <family val="2"/>
    </font>
    <font>
      <b/>
      <sz val="11"/>
      <color theme="0"/>
      <name val="LegacySanITCBoo"/>
      <family val="2"/>
    </font>
    <font>
      <b/>
      <sz val="11"/>
      <color theme="4" tint="-0.249977111117893"/>
      <name val="LegacySanITCBoo"/>
      <family val="2"/>
    </font>
    <font>
      <sz val="11"/>
      <color theme="3"/>
      <name val="LegacySanITCBoo"/>
      <family val="2"/>
    </font>
    <font>
      <b/>
      <i/>
      <sz val="11"/>
      <color theme="4" tint="-0.249977111117893"/>
      <name val="LegacySanITCBoo"/>
      <family val="2"/>
    </font>
    <font>
      <i/>
      <sz val="11"/>
      <color theme="1"/>
      <name val="Calibri"/>
      <family val="2"/>
      <scheme val="minor"/>
    </font>
    <font>
      <i/>
      <sz val="11"/>
      <color theme="3"/>
      <name val="LegacySanITCBoo"/>
      <family val="2"/>
    </font>
    <font>
      <sz val="10"/>
      <color rgb="FFFF0000"/>
      <name val="Arial"/>
      <family val="2"/>
    </font>
    <font>
      <b/>
      <sz val="10"/>
      <color rgb="FFFF0000"/>
      <name val="Arial"/>
      <family val="2"/>
    </font>
    <font>
      <sz val="11"/>
      <color rgb="FF1F497D"/>
      <name val="Calibri"/>
      <family val="2"/>
      <scheme val="minor"/>
    </font>
    <font>
      <b/>
      <sz val="11"/>
      <color rgb="FF1F497D"/>
      <name val="Calibri"/>
      <family val="2"/>
      <scheme val="minor"/>
    </font>
    <font>
      <i/>
      <sz val="11"/>
      <color rgb="FF1F497D"/>
      <name val="Calibri"/>
      <family val="2"/>
      <scheme val="minor"/>
    </font>
    <font>
      <b/>
      <sz val="11"/>
      <color rgb="FF1F497D"/>
      <name val="LegacySanITCBoo"/>
      <family val="2"/>
    </font>
    <font>
      <b/>
      <i/>
      <sz val="11"/>
      <color rgb="FF1F497D"/>
      <name val="Calibri"/>
      <family val="2"/>
      <scheme val="minor"/>
    </font>
    <font>
      <i/>
      <u/>
      <sz val="11"/>
      <color theme="10"/>
      <name val="Calibri"/>
      <family val="2"/>
    </font>
    <font>
      <b/>
      <sz val="11"/>
      <color theme="3"/>
      <name val="LegacySanITCBoo"/>
      <family val="2"/>
    </font>
    <font>
      <b/>
      <sz val="10"/>
      <color theme="0"/>
      <name val="LegacySanITCBoo"/>
      <family val="2"/>
    </font>
    <font>
      <b/>
      <i/>
      <sz val="10"/>
      <color theme="0"/>
      <name val="LegacySanITCBoo"/>
      <family val="2"/>
    </font>
    <font>
      <sz val="10"/>
      <color theme="1"/>
      <name val="Calibri"/>
      <family val="2"/>
      <scheme val="minor"/>
    </font>
    <font>
      <sz val="11"/>
      <color theme="1"/>
      <name val="LegacySanITCBoo"/>
      <family val="2"/>
    </font>
    <font>
      <b/>
      <sz val="11"/>
      <color theme="1"/>
      <name val="LegacySanITCBoo"/>
      <family val="2"/>
    </font>
  </fonts>
  <fills count="8">
    <fill>
      <patternFill patternType="none"/>
    </fill>
    <fill>
      <patternFill patternType="gray125"/>
    </fill>
    <fill>
      <patternFill patternType="solid">
        <fgColor indexed="43"/>
      </patternFill>
    </fill>
    <fill>
      <patternFill patternType="solid">
        <fgColor theme="4"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theme="3" tint="0.79998168889431442"/>
        <bgColor indexed="64"/>
      </patternFill>
    </fill>
  </fills>
  <borders count="2">
    <border>
      <left/>
      <right/>
      <top/>
      <bottom/>
      <diagonal/>
    </border>
    <border>
      <left/>
      <right/>
      <top style="thin">
        <color indexed="62"/>
      </top>
      <bottom style="double">
        <color indexed="62"/>
      </bottom>
      <diagonal/>
    </border>
  </borders>
  <cellStyleXfs count="14">
    <xf numFmtId="0" fontId="0" fillId="0" borderId="0"/>
    <xf numFmtId="0" fontId="31" fillId="0" borderId="0" applyNumberFormat="0" applyFill="0" applyBorder="0" applyAlignment="0" applyProtection="0">
      <alignment vertical="top"/>
      <protection locked="0"/>
    </xf>
    <xf numFmtId="164" fontId="2" fillId="0" borderId="0" applyFont="0" applyFill="0" applyBorder="0" applyAlignment="0" applyProtection="0"/>
    <xf numFmtId="164" fontId="1"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1" fillId="0" borderId="0"/>
    <xf numFmtId="0" fontId="21" fillId="0" borderId="0"/>
    <xf numFmtId="0" fontId="23" fillId="0" borderId="0"/>
    <xf numFmtId="9" fontId="29" fillId="0" borderId="0" applyFont="0" applyFill="0" applyBorder="0" applyAlignment="0" applyProtection="0"/>
    <xf numFmtId="0" fontId="4" fillId="0" borderId="1" applyNumberFormat="0" applyFill="0" applyAlignment="0" applyProtection="0"/>
    <xf numFmtId="0" fontId="4" fillId="0" borderId="1" applyNumberFormat="0" applyFill="0" applyAlignment="0" applyProtection="0"/>
    <xf numFmtId="0" fontId="4" fillId="0" borderId="1" applyNumberFormat="0" applyFill="0" applyAlignment="0" applyProtection="0"/>
  </cellStyleXfs>
  <cellXfs count="155">
    <xf numFmtId="0" fontId="0" fillId="0" borderId="0" xfId="0"/>
    <xf numFmtId="3" fontId="7" fillId="0" borderId="0" xfId="2" applyNumberFormat="1" applyFont="1" applyFill="1" applyBorder="1" applyAlignment="1">
      <alignment horizontal="center"/>
    </xf>
    <xf numFmtId="0" fontId="5" fillId="0" borderId="0" xfId="0" applyFont="1" applyAlignment="1">
      <alignment horizontal="left"/>
    </xf>
    <xf numFmtId="0" fontId="15" fillId="0" borderId="0" xfId="0" applyFont="1"/>
    <xf numFmtId="0" fontId="8" fillId="0" borderId="0" xfId="0" applyFont="1"/>
    <xf numFmtId="0" fontId="5" fillId="0" borderId="0" xfId="0" applyFont="1"/>
    <xf numFmtId="0" fontId="13" fillId="0" borderId="0" xfId="0" applyFont="1"/>
    <xf numFmtId="0" fontId="11" fillId="0" borderId="0" xfId="0" applyFont="1" applyAlignment="1">
      <alignment horizontal="left"/>
    </xf>
    <xf numFmtId="0" fontId="16" fillId="0" borderId="0" xfId="0" applyFont="1"/>
    <xf numFmtId="0" fontId="32" fillId="0" borderId="0" xfId="0" applyFont="1"/>
    <xf numFmtId="0" fontId="7" fillId="0" borderId="0" xfId="0" applyFont="1"/>
    <xf numFmtId="0" fontId="6" fillId="0" borderId="0" xfId="0" applyFont="1" applyAlignment="1">
      <alignment horizontal="center"/>
    </xf>
    <xf numFmtId="3" fontId="7" fillId="0" borderId="0" xfId="0" applyNumberFormat="1" applyFont="1" applyAlignment="1">
      <alignment horizontal="center"/>
    </xf>
    <xf numFmtId="165" fontId="7" fillId="0" borderId="0" xfId="0" applyNumberFormat="1" applyFont="1" applyAlignment="1">
      <alignment horizontal="center"/>
    </xf>
    <xf numFmtId="0" fontId="7" fillId="0" borderId="0" xfId="0" applyFont="1" applyAlignment="1">
      <alignment horizontal="center"/>
    </xf>
    <xf numFmtId="3" fontId="6" fillId="0" borderId="0" xfId="0" applyNumberFormat="1" applyFont="1" applyAlignment="1">
      <alignment horizontal="center"/>
    </xf>
    <xf numFmtId="0" fontId="6" fillId="0" borderId="0" xfId="0" applyFont="1"/>
    <xf numFmtId="0" fontId="6" fillId="4" borderId="0" xfId="0" applyFont="1" applyFill="1" applyAlignment="1">
      <alignment horizontal="center"/>
    </xf>
    <xf numFmtId="3" fontId="6" fillId="4" borderId="0" xfId="0" applyNumberFormat="1" applyFont="1" applyFill="1" applyAlignment="1">
      <alignment horizontal="center"/>
    </xf>
    <xf numFmtId="9" fontId="6" fillId="4" borderId="0" xfId="0" applyNumberFormat="1" applyFont="1" applyFill="1" applyAlignment="1">
      <alignment horizontal="center"/>
    </xf>
    <xf numFmtId="165" fontId="6" fillId="4" borderId="0" xfId="0" applyNumberFormat="1" applyFont="1" applyFill="1" applyAlignment="1">
      <alignment horizontal="center"/>
    </xf>
    <xf numFmtId="9" fontId="7" fillId="0" borderId="0" xfId="0" applyNumberFormat="1" applyFont="1" applyAlignment="1">
      <alignment horizontal="center"/>
    </xf>
    <xf numFmtId="9" fontId="7" fillId="0" borderId="0" xfId="10" applyFont="1" applyFill="1" applyBorder="1" applyAlignment="1">
      <alignment horizontal="center"/>
    </xf>
    <xf numFmtId="9" fontId="6" fillId="4" borderId="0" xfId="10" applyFont="1" applyFill="1" applyBorder="1" applyAlignment="1">
      <alignment horizontal="center"/>
    </xf>
    <xf numFmtId="9" fontId="6" fillId="0" borderId="0" xfId="10" applyFont="1" applyFill="1" applyBorder="1" applyAlignment="1">
      <alignment horizontal="center"/>
    </xf>
    <xf numFmtId="9" fontId="6" fillId="0" borderId="0" xfId="0" applyNumberFormat="1" applyFont="1" applyAlignment="1">
      <alignment horizontal="center"/>
    </xf>
    <xf numFmtId="165" fontId="7" fillId="0" borderId="0" xfId="10" applyNumberFormat="1" applyFont="1" applyFill="1" applyBorder="1" applyAlignment="1">
      <alignment horizontal="center"/>
    </xf>
    <xf numFmtId="0" fontId="1" fillId="0" borderId="0" xfId="0" applyFont="1"/>
    <xf numFmtId="0" fontId="10" fillId="0" borderId="0" xfId="0" applyFont="1"/>
    <xf numFmtId="0" fontId="12" fillId="0" borderId="0" xfId="0" applyFont="1"/>
    <xf numFmtId="0" fontId="11" fillId="0" borderId="0" xfId="0" applyFont="1"/>
    <xf numFmtId="0" fontId="17" fillId="0" borderId="0" xfId="0" applyFont="1"/>
    <xf numFmtId="3" fontId="18" fillId="0" borderId="0" xfId="0" applyNumberFormat="1" applyFont="1" applyAlignment="1">
      <alignment horizontal="center"/>
    </xf>
    <xf numFmtId="3" fontId="0" fillId="0" borderId="0" xfId="0" applyNumberFormat="1"/>
    <xf numFmtId="0" fontId="0" fillId="0" borderId="0" xfId="0" quotePrefix="1"/>
    <xf numFmtId="3" fontId="10" fillId="0" borderId="0" xfId="0" applyNumberFormat="1" applyFont="1"/>
    <xf numFmtId="3" fontId="1" fillId="0" borderId="0" xfId="0" applyNumberFormat="1" applyFont="1"/>
    <xf numFmtId="0" fontId="6" fillId="0" borderId="0" xfId="0" applyFont="1" applyAlignment="1">
      <alignment horizontal="left"/>
    </xf>
    <xf numFmtId="0" fontId="33" fillId="3" borderId="0" xfId="0" applyFont="1" applyFill="1" applyAlignment="1">
      <alignment horizontal="center" vertical="center"/>
    </xf>
    <xf numFmtId="3" fontId="33" fillId="3" borderId="0" xfId="0" applyNumberFormat="1" applyFont="1" applyFill="1" applyAlignment="1">
      <alignment horizontal="center" vertical="center"/>
    </xf>
    <xf numFmtId="0" fontId="6" fillId="4" borderId="0" xfId="0" applyFont="1" applyFill="1" applyAlignment="1">
      <alignment horizontal="left"/>
    </xf>
    <xf numFmtId="3" fontId="7" fillId="4" borderId="0" xfId="0" applyNumberFormat="1" applyFont="1" applyFill="1" applyAlignment="1">
      <alignment horizontal="center"/>
    </xf>
    <xf numFmtId="3" fontId="18" fillId="4" borderId="0" xfId="0" applyNumberFormat="1" applyFont="1" applyFill="1" applyAlignment="1">
      <alignment horizontal="center"/>
    </xf>
    <xf numFmtId="3" fontId="6" fillId="4" borderId="0" xfId="0" applyNumberFormat="1" applyFont="1" applyFill="1" applyAlignment="1">
      <alignment horizontal="left"/>
    </xf>
    <xf numFmtId="0" fontId="30" fillId="0" borderId="0" xfId="0" applyFont="1"/>
    <xf numFmtId="0" fontId="33" fillId="3" borderId="0" xfId="0" applyFont="1" applyFill="1" applyAlignment="1">
      <alignment horizontal="left"/>
    </xf>
    <xf numFmtId="3" fontId="7" fillId="0" borderId="0" xfId="0" applyNumberFormat="1" applyFont="1" applyAlignment="1" applyProtection="1">
      <alignment horizontal="center" vertical="center"/>
      <protection locked="0"/>
    </xf>
    <xf numFmtId="3" fontId="7" fillId="0" borderId="0" xfId="0" applyNumberFormat="1" applyFont="1" applyAlignment="1">
      <alignment horizontal="center" vertical="center"/>
    </xf>
    <xf numFmtId="0" fontId="34" fillId="0" borderId="0" xfId="0" applyFont="1"/>
    <xf numFmtId="0" fontId="0" fillId="4" borderId="0" xfId="0" applyFill="1"/>
    <xf numFmtId="0" fontId="35" fillId="0" borderId="0" xfId="0" applyFont="1"/>
    <xf numFmtId="0" fontId="36" fillId="0" borderId="0" xfId="0" applyFont="1"/>
    <xf numFmtId="0" fontId="37" fillId="0" borderId="0" xfId="0" applyFont="1"/>
    <xf numFmtId="0" fontId="37" fillId="4" borderId="0" xfId="0" applyFont="1" applyFill="1"/>
    <xf numFmtId="0" fontId="38" fillId="0" borderId="0" xfId="0" applyFont="1" applyAlignment="1">
      <alignment horizontal="left"/>
    </xf>
    <xf numFmtId="0" fontId="38" fillId="0" borderId="0" xfId="0" applyFont="1"/>
    <xf numFmtId="3" fontId="6" fillId="0" borderId="0" xfId="0" applyNumberFormat="1" applyFont="1" applyAlignment="1">
      <alignment horizontal="center" vertical="center"/>
    </xf>
    <xf numFmtId="0" fontId="1" fillId="0" borderId="0" xfId="7"/>
    <xf numFmtId="0" fontId="33" fillId="3" borderId="0" xfId="0" applyFont="1" applyFill="1" applyAlignment="1">
      <alignment horizontal="left" vertical="top"/>
    </xf>
    <xf numFmtId="3" fontId="7" fillId="0" borderId="0" xfId="3" applyNumberFormat="1" applyFont="1" applyFill="1" applyBorder="1" applyAlignment="1">
      <alignment horizontal="center"/>
    </xf>
    <xf numFmtId="0" fontId="1" fillId="0" borderId="0" xfId="8" applyFont="1"/>
    <xf numFmtId="0" fontId="21" fillId="0" borderId="0" xfId="8"/>
    <xf numFmtId="0" fontId="19" fillId="0" borderId="0" xfId="8" applyFont="1"/>
    <xf numFmtId="0" fontId="20" fillId="0" borderId="0" xfId="8" applyFont="1"/>
    <xf numFmtId="3" fontId="1" fillId="0" borderId="0" xfId="8" applyNumberFormat="1" applyFont="1"/>
    <xf numFmtId="3" fontId="21" fillId="0" borderId="0" xfId="8" applyNumberFormat="1"/>
    <xf numFmtId="0" fontId="39" fillId="0" borderId="0" xfId="8" applyFont="1"/>
    <xf numFmtId="3" fontId="40" fillId="0" borderId="0" xfId="8" applyNumberFormat="1" applyFont="1"/>
    <xf numFmtId="0" fontId="0" fillId="0" borderId="0" xfId="0" applyAlignment="1">
      <alignment horizontal="left"/>
    </xf>
    <xf numFmtId="3" fontId="6" fillId="0" borderId="0" xfId="0" applyNumberFormat="1" applyFont="1" applyAlignment="1">
      <alignment horizontal="left"/>
    </xf>
    <xf numFmtId="3" fontId="22" fillId="0" borderId="0" xfId="0" applyNumberFormat="1" applyFont="1" applyAlignment="1">
      <alignment horizontal="center"/>
    </xf>
    <xf numFmtId="3" fontId="22" fillId="4" borderId="0" xfId="0" applyNumberFormat="1" applyFont="1" applyFill="1" applyAlignment="1">
      <alignment horizontal="center"/>
    </xf>
    <xf numFmtId="0" fontId="36" fillId="0" borderId="0" xfId="0" applyFont="1" applyAlignment="1">
      <alignment horizontal="center"/>
    </xf>
    <xf numFmtId="0" fontId="33" fillId="3" borderId="0" xfId="0" applyFont="1" applyFill="1" applyAlignment="1">
      <alignment horizontal="left" vertical="center"/>
    </xf>
    <xf numFmtId="0" fontId="33" fillId="3" borderId="0" xfId="0" applyFont="1" applyFill="1" applyAlignment="1">
      <alignment horizontal="center"/>
    </xf>
    <xf numFmtId="0" fontId="5" fillId="0" borderId="0" xfId="7" applyFont="1" applyAlignment="1">
      <alignment horizontal="left"/>
    </xf>
    <xf numFmtId="0" fontId="15" fillId="0" borderId="0" xfId="7" applyFont="1"/>
    <xf numFmtId="0" fontId="8" fillId="0" borderId="0" xfId="7" applyFont="1"/>
    <xf numFmtId="0" fontId="13" fillId="0" borderId="0" xfId="7" applyFont="1"/>
    <xf numFmtId="0" fontId="11" fillId="0" borderId="0" xfId="7" applyFont="1" applyAlignment="1">
      <alignment horizontal="left"/>
    </xf>
    <xf numFmtId="0" fontId="16" fillId="0" borderId="0" xfId="7" applyFont="1"/>
    <xf numFmtId="0" fontId="32" fillId="0" borderId="0" xfId="7" applyFont="1"/>
    <xf numFmtId="0" fontId="7" fillId="0" borderId="0" xfId="7" applyFont="1"/>
    <xf numFmtId="3" fontId="7" fillId="0" borderId="0" xfId="7" applyNumberFormat="1" applyFont="1" applyAlignment="1">
      <alignment horizontal="center"/>
    </xf>
    <xf numFmtId="0" fontId="6" fillId="0" borderId="0" xfId="7" applyFont="1" applyAlignment="1">
      <alignment horizontal="center"/>
    </xf>
    <xf numFmtId="165" fontId="7" fillId="0" borderId="0" xfId="7" applyNumberFormat="1" applyFont="1" applyAlignment="1">
      <alignment horizontal="center"/>
    </xf>
    <xf numFmtId="165" fontId="7" fillId="5" borderId="0" xfId="7" applyNumberFormat="1" applyFont="1" applyFill="1" applyAlignment="1">
      <alignment horizontal="center"/>
    </xf>
    <xf numFmtId="0" fontId="7" fillId="0" borderId="0" xfId="7" applyFont="1" applyAlignment="1">
      <alignment horizontal="center"/>
    </xf>
    <xf numFmtId="0" fontId="12" fillId="0" borderId="0" xfId="7" applyFont="1"/>
    <xf numFmtId="0" fontId="10" fillId="0" borderId="0" xfId="7" applyFont="1"/>
    <xf numFmtId="3" fontId="1" fillId="0" borderId="0" xfId="7" applyNumberFormat="1"/>
    <xf numFmtId="0" fontId="1" fillId="0" borderId="0" xfId="7" quotePrefix="1"/>
    <xf numFmtId="0" fontId="39" fillId="0" borderId="0" xfId="7" applyFont="1"/>
    <xf numFmtId="3" fontId="6" fillId="4" borderId="0" xfId="7" applyNumberFormat="1" applyFont="1" applyFill="1" applyAlignment="1">
      <alignment horizontal="center"/>
    </xf>
    <xf numFmtId="9" fontId="6" fillId="4" borderId="0" xfId="7" applyNumberFormat="1" applyFont="1" applyFill="1" applyAlignment="1">
      <alignment horizontal="center"/>
    </xf>
    <xf numFmtId="0" fontId="33" fillId="3" borderId="0" xfId="0" applyFont="1" applyFill="1" applyAlignment="1">
      <alignment vertical="top" wrapText="1"/>
    </xf>
    <xf numFmtId="3" fontId="7" fillId="6" borderId="0" xfId="0" applyNumberFormat="1" applyFont="1" applyFill="1" applyAlignment="1">
      <alignment horizontal="center"/>
    </xf>
    <xf numFmtId="0" fontId="41" fillId="0" borderId="0" xfId="0" applyFont="1"/>
    <xf numFmtId="0" fontId="42" fillId="0" borderId="0" xfId="0" applyFont="1"/>
    <xf numFmtId="0" fontId="43" fillId="0" borderId="0" xfId="0" applyFont="1"/>
    <xf numFmtId="3" fontId="8" fillId="0" borderId="0" xfId="7" applyNumberFormat="1" applyFont="1"/>
    <xf numFmtId="3" fontId="24" fillId="0" borderId="0" xfId="0" applyNumberFormat="1" applyFont="1" applyAlignment="1">
      <alignment horizontal="center"/>
    </xf>
    <xf numFmtId="9" fontId="7" fillId="0" borderId="0" xfId="7" applyNumberFormat="1" applyFont="1" applyAlignment="1">
      <alignment horizontal="center"/>
    </xf>
    <xf numFmtId="0" fontId="44" fillId="0" borderId="0" xfId="0" applyFont="1" applyAlignment="1">
      <alignment wrapText="1"/>
    </xf>
    <xf numFmtId="0" fontId="41" fillId="0" borderId="0" xfId="0" quotePrefix="1" applyFont="1"/>
    <xf numFmtId="0" fontId="45" fillId="0" borderId="0" xfId="0" quotePrefix="1" applyFont="1"/>
    <xf numFmtId="0" fontId="43" fillId="0" borderId="0" xfId="0" quotePrefix="1" applyFont="1"/>
    <xf numFmtId="0" fontId="45" fillId="0" borderId="0" xfId="0" applyFont="1"/>
    <xf numFmtId="3" fontId="48" fillId="3" borderId="0" xfId="7" applyNumberFormat="1" applyFont="1" applyFill="1" applyAlignment="1">
      <alignment horizontal="center"/>
    </xf>
    <xf numFmtId="3" fontId="49" fillId="3" borderId="0" xfId="7" applyNumberFormat="1" applyFont="1" applyFill="1" applyAlignment="1">
      <alignment horizontal="center"/>
    </xf>
    <xf numFmtId="3" fontId="48" fillId="3" borderId="0" xfId="0" applyNumberFormat="1" applyFont="1" applyFill="1" applyAlignment="1">
      <alignment horizontal="center"/>
    </xf>
    <xf numFmtId="3" fontId="49" fillId="3" borderId="0" xfId="0" applyNumberFormat="1" applyFont="1" applyFill="1" applyAlignment="1">
      <alignment horizontal="center"/>
    </xf>
    <xf numFmtId="0" fontId="50" fillId="0" borderId="0" xfId="0" applyFont="1"/>
    <xf numFmtId="3" fontId="51" fillId="0" borderId="0" xfId="7" applyNumberFormat="1" applyFont="1" applyAlignment="1">
      <alignment horizontal="center"/>
    </xf>
    <xf numFmtId="3" fontId="52" fillId="4" borderId="0" xfId="7" applyNumberFormat="1" applyFont="1" applyFill="1" applyAlignment="1">
      <alignment horizontal="center"/>
    </xf>
    <xf numFmtId="0" fontId="31" fillId="0" borderId="0" xfId="1" applyAlignment="1" applyProtection="1"/>
    <xf numFmtId="0" fontId="46" fillId="0" borderId="0" xfId="1" applyFont="1" applyAlignment="1" applyProtection="1"/>
    <xf numFmtId="0" fontId="41" fillId="0" borderId="0" xfId="0" quotePrefix="1" applyFont="1" applyAlignment="1">
      <alignment horizontal="left" vertical="justify" wrapText="1"/>
    </xf>
    <xf numFmtId="0" fontId="31" fillId="0" borderId="0" xfId="1" applyBorder="1" applyAlignment="1" applyProtection="1">
      <alignment horizontal="left"/>
    </xf>
    <xf numFmtId="0" fontId="41" fillId="0" borderId="0" xfId="0" quotePrefix="1" applyFont="1" applyAlignment="1">
      <alignment horizontal="justify" vertical="justify" wrapText="1"/>
    </xf>
    <xf numFmtId="0" fontId="41" fillId="0" borderId="0" xfId="0" quotePrefix="1" applyFont="1" applyAlignment="1">
      <alignment horizontal="left"/>
    </xf>
    <xf numFmtId="0" fontId="41" fillId="0" borderId="0" xfId="0" applyFont="1" applyAlignment="1">
      <alignment horizontal="left"/>
    </xf>
    <xf numFmtId="0" fontId="34" fillId="0" borderId="0" xfId="0" applyFont="1" applyAlignment="1">
      <alignment horizontal="center"/>
    </xf>
    <xf numFmtId="0" fontId="42" fillId="0" borderId="0" xfId="0" applyFont="1" applyAlignment="1">
      <alignment horizontal="left"/>
    </xf>
    <xf numFmtId="0" fontId="41" fillId="0" borderId="0" xfId="0" quotePrefix="1" applyFont="1" applyAlignment="1">
      <alignment horizontal="justify"/>
    </xf>
    <xf numFmtId="0" fontId="41" fillId="0" borderId="0" xfId="0" quotePrefix="1" applyFont="1" applyAlignment="1">
      <alignment horizontal="justify" vertical="justify"/>
    </xf>
    <xf numFmtId="0" fontId="0" fillId="4" borderId="0" xfId="0" applyFill="1" applyAlignment="1">
      <alignment horizontal="center"/>
    </xf>
    <xf numFmtId="0" fontId="43" fillId="0" borderId="0" xfId="0" quotePrefix="1" applyFont="1" applyAlignment="1">
      <alignment horizontal="justify" vertical="justify" wrapText="1"/>
    </xf>
    <xf numFmtId="0" fontId="43" fillId="0" borderId="0" xfId="0" quotePrefix="1" applyFont="1" applyAlignment="1">
      <alignment horizontal="left" vertical="justify" wrapText="1"/>
    </xf>
    <xf numFmtId="0" fontId="46" fillId="0" borderId="0" xfId="1" applyFont="1" applyBorder="1" applyAlignment="1" applyProtection="1">
      <alignment horizontal="left"/>
    </xf>
    <xf numFmtId="0" fontId="43" fillId="0" borderId="0" xfId="0" quotePrefix="1" applyFont="1" applyAlignment="1">
      <alignment horizontal="justify" vertical="justify"/>
    </xf>
    <xf numFmtId="0" fontId="43" fillId="0" borderId="0" xfId="0" quotePrefix="1" applyFont="1" applyAlignment="1">
      <alignment horizontal="justify" wrapText="1"/>
    </xf>
    <xf numFmtId="0" fontId="36" fillId="0" borderId="0" xfId="0" applyFont="1" applyAlignment="1">
      <alignment horizontal="center"/>
    </xf>
    <xf numFmtId="0" fontId="37" fillId="4" borderId="0" xfId="0" applyFont="1" applyFill="1" applyAlignment="1">
      <alignment horizontal="center"/>
    </xf>
    <xf numFmtId="0" fontId="43" fillId="0" borderId="0" xfId="0" quotePrefix="1" applyFont="1" applyAlignment="1">
      <alignment horizontal="left" wrapText="1"/>
    </xf>
    <xf numFmtId="0" fontId="43" fillId="0" borderId="0" xfId="0" applyFont="1" applyAlignment="1">
      <alignment horizontal="justify" vertical="justify" wrapText="1"/>
    </xf>
    <xf numFmtId="0" fontId="36" fillId="7" borderId="0" xfId="0" applyFont="1" applyFill="1" applyAlignment="1">
      <alignment horizontal="center"/>
    </xf>
    <xf numFmtId="0" fontId="48" fillId="3" borderId="0" xfId="7" applyFont="1" applyFill="1" applyAlignment="1">
      <alignment horizontal="center"/>
    </xf>
    <xf numFmtId="3" fontId="49" fillId="3" borderId="0" xfId="7" applyNumberFormat="1" applyFont="1" applyFill="1" applyAlignment="1">
      <alignment horizontal="center"/>
    </xf>
    <xf numFmtId="0" fontId="6" fillId="0" borderId="0" xfId="7" applyFont="1" applyAlignment="1">
      <alignment horizontal="center"/>
    </xf>
    <xf numFmtId="0" fontId="9" fillId="4" borderId="0" xfId="7" applyFont="1" applyFill="1" applyAlignment="1">
      <alignment horizontal="center"/>
    </xf>
    <xf numFmtId="0" fontId="47" fillId="0" borderId="0" xfId="7" applyFont="1" applyAlignment="1">
      <alignment horizontal="center"/>
    </xf>
    <xf numFmtId="0" fontId="9" fillId="0" borderId="0" xfId="7" applyFont="1" applyAlignment="1">
      <alignment horizontal="center"/>
    </xf>
    <xf numFmtId="0" fontId="33" fillId="3" borderId="0" xfId="0" applyFont="1" applyFill="1" applyAlignment="1">
      <alignment horizontal="center" vertical="center"/>
    </xf>
    <xf numFmtId="0" fontId="33" fillId="3" borderId="0" xfId="0" applyFont="1" applyFill="1" applyAlignment="1">
      <alignment horizontal="left" vertical="center"/>
    </xf>
    <xf numFmtId="0" fontId="6" fillId="0" borderId="0" xfId="0" applyFont="1" applyAlignment="1">
      <alignment horizontal="center"/>
    </xf>
    <xf numFmtId="0" fontId="9" fillId="4" borderId="0" xfId="0" applyFont="1" applyFill="1" applyAlignment="1">
      <alignment horizontal="center"/>
    </xf>
    <xf numFmtId="0" fontId="9" fillId="0" borderId="0" xfId="0" applyFont="1" applyAlignment="1">
      <alignment horizontal="center"/>
    </xf>
    <xf numFmtId="0" fontId="10" fillId="0" borderId="0" xfId="0" applyFont="1" applyAlignment="1">
      <alignment horizontal="center"/>
    </xf>
    <xf numFmtId="0" fontId="48" fillId="3" borderId="0" xfId="0" applyFont="1" applyFill="1" applyAlignment="1">
      <alignment horizontal="center"/>
    </xf>
    <xf numFmtId="3" fontId="49" fillId="3" borderId="0" xfId="0" applyNumberFormat="1" applyFont="1" applyFill="1" applyAlignment="1">
      <alignment horizontal="center"/>
    </xf>
    <xf numFmtId="3" fontId="6" fillId="0" borderId="0" xfId="0" applyNumberFormat="1" applyFont="1" applyAlignment="1">
      <alignment horizontal="center"/>
    </xf>
    <xf numFmtId="0" fontId="33" fillId="3" borderId="0" xfId="0" applyFont="1" applyFill="1" applyAlignment="1">
      <alignment horizontal="center"/>
    </xf>
    <xf numFmtId="0" fontId="41" fillId="0" borderId="0" xfId="0" quotePrefix="1" applyFont="1" applyAlignment="1">
      <alignment horizontal="left" vertical="top" wrapText="1"/>
    </xf>
    <xf numFmtId="0" fontId="43" fillId="0" borderId="0" xfId="0" quotePrefix="1" applyFont="1" applyAlignment="1">
      <alignment horizontal="left" vertical="top" wrapText="1"/>
    </xf>
  </cellXfs>
  <cellStyles count="14">
    <cellStyle name="Hipervínculo" xfId="1" builtinId="8"/>
    <cellStyle name="Millares [0]_alllotjaments311299" xfId="2" xr:uid="{00000000-0005-0000-0000-000001000000}"/>
    <cellStyle name="Millares [0]_alllotjaments311299 2" xfId="3" xr:uid="{00000000-0005-0000-0000-000002000000}"/>
    <cellStyle name="Neutral 2" xfId="4" xr:uid="{00000000-0005-0000-0000-000003000000}"/>
    <cellStyle name="Neutral 3" xfId="5" xr:uid="{00000000-0005-0000-0000-000004000000}"/>
    <cellStyle name="Neutral 4" xfId="6" xr:uid="{00000000-0005-0000-0000-000005000000}"/>
    <cellStyle name="Normal" xfId="0" builtinId="0"/>
    <cellStyle name="Normal 2" xfId="7" xr:uid="{00000000-0005-0000-0000-000007000000}"/>
    <cellStyle name="Normal 5" xfId="8" xr:uid="{00000000-0005-0000-0000-000008000000}"/>
    <cellStyle name="Normal 6" xfId="9" xr:uid="{00000000-0005-0000-0000-000009000000}"/>
    <cellStyle name="Porcentaje" xfId="10" builtinId="5"/>
    <cellStyle name="Total 2" xfId="11" xr:uid="{00000000-0005-0000-0000-00000B000000}"/>
    <cellStyle name="Total 3" xfId="12" xr:uid="{00000000-0005-0000-0000-00000C000000}"/>
    <cellStyle name="Total 4" xfId="13" xr:uid="{00000000-0005-0000-0000-00000D000000}"/>
  </cellStyles>
  <dxfs count="19">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2F50-418A-9D42-CDEBCDA47956}"/>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2F50-418A-9D42-CDEBCDA4795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2F50-418A-9D42-CDEBCDA47956}"/>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2F50-418A-9D42-CDEBCDA47956}"/>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2F50-418A-9D42-CDEBCDA47956}"/>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9-2F50-418A-9D42-CDEBCDA47956}"/>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840F-4D04-8BA8-482CF0CF2FFB}"/>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840F-4D04-8BA8-482CF0CF2FFB}"/>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840F-4D04-8BA8-482CF0CF2FFB}"/>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840F-4D04-8BA8-482CF0CF2FFB}"/>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840F-4D04-8BA8-482CF0CF2FFB}"/>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9-840F-4D04-8BA8-482CF0CF2FFB}"/>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B8CC-4F11-A644-DCAE178A1EE1}"/>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B8CC-4F11-A644-DCAE178A1EE1}"/>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B8CC-4F11-A644-DCAE178A1EE1}"/>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B8CC-4F11-A644-DCAE178A1EE1}"/>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B8CC-4F11-A644-DCAE178A1EE1}"/>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B8CC-4F11-A644-DCAE178A1EE1}"/>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9992-48B7-82D2-939ECFDAE933}"/>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9992-48B7-82D2-939ECFDAE933}"/>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9992-48B7-82D2-939ECFDAE933}"/>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9992-48B7-82D2-939ECFDAE933}"/>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9992-48B7-82D2-939ECFDAE933}"/>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9992-48B7-82D2-939ECFDAE933}"/>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34"/>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B00E-48EE-BA56-FEAECC296FCC}"/>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B00E-48EE-BA56-FEAECC296FC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B00E-48EE-BA56-FEAECC296FCC}"/>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B00E-48EE-BA56-FEAECC296FCC}"/>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B00E-48EE-BA56-FEAECC296FCC}"/>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B00E-48EE-BA56-FEAECC296FCC}"/>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22" r="0.75000000000000422"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11"/>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1DB5-4665-9610-F756F9E88626}"/>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1DB5-4665-9610-F756F9E8862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1DB5-4665-9610-F756F9E88626}"/>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1DB5-4665-9610-F756F9E88626}"/>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1DB5-4665-9610-F756F9E88626}"/>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1DB5-4665-9610-F756F9E88626}"/>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 r="0.750000000000004" t="1" header="0" footer="0"/>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89"/>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4999-4901-9DA3-26CD984A704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4999-4901-9DA3-26CD984A704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4999-4901-9DA3-26CD984A704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4999-4901-9DA3-26CD984A704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4999-4901-9DA3-26CD984A7042}"/>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4999-4901-9DA3-26CD984A7042}"/>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77" r="0.75000000000000377"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61"/>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49F4-424C-8BF1-5D01AE3ABB0C}"/>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49F4-424C-8BF1-5D01AE3ABB0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49F4-424C-8BF1-5D01AE3ABB0C}"/>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49F4-424C-8BF1-5D01AE3ABB0C}"/>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49F4-424C-8BF1-5D01AE3ABB0C}"/>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49F4-424C-8BF1-5D01AE3ABB0C}"/>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55" r="0.75000000000000355" t="1" header="0" footer="0"/>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39"/>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D4B9-4560-B92E-23BA40E87E84}"/>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4B9-4560-B92E-23BA40E87E84}"/>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D4B9-4560-B92E-23BA40E87E84}"/>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D4B9-4560-B92E-23BA40E87E84}"/>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D4B9-4560-B92E-23BA40E87E84}"/>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D4B9-4560-B92E-23BA40E87E84}"/>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33" r="0.75000000000000333" t="1" header="0" footer="0"/>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11"/>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0539-4D37-9C54-47AB5B6FEC6F}"/>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0539-4D37-9C54-47AB5B6FEC6F}"/>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0539-4D37-9C54-47AB5B6FEC6F}"/>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0539-4D37-9C54-47AB5B6FEC6F}"/>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0539-4D37-9C54-47AB5B6FEC6F}"/>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0539-4D37-9C54-47AB5B6FEC6F}"/>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11" r="0.75000000000000311" t="1" header="0" footer="0"/>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3999989"/>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F7B4-4344-99E2-CA9E1F66C549}"/>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F7B4-4344-99E2-CA9E1F66C54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F7B4-4344-99E2-CA9E1F66C549}"/>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F7B4-4344-99E2-CA9E1F66C549}"/>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F7B4-4344-99E2-CA9E1F66C549}"/>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F7B4-4344-99E2-CA9E1F66C549}"/>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289" r="0.75000000000000289"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3999962"/>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A535-411B-9105-0E05A2EB162C}"/>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A535-411B-9105-0E05A2EB162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A535-411B-9105-0E05A2EB162C}"/>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A535-411B-9105-0E05A2EB162C}"/>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A535-411B-9105-0E05A2EB162C}"/>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A535-411B-9105-0E05A2EB162C}"/>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266" r="0.75000000000000266" t="1" header="0" footer="0"/>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3999939"/>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BDBE-4771-9D1E-4B37C240B73B}"/>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BDBE-4771-9D1E-4B37C240B73B}"/>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BDBE-4771-9D1E-4B37C240B73B}"/>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BDBE-4771-9D1E-4B37C240B73B}"/>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BDBE-4771-9D1E-4B37C240B73B}"/>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BDBE-4771-9D1E-4B37C240B73B}"/>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244" r="0.75000000000000244" t="1" header="0" footer="0"/>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3</xdr:col>
      <xdr:colOff>770668</xdr:colOff>
      <xdr:row>5</xdr:row>
      <xdr:rowOff>52267</xdr:rowOff>
    </xdr:to>
    <xdr:pic>
      <xdr:nvPicPr>
        <xdr:cNvPr id="2" name="Imagen 1">
          <a:extLst>
            <a:ext uri="{FF2B5EF4-FFF2-40B4-BE49-F238E27FC236}">
              <a16:creationId xmlns:a16="http://schemas.microsoft.com/office/drawing/2014/main" id="{42055E9E-06AF-4652-81F9-91CEC74815B4}"/>
            </a:ext>
          </a:extLst>
        </xdr:cNvPr>
        <xdr:cNvPicPr>
          <a:picLocks noChangeAspect="1"/>
        </xdr:cNvPicPr>
      </xdr:nvPicPr>
      <xdr:blipFill>
        <a:blip xmlns:r="http://schemas.openxmlformats.org/officeDocument/2006/relationships" r:embed="rId1"/>
        <a:stretch>
          <a:fillRect/>
        </a:stretch>
      </xdr:blipFill>
      <xdr:spPr>
        <a:xfrm>
          <a:off x="9525" y="200025"/>
          <a:ext cx="3304318" cy="804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A92895CD-2E1A-46A6-805C-E6EE16A02B05}"/>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476A2209-E289-4C40-AB4B-77118EC4BFD8}"/>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2" name="Chart 7">
          <a:extLst>
            <a:ext uri="{FF2B5EF4-FFF2-40B4-BE49-F238E27FC236}">
              <a16:creationId xmlns:a16="http://schemas.microsoft.com/office/drawing/2014/main" id="{78443BB0-752B-4BA8-9CFD-91AC81179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2" name="Chart 7">
          <a:extLst>
            <a:ext uri="{FF2B5EF4-FFF2-40B4-BE49-F238E27FC236}">
              <a16:creationId xmlns:a16="http://schemas.microsoft.com/office/drawing/2014/main" id="{7F14E78B-9AA6-488D-8E47-124273AB1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2523158" name="Chart 7">
          <a:extLst>
            <a:ext uri="{FF2B5EF4-FFF2-40B4-BE49-F238E27FC236}">
              <a16:creationId xmlns:a16="http://schemas.microsoft.com/office/drawing/2014/main" id="{2E0B2BFA-0DCC-DC8B-26D0-5386291EB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2317354" name="Chart 7">
          <a:extLst>
            <a:ext uri="{FF2B5EF4-FFF2-40B4-BE49-F238E27FC236}">
              <a16:creationId xmlns:a16="http://schemas.microsoft.com/office/drawing/2014/main" id="{D3F7F65D-0E00-5F4A-E2F0-0BEA7C1BA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1770597" name="Chart 7">
          <a:extLst>
            <a:ext uri="{FF2B5EF4-FFF2-40B4-BE49-F238E27FC236}">
              <a16:creationId xmlns:a16="http://schemas.microsoft.com/office/drawing/2014/main" id="{60981B08-8AB2-E72F-8538-12658B686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1145009" name="Chart 7">
          <a:extLst>
            <a:ext uri="{FF2B5EF4-FFF2-40B4-BE49-F238E27FC236}">
              <a16:creationId xmlns:a16="http://schemas.microsoft.com/office/drawing/2014/main" id="{14FA9671-737D-4502-36FC-F69260B59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876758" name="Chart 7">
          <a:extLst>
            <a:ext uri="{FF2B5EF4-FFF2-40B4-BE49-F238E27FC236}">
              <a16:creationId xmlns:a16="http://schemas.microsoft.com/office/drawing/2014/main" id="{5DCD6C99-AE5C-2B21-6CCF-1FB2DB3FD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529678" name="Chart 7">
          <a:extLst>
            <a:ext uri="{FF2B5EF4-FFF2-40B4-BE49-F238E27FC236}">
              <a16:creationId xmlns:a16="http://schemas.microsoft.com/office/drawing/2014/main" id="{2F8C934B-890E-FD1E-A948-49431A926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292156" name="Chart 7">
          <a:extLst>
            <a:ext uri="{FF2B5EF4-FFF2-40B4-BE49-F238E27FC236}">
              <a16:creationId xmlns:a16="http://schemas.microsoft.com/office/drawing/2014/main" id="{CC316C11-A0B4-9FC8-C90B-FEB1D5628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192852" name="Chart 7">
          <a:extLst>
            <a:ext uri="{FF2B5EF4-FFF2-40B4-BE49-F238E27FC236}">
              <a16:creationId xmlns:a16="http://schemas.microsoft.com/office/drawing/2014/main" id="{4EA2D0EE-44F9-4339-4C56-B61DBD314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132455" name="Chart 7">
          <a:extLst>
            <a:ext uri="{FF2B5EF4-FFF2-40B4-BE49-F238E27FC236}">
              <a16:creationId xmlns:a16="http://schemas.microsoft.com/office/drawing/2014/main" id="{4BE2120A-EC27-904C-E0C9-169157730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45</xdr:row>
      <xdr:rowOff>0</xdr:rowOff>
    </xdr:from>
    <xdr:to>
      <xdr:col>9</xdr:col>
      <xdr:colOff>219075</xdr:colOff>
      <xdr:row>45</xdr:row>
      <xdr:rowOff>0</xdr:rowOff>
    </xdr:to>
    <xdr:graphicFrame macro="">
      <xdr:nvGraphicFramePr>
        <xdr:cNvPr id="71036" name="Chart 7">
          <a:extLst>
            <a:ext uri="{FF2B5EF4-FFF2-40B4-BE49-F238E27FC236}">
              <a16:creationId xmlns:a16="http://schemas.microsoft.com/office/drawing/2014/main" id="{D4E31EE1-D46A-B596-8DDB-9EFC2E0E2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47</xdr:row>
      <xdr:rowOff>0</xdr:rowOff>
    </xdr:from>
    <xdr:to>
      <xdr:col>9</xdr:col>
      <xdr:colOff>219075</xdr:colOff>
      <xdr:row>47</xdr:row>
      <xdr:rowOff>0</xdr:rowOff>
    </xdr:to>
    <xdr:graphicFrame macro="">
      <xdr:nvGraphicFramePr>
        <xdr:cNvPr id="32146" name="Chart 7">
          <a:extLst>
            <a:ext uri="{FF2B5EF4-FFF2-40B4-BE49-F238E27FC236}">
              <a16:creationId xmlns:a16="http://schemas.microsoft.com/office/drawing/2014/main" id="{152B1283-EC96-056C-E820-5668B5B23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K117"/>
  <sheetViews>
    <sheetView showGridLines="0" tabSelected="1" view="pageBreakPreview" zoomScaleNormal="100" zoomScaleSheetLayoutView="100" workbookViewId="0">
      <selection activeCell="A12" sqref="A12:K12"/>
    </sheetView>
  </sheetViews>
  <sheetFormatPr baseColWidth="10" defaultRowHeight="15"/>
  <cols>
    <col min="1" max="11" width="12.7109375" customWidth="1"/>
  </cols>
  <sheetData>
    <row r="8" spans="1:11">
      <c r="E8" s="48"/>
    </row>
    <row r="9" spans="1:11">
      <c r="E9" s="48"/>
    </row>
    <row r="10" spans="1:11">
      <c r="E10" s="48"/>
    </row>
    <row r="11" spans="1:11">
      <c r="E11" s="48"/>
    </row>
    <row r="12" spans="1:11" ht="14.25" customHeight="1">
      <c r="A12" s="122" t="s">
        <v>154</v>
      </c>
      <c r="B12" s="122"/>
      <c r="C12" s="122"/>
      <c r="D12" s="122"/>
      <c r="E12" s="122"/>
      <c r="F12" s="122"/>
      <c r="G12" s="122"/>
      <c r="H12" s="122"/>
      <c r="I12" s="122"/>
      <c r="J12" s="122"/>
      <c r="K12" s="122"/>
    </row>
    <row r="15" spans="1:11">
      <c r="A15" s="126"/>
      <c r="B15" s="126"/>
      <c r="C15" s="126"/>
      <c r="D15" s="126"/>
      <c r="E15" s="126"/>
      <c r="F15" s="126"/>
      <c r="G15" s="126"/>
      <c r="H15" s="126"/>
      <c r="I15" s="126"/>
      <c r="J15" s="126"/>
      <c r="K15" s="126"/>
    </row>
    <row r="17" spans="1:11" s="115" customFormat="1">
      <c r="A17" s="118" t="s">
        <v>330</v>
      </c>
      <c r="B17" s="118"/>
      <c r="C17" s="118"/>
      <c r="D17" s="118"/>
      <c r="E17" s="118"/>
      <c r="F17" s="118"/>
      <c r="G17" s="118"/>
      <c r="H17" s="118"/>
      <c r="I17" s="118"/>
      <c r="J17" s="118"/>
      <c r="K17" s="118"/>
    </row>
    <row r="18" spans="1:11" s="115" customFormat="1">
      <c r="A18" s="118" t="s">
        <v>331</v>
      </c>
      <c r="B18" s="118"/>
      <c r="C18" s="118"/>
      <c r="D18" s="118"/>
      <c r="E18" s="118"/>
      <c r="F18" s="118"/>
      <c r="G18" s="118"/>
      <c r="H18" s="118"/>
      <c r="I18" s="118"/>
      <c r="J18" s="118"/>
      <c r="K18" s="118"/>
    </row>
    <row r="19" spans="1:11" s="115" customFormat="1">
      <c r="A19" s="118" t="s">
        <v>332</v>
      </c>
      <c r="B19" s="118"/>
      <c r="C19" s="118"/>
      <c r="D19" s="118"/>
      <c r="E19" s="118"/>
      <c r="F19" s="118"/>
      <c r="G19" s="118"/>
      <c r="H19" s="118"/>
      <c r="I19" s="118"/>
      <c r="J19" s="118"/>
      <c r="K19" s="118"/>
    </row>
    <row r="20" spans="1:11" s="115" customFormat="1">
      <c r="A20" s="118" t="s">
        <v>333</v>
      </c>
      <c r="B20" s="118"/>
      <c r="C20" s="118"/>
      <c r="D20" s="118"/>
      <c r="E20" s="118"/>
      <c r="F20" s="118"/>
      <c r="G20" s="118"/>
      <c r="H20" s="118"/>
      <c r="I20" s="118"/>
      <c r="J20" s="118"/>
      <c r="K20" s="118"/>
    </row>
    <row r="21" spans="1:11" s="115" customFormat="1">
      <c r="A21" s="118" t="s">
        <v>334</v>
      </c>
      <c r="B21" s="118"/>
      <c r="C21" s="118"/>
      <c r="D21" s="118"/>
      <c r="E21" s="118"/>
      <c r="F21" s="118"/>
      <c r="G21" s="118"/>
      <c r="H21" s="118"/>
      <c r="I21" s="118"/>
      <c r="J21" s="118"/>
      <c r="K21" s="118"/>
    </row>
    <row r="22" spans="1:11" s="115" customFormat="1">
      <c r="A22" s="118" t="s">
        <v>335</v>
      </c>
      <c r="B22" s="118"/>
      <c r="C22" s="118"/>
      <c r="D22" s="118"/>
      <c r="E22" s="118"/>
      <c r="F22" s="118"/>
      <c r="G22" s="118"/>
      <c r="H22" s="118"/>
      <c r="I22" s="118"/>
      <c r="J22" s="118"/>
      <c r="K22" s="118"/>
    </row>
    <row r="23" spans="1:11" s="115" customFormat="1">
      <c r="A23" s="118" t="s">
        <v>336</v>
      </c>
      <c r="B23" s="118"/>
      <c r="C23" s="118"/>
      <c r="D23" s="118"/>
      <c r="E23" s="118"/>
      <c r="F23" s="118"/>
      <c r="G23" s="118"/>
      <c r="H23" s="118"/>
      <c r="I23" s="118"/>
      <c r="J23" s="118"/>
      <c r="K23" s="118"/>
    </row>
    <row r="24" spans="1:11" s="115" customFormat="1">
      <c r="A24" s="118" t="s">
        <v>337</v>
      </c>
      <c r="B24" s="118"/>
      <c r="C24" s="118"/>
      <c r="D24" s="118"/>
      <c r="E24" s="118"/>
      <c r="F24" s="118"/>
      <c r="G24" s="118"/>
      <c r="H24" s="118"/>
      <c r="I24" s="118"/>
      <c r="J24" s="118"/>
      <c r="K24" s="118"/>
    </row>
    <row r="25" spans="1:11" s="115" customFormat="1">
      <c r="A25" s="118" t="s">
        <v>338</v>
      </c>
      <c r="B25" s="118"/>
      <c r="C25" s="118"/>
      <c r="D25" s="118"/>
      <c r="E25" s="118"/>
      <c r="F25" s="118"/>
      <c r="G25" s="118"/>
      <c r="H25" s="118"/>
      <c r="I25" s="118"/>
      <c r="J25" s="118"/>
      <c r="K25" s="118"/>
    </row>
    <row r="26" spans="1:11" s="115" customFormat="1">
      <c r="A26" s="118" t="s">
        <v>339</v>
      </c>
      <c r="B26" s="118"/>
      <c r="C26" s="118"/>
      <c r="D26" s="118"/>
      <c r="E26" s="118"/>
      <c r="F26" s="118"/>
      <c r="G26" s="118"/>
      <c r="H26" s="118"/>
      <c r="I26" s="118"/>
      <c r="J26" s="118"/>
      <c r="K26" s="118"/>
    </row>
    <row r="27" spans="1:11" s="115" customFormat="1">
      <c r="A27" s="118" t="s">
        <v>340</v>
      </c>
      <c r="B27" s="118"/>
      <c r="C27" s="118"/>
      <c r="D27" s="118"/>
      <c r="E27" s="118"/>
      <c r="F27" s="118"/>
      <c r="G27" s="118"/>
      <c r="H27" s="118"/>
      <c r="I27" s="118"/>
      <c r="J27" s="118"/>
      <c r="K27" s="118"/>
    </row>
    <row r="28" spans="1:11" s="115" customFormat="1">
      <c r="A28" s="118" t="s">
        <v>341</v>
      </c>
      <c r="B28" s="118"/>
      <c r="C28" s="118"/>
      <c r="D28" s="118"/>
      <c r="E28" s="118"/>
      <c r="F28" s="118"/>
      <c r="G28" s="118"/>
      <c r="H28" s="118"/>
      <c r="I28" s="118"/>
      <c r="J28" s="118"/>
      <c r="K28" s="118"/>
    </row>
    <row r="29" spans="1:11" s="115" customFormat="1">
      <c r="A29" s="118" t="s">
        <v>342</v>
      </c>
      <c r="B29" s="118"/>
      <c r="C29" s="118"/>
      <c r="D29" s="118"/>
      <c r="E29" s="118"/>
      <c r="F29" s="118"/>
      <c r="G29" s="118"/>
      <c r="H29" s="118"/>
      <c r="I29" s="118"/>
      <c r="J29" s="118"/>
      <c r="K29" s="118"/>
    </row>
    <row r="30" spans="1:11" s="115" customFormat="1">
      <c r="A30" s="118" t="s">
        <v>343</v>
      </c>
      <c r="B30" s="118"/>
      <c r="C30" s="118"/>
      <c r="D30" s="118"/>
      <c r="E30" s="118"/>
      <c r="F30" s="118"/>
      <c r="G30" s="118"/>
      <c r="H30" s="118"/>
      <c r="I30" s="118"/>
      <c r="J30" s="118"/>
      <c r="K30" s="118"/>
    </row>
    <row r="31" spans="1:11" s="115" customFormat="1">
      <c r="A31" s="118" t="s">
        <v>344</v>
      </c>
      <c r="B31" s="118"/>
      <c r="C31" s="118"/>
      <c r="D31" s="118"/>
      <c r="E31" s="118"/>
      <c r="F31" s="118"/>
      <c r="G31" s="118"/>
      <c r="H31" s="118"/>
      <c r="I31" s="118"/>
      <c r="J31" s="118"/>
      <c r="K31" s="118"/>
    </row>
    <row r="32" spans="1:11" s="115" customFormat="1">
      <c r="A32" s="118" t="s">
        <v>345</v>
      </c>
      <c r="B32" s="118"/>
      <c r="C32" s="118"/>
      <c r="D32" s="118"/>
      <c r="E32" s="118"/>
      <c r="F32" s="118"/>
      <c r="G32" s="118"/>
      <c r="H32" s="118"/>
      <c r="I32" s="118"/>
      <c r="J32" s="118"/>
      <c r="K32" s="118"/>
    </row>
    <row r="33" spans="1:11" s="115" customFormat="1">
      <c r="A33" s="118" t="s">
        <v>346</v>
      </c>
      <c r="B33" s="118"/>
      <c r="C33" s="118"/>
      <c r="D33" s="118"/>
      <c r="E33" s="118"/>
      <c r="F33" s="118"/>
      <c r="G33" s="118"/>
      <c r="H33" s="118"/>
      <c r="I33" s="118"/>
      <c r="J33" s="118"/>
      <c r="K33" s="118"/>
    </row>
    <row r="34" spans="1:11" s="115" customFormat="1">
      <c r="A34" s="118" t="s">
        <v>347</v>
      </c>
      <c r="B34" s="118"/>
      <c r="C34" s="118"/>
      <c r="D34" s="118"/>
      <c r="E34" s="118"/>
      <c r="F34" s="118"/>
      <c r="G34" s="118"/>
      <c r="H34" s="118"/>
      <c r="I34" s="118"/>
      <c r="J34" s="118"/>
      <c r="K34" s="118"/>
    </row>
    <row r="35" spans="1:11" s="115" customFormat="1">
      <c r="A35" s="118" t="s">
        <v>348</v>
      </c>
      <c r="B35" s="118"/>
      <c r="C35" s="118"/>
      <c r="D35" s="118"/>
      <c r="E35" s="118"/>
      <c r="F35" s="118"/>
      <c r="G35" s="118"/>
      <c r="H35" s="118"/>
      <c r="I35" s="118"/>
      <c r="J35" s="118"/>
      <c r="K35" s="118"/>
    </row>
    <row r="36" spans="1:11" s="115" customFormat="1">
      <c r="A36" s="118" t="s">
        <v>349</v>
      </c>
      <c r="B36" s="118"/>
      <c r="C36" s="118"/>
      <c r="D36" s="118"/>
      <c r="E36" s="118"/>
      <c r="F36" s="118"/>
      <c r="G36" s="118"/>
      <c r="H36" s="118"/>
      <c r="I36" s="118"/>
      <c r="J36" s="118"/>
      <c r="K36" s="118"/>
    </row>
    <row r="37" spans="1:11" s="115" customFormat="1">
      <c r="A37" s="118" t="s">
        <v>350</v>
      </c>
      <c r="B37" s="118"/>
      <c r="C37" s="118"/>
      <c r="D37" s="118"/>
      <c r="E37" s="118"/>
      <c r="F37" s="118"/>
      <c r="G37" s="118"/>
      <c r="H37" s="118"/>
      <c r="I37" s="118"/>
      <c r="J37" s="118"/>
      <c r="K37" s="118"/>
    </row>
    <row r="38" spans="1:11" s="115" customFormat="1">
      <c r="A38" s="118" t="s">
        <v>351</v>
      </c>
      <c r="B38" s="118"/>
      <c r="C38" s="118"/>
      <c r="D38" s="118"/>
      <c r="E38" s="118"/>
      <c r="F38" s="118"/>
      <c r="G38" s="118"/>
      <c r="H38" s="118"/>
      <c r="I38" s="118"/>
      <c r="J38" s="118"/>
      <c r="K38" s="118"/>
    </row>
    <row r="39" spans="1:11" s="115" customFormat="1">
      <c r="A39" s="118" t="s">
        <v>352</v>
      </c>
      <c r="B39" s="118"/>
      <c r="C39" s="118"/>
      <c r="D39" s="118"/>
      <c r="E39" s="118"/>
      <c r="F39" s="118"/>
      <c r="G39" s="118"/>
      <c r="H39" s="118"/>
      <c r="I39" s="118"/>
      <c r="J39" s="118"/>
      <c r="K39" s="118"/>
    </row>
    <row r="40" spans="1:11" s="115" customFormat="1">
      <c r="A40" s="118" t="s">
        <v>353</v>
      </c>
      <c r="B40" s="118"/>
      <c r="C40" s="118"/>
      <c r="D40" s="118"/>
      <c r="E40" s="118"/>
      <c r="F40" s="118"/>
      <c r="G40" s="118"/>
      <c r="H40" s="118"/>
      <c r="I40" s="118"/>
      <c r="J40" s="118"/>
      <c r="K40" s="118"/>
    </row>
    <row r="41" spans="1:11" s="115" customFormat="1">
      <c r="A41" s="118" t="s">
        <v>354</v>
      </c>
      <c r="B41" s="118"/>
      <c r="C41" s="118"/>
      <c r="D41" s="118"/>
      <c r="E41" s="118"/>
      <c r="F41" s="118"/>
      <c r="G41" s="118"/>
      <c r="H41" s="118"/>
      <c r="I41" s="118"/>
      <c r="J41" s="118"/>
      <c r="K41" s="118"/>
    </row>
    <row r="42" spans="1:11" s="115" customFormat="1">
      <c r="A42" s="118" t="s">
        <v>355</v>
      </c>
      <c r="B42" s="118"/>
      <c r="C42" s="118"/>
      <c r="D42" s="118"/>
      <c r="E42" s="118"/>
      <c r="F42" s="118"/>
      <c r="G42" s="118"/>
      <c r="H42" s="118"/>
      <c r="I42" s="118"/>
      <c r="J42" s="118"/>
      <c r="K42" s="118"/>
    </row>
    <row r="43" spans="1:11" s="115" customFormat="1">
      <c r="A43" s="118" t="s">
        <v>356</v>
      </c>
      <c r="B43" s="118"/>
      <c r="C43" s="118"/>
      <c r="D43" s="118"/>
      <c r="E43" s="118"/>
      <c r="F43" s="118"/>
      <c r="G43" s="118"/>
      <c r="H43" s="118"/>
      <c r="I43" s="118"/>
      <c r="J43" s="118"/>
      <c r="K43" s="118"/>
    </row>
    <row r="44" spans="1:11" s="115" customFormat="1">
      <c r="A44" s="118" t="s">
        <v>357</v>
      </c>
      <c r="B44" s="118"/>
      <c r="C44" s="118"/>
      <c r="D44" s="118"/>
      <c r="E44" s="118"/>
      <c r="F44" s="118"/>
      <c r="G44" s="118"/>
      <c r="H44" s="118"/>
      <c r="I44" s="118"/>
      <c r="J44" s="118"/>
      <c r="K44" s="118"/>
    </row>
    <row r="45" spans="1:11" s="115" customFormat="1">
      <c r="A45" s="118" t="s">
        <v>358</v>
      </c>
      <c r="B45" s="118"/>
      <c r="C45" s="118"/>
      <c r="D45" s="118"/>
      <c r="E45" s="118"/>
      <c r="F45" s="118"/>
      <c r="G45" s="118"/>
      <c r="H45" s="118"/>
      <c r="I45" s="118"/>
      <c r="J45" s="118"/>
      <c r="K45" s="118"/>
    </row>
    <row r="46" spans="1:11" s="115" customFormat="1">
      <c r="A46" s="118" t="s">
        <v>359</v>
      </c>
      <c r="B46" s="118"/>
      <c r="C46" s="118"/>
      <c r="D46" s="118"/>
      <c r="E46" s="118"/>
      <c r="F46" s="118"/>
      <c r="G46" s="118"/>
      <c r="H46" s="118"/>
      <c r="I46" s="118"/>
      <c r="J46" s="118"/>
      <c r="K46" s="118"/>
    </row>
    <row r="47" spans="1:11" s="115" customFormat="1">
      <c r="A47" s="118" t="s">
        <v>360</v>
      </c>
      <c r="B47" s="118"/>
      <c r="C47" s="118"/>
      <c r="D47" s="118"/>
      <c r="E47" s="118"/>
      <c r="F47" s="118"/>
      <c r="G47" s="118"/>
      <c r="H47" s="118"/>
      <c r="I47" s="118"/>
      <c r="J47" s="118"/>
      <c r="K47" s="118"/>
    </row>
    <row r="48" spans="1:11" s="115" customFormat="1">
      <c r="A48" s="118" t="s">
        <v>361</v>
      </c>
      <c r="B48" s="118"/>
      <c r="C48" s="118"/>
      <c r="D48" s="118"/>
      <c r="E48" s="118"/>
      <c r="F48" s="118"/>
      <c r="G48" s="118"/>
      <c r="H48" s="118"/>
      <c r="I48" s="118"/>
      <c r="J48" s="118"/>
      <c r="K48" s="118"/>
    </row>
    <row r="49" spans="1:11" s="115" customFormat="1">
      <c r="A49" s="118" t="s">
        <v>362</v>
      </c>
      <c r="B49" s="118"/>
      <c r="C49" s="118"/>
      <c r="D49" s="118"/>
      <c r="E49" s="118"/>
      <c r="F49" s="118"/>
      <c r="G49" s="118"/>
      <c r="H49" s="118"/>
      <c r="I49" s="118"/>
      <c r="J49" s="118"/>
      <c r="K49" s="118"/>
    </row>
    <row r="50" spans="1:11" s="115" customFormat="1">
      <c r="A50" s="118" t="s">
        <v>363</v>
      </c>
      <c r="B50" s="118"/>
      <c r="C50" s="118"/>
      <c r="D50" s="118"/>
      <c r="E50" s="118"/>
      <c r="F50" s="118"/>
      <c r="G50" s="118"/>
      <c r="H50" s="118"/>
      <c r="I50" s="118"/>
      <c r="J50" s="118"/>
      <c r="K50" s="118"/>
    </row>
    <row r="51" spans="1:11" s="115" customFormat="1">
      <c r="A51" s="118" t="s">
        <v>364</v>
      </c>
      <c r="B51" s="118"/>
      <c r="C51" s="118"/>
      <c r="D51" s="118"/>
      <c r="E51" s="118"/>
      <c r="F51" s="118"/>
      <c r="G51" s="118"/>
      <c r="H51" s="118"/>
      <c r="I51" s="118"/>
      <c r="J51" s="118"/>
      <c r="K51" s="118"/>
    </row>
    <row r="52" spans="1:11" s="115" customFormat="1">
      <c r="A52" s="118" t="s">
        <v>365</v>
      </c>
      <c r="B52" s="118"/>
      <c r="C52" s="118"/>
      <c r="D52" s="118"/>
      <c r="E52" s="118"/>
      <c r="F52" s="118"/>
      <c r="G52" s="118"/>
      <c r="H52" s="118"/>
      <c r="I52" s="118"/>
      <c r="J52" s="118"/>
      <c r="K52" s="118"/>
    </row>
    <row r="53" spans="1:11" s="115" customFormat="1">
      <c r="A53" s="118" t="s">
        <v>366</v>
      </c>
      <c r="B53" s="118"/>
      <c r="C53" s="118"/>
      <c r="D53" s="118"/>
      <c r="E53" s="118"/>
      <c r="F53" s="118"/>
      <c r="G53" s="118"/>
      <c r="H53" s="118"/>
      <c r="I53" s="118"/>
      <c r="J53" s="118"/>
      <c r="K53" s="118"/>
    </row>
    <row r="54" spans="1:11" s="115" customFormat="1">
      <c r="A54" s="118" t="s">
        <v>367</v>
      </c>
      <c r="B54" s="118"/>
      <c r="C54" s="118"/>
      <c r="D54" s="118"/>
      <c r="E54" s="118"/>
      <c r="F54" s="118"/>
      <c r="G54" s="118"/>
      <c r="H54" s="118"/>
      <c r="I54" s="118"/>
      <c r="J54" s="118"/>
      <c r="K54" s="118"/>
    </row>
    <row r="55" spans="1:11" s="115" customFormat="1">
      <c r="A55" s="118" t="s">
        <v>368</v>
      </c>
      <c r="B55" s="118"/>
      <c r="C55" s="118"/>
      <c r="D55" s="118"/>
      <c r="E55" s="118"/>
      <c r="F55" s="118"/>
      <c r="G55" s="118"/>
      <c r="H55" s="118"/>
      <c r="I55" s="118"/>
      <c r="J55" s="118"/>
      <c r="K55" s="118"/>
    </row>
    <row r="56" spans="1:11" s="115" customFormat="1">
      <c r="A56" s="118" t="s">
        <v>369</v>
      </c>
      <c r="B56" s="118"/>
      <c r="C56" s="118"/>
      <c r="D56" s="118"/>
      <c r="E56" s="118"/>
      <c r="F56" s="118"/>
      <c r="G56" s="118"/>
      <c r="H56" s="118"/>
      <c r="I56" s="118"/>
      <c r="J56" s="118"/>
      <c r="K56" s="118"/>
    </row>
    <row r="57" spans="1:11" s="50" customFormat="1" ht="14.25"/>
    <row r="58" spans="1:11">
      <c r="A58" s="49"/>
      <c r="B58" s="49"/>
      <c r="C58" s="49"/>
      <c r="D58" s="49"/>
      <c r="E58" s="49"/>
      <c r="F58" s="49"/>
      <c r="G58" s="49"/>
      <c r="H58" s="49"/>
      <c r="I58" s="49"/>
      <c r="J58" s="49"/>
      <c r="K58" s="49"/>
    </row>
    <row r="59" spans="1:11">
      <c r="A59" s="98" t="s">
        <v>175</v>
      </c>
      <c r="B59" s="97"/>
      <c r="C59" s="97"/>
      <c r="D59" s="97"/>
      <c r="E59" s="97"/>
      <c r="F59" s="97"/>
      <c r="G59" s="97"/>
      <c r="H59" s="97"/>
      <c r="I59" s="97"/>
      <c r="J59" s="97"/>
      <c r="K59" s="97"/>
    </row>
    <row r="60" spans="1:11">
      <c r="A60" s="124" t="s">
        <v>239</v>
      </c>
      <c r="B60" s="124"/>
      <c r="C60" s="124"/>
      <c r="D60" s="124"/>
      <c r="E60" s="124"/>
      <c r="F60" s="124"/>
      <c r="G60" s="124"/>
      <c r="H60" s="124"/>
      <c r="I60" s="124"/>
      <c r="J60" s="124"/>
      <c r="K60" s="124"/>
    </row>
    <row r="61" spans="1:11">
      <c r="A61" s="119" t="s">
        <v>240</v>
      </c>
      <c r="B61" s="119"/>
      <c r="C61" s="119"/>
      <c r="D61" s="119"/>
      <c r="E61" s="119"/>
      <c r="F61" s="119"/>
      <c r="G61" s="119"/>
      <c r="H61" s="119"/>
      <c r="I61" s="119"/>
      <c r="J61" s="119"/>
      <c r="K61" s="119"/>
    </row>
    <row r="62" spans="1:11">
      <c r="A62" s="119"/>
      <c r="B62" s="119"/>
      <c r="C62" s="119"/>
      <c r="D62" s="119"/>
      <c r="E62" s="119"/>
      <c r="F62" s="119"/>
      <c r="G62" s="119"/>
      <c r="H62" s="119"/>
      <c r="I62" s="119"/>
      <c r="J62" s="119"/>
      <c r="K62" s="119"/>
    </row>
    <row r="63" spans="1:11">
      <c r="A63" s="119" t="s">
        <v>176</v>
      </c>
      <c r="B63" s="119"/>
      <c r="C63" s="119"/>
      <c r="D63" s="119"/>
      <c r="E63" s="119"/>
      <c r="F63" s="119"/>
      <c r="G63" s="119"/>
      <c r="H63" s="119"/>
      <c r="I63" s="119"/>
      <c r="J63" s="119"/>
      <c r="K63" s="119"/>
    </row>
    <row r="64" spans="1:11">
      <c r="A64" s="119"/>
      <c r="B64" s="119"/>
      <c r="C64" s="119"/>
      <c r="D64" s="119"/>
      <c r="E64" s="119"/>
      <c r="F64" s="119"/>
      <c r="G64" s="119"/>
      <c r="H64" s="119"/>
      <c r="I64" s="119"/>
      <c r="J64" s="119"/>
      <c r="K64" s="119"/>
    </row>
    <row r="65" spans="1:11">
      <c r="A65" s="119" t="s">
        <v>177</v>
      </c>
      <c r="B65" s="119"/>
      <c r="C65" s="119"/>
      <c r="D65" s="119"/>
      <c r="E65" s="119"/>
      <c r="F65" s="119"/>
      <c r="G65" s="119"/>
      <c r="H65" s="119"/>
      <c r="I65" s="119"/>
      <c r="J65" s="119"/>
      <c r="K65" s="119"/>
    </row>
    <row r="66" spans="1:11">
      <c r="A66" s="119"/>
      <c r="B66" s="119"/>
      <c r="C66" s="119"/>
      <c r="D66" s="119"/>
      <c r="E66" s="119"/>
      <c r="F66" s="119"/>
      <c r="G66" s="119"/>
      <c r="H66" s="119"/>
      <c r="I66" s="119"/>
      <c r="J66" s="119"/>
      <c r="K66" s="119"/>
    </row>
    <row r="67" spans="1:11">
      <c r="A67" s="125" t="s">
        <v>178</v>
      </c>
      <c r="B67" s="125"/>
      <c r="C67" s="125"/>
      <c r="D67" s="125"/>
      <c r="E67" s="125"/>
      <c r="F67" s="125"/>
      <c r="G67" s="125"/>
      <c r="H67" s="125"/>
      <c r="I67" s="125"/>
      <c r="J67" s="125"/>
      <c r="K67" s="125"/>
    </row>
    <row r="68" spans="1:11" ht="15" customHeight="1">
      <c r="A68" s="117" t="s">
        <v>179</v>
      </c>
      <c r="B68" s="117"/>
      <c r="C68" s="117"/>
      <c r="D68" s="117"/>
      <c r="E68" s="117"/>
      <c r="F68" s="117"/>
      <c r="G68" s="117"/>
      <c r="H68" s="117"/>
      <c r="I68" s="117"/>
      <c r="J68" s="117"/>
      <c r="K68" s="117"/>
    </row>
    <row r="69" spans="1:11">
      <c r="A69" s="125" t="s">
        <v>180</v>
      </c>
      <c r="B69" s="125"/>
      <c r="C69" s="125"/>
      <c r="D69" s="125"/>
      <c r="E69" s="125"/>
      <c r="F69" s="125"/>
      <c r="G69" s="125"/>
      <c r="H69" s="125"/>
      <c r="I69" s="125"/>
      <c r="J69" s="125"/>
      <c r="K69" s="125"/>
    </row>
    <row r="70" spans="1:11" ht="15" customHeight="1">
      <c r="A70" s="117" t="s">
        <v>241</v>
      </c>
      <c r="B70" s="117"/>
      <c r="C70" s="117"/>
      <c r="D70" s="117"/>
      <c r="E70" s="117"/>
      <c r="F70" s="117"/>
      <c r="G70" s="117"/>
      <c r="H70" s="117"/>
      <c r="I70" s="117"/>
      <c r="J70" s="117"/>
      <c r="K70" s="117"/>
    </row>
    <row r="71" spans="1:11">
      <c r="A71" s="117"/>
      <c r="B71" s="117"/>
      <c r="C71" s="117"/>
      <c r="D71" s="117"/>
      <c r="E71" s="117"/>
      <c r="F71" s="117"/>
      <c r="G71" s="117"/>
      <c r="H71" s="117"/>
      <c r="I71" s="117"/>
      <c r="J71" s="117"/>
      <c r="K71" s="117"/>
    </row>
    <row r="72" spans="1:11">
      <c r="A72" s="104" t="s">
        <v>242</v>
      </c>
      <c r="B72" s="97"/>
      <c r="C72" s="97"/>
      <c r="D72" s="97"/>
      <c r="E72" s="97"/>
      <c r="F72" s="97"/>
      <c r="G72" s="97"/>
      <c r="H72" s="97"/>
      <c r="I72" s="97"/>
      <c r="J72" s="97"/>
      <c r="K72" s="103"/>
    </row>
    <row r="73" spans="1:11">
      <c r="A73" s="119" t="s">
        <v>243</v>
      </c>
      <c r="B73" s="119"/>
      <c r="C73" s="119"/>
      <c r="D73" s="119"/>
      <c r="E73" s="119"/>
      <c r="F73" s="119"/>
      <c r="G73" s="119"/>
      <c r="H73" s="119"/>
      <c r="I73" s="119"/>
      <c r="J73" s="119"/>
      <c r="K73" s="119"/>
    </row>
    <row r="74" spans="1:11">
      <c r="A74" s="119"/>
      <c r="B74" s="119"/>
      <c r="C74" s="119"/>
      <c r="D74" s="119"/>
      <c r="E74" s="119"/>
      <c r="F74" s="119"/>
      <c r="G74" s="119"/>
      <c r="H74" s="119"/>
      <c r="I74" s="119"/>
      <c r="J74" s="119"/>
      <c r="K74" s="119"/>
    </row>
    <row r="75" spans="1:11">
      <c r="A75" s="119"/>
      <c r="B75" s="119"/>
      <c r="C75" s="119"/>
      <c r="D75" s="119"/>
      <c r="E75" s="119"/>
      <c r="F75" s="119"/>
      <c r="G75" s="119"/>
      <c r="H75" s="119"/>
      <c r="I75" s="119"/>
      <c r="J75" s="119"/>
      <c r="K75" s="119"/>
    </row>
    <row r="76" spans="1:11">
      <c r="A76" s="119"/>
      <c r="B76" s="119"/>
      <c r="C76" s="119"/>
      <c r="D76" s="119"/>
      <c r="E76" s="119"/>
      <c r="F76" s="119"/>
      <c r="G76" s="119"/>
      <c r="H76" s="119"/>
      <c r="I76" s="119"/>
      <c r="J76" s="119"/>
      <c r="K76" s="119"/>
    </row>
    <row r="77" spans="1:11" ht="15" customHeight="1">
      <c r="A77" s="117" t="s">
        <v>244</v>
      </c>
      <c r="B77" s="117"/>
      <c r="C77" s="117"/>
      <c r="D77" s="117"/>
      <c r="E77" s="117"/>
      <c r="F77" s="117"/>
      <c r="G77" s="117"/>
      <c r="H77" s="117"/>
      <c r="I77" s="117"/>
      <c r="J77" s="117"/>
      <c r="K77" s="117"/>
    </row>
    <row r="78" spans="1:11">
      <c r="A78" s="117"/>
      <c r="B78" s="117"/>
      <c r="C78" s="117"/>
      <c r="D78" s="117"/>
      <c r="E78" s="117"/>
      <c r="F78" s="117"/>
      <c r="G78" s="117"/>
      <c r="H78" s="117"/>
      <c r="I78" s="117"/>
      <c r="J78" s="117"/>
      <c r="K78" s="117"/>
    </row>
    <row r="79" spans="1:11">
      <c r="A79" s="119" t="s">
        <v>245</v>
      </c>
      <c r="B79" s="119"/>
      <c r="C79" s="119"/>
      <c r="D79" s="119"/>
      <c r="E79" s="119"/>
      <c r="F79" s="119"/>
      <c r="G79" s="119"/>
      <c r="H79" s="119"/>
      <c r="I79" s="119"/>
      <c r="J79" s="119"/>
      <c r="K79" s="119"/>
    </row>
    <row r="80" spans="1:11">
      <c r="A80" s="119"/>
      <c r="B80" s="119"/>
      <c r="C80" s="119"/>
      <c r="D80" s="119"/>
      <c r="E80" s="119"/>
      <c r="F80" s="119"/>
      <c r="G80" s="119"/>
      <c r="H80" s="119"/>
      <c r="I80" s="119"/>
      <c r="J80" s="119"/>
      <c r="K80" s="119"/>
    </row>
    <row r="81" spans="1:11">
      <c r="A81" s="119" t="s">
        <v>246</v>
      </c>
      <c r="B81" s="119"/>
      <c r="C81" s="119"/>
      <c r="D81" s="119"/>
      <c r="E81" s="119"/>
      <c r="F81" s="119"/>
      <c r="G81" s="119"/>
      <c r="H81" s="119"/>
      <c r="I81" s="119"/>
      <c r="J81" s="119"/>
      <c r="K81" s="119"/>
    </row>
    <row r="82" spans="1:11">
      <c r="A82" s="119"/>
      <c r="B82" s="119"/>
      <c r="C82" s="119"/>
      <c r="D82" s="119"/>
      <c r="E82" s="119"/>
      <c r="F82" s="119"/>
      <c r="G82" s="119"/>
      <c r="H82" s="119"/>
      <c r="I82" s="119"/>
      <c r="J82" s="119"/>
      <c r="K82" s="119"/>
    </row>
    <row r="83" spans="1:11" ht="15" customHeight="1">
      <c r="A83" s="153" t="s">
        <v>247</v>
      </c>
      <c r="B83" s="153"/>
      <c r="C83" s="153"/>
      <c r="D83" s="153"/>
      <c r="E83" s="153"/>
      <c r="F83" s="153"/>
      <c r="G83" s="153"/>
      <c r="H83" s="153"/>
      <c r="I83" s="153"/>
      <c r="J83" s="153"/>
      <c r="K83" s="153"/>
    </row>
    <row r="84" spans="1:11">
      <c r="A84" s="153"/>
      <c r="B84" s="153"/>
      <c r="C84" s="153"/>
      <c r="D84" s="153"/>
      <c r="E84" s="153"/>
      <c r="F84" s="153"/>
      <c r="G84" s="153"/>
      <c r="H84" s="153"/>
      <c r="I84" s="153"/>
      <c r="J84" s="153"/>
      <c r="K84" s="153"/>
    </row>
    <row r="85" spans="1:11">
      <c r="A85" s="153"/>
      <c r="B85" s="153"/>
      <c r="C85" s="153"/>
      <c r="D85" s="153"/>
      <c r="E85" s="153"/>
      <c r="F85" s="153"/>
      <c r="G85" s="153"/>
      <c r="H85" s="153"/>
      <c r="I85" s="153"/>
      <c r="J85" s="153"/>
      <c r="K85" s="153"/>
    </row>
    <row r="86" spans="1:11">
      <c r="A86" s="153"/>
      <c r="B86" s="153"/>
      <c r="C86" s="153"/>
      <c r="D86" s="153"/>
      <c r="E86" s="153"/>
      <c r="F86" s="153"/>
      <c r="G86" s="153"/>
      <c r="H86" s="153"/>
      <c r="I86" s="153"/>
      <c r="J86" s="153"/>
      <c r="K86" s="153"/>
    </row>
    <row r="87" spans="1:11" ht="15" customHeight="1">
      <c r="A87" s="117" t="s">
        <v>248</v>
      </c>
      <c r="B87" s="117"/>
      <c r="C87" s="117"/>
      <c r="D87" s="117"/>
      <c r="E87" s="117"/>
      <c r="F87" s="117"/>
      <c r="G87" s="117"/>
      <c r="H87" s="117"/>
      <c r="I87" s="117"/>
      <c r="J87" s="117"/>
      <c r="K87" s="117"/>
    </row>
    <row r="88" spans="1:11">
      <c r="A88" s="119" t="s">
        <v>249</v>
      </c>
      <c r="B88" s="119"/>
      <c r="C88" s="119"/>
      <c r="D88" s="119"/>
      <c r="E88" s="119"/>
      <c r="F88" s="119"/>
      <c r="G88" s="119"/>
      <c r="H88" s="119"/>
      <c r="I88" s="119"/>
      <c r="J88" s="119"/>
      <c r="K88" s="119"/>
    </row>
    <row r="89" spans="1:11">
      <c r="A89" s="119"/>
      <c r="B89" s="119"/>
      <c r="C89" s="119"/>
      <c r="D89" s="119"/>
      <c r="E89" s="119"/>
      <c r="F89" s="119"/>
      <c r="G89" s="119"/>
      <c r="H89" s="119"/>
      <c r="I89" s="119"/>
      <c r="J89" s="119"/>
      <c r="K89" s="119"/>
    </row>
    <row r="90" spans="1:11">
      <c r="A90" s="120" t="s">
        <v>250</v>
      </c>
      <c r="B90" s="120"/>
      <c r="C90" s="120"/>
      <c r="D90" s="120"/>
      <c r="E90" s="120"/>
      <c r="F90" s="120"/>
      <c r="G90" s="120"/>
      <c r="H90" s="120"/>
      <c r="I90" s="120"/>
      <c r="J90" s="120"/>
      <c r="K90" s="120"/>
    </row>
    <row r="91" spans="1:11">
      <c r="A91" s="120" t="s">
        <v>251</v>
      </c>
      <c r="B91" s="120"/>
      <c r="C91" s="120"/>
      <c r="D91" s="120"/>
      <c r="E91" s="120"/>
      <c r="F91" s="120"/>
      <c r="G91" s="120"/>
      <c r="H91" s="120"/>
      <c r="I91" s="120"/>
      <c r="J91" s="120"/>
      <c r="K91" s="120"/>
    </row>
    <row r="92" spans="1:11">
      <c r="A92" s="119" t="s">
        <v>252</v>
      </c>
      <c r="B92" s="119"/>
      <c r="C92" s="119"/>
      <c r="D92" s="119"/>
      <c r="E92" s="119"/>
      <c r="F92" s="119"/>
      <c r="G92" s="119"/>
      <c r="H92" s="119"/>
      <c r="I92" s="119"/>
      <c r="J92" s="119"/>
      <c r="K92" s="119"/>
    </row>
    <row r="93" spans="1:11">
      <c r="A93" s="119"/>
      <c r="B93" s="119"/>
      <c r="C93" s="119"/>
      <c r="D93" s="119"/>
      <c r="E93" s="119"/>
      <c r="F93" s="119"/>
      <c r="G93" s="119"/>
      <c r="H93" s="119"/>
      <c r="I93" s="119"/>
      <c r="J93" s="119"/>
      <c r="K93" s="119"/>
    </row>
    <row r="94" spans="1:11">
      <c r="A94" s="119"/>
      <c r="B94" s="119"/>
      <c r="C94" s="119"/>
      <c r="D94" s="119"/>
      <c r="E94" s="119"/>
      <c r="F94" s="119"/>
      <c r="G94" s="119"/>
      <c r="H94" s="119"/>
      <c r="I94" s="119"/>
      <c r="J94" s="119"/>
      <c r="K94" s="119"/>
    </row>
    <row r="95" spans="1:11">
      <c r="A95" s="119"/>
      <c r="B95" s="119"/>
      <c r="C95" s="119"/>
      <c r="D95" s="119"/>
      <c r="E95" s="119"/>
      <c r="F95" s="119"/>
      <c r="G95" s="119"/>
      <c r="H95" s="119"/>
      <c r="I95" s="119"/>
      <c r="J95" s="119"/>
      <c r="K95" s="119"/>
    </row>
    <row r="96" spans="1:11">
      <c r="A96" s="119" t="s">
        <v>253</v>
      </c>
      <c r="B96" s="119"/>
      <c r="C96" s="119"/>
      <c r="D96" s="119"/>
      <c r="E96" s="119"/>
      <c r="F96" s="119"/>
      <c r="G96" s="119"/>
      <c r="H96" s="119"/>
      <c r="I96" s="119"/>
      <c r="J96" s="119"/>
      <c r="K96" s="119"/>
    </row>
    <row r="97" spans="1:11">
      <c r="A97" s="119"/>
      <c r="B97" s="119"/>
      <c r="C97" s="119"/>
      <c r="D97" s="119"/>
      <c r="E97" s="119"/>
      <c r="F97" s="119"/>
      <c r="G97" s="119"/>
      <c r="H97" s="119"/>
      <c r="I97" s="119"/>
      <c r="J97" s="119"/>
      <c r="K97" s="119"/>
    </row>
    <row r="98" spans="1:11">
      <c r="A98" s="119"/>
      <c r="B98" s="119"/>
      <c r="C98" s="119"/>
      <c r="D98" s="119"/>
      <c r="E98" s="119"/>
      <c r="F98" s="119"/>
      <c r="G98" s="119"/>
      <c r="H98" s="119"/>
      <c r="I98" s="119"/>
      <c r="J98" s="119"/>
      <c r="K98" s="119"/>
    </row>
    <row r="99" spans="1:11">
      <c r="A99" s="119" t="s">
        <v>254</v>
      </c>
      <c r="B99" s="119"/>
      <c r="C99" s="119"/>
      <c r="D99" s="119"/>
      <c r="E99" s="119"/>
      <c r="F99" s="119"/>
      <c r="G99" s="119"/>
      <c r="H99" s="119"/>
      <c r="I99" s="119"/>
      <c r="J99" s="119"/>
      <c r="K99" s="119"/>
    </row>
    <row r="100" spans="1:11">
      <c r="A100" s="119"/>
      <c r="B100" s="119"/>
      <c r="C100" s="119"/>
      <c r="D100" s="119"/>
      <c r="E100" s="119"/>
      <c r="F100" s="119"/>
      <c r="G100" s="119"/>
      <c r="H100" s="119"/>
      <c r="I100" s="119"/>
      <c r="J100" s="119"/>
      <c r="K100" s="119"/>
    </row>
    <row r="101" spans="1:11">
      <c r="A101" s="119" t="s">
        <v>255</v>
      </c>
      <c r="B101" s="119"/>
      <c r="C101" s="119"/>
      <c r="D101" s="119"/>
      <c r="E101" s="119"/>
      <c r="F101" s="119"/>
      <c r="G101" s="119"/>
      <c r="H101" s="119"/>
      <c r="I101" s="119"/>
      <c r="J101" s="119"/>
      <c r="K101" s="119"/>
    </row>
    <row r="102" spans="1:11">
      <c r="A102" s="119"/>
      <c r="B102" s="119"/>
      <c r="C102" s="119"/>
      <c r="D102" s="119"/>
      <c r="E102" s="119"/>
      <c r="F102" s="119"/>
      <c r="G102" s="119"/>
      <c r="H102" s="119"/>
      <c r="I102" s="119"/>
      <c r="J102" s="119"/>
      <c r="K102" s="119"/>
    </row>
    <row r="103" spans="1:11">
      <c r="A103" s="119" t="s">
        <v>256</v>
      </c>
      <c r="B103" s="119"/>
      <c r="C103" s="119"/>
      <c r="D103" s="119"/>
      <c r="E103" s="119"/>
      <c r="F103" s="119"/>
      <c r="G103" s="119"/>
      <c r="H103" s="119"/>
      <c r="I103" s="119"/>
      <c r="J103" s="119"/>
      <c r="K103" s="119"/>
    </row>
    <row r="104" spans="1:11">
      <c r="A104" s="119"/>
      <c r="B104" s="119"/>
      <c r="C104" s="119"/>
      <c r="D104" s="119"/>
      <c r="E104" s="119"/>
      <c r="F104" s="119"/>
      <c r="G104" s="119"/>
      <c r="H104" s="119"/>
      <c r="I104" s="119"/>
      <c r="J104" s="119"/>
      <c r="K104" s="119"/>
    </row>
    <row r="105" spans="1:11">
      <c r="A105" s="119" t="s">
        <v>257</v>
      </c>
      <c r="B105" s="119"/>
      <c r="C105" s="119"/>
      <c r="D105" s="119"/>
      <c r="E105" s="119"/>
      <c r="F105" s="119"/>
      <c r="G105" s="119"/>
      <c r="H105" s="119"/>
      <c r="I105" s="119"/>
      <c r="J105" s="119"/>
      <c r="K105" s="119"/>
    </row>
    <row r="106" spans="1:11">
      <c r="A106" s="119"/>
      <c r="B106" s="119"/>
      <c r="C106" s="119"/>
      <c r="D106" s="119"/>
      <c r="E106" s="119"/>
      <c r="F106" s="119"/>
      <c r="G106" s="119"/>
      <c r="H106" s="119"/>
      <c r="I106" s="119"/>
      <c r="J106" s="119"/>
      <c r="K106" s="119"/>
    </row>
    <row r="107" spans="1:11">
      <c r="A107" s="119" t="s">
        <v>258</v>
      </c>
      <c r="B107" s="119"/>
      <c r="C107" s="119"/>
      <c r="D107" s="119"/>
      <c r="E107" s="119"/>
      <c r="F107" s="119"/>
      <c r="G107" s="119"/>
      <c r="H107" s="119"/>
      <c r="I107" s="119"/>
      <c r="J107" s="119"/>
      <c r="K107" s="119"/>
    </row>
    <row r="108" spans="1:11">
      <c r="A108" s="119"/>
      <c r="B108" s="119"/>
      <c r="C108" s="119"/>
      <c r="D108" s="119"/>
      <c r="E108" s="119"/>
      <c r="F108" s="119"/>
      <c r="G108" s="119"/>
      <c r="H108" s="119"/>
      <c r="I108" s="119"/>
      <c r="J108" s="119"/>
      <c r="K108" s="119"/>
    </row>
    <row r="109" spans="1:11">
      <c r="A109" s="119" t="s">
        <v>259</v>
      </c>
      <c r="B109" s="119"/>
      <c r="C109" s="119"/>
      <c r="D109" s="119"/>
      <c r="E109" s="119"/>
      <c r="F109" s="119"/>
      <c r="G109" s="119"/>
      <c r="H109" s="119"/>
      <c r="I109" s="119"/>
      <c r="J109" s="119"/>
      <c r="K109" s="119"/>
    </row>
    <row r="110" spans="1:11">
      <c r="A110" s="119"/>
      <c r="B110" s="119"/>
      <c r="C110" s="119"/>
      <c r="D110" s="119"/>
      <c r="E110" s="119"/>
      <c r="F110" s="119"/>
      <c r="G110" s="119"/>
      <c r="H110" s="119"/>
      <c r="I110" s="119"/>
      <c r="J110" s="119"/>
      <c r="K110" s="119"/>
    </row>
    <row r="111" spans="1:11" ht="15" customHeight="1">
      <c r="A111" s="117" t="s">
        <v>260</v>
      </c>
      <c r="B111" s="117"/>
      <c r="C111" s="117"/>
      <c r="D111" s="117"/>
      <c r="E111" s="117"/>
      <c r="F111" s="117"/>
      <c r="G111" s="117"/>
      <c r="H111" s="117"/>
      <c r="I111" s="117"/>
      <c r="J111" s="117"/>
      <c r="K111" s="117"/>
    </row>
    <row r="112" spans="1:11">
      <c r="A112" s="117"/>
      <c r="B112" s="117"/>
      <c r="C112" s="117"/>
      <c r="D112" s="117"/>
      <c r="E112" s="117"/>
      <c r="F112" s="117"/>
      <c r="G112" s="117"/>
      <c r="H112" s="117"/>
      <c r="I112" s="117"/>
      <c r="J112" s="117"/>
      <c r="K112" s="117"/>
    </row>
    <row r="113" spans="1:11">
      <c r="A113" s="119" t="s">
        <v>261</v>
      </c>
      <c r="B113" s="119"/>
      <c r="C113" s="119"/>
      <c r="D113" s="119"/>
      <c r="E113" s="119"/>
      <c r="F113" s="119"/>
      <c r="G113" s="119"/>
      <c r="H113" s="119"/>
      <c r="I113" s="119"/>
      <c r="J113" s="119"/>
      <c r="K113" s="119"/>
    </row>
    <row r="114" spans="1:11">
      <c r="A114" s="119"/>
      <c r="B114" s="119"/>
      <c r="C114" s="119"/>
      <c r="D114" s="119"/>
      <c r="E114" s="119"/>
      <c r="F114" s="119"/>
      <c r="G114" s="119"/>
      <c r="H114" s="119"/>
      <c r="I114" s="119"/>
      <c r="J114" s="119"/>
      <c r="K114" s="119"/>
    </row>
    <row r="115" spans="1:11">
      <c r="A115" s="120" t="s">
        <v>262</v>
      </c>
      <c r="B115" s="120"/>
      <c r="C115" s="120"/>
      <c r="D115" s="120"/>
      <c r="E115" s="120"/>
      <c r="F115" s="120"/>
      <c r="G115" s="120"/>
      <c r="H115" s="120"/>
      <c r="I115" s="120"/>
      <c r="J115" s="120"/>
      <c r="K115" s="120"/>
    </row>
    <row r="116" spans="1:11">
      <c r="A116" s="123" t="s">
        <v>263</v>
      </c>
      <c r="B116" s="123"/>
      <c r="C116" s="123"/>
      <c r="D116" s="123"/>
      <c r="E116" s="123"/>
      <c r="F116" s="123"/>
      <c r="G116" s="123"/>
      <c r="H116" s="123"/>
      <c r="I116" s="123"/>
      <c r="J116" s="123"/>
      <c r="K116" s="123"/>
    </row>
    <row r="117" spans="1:11">
      <c r="A117" s="121" t="s">
        <v>370</v>
      </c>
      <c r="B117" s="121"/>
      <c r="C117" s="121"/>
      <c r="D117" s="121"/>
      <c r="E117" s="121"/>
      <c r="F117" s="121"/>
      <c r="G117" s="121"/>
      <c r="H117" s="121"/>
      <c r="I117" s="121"/>
      <c r="J117" s="121"/>
      <c r="K117" s="121"/>
    </row>
  </sheetData>
  <sheetProtection algorithmName="SHA-512" hashValue="3A4eiwF/GGYiY9XvGryAthitp4oO1U2TJskX+xNsGWRpsyIXhSvDJ7kmDa69i3/dcuGGqhkH97pUKFui4zEDBw==" saltValue="Lumz1h8poSx/W9ZDCpqYmg==" spinCount="100000" sheet="1" objects="1" scenarios="1"/>
  <mergeCells count="72">
    <mergeCell ref="A15:K15"/>
    <mergeCell ref="A43:K43"/>
    <mergeCell ref="A38:K38"/>
    <mergeCell ref="A25:K25"/>
    <mergeCell ref="A26:K26"/>
    <mergeCell ref="A27:K27"/>
    <mergeCell ref="A28:K28"/>
    <mergeCell ref="A42:K42"/>
    <mergeCell ref="A19:K19"/>
    <mergeCell ref="A20:K20"/>
    <mergeCell ref="A17:K17"/>
    <mergeCell ref="A18:K18"/>
    <mergeCell ref="A77:K78"/>
    <mergeCell ref="A83:K86"/>
    <mergeCell ref="A63:K64"/>
    <mergeCell ref="A65:K66"/>
    <mergeCell ref="A60:K60"/>
    <mergeCell ref="A67:K67"/>
    <mergeCell ref="A69:K69"/>
    <mergeCell ref="A61:K62"/>
    <mergeCell ref="A68:K68"/>
    <mergeCell ref="A70:K71"/>
    <mergeCell ref="A92:K95"/>
    <mergeCell ref="A96:K98"/>
    <mergeCell ref="A99:K100"/>
    <mergeCell ref="A101:K102"/>
    <mergeCell ref="A103:K104"/>
    <mergeCell ref="A117:K117"/>
    <mergeCell ref="A12:K12"/>
    <mergeCell ref="A21:K21"/>
    <mergeCell ref="A22:K22"/>
    <mergeCell ref="A23:K23"/>
    <mergeCell ref="A24:K24"/>
    <mergeCell ref="A29:K29"/>
    <mergeCell ref="A30:K30"/>
    <mergeCell ref="A31:K31"/>
    <mergeCell ref="A32:K32"/>
    <mergeCell ref="A107:K108"/>
    <mergeCell ref="A109:K110"/>
    <mergeCell ref="A113:K114"/>
    <mergeCell ref="A115:K115"/>
    <mergeCell ref="A116:K116"/>
    <mergeCell ref="A105:K106"/>
    <mergeCell ref="A48:K48"/>
    <mergeCell ref="A33:K33"/>
    <mergeCell ref="A34:K34"/>
    <mergeCell ref="A35:K35"/>
    <mergeCell ref="A36:K36"/>
    <mergeCell ref="A37:K37"/>
    <mergeCell ref="A39:K39"/>
    <mergeCell ref="A44:K44"/>
    <mergeCell ref="A40:K40"/>
    <mergeCell ref="A41:K41"/>
    <mergeCell ref="A45:K45"/>
    <mergeCell ref="A46:K46"/>
    <mergeCell ref="A47:K47"/>
    <mergeCell ref="A87:K87"/>
    <mergeCell ref="A111:K112"/>
    <mergeCell ref="A55:K55"/>
    <mergeCell ref="A56:K56"/>
    <mergeCell ref="A49:K49"/>
    <mergeCell ref="A50:K50"/>
    <mergeCell ref="A51:K51"/>
    <mergeCell ref="A52:K52"/>
    <mergeCell ref="A53:K53"/>
    <mergeCell ref="A54:K54"/>
    <mergeCell ref="A73:K76"/>
    <mergeCell ref="A88:K89"/>
    <mergeCell ref="A90:K90"/>
    <mergeCell ref="A91:K91"/>
    <mergeCell ref="A79:K80"/>
    <mergeCell ref="A81:K82"/>
  </mergeCells>
  <hyperlinks>
    <hyperlink ref="A39:J39" location="'TotalAllotj_12 (22)'!A1" display="Capacitat d'allotjament per tipus d'establiment i categoria a Eivissa (2012)…………………………………………………..………………………..pàg 22" xr:uid="{00000000-0004-0000-0000-000001000000}"/>
    <hyperlink ref="A40:J40" location="'Allotj.municipi_12 (23)'!A1" display="Distribució de la capacitat d'allotjament per municipis a Eivissa (2012)…………………………..……………..………..………………………………pàg 23" xr:uid="{00000000-0004-0000-0000-000002000000}"/>
    <hyperlink ref="A37:J37" location="'TotalAllotj_13 (20)'!A1" display="Capacitat d'allotjament per tipus d'establiment i categoria a Eivissa (2013)……………………………………………..……………………………..pàg 20" xr:uid="{00000000-0004-0000-0000-000003000000}"/>
    <hyperlink ref="A38:J38" location="'Allotj.municipi_13 (21)'!A1" display="Distribució de la capacitat d'allotjament per municipis a Eivissa (2013)……………….………………………………………..…………………………pàg 21" xr:uid="{00000000-0004-0000-0000-000004000000}"/>
    <hyperlink ref="A43:J43" location="'TotalAllotj_10 (26)'!A1" display="Capacitat d'allotjament per tipus d'establiment i categoria a Eivissa (2010)………………………….………………………………..………………..pàg 26" xr:uid="{00000000-0004-0000-0000-000005000000}"/>
    <hyperlink ref="A44:J44" location="'Allotj.municipi_10 (27)'!A1" display="Distribució de la capacitat d'allotjament per municipis a Eivissa (2010)…………………………..……………………………………..…………………pàg 27" xr:uid="{00000000-0004-0000-0000-000006000000}"/>
    <hyperlink ref="A45:J45" location="'TotalAllotj_09 (28)'!A1" display="Capacitat d'allotjament per tipus d'establiment i categoria a Eivissa (2009)……….…………………………….………….……………………………pàg 28" xr:uid="{00000000-0004-0000-0000-000007000000}"/>
    <hyperlink ref="A46:J46" location="'Allotj.municipi_09 (29)'!A1" display="Distribució de la capacitat d'allotjament per municipis a Eivissa (2009)……………………………………………………………………………………..pàg 29" xr:uid="{00000000-0004-0000-0000-000008000000}"/>
    <hyperlink ref="A47:J47" location="'TotalAllotj_08 (30)'!A1" display="Capacitat d'allotjament per tipus d'establiment i categoria a Eivissa (2008)…………………….……..…………………………………………………pàg 30" xr:uid="{00000000-0004-0000-0000-000009000000}"/>
    <hyperlink ref="A48:J48" location="'Allotj.municipi_08 (31)'!A1" display="Distribució de la capacitat d'allotjament per municipis a Eivissa (2008)………………….…………………………………….…………………………..pàg 31" xr:uid="{00000000-0004-0000-0000-00000A000000}"/>
    <hyperlink ref="A49:J49" location="'TotalAllotj_07 (32)'!A1" display="Capacitat d'allotjament per tipus d'establiment i categoria a Eivissa (2007)……………………………….………………..……………………………pàg 32" xr:uid="{00000000-0004-0000-0000-00000B000000}"/>
    <hyperlink ref="A50:J50" location="'Allotj.municipi_07 (33)'!A1" display="Distribució de la capacitat d'allotjament per municipis a Eivissa (2007)……………………………..……………………………….……………………..pàg 33" xr:uid="{00000000-0004-0000-0000-00000C000000}"/>
    <hyperlink ref="A51:J51" location="'TotalAllotj_06 (34)'!A1" display="Capacitat d'allotjament per tipus d'establiment i categoria a Eivissa (2006)………………….………………..………….………………………………pàg 34" xr:uid="{00000000-0004-0000-0000-00000D000000}"/>
    <hyperlink ref="A52:J52" location="'Allotj.municipi_06 (35)'!A1" display="Distribució de la capacitat d'allotjament per municipis a Eivissa (2006)…………………………………………………………………….………………..pàg 35" xr:uid="{00000000-0004-0000-0000-00000E000000}"/>
    <hyperlink ref="A53:J53" location="'TotalAllotj_05 (36)'!A1" display="Capacitat d'allotjament per tipus d'establiment i categoria a Eivissa (2005)………………………………………………………….……………………pàg 36" xr:uid="{00000000-0004-0000-0000-00000F000000}"/>
    <hyperlink ref="A54:J54" location="'Allotj.municipi_05 (37)'!A1" display="Distribució de la capacitat d'allotjament per municipis a Eivissa (2005)………………………..………………………………………….………………..pàg 37" xr:uid="{00000000-0004-0000-0000-000010000000}"/>
    <hyperlink ref="A55:J55" location="'TotalAllotj_04 (38)'!A1" display="Capacitat d'allotjament per tipus d'establiment i categoria a Eivissa (2004)………………..……………………………...……….……………………pàg 38" xr:uid="{00000000-0004-0000-0000-000011000000}"/>
    <hyperlink ref="A56:J56" location="'Allotj.municipi_04 (39)'!A1" display="Distribució de la capacitat d'allotjament per municipis a Eivissa (2004)……………………………………...……..……….……………………………..pàg 39" xr:uid="{00000000-0004-0000-0000-000012000000}"/>
    <hyperlink ref="A35:J35" location="'TotalAllotj_14 (18)'!A1" display="Capacitat d'allotjament per tipus d'establiment i categoria a Eivissa (2014)……………………………………………………..……………………..pàg 18" xr:uid="{00000000-0004-0000-0000-000013000000}"/>
    <hyperlink ref="A36:J36" location="'Allotj.municipi_14 (19)'!A1" display="Distribució de la capacitat d'allotjament per municipis a Eivissa (2014)………….………………………………………………………..………………pàg 19" xr:uid="{00000000-0004-0000-0000-000014000000}"/>
    <hyperlink ref="A41:J41" location="'TotalAllotj_11 (24)'!A1" display="Capacitat d'allotjament per tipus d'establiment i categoria a Eivissa (2011)………………………….……………………....………………………..pàg 24" xr:uid="{00000000-0004-0000-0000-000015000000}"/>
    <hyperlink ref="A42:J42" location="'Allotj.municipi_11 (25)'!A1" display="Distribució de la capacitat d'allotjament per municipis a Eivissa (2011)…………………………..………………………..………………..……………pàg 25" xr:uid="{00000000-0004-0000-0000-000016000000}"/>
    <hyperlink ref="A33:J33" location="'TotalAllotj_15 (16)'!A1" display="Capacitat d'allotjament per tipus d'establiment i categoria a Eivissa (2015)………………………….…………….……………..…………………..pàg 16" xr:uid="{00000000-0004-0000-0000-000017000000}"/>
    <hyperlink ref="A34:J34" location="'Allotj.municipi_15 (17)'!A1" display="Distribució de la capacitat d'allotjament per municipis a Eivissa (2015)……………………….……………………………………..……………………pàg 17" xr:uid="{00000000-0004-0000-0000-000018000000}"/>
    <hyperlink ref="A31:J31" location="'TotalAllotj_16 (14)'!A1" display="Capacitat d'allotjament per tipus d'establiment i categoria a Eivissa (2016)…………………………………….…………………...………………..pàg 14" xr:uid="{00000000-0004-0000-0000-000019000000}"/>
    <hyperlink ref="A32:J32" location="'Allotj.municipi_16 (15)'!A1" display="Distribució de la capacitat d'allotjament per municipis a Eivissa (2016)…………………………..………….………………..…………………………pàg 15" xr:uid="{00000000-0004-0000-0000-00001A000000}"/>
    <hyperlink ref="A29:J29" location="'TotalAllotj_17 (12)'!A1" display="Capacitat d'allotjament per tipus d'establiment i categoria a Eivissa (2017)…………………….……………….…..………………………………..pàg 12" xr:uid="{00000000-0004-0000-0000-00001B000000}"/>
    <hyperlink ref="A30:J30" location="'Allotj.municipi_17 (13)'!A1" display="Distribució de la capacitat d'allotjament per municipis a Eivissa (2017)……………………..…….………..……………………………………………pàg 13" xr:uid="{00000000-0004-0000-0000-00001C000000}"/>
    <hyperlink ref="A27:J27" location="'TotalAllotj_18 (10)'!A1" display="Capacitat d'allotjament per tipus d'establiment i categoria a Eivissa (2018)………………….…..…………….……………………………………..pàg 10" xr:uid="{00000000-0004-0000-0000-00001D000000}"/>
    <hyperlink ref="A28:J28" location="'Allotj.municipi_18 (11)'!A1" display="Distribució de la capacitat d'allotjament per municipis a Eivissa (2018)…………………………………..………...……………………………………pàg 11" xr:uid="{00000000-0004-0000-0000-00001E000000}"/>
    <hyperlink ref="A25:J25" location="'TotalAllotj_19 (8)'!A1" display="Capacitat d'allotjament per tipus d'establiment i categoria a Eivissa (2019)…………………..……………………..………………………………..pàg 8" xr:uid="{00000000-0004-0000-0000-00001F000000}"/>
    <hyperlink ref="A23:J23" location="'TotalAllotj_20 (6)'!A1" display="Capacitat d'allotjament per tipus d'establiment i categoria a Eivissa (2020)…………………………………………..…………..…………………..pàg 6" xr:uid="{00000000-0004-0000-0000-000020000000}"/>
    <hyperlink ref="A24:J24" location="'Allotj.municipi_20 (7)'!A1" display="Distribució de la capacitat d'allotjament per municipis a Eivissa (2020)…………………………..…..………………...………………………………pàg 7" xr:uid="{00000000-0004-0000-0000-000021000000}"/>
    <hyperlink ref="A26:J26" location="'Allotj.municipi_19 (9)'!A1" display="Distribució de la capacitat d'allotjament per municipis a Eivissa (2019)…………………………..….……………..……………………………………pàg 9" xr:uid="{00000000-0004-0000-0000-000022000000}"/>
    <hyperlink ref="A21:J21" location="'TotalAllotj_21 (4)'!A1" display="Capacitat d'allotjament per tipus d'establiment i categoria a Eivissa (2021)…………………………………………..…………..…………………..pàg 4" xr:uid="{00000000-0004-0000-0000-000023000000}"/>
    <hyperlink ref="A22:J22" location="'Allotj.municipi_21 (5)'!A1" display="Distribució de la capacitat d'allotjament per municipis a Eivissa (2021)…………………………..…..………………...………………………………pàg 5" xr:uid="{00000000-0004-0000-0000-000024000000}"/>
    <hyperlink ref="A19:J19" location="'TotalAllotj_21 (4)'!A1" display="Capacitat d'allotjament per tipus d'establiment i categoria a Eivissa (2021)…………………………………………..…………..…………………..pàg 4" xr:uid="{19A75A07-1983-40A2-A3C7-3235D6A6E12B}"/>
    <hyperlink ref="A20:J20" location="'Allotj.municipi_21 (5)'!A1" display="Distribució de la capacitat d'allotjament per municipis a Eivissa (2021)…………………………..…..………………...………………………………pàg 5" xr:uid="{A3C51E1E-93DC-4D5A-80DE-35D30AB06C4B}"/>
    <hyperlink ref="A19:K19" location="'TotalAllotj_22 (4)'!A1" display="Capacitat d'allotjament per tipus d'establiment i categoria a Eivissa (2022)………………................……….……...…….………..…………..…………………..pàg 4" xr:uid="{C4FCFBAF-70F8-4637-A864-9DC0E41CFFCE}"/>
    <hyperlink ref="A20:K20" location="'Allotj.municipi_22 (5)'!A1" display="Distribució de la capacitat d'allotjament per municipis a Eivissa (2022)…………………………..…..…………....…...……....................…………………………pàg 5" xr:uid="{657CEF41-9322-405A-BA14-D5BD8D4614D0}"/>
    <hyperlink ref="A21:K21" location="'TotalAllotj_21 (6)'!A1" display="Capacitat d'allotjament per tipus d'establiment i categoria a Eivissa (2021)……………………..............….……………….………..…………..…………………..pàg 6" xr:uid="{C5C01304-B92F-4429-B22A-2F1D7895480F}"/>
    <hyperlink ref="A22:K22" location="'Allotj.municipi_21 (7)'!A1" display="Distribució de la capacitat d'allotjament per municipis a Eivissa (2021)……………….………........…………..…..…………....….…...………………………………pàg 7" xr:uid="{2D7A10BC-5EC7-4CCD-ACE1-E670CCC78157}"/>
    <hyperlink ref="A23:K23" location="'TotalAllotj_20 (8)'!A1" display="Capacitat d'allotjament per tipus d'establiment i categoria a Eivissa (2020)…………………..............……………………….........…………..…………………..pàg 8" xr:uid="{A069CEF7-B327-478A-9E8C-B14F4EBC0B48}"/>
    <hyperlink ref="A24:K24" location="'Allotj.municipi_20 (9)'!A1" display="Distribució de la capacitat d'allotjament per municipis a Eivissa (2020)…………………………...…..………..............………...…....………………………………pàg 9" xr:uid="{EA6AD84A-F8B2-404A-9136-6413807B001B}"/>
    <hyperlink ref="A25:K25" location="'TotalAllotj_19 (10)'!A1" display="Capacitat d'allotjament per tipus d'establiment i categoria a Eivissa (2019)………………….................…..……………....………..…...………………………..pàg 10" xr:uid="{488A016E-F1F4-427F-8D88-F0E948999A7F}"/>
    <hyperlink ref="A26:K26" location="'Allotj.municipi_19 (11)'!A1" display="Distribució de la capacitat d'allotjament per municipis a Eivissa (2019)……………………….................……..….…….………...……………………………………pàg 11" xr:uid="{F8467FAD-57C0-4929-A042-B971A0D5DC77}"/>
    <hyperlink ref="A27:K27" location="'TotalAllotj_18 (12)'!A1" display="Capacitat d'allotjament per tipus d'establiment i categoria a Eivissa (2018)……………...................…….…..……….……...……………………………………..pàg 12" xr:uid="{1577EC19-B113-4752-8BFC-09CB7A02D80B}"/>
    <hyperlink ref="A28:K28" location="'Allotj.municipi_18 (13)'!A1" display="Distribució de la capacitat d'allotjament per municipis a Eivissa (2018)…………………….………….…..……….....……..................………………………………pàg 13" xr:uid="{A05EE348-6898-4DEC-A714-0C765C113058}"/>
    <hyperlink ref="A29:K29" location="'TotalAllotj_17 (14)'!A1" display="Capacitat d'allotjament per tipus d'establiment i categoria a Eivissa (2017)……………….…….…………................……….…....………………………………..pàg 14" xr:uid="{5A7AECD2-70AC-46CE-9D6D-726F8F099F09}"/>
    <hyperlink ref="A30:K30" location="'Allotj.municipi_17 (15)'!A1" display="Distribució de la capacitat d'allotjament per municipis a Eivissa (2017)…………………................……..…….….……..…..…………………………………………pàg 15" xr:uid="{52B22A89-5B50-4C7C-8833-6F3D2E60D571}"/>
    <hyperlink ref="A31:K31" location="'TotalAllotj_16 (16)'!A1" display="Capacitat d'allotjament per tipus d'establiment i categoria a Eivissa (2016)…………………................……….……………...…………………...………………..pàg 16" xr:uid="{8275DB70-F9A0-4C66-9489-54DB58630472}"/>
    <hyperlink ref="A32:K32" location="'Allotj.municipi_16 (17)'!A1" display="Distribució de la capacitat d'allotjament per municipis a Eivissa (2016)…………………………..……................…………….........……..…………………………pàg 17" xr:uid="{59A44DD4-90E6-4D36-8668-A9994EAE6831}"/>
    <hyperlink ref="A33:K33" location="'TotalAllotj_15 (18)'!A1" display="Capacitat d'allotjament per tipus d'establiment i categoria a Eivissa (2015)……………………………....……..................…….……...……..…………………..pàg 18" xr:uid="{1FBF87CE-D940-4004-B0D0-B7FF1AE26C09}"/>
    <hyperlink ref="A34:K34" location="'Allotj.municipi_15 (19)'!A1" display="Distribució de la capacitat d'allotjament per municipis a Eivissa (2015)……………………….…………………................………..……………..……...……………pàg 19" xr:uid="{07AE75B7-967A-4791-AA8B-701E37945944}"/>
    <hyperlink ref="A35:K35" location="'TotalAllotj_14 (20)'!A1" display="Capacitat d'allotjament per tipus d'establiment i categoria a Eivissa (2014)…………………………………………..……................………….....………………..pàg 20" xr:uid="{DFCABB30-38C5-43C7-A1CF-962B0D270D62}"/>
    <hyperlink ref="A36:K36" location="'Allotj.municipi_14 (21)'!A1" display="Distribució de la capacitat d'allotjament per municipis a Eivissa (2014)………….……………………………..……...…………................…………..………………pàg 21" xr:uid="{4905F2D2-69C4-47E3-9341-AB91E196F3E1}"/>
    <hyperlink ref="A37:K37" location="'TotalAllotj_13 (22)'!A1" display="Capacitat d'allotjament per tipus d'establiment i categoria a Eivissa (2013)………………………………..……………................……..……...…………………..pàg 22" xr:uid="{F929B068-84D8-42AD-A47F-F97474D66D62}"/>
    <hyperlink ref="A38:K38" location="'Allotj.municipi_13 (23)'!A1" display="Distribució de la capacitat d'allotjament per municipis a Eivissa (2013)………………….................………………………………..…….....…………………………pàg 23" xr:uid="{B287625E-DFCD-4982-BEE3-B1DC1AA06F1A}"/>
    <hyperlink ref="A39:K39" location="'TotalAllotj_12 (24)'!A1" display="Capacitat d'allotjament per tipus d'establiment i categoria a Eivissa (2012)………................……………………………………...…..…..………………………..pàg 24" xr:uid="{DB3223A4-0ABF-4543-8419-ECC800DAA445}"/>
    <hyperlink ref="A40:K40" location="'Allotj.municipi_12 (25)'!A1" display="Distribució de la capacitat d'allotjament per municipis a Eivissa (2012)………………................……………..……………...….……..………………………………pàg 25" xr:uid="{C2B08469-91C9-4A6F-9D68-50AE8B010AA4}"/>
    <hyperlink ref="A41:K41" location="'TotalAllotj_11 (26)'!A1" display="Capacitat d'allotjament per tipus d'establiment i categoria a Eivissa (2011)………………………….………................…….………….....………………………..pàg 26" xr:uid="{CC8C736D-9C2C-4182-870E-B5A40813EF85}"/>
    <hyperlink ref="A42:K42" location="'Allotj.municipi_11 (27)'!A1" display="Distribució de la capacitat d'allotjament per municipis a Eivissa (2011)…………………………..…….……................………………...………………..……………pàg 27" xr:uid="{96F31FF2-BA2D-4CD0-9D08-AAF8EF69DCB9}"/>
    <hyperlink ref="A43:K43" location="'TotalAllotj_10 (28)'!A1" display="Capacitat d'allotjament per tipus d'establiment i categoria a Eivissa (2010)………………………….……………...................….………………..………………..pàg 28" xr:uid="{98456C4C-3508-4220-935A-84C2C832453A}"/>
    <hyperlink ref="A44:K44" location="'Allotj.municipi_10 (29)'!A1" display="Distribució de la capacitat d'allotjament per municipis a Eivissa (2010)………………………................……..…………...………………………..….………………pàg 29" xr:uid="{A1A527AA-C6B8-4F20-803D-7811C395AE28}"/>
    <hyperlink ref="A45:K45" location="'TotalAllotj_09 (30)'!A1" display="Capacitat d'allotjament per tipus d'establiment i categoria a Eivissa (2009)……….……………………………................….…………..……………………………pàg 30" xr:uid="{B09DF404-7E6C-4C22-8EC1-24E3C77B9CD0}"/>
    <hyperlink ref="A46:K46" location="'Allotj.municipi_09 (31)'!A1" display="Distribució de la capacitat d'allotjament per municipis a Eivissa (2009)……………………………................…………………………….……………………………..pàg 31" xr:uid="{9E0852A4-0825-4C58-92CA-7C86539D59F8}"/>
    <hyperlink ref="A47:K47" location="'TotalAllotj_08 (32)'!A1" display="Capacitat d'allotjament per tipus d'establiment i categoria a Eivissa (2008)………………................……….……..………….………………………………………pàg 32" xr:uid="{679D5976-4CED-48C1-B4F8-01C90611F6BF}"/>
    <hyperlink ref="A48:K48" location="'Allotj.municipi_08 (33)'!A1" display="Distribució de la capacitat d'allotjament per municipis a Eivissa (2008)…………................………….…………………………………….………...….……………..pàg 33" xr:uid="{BCC68F79-50EE-4D2A-988A-A0489C43A92D}"/>
    <hyperlink ref="A49:K49" location="'TotalAllotj_07 (34)'!A1" display="Capacitat d'allotjament per tipus d'establiment i categoria a Eivissa (2007)……………................………….………….………………..……………………………pàg 34" xr:uid="{7FBA2DFD-E74C-49BC-9C04-5D317332A193}"/>
    <hyperlink ref="A50:K50" location="'Allotj.municipi_07 (35)'!A1" display="Distribució de la capacitat d'allotjament per municipis a Eivissa (2007)…………………................……………..…...………………………….……………………..pàg 35" xr:uid="{3130EEC1-00DF-4714-98AC-200AD70B9ED1}"/>
    <hyperlink ref="A51:K51" location="'TotalAllotj_06 (36)'!A1" display="Capacitat d'allotjament per tipus d'establiment i categoria a Eivissa (2006)………………................…….………………..………….………………………………pàg 36" xr:uid="{15C5F1E4-6EAD-49CD-BCD7-89EEC5629934}"/>
    <hyperlink ref="A52:K52" location="'Allotj.municipi_06 (37)'!A1" display="Distribució de la capacitat d'allotjament per municipis a Eivissa (2006)………………................……………………………………………………….………………..pàg 37" xr:uid="{A6D937A9-BA17-4A48-B8F2-231EEEDE3DEF}"/>
    <hyperlink ref="A53:K53" location="'TotalAllotj_05 (38)'!A1" display="Capacitat d'allotjament per tipus d'establiment i categoria a Eivissa (2005)…………………................……………………………………...….……………………pàg 38" xr:uid="{9980051D-6D43-40C1-B87F-BF8532B255C2}"/>
    <hyperlink ref="A54:K54" location="'Allotj.municipi_05 (39)'!A1" display="Distribució de la capacitat d'allotjament per municipis a Eivissa (2005)…………………................………..…………………………………...…….………………..pàg 39" xr:uid="{060503EB-DDED-4474-B5CF-900B6664126E}"/>
    <hyperlink ref="A55:K55" location="'TotalAllotj_04 (40)'!A1" display="Capacitat d'allotjament per tipus d'establiment i categoria a Eivissa (2004)…………………..................……………………………...……….…...………………pàg 40" xr:uid="{917D6DCF-9B69-4F44-8D0F-7395AE4DA4BB}"/>
    <hyperlink ref="A56:K56" location="'Allotj.municipi_04 (41)'!A1" display="Distribució de la capacitat d'allotjament per municipis a Eivissa (2004)……………………………………...……..……….………................………………………..pàg 41" xr:uid="{8E5F2620-5236-48DE-87F1-4A05523E1910}"/>
    <hyperlink ref="A17:J17" location="'TotalAllotj_21 (4)'!A1" display="Capacitat d'allotjament per tipus d'establiment i categoria a Eivissa (2021)…………………………………………..…………..…………………..pàg 4" xr:uid="{F7EBAD3D-61E2-4D03-B230-1CCECA484505}"/>
    <hyperlink ref="A18:J18" location="'Allotj.municipi_21 (5)'!A1" display="Distribució de la capacitat d'allotjament per municipis a Eivissa (2021)…………………………..…..………………...………………………………pàg 5" xr:uid="{6DD47677-0972-4DD3-960A-A42264D2245B}"/>
    <hyperlink ref="A17:K17" location="'TotalAllotj_22 (4)'!A1" display="Capacitat d'allotjament per tipus d'establiment i categoria a Eivissa (2022)………………................……….……...…….………..…………..…………………..pàg 4" xr:uid="{A0B1A9BA-EB98-49FF-A06A-D22775EA3150}"/>
    <hyperlink ref="A18:K18" location="'Allotj.municipi_22 (5)'!A1" display="Distribució de la capacitat d'allotjament per municipis a Eivissa (2022)…………………………..…..…………....…...……....................…………………………pàg 5" xr:uid="{3F878435-3412-4964-9DA8-21E8D49A5A31}"/>
    <hyperlink ref="A17:XFD17" location="'TotalAllotj_23 (4)'!A1" display="Capacitat d'allotjament per tipus d'establiment i categoria a Eivissa (2023)………………................……….……...…….………..…………..…………………..pàg 4" xr:uid="{43D6A4FF-F724-4987-A4FD-794B5618994C}"/>
    <hyperlink ref="A18:XFD18" location="'Allotj.municipi_23 (5)'!A1" display="Distribució de la capacitat d'allotjament per municipis a Eivissa (2023)…………………………..…..…………....…...……....................…………………………pàg 5" xr:uid="{2C81A7A0-1A1B-4F53-BF04-072F425CB05D}"/>
    <hyperlink ref="A19:XFD19" location="'TotalAllotj_22 (6)'!A1" display="Capacitat d'allotjament per tipus d'establiment i categoria a Eivissa (2022)………………................……….……...…….………..…………..…………………..pàg 6" xr:uid="{06C2036F-C724-4AAF-BEAB-93C238DA42E9}"/>
    <hyperlink ref="A20:XFD20" location="'Allotj.municipi_22 (7)'!A1" display="Distribució de la capacitat d'allotjament per municipis a Eivissa (2022)…………………………..…..…………....…...……....................…………………………pàg 7" xr:uid="{E14609B4-8CE9-4434-8029-B20CE6177BE0}"/>
    <hyperlink ref="A21:XFD21" location="'TotalAllotj_21 (8)'!A1" display="Capacitat d'allotjament per tipus d'establiment i categoria a Eivissa (2021)……………………..............….……………….………..…………..…………………..pàg 8" xr:uid="{CB353562-990B-4581-837F-C9F3D8D9764E}"/>
    <hyperlink ref="A22:XFD22" location="'Allotj.municipi_21 (9)'!A1" display="Distribució de la capacitat d'allotjament per municipis a Eivissa (2021)……………….………........…………..…..…………....….…...………………………………pàg 9" xr:uid="{108AA203-AB4A-4A7B-8056-D4895E17EEAB}"/>
    <hyperlink ref="A23:XFD23" location="'TotalAllotj_20 (10)'!A1" display="Capacitat d'allotjament per tipus d'establiment i categoria a Eivissa (2020)…………………..............……………………….........…………..…………………..pàg 10" xr:uid="{22F3DDB8-EA7A-4A1B-A9C7-3E1D37805683}"/>
    <hyperlink ref="A24:XFD24" location="'Allotj.municipi_20 (11)'!A1" display="Distribució de la capacitat d'allotjament per municipis a Eivissa (2020)…………………………...…..………..............………...…....………………………………pàg 11" xr:uid="{37DE5564-C0AF-4A09-9DCE-FB00CC26A173}"/>
    <hyperlink ref="A25:XFD25" location="'TotalAllotj_19 (12)'!A1" display="Capacitat d'allotjament per tipus d'establiment i categoria a Eivissa (2019)………………….................…..……………....………..…...………………………..pàg 12" xr:uid="{AE24DD5B-7693-472C-8FBA-FF1525275FC2}"/>
    <hyperlink ref="A26:XFD26" location="'Allotj.municipi_19 (13)'!A1" display="Distribució de la capacitat d'allotjament per municipis a Eivissa (2019)……………………….................……..….…….………...……………………………………pàg 13" xr:uid="{29E82151-41EB-4F38-9217-AEFE7F2BE5E4}"/>
    <hyperlink ref="A27:XFD27" location="'TotalAllotj_18 (14)'!A1" display="Capacitat d'allotjament per tipus d'establiment i categoria a Eivissa (2018)……………...................…….…..……….……...……………………………………..pàg 14" xr:uid="{4EB1BCF1-5044-4DB9-9226-F8BA5D546041}"/>
    <hyperlink ref="A28:XFD28" location="'Allotj.municipi_18 (15)'!A1" display="Distribució de la capacitat d'allotjament per municipis a Eivissa (2018)…………………….………….…..……….....……..................………………………………pàg 15" xr:uid="{4796B61E-2A15-49AA-96AF-1AE21B3A6F88}"/>
    <hyperlink ref="A29:XFD29" location="'TotalAllotj_17 (16)'!A1" display="Capacitat d'allotjament per tipus d'establiment i categoria a Eivissa (2017)……………….…….…………................……….…....………………………………..pàg 16" xr:uid="{EE45E068-D45D-425C-9FAD-0355FE64CB7E}"/>
    <hyperlink ref="A30:XFD30" location="'Allotj.municipi_17 (17)'!A1" display="Distribució de la capacitat d'allotjament per municipis a Eivissa (2017)…………………................……..…….….……..…..…………………………………………pàg 17" xr:uid="{8720BB28-FB30-45E2-804F-1CEB2B0A8DE7}"/>
    <hyperlink ref="A31:XFD31" location="'TotalAllotj_16 (18)'!A1" display="Capacitat d'allotjament per tipus d'establiment i categoria a Eivissa (2016)…………………................……….……………...…………………...………………..pàg 18" xr:uid="{FE90FE1A-73BF-4BC9-80C1-13DBDF15C6AD}"/>
    <hyperlink ref="A32:XFD32" location="'Allotj.municipi_16 (19)'!A1" display="Distribució de la capacitat d'allotjament per municipis a Eivissa (2016)…………………………..……................…………….........……..…………………………pàg 19" xr:uid="{9FBEB1C6-95BE-4C37-BD83-2D466DF4101C}"/>
    <hyperlink ref="A33:XFD33" location="'TotalAllotj_15 (20)'!A1" display="Capacitat d'allotjament per tipus d'establiment i categoria a Eivissa (2015)……………………………....……..................…….……...……..…………………..pàg 20" xr:uid="{9261EB69-469A-4AD1-820D-4CC83DA377BD}"/>
    <hyperlink ref="A34:XFD34" location="'Allotj.municipi_15 (21)'!A1" display="Distribució de la capacitat d'allotjament per municipis a Eivissa (2015)……………………….…………………................………..……………..……...……………pàg 21" xr:uid="{B8BFED39-B8A4-404E-9DD9-31438A97A721}"/>
    <hyperlink ref="A35:XFD35" location="'TotalAllotj_14 (22)'!A1" display="Capacitat d'allotjament per tipus d'establiment i categoria a Eivissa (2014)…………………………………………..……................………….....………………..pàg 22" xr:uid="{1C713155-41EE-418C-9C81-7E48E4CDC76A}"/>
    <hyperlink ref="A36:XFD36" location="'Allotj.municipi_14 (23)'!A1" display="Distribució de la capacitat d'allotjament per municipis a Eivissa (2014)………….……………………………..……...…………................…………..………………pàg 23" xr:uid="{116492AD-3825-4DE4-976B-BC98A2C86363}"/>
    <hyperlink ref="A37:XFD37" location="'TotalAllotj_13 (24)'!A1" display="Capacitat d'allotjament per tipus d'establiment i categoria a Eivissa (2013)………………………………..……………................……..……...…………………..pàg 24" xr:uid="{475CE5F1-7773-4B06-B52F-AD7212309E97}"/>
    <hyperlink ref="A38:XFD38" location="'Allotj.municipi_13 (25)'!A1" display="Distribució de la capacitat d'allotjament per municipis a Eivissa (2013)………………….................………………………………..…….....…………………………pàg 25" xr:uid="{82901345-08BC-48CA-9473-ED864D5D226B}"/>
    <hyperlink ref="A39:XFD39" location="'TotalAllotj_12 (26)'!A1" display="Capacitat d'allotjament per tipus d'establiment i categoria a Eivissa (2012)………................……………………………………...…..…..………………………..pàg 26" xr:uid="{B9FAAC77-AD40-4FAC-B68F-17A1374C44DE}"/>
    <hyperlink ref="A40:XFD40" location="'Allotj.municipi_12 (27)'!A1" display="Distribució de la capacitat d'allotjament per municipis a Eivissa (2012)………………................……………..……………...….……..………………………………pàg 27" xr:uid="{852B525D-D6F5-445C-8DD0-016F4928058B}"/>
    <hyperlink ref="A41:XFD41" location="'TotalAllotj_11 (28)'!A1" display="Capacitat d'allotjament per tipus d'establiment i categoria a Eivissa (2011)………………………….………................…….………….....………………………..pàg 28" xr:uid="{2D1CFA76-2DF6-4E7B-B306-1C740452CBD2}"/>
    <hyperlink ref="A42:XFD42" location="'Allotj.municipi_11 (29)'!A1" display="Distribució de la capacitat d'allotjament per municipis a Eivissa (2011)…………………………..…….……................………………...………………..……………pàg 29" xr:uid="{649E3CC2-01F8-437D-93BB-6583D7DF492F}"/>
    <hyperlink ref="A43:XFD43" location="'TotalAllotj_10 (30)'!A1" display="Capacitat d'allotjament per tipus d'establiment i categoria a Eivissa (2010)………………………….……………...................….………………..………………..pàg 30" xr:uid="{4B28B032-0484-444C-B9A6-15F167AF145C}"/>
    <hyperlink ref="A44:XFD44" location="'Allotj.municipi_10 (31)'!A1" display="Distribució de la capacitat d'allotjament per municipis a Eivissa (2010)………………………................……..…………...………………………..….………………pàg 31" xr:uid="{EA3A9771-4A28-4511-842A-90BADBEB79DA}"/>
    <hyperlink ref="A45:XFD45" location="'TotalAllotj_09 (32)'!A1" display="Capacitat d'allotjament per tipus d'establiment i categoria a Eivissa (2009)……….……………………………................….…………..……………………………pàg 32" xr:uid="{A959AE99-E98B-4C15-A9F5-EF34C786C720}"/>
    <hyperlink ref="A46:XFD46" location="'Allotj.municipi_09 (33)'!A1" display="Distribució de la capacitat d'allotjament per municipis a Eivissa (2009)……………………………................…………………………….……………………………..pàg 33" xr:uid="{51FC3804-2DB3-4C1F-86AA-2A50719A6FCF}"/>
    <hyperlink ref="A47:XFD47" location="'TotalAllotj_08 (34)'!A1" display="Capacitat d'allotjament per tipus d'establiment i categoria a Eivissa (2008)………………................……….……..………….………………………………………pàg 34" xr:uid="{0FBE1F19-5B7A-4303-A8F4-C646104470FC}"/>
    <hyperlink ref="A48:XFD48" location="'Allotj.municipi_08 (35)'!A1" display="Distribució de la capacitat d'allotjament per municipis a Eivissa (2008)…………................………….…………………………………….………...….……………..pàg 35" xr:uid="{4EA3B7B1-2186-44A7-B1D3-CE8F1E27172C}"/>
    <hyperlink ref="A49:XFD49" location="'TotalAllotj_07 (36)'!A1" display="Capacitat d'allotjament per tipus d'establiment i categoria a Eivissa (2007)……………................………….………….………………..……………………………pàg 36" xr:uid="{2EF9F998-475E-45E6-9C34-055A03EA7C12}"/>
    <hyperlink ref="A50:XFD50" location="'Allotj.municipi_07 (37)'!A1" display="Distribució de la capacitat d'allotjament per municipis a Eivissa (2007)…………………................……………..…...………………………….……………………..pàg 37" xr:uid="{88659399-CB23-46C0-BC70-EBAC27E1CD63}"/>
    <hyperlink ref="A51:XFD51" location="'TotalAllotj_06 (38)'!A1" display="Capacitat d'allotjament per tipus d'establiment i categoria a Eivissa (2006)………………................…….………………..………….………………………………pàg 38" xr:uid="{A007F875-5816-4A73-A07F-2F2B6B09AC3C}"/>
    <hyperlink ref="A52:XFD52" location="'Allotj.municipi_06 (39)'!A1" display="Distribució de la capacitat d'allotjament per municipis a Eivissa (2006)………………................……………………………………………………….………………..pàg 39" xr:uid="{36A00E58-9D09-4300-9B77-C57083919106}"/>
    <hyperlink ref="A53:XFD53" location="'TotalAllotj_05 (40)'!A1" display="Capacitat d'allotjament per tipus d'establiment i categoria a Eivissa (2005)…………………................……………………………………...….……………………pàg 40" xr:uid="{1154AF28-3BFF-4098-8F0C-CAD779614BD4}"/>
    <hyperlink ref="A54:XFD54" location="'Allotj.municipi_05 (41)'!A1" display="Distribució de la capacitat d'allotjament per municipis a Eivissa (2005)…………………................………..…………………………………...…….………………..pàg 41" xr:uid="{C2CE2AC4-60BC-43BC-B438-417438D20853}"/>
    <hyperlink ref="A55:XFD55" location="'TotalAllotj_04 (42)'!A1" display="Capacitat d'allotjament per tipus d'establiment i categoria a Eivissa (2004)…………………..................……………………………...……….…...………………pàg 42" xr:uid="{14B22D19-51C5-430A-BE46-712FA31612B8}"/>
    <hyperlink ref="A56:XFD56" location="'Allotj.municipi_04 (43)'!A1" display="Distribució de la capacitat d'allotjament per municipis a Eivissa (2004)……………………………………...……..……….………................………………………..pàg 43" xr:uid="{B56F7DE6-F573-48D2-9177-C456FB42F6B6}"/>
  </hyperlinks>
  <pageMargins left="0.70866141732283472" right="0.70866141732283472" top="0.74803149606299213" bottom="0.74803149606299213" header="0.31496062992125984" footer="0.31496062992125984"/>
  <pageSetup paperSize="9" scale="93" fitToHeight="0" orientation="landscape" r:id="rId1"/>
  <rowBreaks count="3" manualBreakCount="3">
    <brk id="32" max="10" man="1"/>
    <brk id="57" max="10" man="1"/>
    <brk id="86"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K118"/>
  <sheetViews>
    <sheetView showGridLines="0" view="pageBreakPreview" zoomScaleNormal="100" zoomScaleSheetLayoutView="100" workbookViewId="0">
      <selection activeCell="A12" sqref="A12:K12"/>
    </sheetView>
  </sheetViews>
  <sheetFormatPr baseColWidth="10" defaultRowHeight="15"/>
  <cols>
    <col min="1" max="11" width="12.7109375" style="52" customWidth="1"/>
    <col min="12" max="16384" width="11.42578125" style="52"/>
  </cols>
  <sheetData>
    <row r="12" spans="1:11">
      <c r="A12" s="132" t="s">
        <v>155</v>
      </c>
      <c r="B12" s="132"/>
      <c r="C12" s="132"/>
      <c r="D12" s="132"/>
      <c r="E12" s="132"/>
      <c r="F12" s="132"/>
      <c r="G12" s="132"/>
      <c r="H12" s="132"/>
      <c r="I12" s="132"/>
      <c r="J12" s="132"/>
      <c r="K12" s="132"/>
    </row>
    <row r="13" spans="1:11">
      <c r="A13" s="72"/>
      <c r="B13" s="72"/>
      <c r="C13" s="72"/>
      <c r="D13" s="72"/>
      <c r="E13" s="72"/>
      <c r="F13" s="72"/>
      <c r="G13" s="72"/>
      <c r="H13" s="72"/>
      <c r="I13" s="72"/>
      <c r="J13" s="51"/>
      <c r="K13" s="51"/>
    </row>
    <row r="15" spans="1:11">
      <c r="A15" s="133"/>
      <c r="B15" s="133"/>
      <c r="C15" s="133"/>
      <c r="D15" s="133"/>
      <c r="E15" s="133"/>
      <c r="F15" s="133"/>
      <c r="G15" s="133"/>
      <c r="H15" s="133"/>
      <c r="I15" s="133"/>
      <c r="J15" s="133"/>
      <c r="K15" s="133"/>
    </row>
    <row r="17" spans="1:11" s="116" customFormat="1">
      <c r="A17" s="129" t="s">
        <v>371</v>
      </c>
      <c r="B17" s="129"/>
      <c r="C17" s="129"/>
      <c r="D17" s="129"/>
      <c r="E17" s="129"/>
      <c r="F17" s="129"/>
      <c r="G17" s="129"/>
      <c r="H17" s="129"/>
      <c r="I17" s="129"/>
      <c r="J17" s="129"/>
      <c r="K17" s="129"/>
    </row>
    <row r="18" spans="1:11" s="116" customFormat="1">
      <c r="A18" s="129" t="s">
        <v>372</v>
      </c>
      <c r="B18" s="129"/>
      <c r="C18" s="129"/>
      <c r="D18" s="129"/>
      <c r="E18" s="129"/>
      <c r="F18" s="129"/>
      <c r="G18" s="129"/>
      <c r="H18" s="129"/>
      <c r="I18" s="129"/>
      <c r="J18" s="129"/>
      <c r="K18" s="129"/>
    </row>
    <row r="19" spans="1:11" s="116" customFormat="1">
      <c r="A19" s="129" t="s">
        <v>373</v>
      </c>
      <c r="B19" s="129"/>
      <c r="C19" s="129"/>
      <c r="D19" s="129"/>
      <c r="E19" s="129"/>
      <c r="F19" s="129"/>
      <c r="G19" s="129"/>
      <c r="H19" s="129"/>
      <c r="I19" s="129"/>
      <c r="J19" s="129"/>
      <c r="K19" s="129"/>
    </row>
    <row r="20" spans="1:11" s="116" customFormat="1">
      <c r="A20" s="129" t="s">
        <v>374</v>
      </c>
      <c r="B20" s="129"/>
      <c r="C20" s="129"/>
      <c r="D20" s="129"/>
      <c r="E20" s="129"/>
      <c r="F20" s="129"/>
      <c r="G20" s="129"/>
      <c r="H20" s="129"/>
      <c r="I20" s="129"/>
      <c r="J20" s="129"/>
      <c r="K20" s="129"/>
    </row>
    <row r="21" spans="1:11" s="116" customFormat="1">
      <c r="A21" s="129" t="s">
        <v>375</v>
      </c>
      <c r="B21" s="129"/>
      <c r="C21" s="129"/>
      <c r="D21" s="129"/>
      <c r="E21" s="129"/>
      <c r="F21" s="129"/>
      <c r="G21" s="129"/>
      <c r="H21" s="129"/>
      <c r="I21" s="129"/>
      <c r="J21" s="129"/>
      <c r="K21" s="129"/>
    </row>
    <row r="22" spans="1:11" s="116" customFormat="1">
      <c r="A22" s="129" t="s">
        <v>376</v>
      </c>
      <c r="B22" s="129"/>
      <c r="C22" s="129"/>
      <c r="D22" s="129"/>
      <c r="E22" s="129"/>
      <c r="F22" s="129"/>
      <c r="G22" s="129"/>
      <c r="H22" s="129"/>
      <c r="I22" s="129"/>
      <c r="J22" s="129"/>
      <c r="K22" s="129"/>
    </row>
    <row r="23" spans="1:11" s="116" customFormat="1">
      <c r="A23" s="129" t="s">
        <v>377</v>
      </c>
      <c r="B23" s="129"/>
      <c r="C23" s="129"/>
      <c r="D23" s="129"/>
      <c r="E23" s="129"/>
      <c r="F23" s="129"/>
      <c r="G23" s="129"/>
      <c r="H23" s="129"/>
      <c r="I23" s="129"/>
      <c r="J23" s="129"/>
      <c r="K23" s="129"/>
    </row>
    <row r="24" spans="1:11" s="116" customFormat="1">
      <c r="A24" s="129" t="s">
        <v>378</v>
      </c>
      <c r="B24" s="129"/>
      <c r="C24" s="129"/>
      <c r="D24" s="129"/>
      <c r="E24" s="129"/>
      <c r="F24" s="129"/>
      <c r="G24" s="129"/>
      <c r="H24" s="129"/>
      <c r="I24" s="129"/>
      <c r="J24" s="129"/>
      <c r="K24" s="129"/>
    </row>
    <row r="25" spans="1:11" s="116" customFormat="1">
      <c r="A25" s="129" t="s">
        <v>379</v>
      </c>
      <c r="B25" s="129"/>
      <c r="C25" s="129"/>
      <c r="D25" s="129"/>
      <c r="E25" s="129"/>
      <c r="F25" s="129"/>
      <c r="G25" s="129"/>
      <c r="H25" s="129"/>
      <c r="I25" s="129"/>
      <c r="J25" s="129"/>
      <c r="K25" s="129"/>
    </row>
    <row r="26" spans="1:11" s="116" customFormat="1">
      <c r="A26" s="129" t="s">
        <v>380</v>
      </c>
      <c r="B26" s="129"/>
      <c r="C26" s="129"/>
      <c r="D26" s="129"/>
      <c r="E26" s="129"/>
      <c r="F26" s="129"/>
      <c r="G26" s="129"/>
      <c r="H26" s="129"/>
      <c r="I26" s="129"/>
      <c r="J26" s="129"/>
      <c r="K26" s="129"/>
    </row>
    <row r="27" spans="1:11" s="116" customFormat="1">
      <c r="A27" s="129" t="s">
        <v>381</v>
      </c>
      <c r="B27" s="129"/>
      <c r="C27" s="129"/>
      <c r="D27" s="129"/>
      <c r="E27" s="129"/>
      <c r="F27" s="129"/>
      <c r="G27" s="129"/>
      <c r="H27" s="129"/>
      <c r="I27" s="129"/>
      <c r="J27" s="129"/>
      <c r="K27" s="129"/>
    </row>
    <row r="28" spans="1:11" s="116" customFormat="1">
      <c r="A28" s="129" t="s">
        <v>382</v>
      </c>
      <c r="B28" s="129"/>
      <c r="C28" s="129"/>
      <c r="D28" s="129"/>
      <c r="E28" s="129"/>
      <c r="F28" s="129"/>
      <c r="G28" s="129"/>
      <c r="H28" s="129"/>
      <c r="I28" s="129"/>
      <c r="J28" s="129"/>
      <c r="K28" s="129"/>
    </row>
    <row r="29" spans="1:11" s="116" customFormat="1">
      <c r="A29" s="129" t="s">
        <v>383</v>
      </c>
      <c r="B29" s="129"/>
      <c r="C29" s="129"/>
      <c r="D29" s="129"/>
      <c r="E29" s="129"/>
      <c r="F29" s="129"/>
      <c r="G29" s="129"/>
      <c r="H29" s="129"/>
      <c r="I29" s="129"/>
      <c r="J29" s="129"/>
      <c r="K29" s="129"/>
    </row>
    <row r="30" spans="1:11" s="116" customFormat="1">
      <c r="A30" s="129" t="s">
        <v>384</v>
      </c>
      <c r="B30" s="129"/>
      <c r="C30" s="129"/>
      <c r="D30" s="129"/>
      <c r="E30" s="129"/>
      <c r="F30" s="129"/>
      <c r="G30" s="129"/>
      <c r="H30" s="129"/>
      <c r="I30" s="129"/>
      <c r="J30" s="129"/>
      <c r="K30" s="129"/>
    </row>
    <row r="31" spans="1:11" s="116" customFormat="1">
      <c r="A31" s="129" t="s">
        <v>385</v>
      </c>
      <c r="B31" s="129"/>
      <c r="C31" s="129"/>
      <c r="D31" s="129"/>
      <c r="E31" s="129"/>
      <c r="F31" s="129"/>
      <c r="G31" s="129"/>
      <c r="H31" s="129"/>
      <c r="I31" s="129"/>
      <c r="J31" s="129"/>
      <c r="K31" s="129"/>
    </row>
    <row r="32" spans="1:11" s="116" customFormat="1">
      <c r="A32" s="129" t="s">
        <v>386</v>
      </c>
      <c r="B32" s="129"/>
      <c r="C32" s="129"/>
      <c r="D32" s="129"/>
      <c r="E32" s="129"/>
      <c r="F32" s="129"/>
      <c r="G32" s="129"/>
      <c r="H32" s="129"/>
      <c r="I32" s="129"/>
      <c r="J32" s="129"/>
      <c r="K32" s="129"/>
    </row>
    <row r="33" spans="1:11" s="116" customFormat="1">
      <c r="A33" s="129" t="s">
        <v>387</v>
      </c>
      <c r="B33" s="129"/>
      <c r="C33" s="129"/>
      <c r="D33" s="129"/>
      <c r="E33" s="129"/>
      <c r="F33" s="129"/>
      <c r="G33" s="129"/>
      <c r="H33" s="129"/>
      <c r="I33" s="129"/>
      <c r="J33" s="129"/>
      <c r="K33" s="129"/>
    </row>
    <row r="34" spans="1:11" s="116" customFormat="1">
      <c r="A34" s="129" t="s">
        <v>388</v>
      </c>
      <c r="B34" s="129"/>
      <c r="C34" s="129"/>
      <c r="D34" s="129"/>
      <c r="E34" s="129"/>
      <c r="F34" s="129"/>
      <c r="G34" s="129"/>
      <c r="H34" s="129"/>
      <c r="I34" s="129"/>
      <c r="J34" s="129"/>
      <c r="K34" s="129"/>
    </row>
    <row r="35" spans="1:11" s="116" customFormat="1">
      <c r="A35" s="129" t="s">
        <v>389</v>
      </c>
      <c r="B35" s="129"/>
      <c r="C35" s="129"/>
      <c r="D35" s="129"/>
      <c r="E35" s="129"/>
      <c r="F35" s="129"/>
      <c r="G35" s="129"/>
      <c r="H35" s="129"/>
      <c r="I35" s="129"/>
      <c r="J35" s="129"/>
      <c r="K35" s="129"/>
    </row>
    <row r="36" spans="1:11" s="116" customFormat="1">
      <c r="A36" s="129" t="s">
        <v>390</v>
      </c>
      <c r="B36" s="129"/>
      <c r="C36" s="129"/>
      <c r="D36" s="129"/>
      <c r="E36" s="129"/>
      <c r="F36" s="129"/>
      <c r="G36" s="129"/>
      <c r="H36" s="129"/>
      <c r="I36" s="129"/>
      <c r="J36" s="129"/>
      <c r="K36" s="129"/>
    </row>
    <row r="37" spans="1:11" s="116" customFormat="1">
      <c r="A37" s="129" t="s">
        <v>391</v>
      </c>
      <c r="B37" s="129"/>
      <c r="C37" s="129"/>
      <c r="D37" s="129"/>
      <c r="E37" s="129"/>
      <c r="F37" s="129"/>
      <c r="G37" s="129"/>
      <c r="H37" s="129"/>
      <c r="I37" s="129"/>
      <c r="J37" s="129"/>
      <c r="K37" s="129"/>
    </row>
    <row r="38" spans="1:11" s="116" customFormat="1">
      <c r="A38" s="129" t="s">
        <v>392</v>
      </c>
      <c r="B38" s="129"/>
      <c r="C38" s="129"/>
      <c r="D38" s="129"/>
      <c r="E38" s="129"/>
      <c r="F38" s="129"/>
      <c r="G38" s="129"/>
      <c r="H38" s="129"/>
      <c r="I38" s="129"/>
      <c r="J38" s="129"/>
      <c r="K38" s="129"/>
    </row>
    <row r="39" spans="1:11" s="116" customFormat="1">
      <c r="A39" s="129" t="s">
        <v>393</v>
      </c>
      <c r="B39" s="129"/>
      <c r="C39" s="129"/>
      <c r="D39" s="129"/>
      <c r="E39" s="129"/>
      <c r="F39" s="129"/>
      <c r="G39" s="129"/>
      <c r="H39" s="129"/>
      <c r="I39" s="129"/>
      <c r="J39" s="129"/>
      <c r="K39" s="129"/>
    </row>
    <row r="40" spans="1:11" s="116" customFormat="1">
      <c r="A40" s="129" t="s">
        <v>394</v>
      </c>
      <c r="B40" s="129"/>
      <c r="C40" s="129"/>
      <c r="D40" s="129"/>
      <c r="E40" s="129"/>
      <c r="F40" s="129"/>
      <c r="G40" s="129"/>
      <c r="H40" s="129"/>
      <c r="I40" s="129"/>
      <c r="J40" s="129"/>
      <c r="K40" s="129"/>
    </row>
    <row r="41" spans="1:11" s="116" customFormat="1">
      <c r="A41" s="129" t="s">
        <v>395</v>
      </c>
      <c r="B41" s="129"/>
      <c r="C41" s="129"/>
      <c r="D41" s="129"/>
      <c r="E41" s="129"/>
      <c r="F41" s="129"/>
      <c r="G41" s="129"/>
      <c r="H41" s="129"/>
      <c r="I41" s="129"/>
      <c r="J41" s="129"/>
      <c r="K41" s="129"/>
    </row>
    <row r="42" spans="1:11" s="116" customFormat="1">
      <c r="A42" s="129" t="s">
        <v>396</v>
      </c>
      <c r="B42" s="129"/>
      <c r="C42" s="129"/>
      <c r="D42" s="129"/>
      <c r="E42" s="129"/>
      <c r="F42" s="129"/>
      <c r="G42" s="129"/>
      <c r="H42" s="129"/>
      <c r="I42" s="129"/>
      <c r="J42" s="129"/>
      <c r="K42" s="129"/>
    </row>
    <row r="43" spans="1:11" s="116" customFormat="1">
      <c r="A43" s="129" t="s">
        <v>397</v>
      </c>
      <c r="B43" s="129"/>
      <c r="C43" s="129"/>
      <c r="D43" s="129"/>
      <c r="E43" s="129"/>
      <c r="F43" s="129"/>
      <c r="G43" s="129"/>
      <c r="H43" s="129"/>
      <c r="I43" s="129"/>
      <c r="J43" s="129"/>
      <c r="K43" s="129"/>
    </row>
    <row r="44" spans="1:11" s="116" customFormat="1">
      <c r="A44" s="129" t="s">
        <v>398</v>
      </c>
      <c r="B44" s="129"/>
      <c r="C44" s="129"/>
      <c r="D44" s="129"/>
      <c r="E44" s="129"/>
      <c r="F44" s="129"/>
      <c r="G44" s="129"/>
      <c r="H44" s="129"/>
      <c r="I44" s="129"/>
      <c r="J44" s="129"/>
      <c r="K44" s="129"/>
    </row>
    <row r="45" spans="1:11" s="116" customFormat="1">
      <c r="A45" s="129" t="s">
        <v>399</v>
      </c>
      <c r="B45" s="129"/>
      <c r="C45" s="129"/>
      <c r="D45" s="129"/>
      <c r="E45" s="129"/>
      <c r="F45" s="129"/>
      <c r="G45" s="129"/>
      <c r="H45" s="129"/>
      <c r="I45" s="129"/>
      <c r="J45" s="129"/>
      <c r="K45" s="129"/>
    </row>
    <row r="46" spans="1:11" s="116" customFormat="1">
      <c r="A46" s="129" t="s">
        <v>400</v>
      </c>
      <c r="B46" s="129"/>
      <c r="C46" s="129"/>
      <c r="D46" s="129"/>
      <c r="E46" s="129"/>
      <c r="F46" s="129"/>
      <c r="G46" s="129"/>
      <c r="H46" s="129"/>
      <c r="I46" s="129"/>
      <c r="J46" s="129"/>
      <c r="K46" s="129"/>
    </row>
    <row r="47" spans="1:11" s="116" customFormat="1">
      <c r="A47" s="129" t="s">
        <v>401</v>
      </c>
      <c r="B47" s="129"/>
      <c r="C47" s="129"/>
      <c r="D47" s="129"/>
      <c r="E47" s="129"/>
      <c r="F47" s="129"/>
      <c r="G47" s="129"/>
      <c r="H47" s="129"/>
      <c r="I47" s="129"/>
      <c r="J47" s="129"/>
      <c r="K47" s="129"/>
    </row>
    <row r="48" spans="1:11" s="116" customFormat="1">
      <c r="A48" s="129" t="s">
        <v>402</v>
      </c>
      <c r="B48" s="129"/>
      <c r="C48" s="129"/>
      <c r="D48" s="129"/>
      <c r="E48" s="129"/>
      <c r="F48" s="129"/>
      <c r="G48" s="129"/>
      <c r="H48" s="129"/>
      <c r="I48" s="129"/>
      <c r="J48" s="129"/>
      <c r="K48" s="129"/>
    </row>
    <row r="49" spans="1:11" s="116" customFormat="1">
      <c r="A49" s="129" t="s">
        <v>403</v>
      </c>
      <c r="B49" s="129"/>
      <c r="C49" s="129"/>
      <c r="D49" s="129"/>
      <c r="E49" s="129"/>
      <c r="F49" s="129"/>
      <c r="G49" s="129"/>
      <c r="H49" s="129"/>
      <c r="I49" s="129"/>
      <c r="J49" s="129"/>
      <c r="K49" s="129"/>
    </row>
    <row r="50" spans="1:11" s="116" customFormat="1">
      <c r="A50" s="129" t="s">
        <v>404</v>
      </c>
      <c r="B50" s="129"/>
      <c r="C50" s="129"/>
      <c r="D50" s="129"/>
      <c r="E50" s="129"/>
      <c r="F50" s="129"/>
      <c r="G50" s="129"/>
      <c r="H50" s="129"/>
      <c r="I50" s="129"/>
      <c r="J50" s="129"/>
      <c r="K50" s="129"/>
    </row>
    <row r="51" spans="1:11" s="116" customFormat="1">
      <c r="A51" s="129" t="s">
        <v>405</v>
      </c>
      <c r="B51" s="129"/>
      <c r="C51" s="129"/>
      <c r="D51" s="129"/>
      <c r="E51" s="129"/>
      <c r="F51" s="129"/>
      <c r="G51" s="129"/>
      <c r="H51" s="129"/>
      <c r="I51" s="129"/>
      <c r="J51" s="129"/>
      <c r="K51" s="129"/>
    </row>
    <row r="52" spans="1:11" s="116" customFormat="1">
      <c r="A52" s="129" t="s">
        <v>406</v>
      </c>
      <c r="B52" s="129"/>
      <c r="C52" s="129"/>
      <c r="D52" s="129"/>
      <c r="E52" s="129"/>
      <c r="F52" s="129"/>
      <c r="G52" s="129"/>
      <c r="H52" s="129"/>
      <c r="I52" s="129"/>
      <c r="J52" s="129"/>
      <c r="K52" s="129"/>
    </row>
    <row r="53" spans="1:11" s="116" customFormat="1">
      <c r="A53" s="129" t="s">
        <v>407</v>
      </c>
      <c r="B53" s="129"/>
      <c r="C53" s="129"/>
      <c r="D53" s="129"/>
      <c r="E53" s="129"/>
      <c r="F53" s="129"/>
      <c r="G53" s="129"/>
      <c r="H53" s="129"/>
      <c r="I53" s="129"/>
      <c r="J53" s="129"/>
      <c r="K53" s="129"/>
    </row>
    <row r="54" spans="1:11" s="116" customFormat="1">
      <c r="A54" s="129" t="s">
        <v>408</v>
      </c>
      <c r="B54" s="129"/>
      <c r="C54" s="129"/>
      <c r="D54" s="129"/>
      <c r="E54" s="129"/>
      <c r="F54" s="129"/>
      <c r="G54" s="129"/>
      <c r="H54" s="129"/>
      <c r="I54" s="129"/>
      <c r="J54" s="129"/>
      <c r="K54" s="129"/>
    </row>
    <row r="55" spans="1:11" s="116" customFormat="1">
      <c r="A55" s="129" t="s">
        <v>409</v>
      </c>
      <c r="B55" s="129"/>
      <c r="C55" s="129"/>
      <c r="D55" s="129"/>
      <c r="E55" s="129"/>
      <c r="F55" s="129"/>
      <c r="G55" s="129"/>
      <c r="H55" s="129"/>
      <c r="I55" s="129"/>
      <c r="J55" s="129"/>
      <c r="K55" s="129"/>
    </row>
    <row r="56" spans="1:11" s="116" customFormat="1">
      <c r="A56" s="129" t="s">
        <v>410</v>
      </c>
      <c r="B56" s="129"/>
      <c r="C56" s="129"/>
      <c r="D56" s="129"/>
      <c r="E56" s="129"/>
      <c r="F56" s="129"/>
      <c r="G56" s="129"/>
      <c r="H56" s="129"/>
      <c r="I56" s="129"/>
      <c r="J56" s="129"/>
      <c r="K56" s="129"/>
    </row>
    <row r="57" spans="1:11" s="55" customFormat="1" ht="14.25">
      <c r="A57" s="54"/>
      <c r="B57" s="54"/>
      <c r="C57" s="54"/>
      <c r="D57" s="54"/>
      <c r="E57" s="54"/>
      <c r="F57" s="54"/>
      <c r="G57" s="54"/>
      <c r="H57" s="54"/>
      <c r="I57" s="54"/>
      <c r="J57" s="54"/>
    </row>
    <row r="58" spans="1:11">
      <c r="A58" s="53"/>
      <c r="B58" s="53"/>
      <c r="C58" s="53"/>
      <c r="D58" s="53"/>
      <c r="E58" s="53"/>
      <c r="F58" s="53"/>
      <c r="G58" s="53"/>
      <c r="H58" s="53"/>
      <c r="I58" s="53"/>
      <c r="J58" s="53"/>
      <c r="K58" s="53"/>
    </row>
    <row r="59" spans="1:11">
      <c r="A59" s="105" t="s">
        <v>181</v>
      </c>
      <c r="B59" s="99"/>
      <c r="C59" s="99"/>
      <c r="D59" s="99"/>
      <c r="E59" s="99"/>
      <c r="F59" s="99"/>
      <c r="G59" s="99"/>
      <c r="H59" s="99"/>
      <c r="I59" s="99"/>
      <c r="J59" s="99"/>
      <c r="K59" s="99"/>
    </row>
    <row r="60" spans="1:11">
      <c r="A60" s="106" t="s">
        <v>264</v>
      </c>
      <c r="B60" s="99"/>
      <c r="C60" s="99"/>
      <c r="D60" s="99"/>
      <c r="E60" s="99"/>
      <c r="F60" s="99"/>
      <c r="G60" s="99"/>
      <c r="H60" s="99"/>
      <c r="I60" s="99"/>
      <c r="J60" s="99"/>
      <c r="K60" s="99"/>
    </row>
    <row r="61" spans="1:11" ht="15" customHeight="1">
      <c r="A61" s="128" t="s">
        <v>265</v>
      </c>
      <c r="B61" s="128"/>
      <c r="C61" s="128"/>
      <c r="D61" s="128"/>
      <c r="E61" s="128"/>
      <c r="F61" s="128"/>
      <c r="G61" s="128"/>
      <c r="H61" s="128"/>
      <c r="I61" s="128"/>
      <c r="J61" s="128"/>
      <c r="K61" s="128"/>
    </row>
    <row r="62" spans="1:11">
      <c r="A62" s="128"/>
      <c r="B62" s="128"/>
      <c r="C62" s="128"/>
      <c r="D62" s="128"/>
      <c r="E62" s="128"/>
      <c r="F62" s="128"/>
      <c r="G62" s="128"/>
      <c r="H62" s="128"/>
      <c r="I62" s="128"/>
      <c r="J62" s="128"/>
      <c r="K62" s="128"/>
    </row>
    <row r="63" spans="1:11">
      <c r="A63" s="127" t="s">
        <v>182</v>
      </c>
      <c r="B63" s="127"/>
      <c r="C63" s="127"/>
      <c r="D63" s="127"/>
      <c r="E63" s="127"/>
      <c r="F63" s="127"/>
      <c r="G63" s="127"/>
      <c r="H63" s="127"/>
      <c r="I63" s="127"/>
      <c r="J63" s="127"/>
      <c r="K63" s="127"/>
    </row>
    <row r="64" spans="1:11">
      <c r="A64" s="127"/>
      <c r="B64" s="127"/>
      <c r="C64" s="127"/>
      <c r="D64" s="127"/>
      <c r="E64" s="127"/>
      <c r="F64" s="127"/>
      <c r="G64" s="127"/>
      <c r="H64" s="127"/>
      <c r="I64" s="127"/>
      <c r="J64" s="127"/>
      <c r="K64" s="127"/>
    </row>
    <row r="65" spans="1:11">
      <c r="A65" s="127" t="s">
        <v>183</v>
      </c>
      <c r="B65" s="127"/>
      <c r="C65" s="127"/>
      <c r="D65" s="127"/>
      <c r="E65" s="127"/>
      <c r="F65" s="127"/>
      <c r="G65" s="127"/>
      <c r="H65" s="127"/>
      <c r="I65" s="127"/>
      <c r="J65" s="127"/>
      <c r="K65" s="127"/>
    </row>
    <row r="66" spans="1:11">
      <c r="A66" s="127"/>
      <c r="B66" s="127"/>
      <c r="C66" s="127"/>
      <c r="D66" s="127"/>
      <c r="E66" s="127"/>
      <c r="F66" s="127"/>
      <c r="G66" s="127"/>
      <c r="H66" s="127"/>
      <c r="I66" s="127"/>
      <c r="J66" s="127"/>
      <c r="K66" s="127"/>
    </row>
    <row r="67" spans="1:11">
      <c r="A67" s="106" t="s">
        <v>184</v>
      </c>
      <c r="B67" s="99"/>
      <c r="C67" s="99"/>
      <c r="D67" s="99"/>
      <c r="E67" s="99"/>
      <c r="F67" s="99"/>
      <c r="G67" s="99"/>
      <c r="H67" s="99"/>
      <c r="I67" s="99"/>
      <c r="J67" s="99"/>
      <c r="K67" s="99"/>
    </row>
    <row r="68" spans="1:11">
      <c r="A68" s="106" t="s">
        <v>185</v>
      </c>
      <c r="B68" s="99"/>
      <c r="C68" s="99"/>
      <c r="D68" s="99"/>
      <c r="E68" s="99"/>
      <c r="F68" s="99"/>
      <c r="G68" s="99"/>
      <c r="H68" s="99"/>
      <c r="I68" s="99"/>
      <c r="J68" s="99"/>
      <c r="K68" s="99"/>
    </row>
    <row r="69" spans="1:11">
      <c r="A69" s="106" t="s">
        <v>186</v>
      </c>
      <c r="B69" s="99"/>
      <c r="C69" s="99"/>
      <c r="D69" s="99"/>
      <c r="E69" s="99"/>
      <c r="F69" s="99"/>
      <c r="G69" s="99"/>
      <c r="H69" s="99"/>
      <c r="I69" s="99"/>
      <c r="J69" s="99"/>
      <c r="K69" s="99"/>
    </row>
    <row r="70" spans="1:11" ht="15" customHeight="1">
      <c r="A70" s="128" t="s">
        <v>266</v>
      </c>
      <c r="B70" s="128"/>
      <c r="C70" s="128"/>
      <c r="D70" s="128"/>
      <c r="E70" s="128"/>
      <c r="F70" s="128"/>
      <c r="G70" s="128"/>
      <c r="H70" s="128"/>
      <c r="I70" s="128"/>
      <c r="J70" s="128"/>
      <c r="K70" s="128"/>
    </row>
    <row r="71" spans="1:11">
      <c r="A71" s="128"/>
      <c r="B71" s="128"/>
      <c r="C71" s="128"/>
      <c r="D71" s="128"/>
      <c r="E71" s="128"/>
      <c r="F71" s="128"/>
      <c r="G71" s="128"/>
      <c r="H71" s="128"/>
      <c r="I71" s="128"/>
      <c r="J71" s="128"/>
      <c r="K71" s="128"/>
    </row>
    <row r="72" spans="1:11">
      <c r="A72" s="106" t="s">
        <v>267</v>
      </c>
      <c r="B72" s="99"/>
      <c r="C72" s="99"/>
      <c r="D72" s="99"/>
      <c r="E72" s="99"/>
      <c r="F72" s="99"/>
      <c r="G72" s="99"/>
      <c r="H72" s="99"/>
      <c r="I72" s="99"/>
      <c r="J72" s="99"/>
      <c r="K72" s="99"/>
    </row>
    <row r="73" spans="1:11">
      <c r="A73" s="130" t="s">
        <v>268</v>
      </c>
      <c r="B73" s="130"/>
      <c r="C73" s="130"/>
      <c r="D73" s="130"/>
      <c r="E73" s="130"/>
      <c r="F73" s="130"/>
      <c r="G73" s="130"/>
      <c r="H73" s="130"/>
      <c r="I73" s="130"/>
      <c r="J73" s="130"/>
      <c r="K73" s="130"/>
    </row>
    <row r="74" spans="1:11">
      <c r="A74" s="130"/>
      <c r="B74" s="130"/>
      <c r="C74" s="130"/>
      <c r="D74" s="130"/>
      <c r="E74" s="130"/>
      <c r="F74" s="130"/>
      <c r="G74" s="130"/>
      <c r="H74" s="130"/>
      <c r="I74" s="130"/>
      <c r="J74" s="130"/>
      <c r="K74" s="130"/>
    </row>
    <row r="75" spans="1:11">
      <c r="A75" s="130"/>
      <c r="B75" s="130"/>
      <c r="C75" s="130"/>
      <c r="D75" s="130"/>
      <c r="E75" s="130"/>
      <c r="F75" s="130"/>
      <c r="G75" s="130"/>
      <c r="H75" s="130"/>
      <c r="I75" s="130"/>
      <c r="J75" s="130"/>
      <c r="K75" s="130"/>
    </row>
    <row r="76" spans="1:11">
      <c r="A76" s="130"/>
      <c r="B76" s="130"/>
      <c r="C76" s="130"/>
      <c r="D76" s="130"/>
      <c r="E76" s="130"/>
      <c r="F76" s="130"/>
      <c r="G76" s="130"/>
      <c r="H76" s="130"/>
      <c r="I76" s="130"/>
      <c r="J76" s="130"/>
      <c r="K76" s="130"/>
    </row>
    <row r="77" spans="1:11" ht="15" customHeight="1">
      <c r="A77" s="128" t="s">
        <v>323</v>
      </c>
      <c r="B77" s="128"/>
      <c r="C77" s="128"/>
      <c r="D77" s="128"/>
      <c r="E77" s="128"/>
      <c r="F77" s="128"/>
      <c r="G77" s="128"/>
      <c r="H77" s="128"/>
      <c r="I77" s="128"/>
      <c r="J77" s="128"/>
      <c r="K77" s="128"/>
    </row>
    <row r="78" spans="1:11">
      <c r="A78" s="128"/>
      <c r="B78" s="128"/>
      <c r="C78" s="128"/>
      <c r="D78" s="128"/>
      <c r="E78" s="128"/>
      <c r="F78" s="128"/>
      <c r="G78" s="128"/>
      <c r="H78" s="128"/>
      <c r="I78" s="128"/>
      <c r="J78" s="128"/>
      <c r="K78" s="128"/>
    </row>
    <row r="79" spans="1:11">
      <c r="A79" s="127" t="s">
        <v>269</v>
      </c>
      <c r="B79" s="127"/>
      <c r="C79" s="127"/>
      <c r="D79" s="127"/>
      <c r="E79" s="127"/>
      <c r="F79" s="127"/>
      <c r="G79" s="127"/>
      <c r="H79" s="127"/>
      <c r="I79" s="127"/>
      <c r="J79" s="127"/>
      <c r="K79" s="127"/>
    </row>
    <row r="80" spans="1:11">
      <c r="A80" s="127"/>
      <c r="B80" s="127"/>
      <c r="C80" s="127"/>
      <c r="D80" s="127"/>
      <c r="E80" s="127"/>
      <c r="F80" s="127"/>
      <c r="G80" s="127"/>
      <c r="H80" s="127"/>
      <c r="I80" s="127"/>
      <c r="J80" s="127"/>
      <c r="K80" s="127"/>
    </row>
    <row r="81" spans="1:11" ht="15" customHeight="1">
      <c r="A81" s="128" t="s">
        <v>270</v>
      </c>
      <c r="B81" s="128"/>
      <c r="C81" s="128"/>
      <c r="D81" s="128"/>
      <c r="E81" s="128"/>
      <c r="F81" s="128"/>
      <c r="G81" s="128"/>
      <c r="H81" s="128"/>
      <c r="I81" s="128"/>
      <c r="J81" s="128"/>
      <c r="K81" s="128"/>
    </row>
    <row r="82" spans="1:11">
      <c r="A82" s="128"/>
      <c r="B82" s="128"/>
      <c r="C82" s="128"/>
      <c r="D82" s="128"/>
      <c r="E82" s="128"/>
      <c r="F82" s="128"/>
      <c r="G82" s="128"/>
      <c r="H82" s="128"/>
      <c r="I82" s="128"/>
      <c r="J82" s="128"/>
      <c r="K82" s="128"/>
    </row>
    <row r="83" spans="1:11" ht="15" customHeight="1">
      <c r="A83" s="154" t="s">
        <v>271</v>
      </c>
      <c r="B83" s="154"/>
      <c r="C83" s="154"/>
      <c r="D83" s="154"/>
      <c r="E83" s="154"/>
      <c r="F83" s="154"/>
      <c r="G83" s="154"/>
      <c r="H83" s="154"/>
      <c r="I83" s="154"/>
      <c r="J83" s="154"/>
      <c r="K83" s="154"/>
    </row>
    <row r="84" spans="1:11">
      <c r="A84" s="154"/>
      <c r="B84" s="154"/>
      <c r="C84" s="154"/>
      <c r="D84" s="154"/>
      <c r="E84" s="154"/>
      <c r="F84" s="154"/>
      <c r="G84" s="154"/>
      <c r="H84" s="154"/>
      <c r="I84" s="154"/>
      <c r="J84" s="154"/>
      <c r="K84" s="154"/>
    </row>
    <row r="85" spans="1:11">
      <c r="A85" s="154"/>
      <c r="B85" s="154"/>
      <c r="C85" s="154"/>
      <c r="D85" s="154"/>
      <c r="E85" s="154"/>
      <c r="F85" s="154"/>
      <c r="G85" s="154"/>
      <c r="H85" s="154"/>
      <c r="I85" s="154"/>
      <c r="J85" s="154"/>
      <c r="K85" s="154"/>
    </row>
    <row r="86" spans="1:11">
      <c r="A86" s="154"/>
      <c r="B86" s="154"/>
      <c r="C86" s="154"/>
      <c r="D86" s="154"/>
      <c r="E86" s="154"/>
      <c r="F86" s="154"/>
      <c r="G86" s="154"/>
      <c r="H86" s="154"/>
      <c r="I86" s="154"/>
      <c r="J86" s="154"/>
      <c r="K86" s="154"/>
    </row>
    <row r="87" spans="1:11" ht="15" customHeight="1">
      <c r="A87" s="128" t="s">
        <v>272</v>
      </c>
      <c r="B87" s="128"/>
      <c r="C87" s="128"/>
      <c r="D87" s="128"/>
      <c r="E87" s="128"/>
      <c r="F87" s="128"/>
      <c r="G87" s="128"/>
      <c r="H87" s="128"/>
      <c r="I87" s="128"/>
      <c r="J87" s="128"/>
      <c r="K87" s="128"/>
    </row>
    <row r="88" spans="1:11">
      <c r="A88" s="131" t="s">
        <v>187</v>
      </c>
      <c r="B88" s="131"/>
      <c r="C88" s="131"/>
      <c r="D88" s="131"/>
      <c r="E88" s="131"/>
      <c r="F88" s="131"/>
      <c r="G88" s="131"/>
      <c r="H88" s="131"/>
      <c r="I88" s="131"/>
      <c r="J88" s="131"/>
      <c r="K88" s="131"/>
    </row>
    <row r="89" spans="1:11">
      <c r="A89" s="131"/>
      <c r="B89" s="131"/>
      <c r="C89" s="131"/>
      <c r="D89" s="131"/>
      <c r="E89" s="131"/>
      <c r="F89" s="131"/>
      <c r="G89" s="131"/>
      <c r="H89" s="131"/>
      <c r="I89" s="131"/>
      <c r="J89" s="131"/>
      <c r="K89" s="131"/>
    </row>
    <row r="90" spans="1:11">
      <c r="A90" s="106" t="s">
        <v>188</v>
      </c>
      <c r="B90" s="99"/>
      <c r="C90" s="99"/>
      <c r="D90" s="99"/>
      <c r="E90" s="99"/>
      <c r="F90" s="99"/>
      <c r="G90" s="99"/>
      <c r="H90" s="99"/>
      <c r="I90" s="99"/>
      <c r="J90" s="99"/>
      <c r="K90" s="99"/>
    </row>
    <row r="91" spans="1:11">
      <c r="A91" s="106" t="s">
        <v>189</v>
      </c>
      <c r="B91" s="99"/>
      <c r="C91" s="99"/>
      <c r="D91" s="99"/>
      <c r="E91" s="99"/>
      <c r="F91" s="99"/>
      <c r="G91" s="99"/>
      <c r="H91" s="99"/>
      <c r="I91" s="99"/>
      <c r="J91" s="99"/>
      <c r="K91" s="99"/>
    </row>
    <row r="92" spans="1:11" ht="15" customHeight="1">
      <c r="A92" s="128" t="s">
        <v>273</v>
      </c>
      <c r="B92" s="128"/>
      <c r="C92" s="128"/>
      <c r="D92" s="128"/>
      <c r="E92" s="128"/>
      <c r="F92" s="128"/>
      <c r="G92" s="128"/>
      <c r="H92" s="128"/>
      <c r="I92" s="128"/>
      <c r="J92" s="128"/>
      <c r="K92" s="128"/>
    </row>
    <row r="93" spans="1:11">
      <c r="A93" s="128"/>
      <c r="B93" s="128"/>
      <c r="C93" s="128"/>
      <c r="D93" s="128"/>
      <c r="E93" s="128"/>
      <c r="F93" s="128"/>
      <c r="G93" s="128"/>
      <c r="H93" s="128"/>
      <c r="I93" s="128"/>
      <c r="J93" s="128"/>
      <c r="K93" s="128"/>
    </row>
    <row r="94" spans="1:11">
      <c r="A94" s="128"/>
      <c r="B94" s="128"/>
      <c r="C94" s="128"/>
      <c r="D94" s="128"/>
      <c r="E94" s="128"/>
      <c r="F94" s="128"/>
      <c r="G94" s="128"/>
      <c r="H94" s="128"/>
      <c r="I94" s="128"/>
      <c r="J94" s="128"/>
      <c r="K94" s="128"/>
    </row>
    <row r="95" spans="1:11">
      <c r="A95" s="128"/>
      <c r="B95" s="128"/>
      <c r="C95" s="128"/>
      <c r="D95" s="128"/>
      <c r="E95" s="128"/>
      <c r="F95" s="128"/>
      <c r="G95" s="128"/>
      <c r="H95" s="128"/>
      <c r="I95" s="128"/>
      <c r="J95" s="128"/>
      <c r="K95" s="128"/>
    </row>
    <row r="96" spans="1:11">
      <c r="A96" s="127" t="s">
        <v>274</v>
      </c>
      <c r="B96" s="127"/>
      <c r="C96" s="127"/>
      <c r="D96" s="127"/>
      <c r="E96" s="127"/>
      <c r="F96" s="127"/>
      <c r="G96" s="127"/>
      <c r="H96" s="127"/>
      <c r="I96" s="127"/>
      <c r="J96" s="127"/>
      <c r="K96" s="127"/>
    </row>
    <row r="97" spans="1:11">
      <c r="A97" s="127"/>
      <c r="B97" s="127"/>
      <c r="C97" s="127"/>
      <c r="D97" s="127"/>
      <c r="E97" s="127"/>
      <c r="F97" s="127"/>
      <c r="G97" s="127"/>
      <c r="H97" s="127"/>
      <c r="I97" s="127"/>
      <c r="J97" s="127"/>
      <c r="K97" s="127"/>
    </row>
    <row r="98" spans="1:11">
      <c r="A98" s="127"/>
      <c r="B98" s="127"/>
      <c r="C98" s="127"/>
      <c r="D98" s="127"/>
      <c r="E98" s="127"/>
      <c r="F98" s="127"/>
      <c r="G98" s="127"/>
      <c r="H98" s="127"/>
      <c r="I98" s="127"/>
      <c r="J98" s="127"/>
      <c r="K98" s="127"/>
    </row>
    <row r="99" spans="1:11">
      <c r="A99" s="127" t="s">
        <v>275</v>
      </c>
      <c r="B99" s="127"/>
      <c r="C99" s="127"/>
      <c r="D99" s="127"/>
      <c r="E99" s="127"/>
      <c r="F99" s="127"/>
      <c r="G99" s="127"/>
      <c r="H99" s="127"/>
      <c r="I99" s="127"/>
      <c r="J99" s="127"/>
      <c r="K99" s="127"/>
    </row>
    <row r="100" spans="1:11">
      <c r="A100" s="127"/>
      <c r="B100" s="127"/>
      <c r="C100" s="127"/>
      <c r="D100" s="127"/>
      <c r="E100" s="127"/>
      <c r="F100" s="127"/>
      <c r="G100" s="127"/>
      <c r="H100" s="127"/>
      <c r="I100" s="127"/>
      <c r="J100" s="127"/>
      <c r="K100" s="127"/>
    </row>
    <row r="101" spans="1:11">
      <c r="A101" s="127" t="s">
        <v>276</v>
      </c>
      <c r="B101" s="127"/>
      <c r="C101" s="127"/>
      <c r="D101" s="127"/>
      <c r="E101" s="127"/>
      <c r="F101" s="127"/>
      <c r="G101" s="127"/>
      <c r="H101" s="127"/>
      <c r="I101" s="127"/>
      <c r="J101" s="127"/>
      <c r="K101" s="127"/>
    </row>
    <row r="102" spans="1:11">
      <c r="A102" s="127"/>
      <c r="B102" s="127"/>
      <c r="C102" s="127"/>
      <c r="D102" s="127"/>
      <c r="E102" s="127"/>
      <c r="F102" s="127"/>
      <c r="G102" s="127"/>
      <c r="H102" s="127"/>
      <c r="I102" s="127"/>
      <c r="J102" s="127"/>
      <c r="K102" s="127"/>
    </row>
    <row r="103" spans="1:11">
      <c r="A103" s="127" t="s">
        <v>277</v>
      </c>
      <c r="B103" s="127"/>
      <c r="C103" s="127"/>
      <c r="D103" s="127"/>
      <c r="E103" s="127"/>
      <c r="F103" s="127"/>
      <c r="G103" s="127"/>
      <c r="H103" s="127"/>
      <c r="I103" s="127"/>
      <c r="J103" s="127"/>
      <c r="K103" s="127"/>
    </row>
    <row r="104" spans="1:11">
      <c r="A104" s="127"/>
      <c r="B104" s="127"/>
      <c r="C104" s="127"/>
      <c r="D104" s="127"/>
      <c r="E104" s="127"/>
      <c r="F104" s="127"/>
      <c r="G104" s="127"/>
      <c r="H104" s="127"/>
      <c r="I104" s="127"/>
      <c r="J104" s="127"/>
      <c r="K104" s="127"/>
    </row>
    <row r="105" spans="1:11">
      <c r="A105" s="127" t="s">
        <v>278</v>
      </c>
      <c r="B105" s="127"/>
      <c r="C105" s="127"/>
      <c r="D105" s="127"/>
      <c r="E105" s="127"/>
      <c r="F105" s="127"/>
      <c r="G105" s="127"/>
      <c r="H105" s="127"/>
      <c r="I105" s="127"/>
      <c r="J105" s="127"/>
      <c r="K105" s="127"/>
    </row>
    <row r="106" spans="1:11">
      <c r="A106" s="127"/>
      <c r="B106" s="127"/>
      <c r="C106" s="127"/>
      <c r="D106" s="127"/>
      <c r="E106" s="127"/>
      <c r="F106" s="127"/>
      <c r="G106" s="127"/>
      <c r="H106" s="127"/>
      <c r="I106" s="127"/>
      <c r="J106" s="127"/>
      <c r="K106" s="127"/>
    </row>
    <row r="107" spans="1:11">
      <c r="A107" s="127" t="s">
        <v>279</v>
      </c>
      <c r="B107" s="127"/>
      <c r="C107" s="127"/>
      <c r="D107" s="127"/>
      <c r="E107" s="127"/>
      <c r="F107" s="127"/>
      <c r="G107" s="127"/>
      <c r="H107" s="127"/>
      <c r="I107" s="127"/>
      <c r="J107" s="127"/>
      <c r="K107" s="127"/>
    </row>
    <row r="108" spans="1:11">
      <c r="A108" s="127"/>
      <c r="B108" s="127"/>
      <c r="C108" s="127"/>
      <c r="D108" s="127"/>
      <c r="E108" s="127"/>
      <c r="F108" s="127"/>
      <c r="G108" s="127"/>
      <c r="H108" s="127"/>
      <c r="I108" s="127"/>
      <c r="J108" s="127"/>
      <c r="K108" s="127"/>
    </row>
    <row r="109" spans="1:11">
      <c r="A109" s="127" t="s">
        <v>280</v>
      </c>
      <c r="B109" s="127"/>
      <c r="C109" s="127"/>
      <c r="D109" s="127"/>
      <c r="E109" s="127"/>
      <c r="F109" s="127"/>
      <c r="G109" s="127"/>
      <c r="H109" s="127"/>
      <c r="I109" s="127"/>
      <c r="J109" s="127"/>
      <c r="K109" s="127"/>
    </row>
    <row r="110" spans="1:11">
      <c r="A110" s="127"/>
      <c r="B110" s="127"/>
      <c r="C110" s="127"/>
      <c r="D110" s="127"/>
      <c r="E110" s="127"/>
      <c r="F110" s="127"/>
      <c r="G110" s="127"/>
      <c r="H110" s="127"/>
      <c r="I110" s="127"/>
      <c r="J110" s="127"/>
      <c r="K110" s="127"/>
    </row>
    <row r="111" spans="1:11" ht="15" customHeight="1">
      <c r="A111" s="128" t="s">
        <v>281</v>
      </c>
      <c r="B111" s="128"/>
      <c r="C111" s="128"/>
      <c r="D111" s="128"/>
      <c r="E111" s="128"/>
      <c r="F111" s="128"/>
      <c r="G111" s="128"/>
      <c r="H111" s="128"/>
      <c r="I111" s="128"/>
      <c r="J111" s="128"/>
      <c r="K111" s="128"/>
    </row>
    <row r="112" spans="1:11">
      <c r="A112" s="128"/>
      <c r="B112" s="128"/>
      <c r="C112" s="128"/>
      <c r="D112" s="128"/>
      <c r="E112" s="128"/>
      <c r="F112" s="128"/>
      <c r="G112" s="128"/>
      <c r="H112" s="128"/>
      <c r="I112" s="128"/>
      <c r="J112" s="128"/>
      <c r="K112" s="128"/>
    </row>
    <row r="113" spans="1:11">
      <c r="A113" s="127" t="s">
        <v>282</v>
      </c>
      <c r="B113" s="127"/>
      <c r="C113" s="127"/>
      <c r="D113" s="127"/>
      <c r="E113" s="127"/>
      <c r="F113" s="127"/>
      <c r="G113" s="127"/>
      <c r="H113" s="127"/>
      <c r="I113" s="127"/>
      <c r="J113" s="127"/>
      <c r="K113" s="127"/>
    </row>
    <row r="114" spans="1:11">
      <c r="A114" s="127"/>
      <c r="B114" s="127"/>
      <c r="C114" s="127"/>
      <c r="D114" s="127"/>
      <c r="E114" s="127"/>
      <c r="F114" s="127"/>
      <c r="G114" s="127"/>
      <c r="H114" s="127"/>
      <c r="I114" s="127"/>
      <c r="J114" s="127"/>
      <c r="K114" s="127"/>
    </row>
    <row r="115" spans="1:11">
      <c r="A115" s="106" t="s">
        <v>283</v>
      </c>
      <c r="B115" s="99"/>
      <c r="C115" s="99"/>
      <c r="D115" s="99"/>
      <c r="E115" s="99"/>
      <c r="F115" s="99"/>
      <c r="G115" s="99"/>
      <c r="H115" s="99"/>
      <c r="I115" s="99"/>
      <c r="J115" s="99"/>
      <c r="K115" s="99"/>
    </row>
    <row r="116" spans="1:11">
      <c r="A116" s="99" t="s">
        <v>190</v>
      </c>
      <c r="B116" s="99"/>
      <c r="C116" s="99"/>
      <c r="D116" s="99"/>
      <c r="E116" s="99"/>
      <c r="F116" s="99"/>
      <c r="G116" s="99"/>
      <c r="H116" s="99"/>
      <c r="I116" s="99"/>
      <c r="J116" s="99"/>
      <c r="K116" s="99"/>
    </row>
    <row r="117" spans="1:11">
      <c r="A117" s="107" t="s">
        <v>284</v>
      </c>
      <c r="B117" s="99"/>
      <c r="C117" s="99"/>
      <c r="D117" s="99"/>
      <c r="E117" s="99"/>
      <c r="F117" s="99"/>
      <c r="G117" s="99"/>
      <c r="H117" s="99"/>
      <c r="I117" s="99"/>
      <c r="J117" s="99"/>
      <c r="K117" s="99"/>
    </row>
    <row r="118" spans="1:11">
      <c r="A118" s="99" t="s">
        <v>411</v>
      </c>
      <c r="B118" s="99"/>
      <c r="C118" s="99"/>
      <c r="D118" s="99"/>
      <c r="E118" s="99"/>
      <c r="F118" s="99"/>
      <c r="G118" s="99"/>
      <c r="H118" s="99"/>
      <c r="I118" s="99"/>
      <c r="J118" s="99"/>
      <c r="K118" s="99"/>
    </row>
  </sheetData>
  <sheetProtection algorithmName="SHA-512" hashValue="ohfSuVwM6RypmVUNZCSVO4qInncY2hTx40UcINksEkz2VPYPPH8zSIBwrT9pH+wcqII9+6Cv+fgqzPvgrC3C/w==" saltValue="b1lXr1Unx9w2TMS3g1cSxw==" spinCount="100000" sheet="1" objects="1" scenarios="1"/>
  <mergeCells count="63">
    <mergeCell ref="A30:K30"/>
    <mergeCell ref="A31:K31"/>
    <mergeCell ref="A32:K32"/>
    <mergeCell ref="A39:K39"/>
    <mergeCell ref="A40:K40"/>
    <mergeCell ref="A41:K41"/>
    <mergeCell ref="A42:K42"/>
    <mergeCell ref="A43:K43"/>
    <mergeCell ref="A92:K95"/>
    <mergeCell ref="A44:K44"/>
    <mergeCell ref="A45:K45"/>
    <mergeCell ref="A46:K46"/>
    <mergeCell ref="A47:K47"/>
    <mergeCell ref="A48:K48"/>
    <mergeCell ref="A63:K64"/>
    <mergeCell ref="A61:K62"/>
    <mergeCell ref="A49:K49"/>
    <mergeCell ref="A50:K50"/>
    <mergeCell ref="A51:K51"/>
    <mergeCell ref="A52:K52"/>
    <mergeCell ref="A53:K53"/>
    <mergeCell ref="A54:K54"/>
    <mergeCell ref="A55:K55"/>
    <mergeCell ref="A56:K56"/>
    <mergeCell ref="A38:K38"/>
    <mergeCell ref="A12:K12"/>
    <mergeCell ref="A15:K15"/>
    <mergeCell ref="A21:K21"/>
    <mergeCell ref="A22:K22"/>
    <mergeCell ref="A35:K35"/>
    <mergeCell ref="A19:K19"/>
    <mergeCell ref="A20:K20"/>
    <mergeCell ref="A33:K33"/>
    <mergeCell ref="A34:K34"/>
    <mergeCell ref="A23:K23"/>
    <mergeCell ref="A24:K24"/>
    <mergeCell ref="A25:K25"/>
    <mergeCell ref="A26:K26"/>
    <mergeCell ref="A17:K17"/>
    <mergeCell ref="A18:K18"/>
    <mergeCell ref="A27:K27"/>
    <mergeCell ref="A28:K28"/>
    <mergeCell ref="A29:K29"/>
    <mergeCell ref="A99:K100"/>
    <mergeCell ref="A77:K78"/>
    <mergeCell ref="A81:K82"/>
    <mergeCell ref="A83:K86"/>
    <mergeCell ref="A87:K87"/>
    <mergeCell ref="A65:K66"/>
    <mergeCell ref="A73:K76"/>
    <mergeCell ref="A79:K80"/>
    <mergeCell ref="A88:K89"/>
    <mergeCell ref="A96:K98"/>
    <mergeCell ref="A70:K71"/>
    <mergeCell ref="A36:K36"/>
    <mergeCell ref="A37:K37"/>
    <mergeCell ref="A113:K114"/>
    <mergeCell ref="A101:K102"/>
    <mergeCell ref="A105:K106"/>
    <mergeCell ref="A107:K108"/>
    <mergeCell ref="A109:K110"/>
    <mergeCell ref="A111:K112"/>
    <mergeCell ref="A103:K104"/>
  </mergeCells>
  <hyperlinks>
    <hyperlink ref="A39:J39" location="'TotalAllotj_12 (22)'!A1" display="Capacidad de alojamiento por tipo de establecimiento y categoría en Ibiza (2012)………………………….……………………………………..pág 22" xr:uid="{00000000-0004-0000-0100-000011000000}"/>
    <hyperlink ref="A40:J40" location="'Allotj.municipi_12 (23)'!A1" display="Distribución de la capacidad de alojamiento por municipios en Ibiza (2012)…………………………..……………….……………………………….pág 23" xr:uid="{00000000-0004-0000-0100-000012000000}"/>
    <hyperlink ref="A37:J37" location="'TotalAllotj_13 (20)'!A1" display="Capacidad de alojamiento por tipo de establecimiento y categoría en Ibiza (2013)………………………….……………………………………..pág 20" xr:uid="{00000000-0004-0000-0100-000015000000}"/>
    <hyperlink ref="A38:J38" location="'Allotj.municipi_13 (21)'!A1" display="Distribución de la capacidad de alojamiento por municipios en Ibiza (2013)…………………………..……………….……………………………...pág 21" xr:uid="{00000000-0004-0000-0100-000016000000}"/>
    <hyperlink ref="A43:J43" location="'TotalAllotj_10 (26)'!A1" display="Capacidad de alojamiento por tipo de establecimiento y categoría en Ibiza (2010)………………………….……………………………………..pág 26" xr:uid="{00000000-0004-0000-0100-000017000000}"/>
    <hyperlink ref="A44:J44" location="'Allotj.municipi_10 (27)'!A1" display="Distribución de la capacidad de alojamiento por municipios en Ibiza (2010)……………………………...……………………………………………pág 27" xr:uid="{00000000-0004-0000-0100-000018000000}"/>
    <hyperlink ref="A45:J45" location="'TotalAllotj_09 (28)'!A1" display="Capacidad de alojamiento por tipo de establecimiento y categoría en Ibiza (2009)……….………………………………………………………..pág 28" xr:uid="{00000000-0004-0000-0100-000019000000}"/>
    <hyperlink ref="A46:J46" location="'Allotj.municipi_09 (29)'!A1" display="Distribución de la capacidad de alojamiento por municipios en Ibiza (2009)……………………………………...………………….………………..pág 29" xr:uid="{00000000-0004-0000-0100-00001A000000}"/>
    <hyperlink ref="A47:J47" location="'TotalAllotj_08 (30)'!A1" display="Capacidad de alojamiento por tipo de establecimiento y categoría en Ibiza (2008)……………….………………………………………………..pág 30" xr:uid="{00000000-0004-0000-0100-00001B000000}"/>
    <hyperlink ref="A48:J48" location="'Allotj.municipi_08 (31)'!A1" display="Distribución de la capacidad de alojamiento por municipios en Ibiza (2008)………………………………………….………………………………..pág 31" xr:uid="{00000000-0004-0000-0100-00001C000000}"/>
    <hyperlink ref="A49:J49" location="'TotalAllotj_07 (32)'!A1" display="Capacidad de alojamiento por tipo de establecimiento y categoría en Ibiza (2007)……………………………….………………………………..pág 32" xr:uid="{00000000-0004-0000-0100-00001D000000}"/>
    <hyperlink ref="A50:J50" location="'Allotj.municipi_07 (33)'!A1" display="Distribución de la capacidad de alojamiento por municipios en Ibiza (2007)………………………………………....………………………………..pág 33" xr:uid="{00000000-0004-0000-0100-00001E000000}"/>
    <hyperlink ref="A51:J51" location="'TotalAllotj_06 (34)'!A1" display="Capacidad de alojamiento por tipo de establecimiento y categoría en Ibiza (2006)………………….………………………………………………pág 34" xr:uid="{00000000-0004-0000-0100-00001F000000}"/>
    <hyperlink ref="A52:J52" location="'Allotj.municipi_06 (35)'!A1" display="Distribución de la capacidad de alojamiento por municipios en Ibiza (2006)………………………………………....………………………………..pág 35" xr:uid="{00000000-0004-0000-0100-000020000000}"/>
    <hyperlink ref="A53:J53" location="'TotalAllotj_05 (36)'!A1" display="Capacidad de alojamiento por tipo de establecimiento y categoría en Ibiza (2005)………………………………….………………………………pág 36" xr:uid="{00000000-0004-0000-0100-000021000000}"/>
    <hyperlink ref="A54:J54" location="'Allotj.municipi_05 (37)'!A1" display="Distribución de la capacidad de alojamiento por municipios en Ibiza (2005)………………………………….……...………………………………..pág 37" xr:uid="{00000000-0004-0000-0100-000022000000}"/>
    <hyperlink ref="A55:J55" location="'TotalAllotj_04 (38)'!A1" display="Capacidad de alojamiento por tipo de establecimiento y categoría en Ibiza (2004)…………………………………………….……………………pág 38" xr:uid="{00000000-0004-0000-0100-000023000000}"/>
    <hyperlink ref="A56:J56" location="'Allotj.municipi_04 (39)'!A1" display="Distribución de la capacidad de alojamiento por municipios en Ibiza (2004)……………………………………...……….…………………………..pág 39" xr:uid="{00000000-0004-0000-0100-000024000000}"/>
    <hyperlink ref="A35:J35" location="'TotalAllotj_14 (18)'!A1" display="Capacidad de alojamiento por tipo de establecimiento y categoría en Ibiza (2014)………………………….……………………………………..pág 18" xr:uid="{00000000-0004-0000-0100-000025000000}"/>
    <hyperlink ref="A36:J36" location="'Allotj.municipi_14 (19)'!A1" display="Distribución de la capacidad de alojamiento por municipios en Ibiza (2014)…………………………..……………….………………………………pág 19" xr:uid="{00000000-0004-0000-0100-000026000000}"/>
    <hyperlink ref="A41:J41" location="'TotalAllotj_11 (24)'!A1" display="Capacidad de alojamiento por tipo de establecimiento y categoría en Ibiza (2011)………………………….……………………………………..pág 24" xr:uid="{00000000-0004-0000-0100-000027000000}"/>
    <hyperlink ref="A42:J42" location="'Allotj.municipi_11 (25)'!A1" display="Distribución de la capacidad de alojamiento por municipios en Ibiza (2011)…………………………..……………….……………………………….pág 25" xr:uid="{00000000-0004-0000-0100-000028000000}"/>
    <hyperlink ref="A33:J33" location="'TotalAllotj_15 (16)'!A1" display="Capacidad de alojamiento por tipo de establecimiento y categoría en Ibiza (2015)………………………….……………………………………..pág 16" xr:uid="{00000000-0004-0000-0100-000029000000}"/>
    <hyperlink ref="A34:J34" location="'Allotj.municipi_15 (17)'!A1" display="Distribución de la capacidad de alojamiento por municipios en Ibiza (2015)…………………………..……………….………………………………pág 17" xr:uid="{00000000-0004-0000-0100-00002A000000}"/>
    <hyperlink ref="A31:J31" location="'TotalAllotj_16 (14)'!A1" display="Capacidad de alojamiento por tipo de establecimiento y categoría en Ibiza (2016)………………………….……………………………………..pág 14" xr:uid="{00000000-0004-0000-0100-00002B000000}"/>
    <hyperlink ref="A32:J32" location="'Allotj.municipi_16 (15)'!A1" display="Distribución de la capacidad de alojamiento por municipios en Ibiza (2016)…………………………..……………….………………………………pág 15" xr:uid="{00000000-0004-0000-0100-00002C000000}"/>
    <hyperlink ref="A29:J29" location="'TotalAllotj_17 (12)'!A1" display="Capacidad de alojamiento por tipo de establecimiento y categoría en Ibiza (2017)………………………….……………………………………..pág 12" xr:uid="{00000000-0004-0000-0100-00002D000000}"/>
    <hyperlink ref="A30:J30" location="'Allotj.municipi_17 (13)'!A1" display="Distribución de la capacidad de alojamiento por municipios en Ibiza (2017)…………………………..……………….………………………………pág 13" xr:uid="{00000000-0004-0000-0100-00002E000000}"/>
    <hyperlink ref="A27:J27" location="'TotalAllotj_18 (10)'!A1" display="Capacidad de alojamiento por tipo de establecimiento y categoría en Ibiza (2018)………………………….……………………………………..pág 10" xr:uid="{00000000-0004-0000-0100-00002F000000}"/>
    <hyperlink ref="A28:J28" location="'Allotj.municipi_18 (11)'!A1" display="Distribución de la capacidad de alojamiento por municipios en Ibiza (2018)…………………………..……………….………………………………pág 11" xr:uid="{00000000-0004-0000-0100-000030000000}"/>
    <hyperlink ref="A25:J25" location="'TotalAllotj_19 (8)'!A1" display="Capacidad de alojamiento por tipo de establecimiento y categoría en Ibiza (2019)………………………….……………………………………..pág 8" xr:uid="{00000000-0004-0000-0100-000031000000}"/>
    <hyperlink ref="A26:J26" location="'Allotj.municipi_19 (9)'!A1" display="Distribución de la capacidad de alojamiento por municipios en Ibiza (2019)…………………………..……………….………………………………pág 9" xr:uid="{00000000-0004-0000-0100-000032000000}"/>
    <hyperlink ref="A23:J23" location="'TotalAllotj_20 (6)'!A1" display="Capacidad de alojamiento por tipo de establecimiento y categoría en Ibiza (2020)………………………….……………………………………..pág 6" xr:uid="{00000000-0004-0000-0100-000033000000}"/>
    <hyperlink ref="A24:J24" location="'Allotj.municipi_20 (7)'!A1" display="Distribución de la capacidad de alojamiento por municipios en Ibiza (2020)…………………………..……………….………………………………pág 7" xr:uid="{00000000-0004-0000-0100-000034000000}"/>
    <hyperlink ref="A21:J21" location="'TotalAllotj_21 (4)'!A1" display="Capacidad de alojamiento por tipo de establecimiento y categoría en Ibiza (2021)………………………….……………………………………..pág 4" xr:uid="{00000000-0004-0000-0100-000035000000}"/>
    <hyperlink ref="A22:J22" location="'Allotj.municipi_21 (5)'!A1" display="Distribución de la capacidad de alojamiento por municipios en Ibiza (2021)…………………………..……………….………………………………pág 5" xr:uid="{00000000-0004-0000-0100-000036000000}"/>
    <hyperlink ref="A19:J19" location="'TotalAllotj_21 (4)'!A1" display="Capacidad de alojamiento por tipo de establecimiento y categoría en Ibiza (2021)………………………….……………………………………..pág 4" xr:uid="{4D3F21D8-41DA-4D62-9577-9775AD3B2080}"/>
    <hyperlink ref="A20:J20" location="'Allotj.municipi_21 (5)'!A1" display="Distribución de la capacidad de alojamiento por municipios en Ibiza (2021)…………………………..……………….………………………………pág 5" xr:uid="{0972DEAE-D0B6-4B3E-ADFE-2A7912EC2CC4}"/>
    <hyperlink ref="A19:K19" location="'TotalAllotj_22 (4)'!A1" display="Capacidad de alojamiento por tipo de establecimiento y categoría en Ibiza (2021)……………………………...................……....………………………………..pág 4" xr:uid="{CC29F97B-C217-4098-8DC8-81EE7A2AAC1D}"/>
    <hyperlink ref="A20:K20" location="'Allotj.municipi_22 (5)'!A1" display="Distribución de la capacidad de alojamiento por municipios en Ibiza (2021)………………………..................……..……………..…….………………………………pág 5" xr:uid="{A1E00837-6369-4368-849C-F099167980B9}"/>
    <hyperlink ref="A21:K21" location="'TotalAllotj_21 (6)'!A1" display="Capacidad de alojamiento por tipo de establecimiento y categoría en Ibiza (2021)……………………………...................……....………………………………..pág 6" xr:uid="{1E784776-EE6C-4FF2-B9B3-B30B4709F4A7}"/>
    <hyperlink ref="A22:K22" location="'Allotj.municipi_21 (7)'!A1" display="Distribución de la capacidad de alojamiento por municipios en Ibiza (2021)………………………..................……..……………..…….………………………………pág 7" xr:uid="{ED5CEFDA-C7E5-4BDA-841A-74A03BE25220}"/>
    <hyperlink ref="A23:K23" location="'TotalAllotj_20 (8)'!A1" display="Capacidad de alojamiento por tipo de establecimiento y categoría en Ibiza (2020)……………..................……………….……....………………………………..pág 8" xr:uid="{5B2D9123-37EC-4B7F-8AA8-DDD32B126ADC}"/>
    <hyperlink ref="A24:K24" location="'Allotj.municipi_20 (9)'!A1" display="Distribución de la capacidad de alojamiento por municipios en Ibiza (2020)…………………..................…………..………………..….………………………………pág 9" xr:uid="{C0E1032D-CD93-4A9F-A88F-B601BC222543}"/>
    <hyperlink ref="A25:K25" location="'TotalAllotj_19 (10)'!A1" display="Capacidad de alojamiento por tipo de establecimiento y categoría en Ibiza (2019)……………..................……………….………....……………………………..pág 10" xr:uid="{76DC7FA8-8772-40B4-ABA7-BBFB468CCF5B}"/>
    <hyperlink ref="A26:K26" location="'Allotj.municipi_19 (11)'!A1" display="Distribución de la capacidad de alojamiento por municipios en Ibiza (2019)………………………..................……….........………….………………………………pág 11" xr:uid="{4809FBA6-806A-46D3-BEEE-550F450C9BCB}"/>
    <hyperlink ref="A27:K27" location="'TotalAllotj_18 (12)'!A1" display="Capacidad de alojamiento por tipo de establecimiento y categoría en Ibiza (2018)………………...................…………….…...…………………………………..pág 12" xr:uid="{EAE00C0E-BF4A-47FA-B812-386D037A6729}"/>
    <hyperlink ref="A28:K28" location="'Allotj.municipi_18 (13)'!A1" display="Distribución de la capacidad de alojamiento por municipios en Ibiza (2018)……………...................………………..…….…………….………………………………pág 13" xr:uid="{F7140EFD-BA05-43C1-AEE1-26E7899216B3}"/>
    <hyperlink ref="A29:K29" location="'TotalAllotj_17 (14)'!A1" display="Capacidad de alojamiento por tipo de establecimiento y categoría en Ibiza (2017)…………………………......................….……………………………………..pág 14" xr:uid="{4E997A79-98EE-4433-BC00-89FCB078CB16}"/>
    <hyperlink ref="A30:K30" location="'Allotj.municipi_17 (15)'!A1" display="Distribución de la capacidad de alojamiento por municipios en Ibiza (2017)……………………...................………..…….…………….………………………………pág 15" xr:uid="{78CE0F15-164A-4C51-91BD-56FE997DC39B}"/>
    <hyperlink ref="A31:K31" location="'TotalAllotj_16 (16)'!A1" display="Capacidad de alojamiento por tipo de establecimiento y categoría en Ibiza (2016)……………………...................………....……………………………………..pág 16" xr:uid="{78FE752C-941E-4C7C-A5C1-1D06D9F4ACDB}"/>
    <hyperlink ref="A32:K32" location="'Allotj.municipi_16 (17)'!A1" display="Distribución de la capacidad de alojamiento por municipios en Ibiza (2016)…………………………..………...................…….……….………………………………pág 17" xr:uid="{B4AD680E-0CE2-49FE-8015-83DD61C44875}"/>
    <hyperlink ref="A33:K33" location="'TotalAllotj_15 (18)'!A1" display="Capacidad de alojamiento por tipo de establecimiento y categoría en Ibiza (2015)………………..................………………..……………………………………..pág 18" xr:uid="{414920DF-85E3-430F-AAFB-7F9D8936754F}"/>
    <hyperlink ref="A34:K34" location="'Allotj.municipi_15 (19)'!A1" display="Distribución de la capacidad de alojamiento por municipios en Ibiza (2015)………………..................……………..……………….....………………………………pág 19" xr:uid="{1EF61623-8B26-41FF-B8A1-8C5E550B916B}"/>
    <hyperlink ref="A35:K35" location="'TotalAllotj_14 (20)'!A1" display="Capacidad de alojamiento por tipo de establecimiento y categoría en Ibiza (2014)……………………..................……….…….…………………………………..pág 20" xr:uid="{5AAAA0F8-25FA-405B-ADE8-2D6767BB25D4}"/>
    <hyperlink ref="A36:K36" location="'Allotj.municipi_14 (21)'!A1" display="Distribución de la capacidad de alojamiento por municipios en Ibiza (2014)…………………………..……………....……...................………………………………pág 21" xr:uid="{90920624-AACA-4805-974C-9801CBD730E8}"/>
    <hyperlink ref="A37:K37" location="'TotalAllotj_13 (22)'!A1" display="Capacidad de alojamiento por tipo de establecimiento y categoría en Ibiza (2013)………………..................………….…….……………………………………..pág 22" xr:uid="{0C4F86D2-0CD5-4504-998D-DA2ACDE90384}"/>
    <hyperlink ref="A38:K38" location="'Allotj.municipi_13 (23)'!A1" display="Distribución de la capacidad de alojamiento por municipios en Ibiza (2013)…………………………..…………………...................….……………………………...pág 23" xr:uid="{5DB55610-D6C1-47AB-8A44-473DA25399E9}"/>
    <hyperlink ref="A39:K39" location="'TotalAllotj_12 (24)'!A1" display="Capacidad de alojamiento por tipo de establecimiento y categoría en Ibiza (2012)………………………..................….…….……………………………………..pág 24" xr:uid="{51BC9164-D1ED-4391-92B6-52FE2C40CE2B}"/>
    <hyperlink ref="A40:K40" location="'Allotj.municipi_12 (25)'!A1" display="Distribución de la capacidad de alojamiento por municipios en Ibiza (2012)…………………..................…………..…………...…….……………………………….pág 25" xr:uid="{B86E021A-ACFF-4B1C-A803-0CDB4DBDE12C}"/>
    <hyperlink ref="A41:K41" location="'TotalAllotj_11 (26)'!A1" display="Capacidad de alojamiento por tipo de establecimiento y categoría en Ibiza (2011)……………………..................……….…….…………………………………..pág 26" xr:uid="{AAD65416-004D-4B9B-804A-B89EB5895DE5}"/>
    <hyperlink ref="A42:K42" location="'Allotj.municipi_11 (27)'!A1" display="Distribución de la capacidad de alojamiento por municipios en Ibiza (2011)……………………..................………..…………...…….……………………………….pág 27" xr:uid="{6B29E7A7-EA6D-4308-BF22-956CA12166C4}"/>
    <hyperlink ref="A43:K43" location="'TotalAllotj_10 (28)'!A1" display="Capacidad de alojamiento por tipo de establecimiento y categoría en Ibiza (2010)………………..................………………..……………………………………..pág 28" xr:uid="{B4931A56-EB34-42AA-9269-D0B3BB9B1B7C}"/>
    <hyperlink ref="A44:K44" location="'Allotj.municipi_10 (29)'!A1" display="Distribución de la capacidad de alojamiento por municipios en Ibiza (2010)………………………..................………...……....………………………………………pág 29" xr:uid="{03E1B319-3AA6-40D8-9E4F-1C208E61F833}"/>
    <hyperlink ref="A45:K45" location="'TotalAllotj_09 (30)'!A1" display="Capacidad de alojamiento por tipo de establecimiento y categoría en Ibiza (2009)……….………………..................….…………………………………………..pág 30" xr:uid="{99E8989D-1ED8-45F3-94D8-11883767BD98}"/>
    <hyperlink ref="A46:K46" location="'Allotj.municipi_09 (31)'!A1" display="Distribución de la capacidad de alojamiento por municipios en Ibiza (2009)…………………………………………......................………………….………………..pág 31" xr:uid="{479D8DD6-278D-48EB-B8E0-DE6DEF1C5E4C}"/>
    <hyperlink ref="A47:K47" location="'TotalAllotj_08 (32)'!A1" display="Capacidad de alojamiento por tipo de establecimiento y categoría en Ibiza (2008)…………………...................……….…………………………………………..pág 32" xr:uid="{79B3ACA5-EDEC-4783-A6DF-A8C12E3354D1}"/>
    <hyperlink ref="A48:K48" location="'Allotj.municipi_08 (33)'!A1" display="Distribución de la capacidad de alojamiento por municipios en Ibiza (2008)………………..................………………………..........………………………………..pág 33" xr:uid="{F4CE0575-1283-48E8-88BF-F1988B6559E0}"/>
    <hyperlink ref="A49:K49" location="'TotalAllotj_07 (34)'!A1" display="Capacidad de alojamiento por tipo de establecimiento y categoría en Ibiza (2007)……………..................…………….………….………………………………..pág 34" xr:uid="{04B042EC-E2C5-4983-B361-F1D0B559A0A3}"/>
    <hyperlink ref="A50:K50" location="'Allotj.municipi_07 (35)'!A1" display="Distribución de la capacidad de alojamiento por municipios en Ibiza (2007)………………………............……......…….…………....………………………………..pág 35" xr:uid="{257ABC20-A0FD-4134-B271-A843DFBE5606}"/>
    <hyperlink ref="A51:K51" location="'TotalAllotj_06 (36)'!A1" display="Capacidad de alojamiento por tipo de establecimiento y categoría en Ibiza (2006)……………………....……………..................…………………………………pág 36" xr:uid="{F4B4ED6B-3430-4B61-BCB1-BF3279325C6B}"/>
    <hyperlink ref="A52:K52" location="'Allotj.municipi_06 (37)'!A1" display="Distribución de la capacidad de alojamiento por municipios en Ibiza (2006)………………...……………...…………......................………………………………..pág 37" xr:uid="{79B52588-BDEA-419C-9392-8CA2E2F7013A}"/>
    <hyperlink ref="A53:K53" location="'TotalAllotj_05 (38)'!A1" display="Capacidad de alojamiento por tipo de establecimiento y categoría en Ibiza (2005)……………………………...…….……..................……………………………pág 38" xr:uid="{B5081C7E-4AE8-4365-9244-C6EBD9F93C0F}"/>
    <hyperlink ref="A54:K54" location="'Allotj.municipi_05 (39)'!A1" display="Distribución de la capacidad de alojamiento por municipios en Ibiza (2005)………………………………….……….....……………………..................…………....pág 39" xr:uid="{893AFD65-FBD9-4A58-ACB0-6035D7E308DD}"/>
    <hyperlink ref="A55:K55" location="'TotalAllotj_04 (40)'!A1" display="Capacidad de alojamiento por tipo de establecimiento y categoría en Ibiza (2004)…………………………………..................…...………….……………………pág 40" xr:uid="{D0390DEF-9ACE-418E-BC04-4CEAC939DBE1}"/>
    <hyperlink ref="A56:K56" location="'Allotj.municipi_04 (41)'!A1" display="Distribución de la capacidad de alojamiento por municipios en Ibiza (2004)………………………………….........……….................….……….…………………..pág 41" xr:uid="{271793A6-CC19-428C-A6F9-F6F82EA81758}"/>
    <hyperlink ref="A17:J17" location="'TotalAllotj_21 (4)'!A1" display="Capacidad de alojamiento por tipo de establecimiento y categoría en Ibiza (2021)………………………….……………………………………..pág 4" xr:uid="{75E313E7-6DB2-496F-9774-4E126E3C4BAD}"/>
    <hyperlink ref="A18:J18" location="'Allotj.municipi_21 (5)'!A1" display="Distribución de la capacidad de alojamiento por municipios en Ibiza (2021)…………………………..……………….………………………………pág 5" xr:uid="{A67C3370-6665-4BE3-9E43-B6D7DAC72C40}"/>
    <hyperlink ref="A17:K17" location="'TotalAllotj_22 (4)'!A1" display="Capacidad de alojamiento por tipo de establecimiento y categoría en Ibiza (2021)……………………………...................……....………………………………..pág 4" xr:uid="{53F23926-A2C3-49A0-BD24-D3DFEBF52BEB}"/>
    <hyperlink ref="A18:K18" location="'Allotj.municipi_22 (5)'!A1" display="Distribución de la capacidad de alojamiento por municipios en Ibiza (2021)………………………..................……..……………..…….………………………………pág 5" xr:uid="{0A49B0F9-0631-429D-B53A-AF191566144B}"/>
    <hyperlink ref="A17:XFD17" location="'TotalAllotj_23 (4)'!A1" display="Capacidad de alojamiento por tipo de establecimiento y categoría en Ibiza (2023)……………………………...................……....………………………………..pág 4" xr:uid="{6EA6A407-CBC1-4AAD-A4D9-CAD166124025}"/>
    <hyperlink ref="A18:XFD18" location="'Allotj.municipi_23 (5)'!A1" display="Distribución de la capacidad de alojamiento por municipios en Ibiza (2023)………………………..................……..……………..…….………………………………pág 5" xr:uid="{2D21794B-63B2-44A1-9D42-406C689EAEC1}"/>
    <hyperlink ref="A19:XFD19" location="'TotalAllotj_22 (6)'!A1" display="Capacidad de alojamiento por tipo de establecimiento y categoría en Ibiza (2022)……………………………...................……....………………………………..pág 6" xr:uid="{AC0C2EB3-6B59-4483-9013-5CDFF80C435B}"/>
    <hyperlink ref="A20:XFD20" location="'Allotj.municipi_22 (7)'!A1" display="Distribución de la capacidad de alojamiento por municipios en Ibiza (2022)………………………..................……..……………..…….………………………………pág 7" xr:uid="{A3EDED82-ACF2-4C44-AA26-1D34031CBE3B}"/>
    <hyperlink ref="A21:XFD21" location="'TotalAllotj_21 (8)'!A1" display="Capacidad de alojamiento por tipo de establecimiento y categoría en Ibiza (2021)……………………………...................……....………………………………..pág 8" xr:uid="{540F9B65-A996-4CDB-9BDD-1FECA535E54C}"/>
    <hyperlink ref="A22:XFD22" location="'Allotj.municipi_21 (9)'!A1" display="Distribución de la capacidad de alojamiento por municipios en Ibiza (2021)………………………..................……..……………..…….………………………………pág 9" xr:uid="{3DAA963A-8166-4A23-8730-98A0D16C28A7}"/>
    <hyperlink ref="A23:XFD23" location="'TotalAllotj_20 (10)'!A1" display="Capacidad de alojamiento por tipo de establecimiento y categoría en Ibiza (2020)……………..................……………….……....………………………………..pág 10" xr:uid="{2A782582-E127-4FF7-820B-43140737F1B1}"/>
    <hyperlink ref="A24:XFD24" location="'Allotj.municipi_20 (11)'!A1" display="Distribución de la capacidad de alojamiento por municipios en Ibiza (2020)…………………..................…………..………………..….………………………………pág 11" xr:uid="{D8E2F93C-9740-44E7-A774-A7EBC2F407C7}"/>
    <hyperlink ref="A25:XFD25" location="'TotalAllotj_19 (12)'!A1" display="Capacidad de alojamiento por tipo de establecimiento y categoría en Ibiza (2019)……………..................……………….………....……………………………..pág 12" xr:uid="{CC3244D3-10C6-4D33-8745-E9739B2C6539}"/>
    <hyperlink ref="A26:XFD26" location="'Allotj.municipi_19 (13)'!A1" display="Distribución de la capacidad de alojamiento por municipios en Ibiza (2019)………………………..................……….........………….………………………………pág 13" xr:uid="{E515E63A-379C-42B7-A072-43ECC29FAE9C}"/>
    <hyperlink ref="A27:XFD27" location="'TotalAllotj_18 (14)'!A1" display="Capacidad de alojamiento por tipo de establecimiento y categoría en Ibiza (2018)………………...................…………….…...…………………………………..pág 14" xr:uid="{3AC797D2-2760-4D53-9B8D-D75251A641B1}"/>
    <hyperlink ref="A28:XFD28" location="'Allotj.municipi_18 (15)'!A1" display="Distribución de la capacidad de alojamiento por municipios en Ibiza (2018)……………...................………………..…….…………….………………………………pág 15" xr:uid="{7C3464F1-6A86-4C37-8B36-F261113A0ED2}"/>
    <hyperlink ref="A29:XFD29" location="'TotalAllotj_17 (16)'!A1" display="Capacidad de alojamiento por tipo de establecimiento y categoría en Ibiza (2017)…………………………......................….……………………………………..pág 16" xr:uid="{033CE28A-0B42-4BA6-9E54-CA3DC3774863}"/>
    <hyperlink ref="A30:XFD30" location="'Allotj.municipi_17 (17)'!A1" display="Distribución de la capacidad de alojamiento por municipios en Ibiza (2017)……………………...................………..…….…………….………………………………pág 17" xr:uid="{FB005DBD-C9A7-480C-93A8-2E808635616E}"/>
    <hyperlink ref="A31:XFD31" location="'TotalAllotj_16 (18)'!A1" display="Capacidad de alojamiento por tipo de establecimiento y categoría en Ibiza (2016)……………………...................………....……………………………………..pág 18" xr:uid="{0139685F-6BEE-4905-9291-064148267F37}"/>
    <hyperlink ref="A32:XFD32" location="'Allotj.municipi_16 (19)'!A1" display="Distribución de la capacidad de alojamiento por municipios en Ibiza (2016)…………………………..………...................…….……….………………………………pág 19" xr:uid="{1FE51043-4A8C-4FB2-9696-F5B6E11695FF}"/>
    <hyperlink ref="A33:XFD33" location="'TotalAllotj_15 (20)'!A1" display="Capacidad de alojamiento por tipo de establecimiento y categoría en Ibiza (2015)………………..................………………..……………………………………..pág 20" xr:uid="{3F0EC33F-78D1-4624-972D-56F3C6FEDA68}"/>
    <hyperlink ref="A34:XFD34" location="'Allotj.municipi_15 (21)'!A1" display="Distribución de la capacidad de alojamiento por municipios en Ibiza (2015)………………..................……………..……………….....………………………………pág 21" xr:uid="{C7D00E8E-7885-4919-9162-4C6F0CD07F22}"/>
    <hyperlink ref="A35:XFD35" location="'TotalAllotj_14 (22)'!A1" display="Capacidad de alojamiento por tipo de establecimiento y categoría en Ibiza (2014)……………………..................……….…….…………………………………..pág 22" xr:uid="{96E9B039-22E1-4F57-B2FC-A0E6B1EA3C45}"/>
    <hyperlink ref="A36:XFD36" location="'Allotj.municipi_14 (23)'!A1" display="Distribución de la capacidad de alojamiento por municipios en Ibiza (2014)…………………………..……………....……...................………………………………pág 23" xr:uid="{9A6EF95E-1B53-4ADE-AC4F-9EA1F7685E9A}"/>
    <hyperlink ref="A37:XFD37" location="'TotalAllotj_13 (24)'!A1" display="Capacidad de alojamiento por tipo de establecimiento y categoría en Ibiza (2013)………………..................………….…….……………………………………..pág 24" xr:uid="{45E55470-9E8D-4181-88CA-E63CE8FB6A9C}"/>
    <hyperlink ref="A38:XFD38" location="'Allotj.municipi_13 (25)'!A1" display="Distribución de la capacidad de alojamiento por municipios en Ibiza (2013)…………………………..…………………...................….……………………………...pág 25" xr:uid="{94913707-3DAF-4910-917C-EC9DF7FE0866}"/>
    <hyperlink ref="A39:XFD39" location="'TotalAllotj_12 (26)'!A1" display="Capacidad de alojamiento por tipo de establecimiento y categoría en Ibiza (2012)………………………..................….…….……………………………………..pág 26" xr:uid="{B77E5B3A-6C9A-46D2-B3A7-7E7C6C46576B}"/>
    <hyperlink ref="A40:XFD40" location="'Allotj.municipi_12 (27)'!A1" display="Distribución de la capacidad de alojamiento por municipios en Ibiza (2012)…………………..................…………..…………...…….……………………………….pág 27" xr:uid="{C774E026-9D37-4A7F-B507-55DB35CF2256}"/>
    <hyperlink ref="A41:XFD41" location="'TotalAllotj_11 (28)'!A1" display="Capacidad de alojamiento por tipo de establecimiento y categoría en Ibiza (2011)……………………..................……….…….…………………………………..pág 28" xr:uid="{3D680B1C-16EA-42EB-86D5-9DD7D0F87420}"/>
    <hyperlink ref="A42:XFD42" location="'Allotj.municipi_11 (29)'!A1" display="Distribución de la capacidad de alojamiento por municipios en Ibiza (2011)……………………..................………..…………...…….……………………………….pág 29" xr:uid="{350CFF1A-1FDB-40DD-89BC-C7A18FBB639F}"/>
    <hyperlink ref="A43:XFD43" location="'TotalAllotj_10 (30)'!A1" display="Capacidad de alojamiento por tipo de establecimiento y categoría en Ibiza (2010)………………..................………………..……………………………………..pág 30" xr:uid="{F8E1284D-7D41-4002-B61A-B83B8621C928}"/>
    <hyperlink ref="A44:XFD44" location="'Allotj.municipi_10 (31)'!A1" display="Distribución de la capacidad de alojamiento por municipios en Ibiza (2010)………………………..................………...……....………………………………………pág 31" xr:uid="{235EADF7-41A8-43D5-8090-8BB4BB17E138}"/>
    <hyperlink ref="A45:XFD45" location="'TotalAllotj_09 (32)'!A1" display="Capacidad de alojamiento por tipo de establecimiento y categoría en Ibiza (2009)……….………………..................….…………………………………………..pág 32" xr:uid="{528EFFE2-74BA-4CA5-A40B-8B3CDDFC66C7}"/>
    <hyperlink ref="A46:XFD46" location="'Allotj.municipi_09 (33)'!A1" display="Distribución de la capacidad de alojamiento por municipios en Ibiza (2009)…………………………………………......................………………….………………..pág 33" xr:uid="{5C84E623-918A-4CC9-9DDE-00C6AA9E7E36}"/>
    <hyperlink ref="A47:XFD47" location="'TotalAllotj_08 (34)'!A1" display="Capacidad de alojamiento por tipo de establecimiento y categoría en Ibiza (2008)…………………...................……….…………………………………………..pág 34" xr:uid="{E99C0903-42E9-4174-A95D-D9591FB8F8C1}"/>
    <hyperlink ref="A48:XFD48" location="'Allotj.municipi_08 (35)'!A1" display="Distribución de la capacidad de alojamiento por municipios en Ibiza (2008)………………..................………………………..........………………………………..pág 35" xr:uid="{DE9027DB-CA61-4400-A1AA-444A1BDA3B25}"/>
    <hyperlink ref="A49:XFD49" location="'TotalAllotj_07 (36)'!A1" display="Capacidad de alojamiento por tipo de establecimiento y categoría en Ibiza (2007)……………..................…………….………….………………………………..pág 36" xr:uid="{9FF4C87C-7313-4577-980B-5785E8AC92F8}"/>
    <hyperlink ref="A50:XFD50" location="'Allotj.municipi_07 (37)'!A1" display="Distribución de la capacidad de alojamiento por municipios en Ibiza (2007)………………………............……......…….…………....………………………………..pág 37" xr:uid="{8CE22AC4-0A39-4EEA-9ED8-7EEB05A997C6}"/>
    <hyperlink ref="A51:XFD51" location="'TotalAllotj_06 (38)'!A1" display="Capacidad de alojamiento por tipo de establecimiento y categoría en Ibiza (2006)……………………....……………..................…………………………………pág 38" xr:uid="{4699E24F-77D1-434F-901A-A5DC96B48DC6}"/>
    <hyperlink ref="A52:XFD52" location="'Allotj.municipi_06 (39)'!A1" display="Distribución de la capacidad de alojamiento por municipios en Ibiza (2006)………………...……………...…………......................………………………………..pág 39" xr:uid="{5398705E-74A2-4210-9A37-68BC0C3F5A0C}"/>
    <hyperlink ref="A53:XFD53" location="'TotalAllotj_05 (40)'!A1" display="Capacidad de alojamiento por tipo de establecimiento y categoría en Ibiza (2005)……………………………...…….……..................……………………………pág 40" xr:uid="{E71C53F1-DAA6-41A0-8D30-0E870C4D4FF1}"/>
    <hyperlink ref="A54:XFD54" location="'Allotj.municipi_05 (41)'!A1" display="Distribución de la capacidad de alojamiento por municipios en Ibiza (2005)………………………………….……….....……………………..................…………....pág 41" xr:uid="{E617092C-3840-4D15-887B-CF82975600B6}"/>
    <hyperlink ref="A55:XFD55" location="'TotalAllotj_04 (42)'!A1" display="Capacidad de alojamiento por tipo de establecimiento y categoría en Ibiza (2004)…………………………………..................…...………….……………………pág 42" xr:uid="{5489D00D-CA30-4023-95B0-DF6E0386DA22}"/>
    <hyperlink ref="A56:XFD56" location="'Allotj.municipi_04 (43)'!A1" display="Distribución de la capacidad de alojamiento por municipios en Ibiza (2004)………………………………….........……….................….……….…………………..pág 43" xr:uid="{9E85570D-CCA6-4920-8471-125CEDBC105E}"/>
  </hyperlinks>
  <pageMargins left="0.70866141732283472" right="0.70866141732283472" top="0.74803149606299213" bottom="0.74803149606299213" header="0.31496062992125984" footer="0.31496062992125984"/>
  <pageSetup paperSize="9" scale="93" fitToHeight="0" orientation="landscape" r:id="rId1"/>
  <rowBreaks count="3" manualBreakCount="3">
    <brk id="32" max="10" man="1"/>
    <brk id="57" max="10" man="1"/>
    <brk id="86"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2:K117"/>
  <sheetViews>
    <sheetView showGridLines="0" view="pageBreakPreview" zoomScaleNormal="100" zoomScaleSheetLayoutView="100" workbookViewId="0">
      <selection activeCell="A12" sqref="A12:K12"/>
    </sheetView>
  </sheetViews>
  <sheetFormatPr baseColWidth="10" defaultRowHeight="15"/>
  <cols>
    <col min="1" max="11" width="12.7109375" style="52" customWidth="1"/>
    <col min="12" max="16384" width="11.42578125" style="52"/>
  </cols>
  <sheetData>
    <row r="12" spans="1:11">
      <c r="A12" s="132" t="s">
        <v>215</v>
      </c>
      <c r="B12" s="132"/>
      <c r="C12" s="132"/>
      <c r="D12" s="132"/>
      <c r="E12" s="132"/>
      <c r="F12" s="132"/>
      <c r="G12" s="132"/>
      <c r="H12" s="132"/>
      <c r="I12" s="132"/>
      <c r="J12" s="132"/>
      <c r="K12" s="132"/>
    </row>
    <row r="13" spans="1:11">
      <c r="A13" s="72"/>
      <c r="B13" s="72"/>
      <c r="C13" s="72"/>
      <c r="D13" s="72"/>
      <c r="E13" s="72"/>
      <c r="F13" s="72"/>
      <c r="G13" s="72"/>
      <c r="H13" s="72"/>
      <c r="I13" s="72"/>
      <c r="J13" s="51"/>
      <c r="K13" s="51"/>
    </row>
    <row r="15" spans="1:11">
      <c r="A15" s="136"/>
      <c r="B15" s="136"/>
      <c r="C15" s="136"/>
      <c r="D15" s="136"/>
      <c r="E15" s="136"/>
      <c r="F15" s="136"/>
      <c r="G15" s="136"/>
      <c r="H15" s="136"/>
      <c r="I15" s="136"/>
      <c r="J15" s="136"/>
      <c r="K15" s="136"/>
    </row>
    <row r="17" spans="1:11" s="116" customFormat="1">
      <c r="A17" s="129" t="s">
        <v>413</v>
      </c>
      <c r="B17" s="129"/>
      <c r="C17" s="129"/>
      <c r="D17" s="129"/>
      <c r="E17" s="129"/>
      <c r="F17" s="129"/>
      <c r="G17" s="129"/>
      <c r="H17" s="129"/>
      <c r="I17" s="129"/>
      <c r="J17" s="129"/>
      <c r="K17" s="129"/>
    </row>
    <row r="18" spans="1:11" s="116" customFormat="1">
      <c r="A18" s="129" t="s">
        <v>414</v>
      </c>
      <c r="B18" s="129"/>
      <c r="C18" s="129"/>
      <c r="D18" s="129"/>
      <c r="E18" s="129"/>
      <c r="F18" s="129"/>
      <c r="G18" s="129"/>
      <c r="H18" s="129"/>
      <c r="I18" s="129"/>
      <c r="J18" s="129"/>
      <c r="K18" s="129"/>
    </row>
    <row r="19" spans="1:11" s="116" customFormat="1">
      <c r="A19" s="129" t="s">
        <v>415</v>
      </c>
      <c r="B19" s="129"/>
      <c r="C19" s="129"/>
      <c r="D19" s="129"/>
      <c r="E19" s="129"/>
      <c r="F19" s="129"/>
      <c r="G19" s="129"/>
      <c r="H19" s="129"/>
      <c r="I19" s="129"/>
      <c r="J19" s="129"/>
      <c r="K19" s="129"/>
    </row>
    <row r="20" spans="1:11" s="116" customFormat="1">
      <c r="A20" s="129" t="s">
        <v>416</v>
      </c>
      <c r="B20" s="129"/>
      <c r="C20" s="129"/>
      <c r="D20" s="129"/>
      <c r="E20" s="129"/>
      <c r="F20" s="129"/>
      <c r="G20" s="129"/>
      <c r="H20" s="129"/>
      <c r="I20" s="129"/>
      <c r="J20" s="129"/>
      <c r="K20" s="129"/>
    </row>
    <row r="21" spans="1:11" s="116" customFormat="1">
      <c r="A21" s="129" t="s">
        <v>417</v>
      </c>
      <c r="B21" s="129"/>
      <c r="C21" s="129"/>
      <c r="D21" s="129"/>
      <c r="E21" s="129"/>
      <c r="F21" s="129"/>
      <c r="G21" s="129"/>
      <c r="H21" s="129"/>
      <c r="I21" s="129"/>
      <c r="J21" s="129"/>
      <c r="K21" s="129"/>
    </row>
    <row r="22" spans="1:11" s="116" customFormat="1" ht="14.25" customHeight="1">
      <c r="A22" s="129" t="s">
        <v>418</v>
      </c>
      <c r="B22" s="129"/>
      <c r="C22" s="129"/>
      <c r="D22" s="129"/>
      <c r="E22" s="129"/>
      <c r="F22" s="129"/>
      <c r="G22" s="129"/>
      <c r="H22" s="129"/>
      <c r="I22" s="129"/>
      <c r="J22" s="129"/>
      <c r="K22" s="129"/>
    </row>
    <row r="23" spans="1:11" s="116" customFormat="1">
      <c r="A23" s="129" t="s">
        <v>419</v>
      </c>
      <c r="B23" s="129"/>
      <c r="C23" s="129"/>
      <c r="D23" s="129"/>
      <c r="E23" s="129"/>
      <c r="F23" s="129"/>
      <c r="G23" s="129"/>
      <c r="H23" s="129"/>
      <c r="I23" s="129"/>
      <c r="J23" s="129"/>
      <c r="K23" s="129"/>
    </row>
    <row r="24" spans="1:11" s="116" customFormat="1">
      <c r="A24" s="129" t="s">
        <v>420</v>
      </c>
      <c r="B24" s="129"/>
      <c r="C24" s="129"/>
      <c r="D24" s="129"/>
      <c r="E24" s="129"/>
      <c r="F24" s="129"/>
      <c r="G24" s="129"/>
      <c r="H24" s="129"/>
      <c r="I24" s="129"/>
      <c r="J24" s="129"/>
      <c r="K24" s="129"/>
    </row>
    <row r="25" spans="1:11" s="116" customFormat="1">
      <c r="A25" s="129" t="s">
        <v>421</v>
      </c>
      <c r="B25" s="129"/>
      <c r="C25" s="129"/>
      <c r="D25" s="129"/>
      <c r="E25" s="129"/>
      <c r="F25" s="129"/>
      <c r="G25" s="129"/>
      <c r="H25" s="129"/>
      <c r="I25" s="129"/>
      <c r="J25" s="129"/>
      <c r="K25" s="129"/>
    </row>
    <row r="26" spans="1:11" s="116" customFormat="1">
      <c r="A26" s="129" t="s">
        <v>422</v>
      </c>
      <c r="B26" s="129"/>
      <c r="C26" s="129"/>
      <c r="D26" s="129"/>
      <c r="E26" s="129"/>
      <c r="F26" s="129"/>
      <c r="G26" s="129"/>
      <c r="H26" s="129"/>
      <c r="I26" s="129"/>
      <c r="J26" s="129"/>
      <c r="K26" s="129"/>
    </row>
    <row r="27" spans="1:11" s="116" customFormat="1">
      <c r="A27" s="129" t="s">
        <v>423</v>
      </c>
      <c r="B27" s="129"/>
      <c r="C27" s="129"/>
      <c r="D27" s="129"/>
      <c r="E27" s="129"/>
      <c r="F27" s="129"/>
      <c r="G27" s="129"/>
      <c r="H27" s="129"/>
      <c r="I27" s="129"/>
      <c r="J27" s="129"/>
      <c r="K27" s="129"/>
    </row>
    <row r="28" spans="1:11" s="116" customFormat="1">
      <c r="A28" s="129" t="s">
        <v>424</v>
      </c>
      <c r="B28" s="129"/>
      <c r="C28" s="129"/>
      <c r="D28" s="129"/>
      <c r="E28" s="129"/>
      <c r="F28" s="129"/>
      <c r="G28" s="129"/>
      <c r="H28" s="129"/>
      <c r="I28" s="129"/>
      <c r="J28" s="129"/>
      <c r="K28" s="129"/>
    </row>
    <row r="29" spans="1:11" s="116" customFormat="1">
      <c r="A29" s="129" t="s">
        <v>425</v>
      </c>
      <c r="B29" s="129"/>
      <c r="C29" s="129"/>
      <c r="D29" s="129"/>
      <c r="E29" s="129"/>
      <c r="F29" s="129"/>
      <c r="G29" s="129"/>
      <c r="H29" s="129"/>
      <c r="I29" s="129"/>
      <c r="J29" s="129"/>
      <c r="K29" s="129"/>
    </row>
    <row r="30" spans="1:11" s="116" customFormat="1">
      <c r="A30" s="129" t="s">
        <v>426</v>
      </c>
      <c r="B30" s="129"/>
      <c r="C30" s="129"/>
      <c r="D30" s="129"/>
      <c r="E30" s="129"/>
      <c r="F30" s="129"/>
      <c r="G30" s="129"/>
      <c r="H30" s="129"/>
      <c r="I30" s="129"/>
      <c r="J30" s="129"/>
      <c r="K30" s="129"/>
    </row>
    <row r="31" spans="1:11" s="116" customFormat="1">
      <c r="A31" s="129" t="s">
        <v>427</v>
      </c>
      <c r="B31" s="129"/>
      <c r="C31" s="129"/>
      <c r="D31" s="129"/>
      <c r="E31" s="129"/>
      <c r="F31" s="129"/>
      <c r="G31" s="129"/>
      <c r="H31" s="129"/>
      <c r="I31" s="129"/>
      <c r="J31" s="129"/>
      <c r="K31" s="129"/>
    </row>
    <row r="32" spans="1:11" s="116" customFormat="1">
      <c r="A32" s="129" t="s">
        <v>428</v>
      </c>
      <c r="B32" s="129"/>
      <c r="C32" s="129"/>
      <c r="D32" s="129"/>
      <c r="E32" s="129"/>
      <c r="F32" s="129"/>
      <c r="G32" s="129"/>
      <c r="H32" s="129"/>
      <c r="I32" s="129"/>
      <c r="J32" s="129"/>
      <c r="K32" s="129"/>
    </row>
    <row r="33" spans="1:11" s="116" customFormat="1">
      <c r="A33" s="129" t="s">
        <v>429</v>
      </c>
      <c r="B33" s="129"/>
      <c r="C33" s="129"/>
      <c r="D33" s="129"/>
      <c r="E33" s="129"/>
      <c r="F33" s="129"/>
      <c r="G33" s="129"/>
      <c r="H33" s="129"/>
      <c r="I33" s="129"/>
      <c r="J33" s="129"/>
      <c r="K33" s="129"/>
    </row>
    <row r="34" spans="1:11" s="116" customFormat="1">
      <c r="A34" s="129" t="s">
        <v>430</v>
      </c>
      <c r="B34" s="129"/>
      <c r="C34" s="129"/>
      <c r="D34" s="129"/>
      <c r="E34" s="129"/>
      <c r="F34" s="129"/>
      <c r="G34" s="129"/>
      <c r="H34" s="129"/>
      <c r="I34" s="129"/>
      <c r="J34" s="129"/>
      <c r="K34" s="129"/>
    </row>
    <row r="35" spans="1:11" s="116" customFormat="1">
      <c r="A35" s="129" t="s">
        <v>431</v>
      </c>
      <c r="B35" s="129"/>
      <c r="C35" s="129"/>
      <c r="D35" s="129"/>
      <c r="E35" s="129"/>
      <c r="F35" s="129"/>
      <c r="G35" s="129"/>
      <c r="H35" s="129"/>
      <c r="I35" s="129"/>
      <c r="J35" s="129"/>
      <c r="K35" s="129"/>
    </row>
    <row r="36" spans="1:11" s="116" customFormat="1">
      <c r="A36" s="129" t="s">
        <v>432</v>
      </c>
      <c r="B36" s="129"/>
      <c r="C36" s="129"/>
      <c r="D36" s="129"/>
      <c r="E36" s="129"/>
      <c r="F36" s="129"/>
      <c r="G36" s="129"/>
      <c r="H36" s="129"/>
      <c r="I36" s="129"/>
      <c r="J36" s="129"/>
      <c r="K36" s="129"/>
    </row>
    <row r="37" spans="1:11" s="116" customFormat="1">
      <c r="A37" s="129" t="s">
        <v>433</v>
      </c>
      <c r="B37" s="129"/>
      <c r="C37" s="129"/>
      <c r="D37" s="129"/>
      <c r="E37" s="129"/>
      <c r="F37" s="129"/>
      <c r="G37" s="129"/>
      <c r="H37" s="129"/>
      <c r="I37" s="129"/>
      <c r="J37" s="129"/>
      <c r="K37" s="129"/>
    </row>
    <row r="38" spans="1:11" s="116" customFormat="1">
      <c r="A38" s="129" t="s">
        <v>434</v>
      </c>
      <c r="B38" s="129"/>
      <c r="C38" s="129"/>
      <c r="D38" s="129"/>
      <c r="E38" s="129"/>
      <c r="F38" s="129"/>
      <c r="G38" s="129"/>
      <c r="H38" s="129"/>
      <c r="I38" s="129"/>
      <c r="J38" s="129"/>
      <c r="K38" s="129"/>
    </row>
    <row r="39" spans="1:11" s="116" customFormat="1">
      <c r="A39" s="129" t="s">
        <v>435</v>
      </c>
      <c r="B39" s="129"/>
      <c r="C39" s="129"/>
      <c r="D39" s="129"/>
      <c r="E39" s="129"/>
      <c r="F39" s="129"/>
      <c r="G39" s="129"/>
      <c r="H39" s="129"/>
      <c r="I39" s="129"/>
      <c r="J39" s="129"/>
      <c r="K39" s="129"/>
    </row>
    <row r="40" spans="1:11" s="116" customFormat="1">
      <c r="A40" s="129" t="s">
        <v>436</v>
      </c>
      <c r="B40" s="129"/>
      <c r="C40" s="129"/>
      <c r="D40" s="129"/>
      <c r="E40" s="129"/>
      <c r="F40" s="129"/>
      <c r="G40" s="129"/>
      <c r="H40" s="129"/>
      <c r="I40" s="129"/>
      <c r="J40" s="129"/>
      <c r="K40" s="129"/>
    </row>
    <row r="41" spans="1:11" s="116" customFormat="1">
      <c r="A41" s="129" t="s">
        <v>437</v>
      </c>
      <c r="B41" s="129"/>
      <c r="C41" s="129"/>
      <c r="D41" s="129"/>
      <c r="E41" s="129"/>
      <c r="F41" s="129"/>
      <c r="G41" s="129"/>
      <c r="H41" s="129"/>
      <c r="I41" s="129"/>
      <c r="J41" s="129"/>
      <c r="K41" s="129"/>
    </row>
    <row r="42" spans="1:11" s="116" customFormat="1">
      <c r="A42" s="129" t="s">
        <v>438</v>
      </c>
      <c r="B42" s="129"/>
      <c r="C42" s="129"/>
      <c r="D42" s="129"/>
      <c r="E42" s="129"/>
      <c r="F42" s="129"/>
      <c r="G42" s="129"/>
      <c r="H42" s="129"/>
      <c r="I42" s="129"/>
      <c r="J42" s="129"/>
      <c r="K42" s="129"/>
    </row>
    <row r="43" spans="1:11" s="116" customFormat="1">
      <c r="A43" s="129" t="s">
        <v>439</v>
      </c>
      <c r="B43" s="129"/>
      <c r="C43" s="129"/>
      <c r="D43" s="129"/>
      <c r="E43" s="129"/>
      <c r="F43" s="129"/>
      <c r="G43" s="129"/>
      <c r="H43" s="129"/>
      <c r="I43" s="129"/>
      <c r="J43" s="129"/>
      <c r="K43" s="129"/>
    </row>
    <row r="44" spans="1:11" s="116" customFormat="1">
      <c r="A44" s="129" t="s">
        <v>440</v>
      </c>
      <c r="B44" s="129"/>
      <c r="C44" s="129"/>
      <c r="D44" s="129"/>
      <c r="E44" s="129"/>
      <c r="F44" s="129"/>
      <c r="G44" s="129"/>
      <c r="H44" s="129"/>
      <c r="I44" s="129"/>
      <c r="J44" s="129"/>
      <c r="K44" s="129"/>
    </row>
    <row r="45" spans="1:11" s="116" customFormat="1">
      <c r="A45" s="129" t="s">
        <v>441</v>
      </c>
      <c r="B45" s="129"/>
      <c r="C45" s="129"/>
      <c r="D45" s="129"/>
      <c r="E45" s="129"/>
      <c r="F45" s="129"/>
      <c r="G45" s="129"/>
      <c r="H45" s="129"/>
      <c r="I45" s="129"/>
      <c r="J45" s="129"/>
      <c r="K45" s="129"/>
    </row>
    <row r="46" spans="1:11" s="116" customFormat="1">
      <c r="A46" s="129" t="s">
        <v>442</v>
      </c>
      <c r="B46" s="129"/>
      <c r="C46" s="129"/>
      <c r="D46" s="129"/>
      <c r="E46" s="129"/>
      <c r="F46" s="129"/>
      <c r="G46" s="129"/>
      <c r="H46" s="129"/>
      <c r="I46" s="129"/>
      <c r="J46" s="129"/>
      <c r="K46" s="129"/>
    </row>
    <row r="47" spans="1:11" s="116" customFormat="1">
      <c r="A47" s="129" t="s">
        <v>443</v>
      </c>
      <c r="B47" s="129"/>
      <c r="C47" s="129"/>
      <c r="D47" s="129"/>
      <c r="E47" s="129"/>
      <c r="F47" s="129"/>
      <c r="G47" s="129"/>
      <c r="H47" s="129"/>
      <c r="I47" s="129"/>
      <c r="J47" s="129"/>
      <c r="K47" s="129"/>
    </row>
    <row r="48" spans="1:11" s="116" customFormat="1">
      <c r="A48" s="129" t="s">
        <v>444</v>
      </c>
      <c r="B48" s="129"/>
      <c r="C48" s="129"/>
      <c r="D48" s="129"/>
      <c r="E48" s="129"/>
      <c r="F48" s="129"/>
      <c r="G48" s="129"/>
      <c r="H48" s="129"/>
      <c r="I48" s="129"/>
      <c r="J48" s="129"/>
      <c r="K48" s="129"/>
    </row>
    <row r="49" spans="1:11" s="116" customFormat="1">
      <c r="A49" s="129" t="s">
        <v>445</v>
      </c>
      <c r="B49" s="129"/>
      <c r="C49" s="129"/>
      <c r="D49" s="129"/>
      <c r="E49" s="129"/>
      <c r="F49" s="129"/>
      <c r="G49" s="129"/>
      <c r="H49" s="129"/>
      <c r="I49" s="129"/>
      <c r="J49" s="129"/>
      <c r="K49" s="129"/>
    </row>
    <row r="50" spans="1:11" s="116" customFormat="1">
      <c r="A50" s="129" t="s">
        <v>446</v>
      </c>
      <c r="B50" s="129"/>
      <c r="C50" s="129"/>
      <c r="D50" s="129"/>
      <c r="E50" s="129"/>
      <c r="F50" s="129"/>
      <c r="G50" s="129"/>
      <c r="H50" s="129"/>
      <c r="I50" s="129"/>
      <c r="J50" s="129"/>
      <c r="K50" s="129"/>
    </row>
    <row r="51" spans="1:11" s="116" customFormat="1">
      <c r="A51" s="129" t="s">
        <v>447</v>
      </c>
      <c r="B51" s="129"/>
      <c r="C51" s="129"/>
      <c r="D51" s="129"/>
      <c r="E51" s="129"/>
      <c r="F51" s="129"/>
      <c r="G51" s="129"/>
      <c r="H51" s="129"/>
      <c r="I51" s="129"/>
      <c r="J51" s="129"/>
      <c r="K51" s="129"/>
    </row>
    <row r="52" spans="1:11" s="116" customFormat="1">
      <c r="A52" s="129" t="s">
        <v>448</v>
      </c>
      <c r="B52" s="129"/>
      <c r="C52" s="129"/>
      <c r="D52" s="129"/>
      <c r="E52" s="129"/>
      <c r="F52" s="129"/>
      <c r="G52" s="129"/>
      <c r="H52" s="129"/>
      <c r="I52" s="129"/>
      <c r="J52" s="129"/>
      <c r="K52" s="129"/>
    </row>
    <row r="53" spans="1:11" s="116" customFormat="1">
      <c r="A53" s="129" t="s">
        <v>449</v>
      </c>
      <c r="B53" s="129"/>
      <c r="C53" s="129"/>
      <c r="D53" s="129"/>
      <c r="E53" s="129"/>
      <c r="F53" s="129"/>
      <c r="G53" s="129"/>
      <c r="H53" s="129"/>
      <c r="I53" s="129"/>
      <c r="J53" s="129"/>
      <c r="K53" s="129"/>
    </row>
    <row r="54" spans="1:11" s="116" customFormat="1">
      <c r="A54" s="129" t="s">
        <v>450</v>
      </c>
      <c r="B54" s="129"/>
      <c r="C54" s="129"/>
      <c r="D54" s="129"/>
      <c r="E54" s="129"/>
      <c r="F54" s="129"/>
      <c r="G54" s="129"/>
      <c r="H54" s="129"/>
      <c r="I54" s="129"/>
      <c r="J54" s="129"/>
      <c r="K54" s="129"/>
    </row>
    <row r="55" spans="1:11" s="116" customFormat="1">
      <c r="A55" s="129" t="s">
        <v>451</v>
      </c>
      <c r="B55" s="129"/>
      <c r="C55" s="129"/>
      <c r="D55" s="129"/>
      <c r="E55" s="129"/>
      <c r="F55" s="129"/>
      <c r="G55" s="129"/>
      <c r="H55" s="129"/>
      <c r="I55" s="129"/>
      <c r="J55" s="129"/>
      <c r="K55" s="129"/>
    </row>
    <row r="56" spans="1:11" s="116" customFormat="1">
      <c r="A56" s="129" t="s">
        <v>452</v>
      </c>
      <c r="B56" s="129"/>
      <c r="C56" s="129"/>
      <c r="D56" s="129"/>
      <c r="E56" s="129"/>
      <c r="F56" s="129"/>
      <c r="G56" s="129"/>
      <c r="H56" s="129"/>
      <c r="I56" s="129"/>
      <c r="J56" s="129"/>
      <c r="K56" s="129"/>
    </row>
    <row r="57" spans="1:11" s="55" customFormat="1" ht="14.25">
      <c r="A57" s="54"/>
      <c r="B57" s="54"/>
      <c r="C57" s="54"/>
      <c r="D57" s="54"/>
      <c r="E57" s="54"/>
      <c r="F57" s="54"/>
      <c r="G57" s="54"/>
      <c r="H57" s="54"/>
      <c r="I57" s="54"/>
      <c r="J57" s="54"/>
      <c r="K57" s="54"/>
    </row>
    <row r="58" spans="1:11">
      <c r="A58" s="53"/>
      <c r="B58" s="53"/>
      <c r="C58" s="53"/>
      <c r="D58" s="53"/>
      <c r="E58" s="53"/>
      <c r="F58" s="53"/>
      <c r="G58" s="53"/>
      <c r="H58" s="53"/>
      <c r="I58" s="53"/>
      <c r="J58" s="53"/>
      <c r="K58" s="53"/>
    </row>
    <row r="60" spans="1:11">
      <c r="A60" s="106" t="s">
        <v>285</v>
      </c>
      <c r="B60" s="99"/>
      <c r="C60" s="99"/>
      <c r="D60" s="99"/>
      <c r="E60" s="99"/>
      <c r="F60" s="99"/>
      <c r="G60" s="99"/>
      <c r="H60" s="99"/>
      <c r="I60" s="99"/>
      <c r="J60" s="99"/>
      <c r="K60" s="99"/>
    </row>
    <row r="61" spans="1:11">
      <c r="A61" s="99" t="s">
        <v>286</v>
      </c>
      <c r="B61" s="99"/>
      <c r="C61" s="99"/>
      <c r="D61" s="99"/>
      <c r="E61" s="99"/>
      <c r="F61" s="99"/>
      <c r="G61" s="99"/>
      <c r="H61" s="99"/>
      <c r="I61" s="99"/>
      <c r="J61" s="99"/>
      <c r="K61" s="99"/>
    </row>
    <row r="62" spans="1:11">
      <c r="A62" s="106" t="s">
        <v>287</v>
      </c>
      <c r="B62" s="99"/>
      <c r="C62" s="99"/>
      <c r="D62" s="99"/>
      <c r="E62" s="99"/>
      <c r="F62" s="99"/>
      <c r="G62" s="99"/>
      <c r="H62" s="99"/>
      <c r="I62" s="99"/>
      <c r="J62" s="99"/>
      <c r="K62" s="99"/>
    </row>
    <row r="63" spans="1:11">
      <c r="A63" s="127" t="s">
        <v>288</v>
      </c>
      <c r="B63" s="135"/>
      <c r="C63" s="135"/>
      <c r="D63" s="135"/>
      <c r="E63" s="135"/>
      <c r="F63" s="135"/>
      <c r="G63" s="135"/>
      <c r="H63" s="135"/>
      <c r="I63" s="135"/>
      <c r="J63" s="135"/>
      <c r="K63" s="135"/>
    </row>
    <row r="64" spans="1:11">
      <c r="A64" s="135"/>
      <c r="B64" s="135"/>
      <c r="C64" s="135"/>
      <c r="D64" s="135"/>
      <c r="E64" s="135"/>
      <c r="F64" s="135"/>
      <c r="G64" s="135"/>
      <c r="H64" s="135"/>
      <c r="I64" s="135"/>
      <c r="J64" s="135"/>
      <c r="K64" s="135"/>
    </row>
    <row r="65" spans="1:11">
      <c r="A65" s="127" t="s">
        <v>289</v>
      </c>
      <c r="B65" s="135"/>
      <c r="C65" s="135"/>
      <c r="D65" s="135"/>
      <c r="E65" s="135"/>
      <c r="F65" s="135"/>
      <c r="G65" s="135"/>
      <c r="H65" s="135"/>
      <c r="I65" s="135"/>
      <c r="J65" s="135"/>
      <c r="K65" s="135"/>
    </row>
    <row r="66" spans="1:11">
      <c r="A66" s="135"/>
      <c r="B66" s="135"/>
      <c r="C66" s="135"/>
      <c r="D66" s="135"/>
      <c r="E66" s="135"/>
      <c r="F66" s="135"/>
      <c r="G66" s="135"/>
      <c r="H66" s="135"/>
      <c r="I66" s="135"/>
      <c r="J66" s="135"/>
      <c r="K66" s="135"/>
    </row>
    <row r="67" spans="1:11">
      <c r="A67" s="127" t="s">
        <v>290</v>
      </c>
      <c r="B67" s="135"/>
      <c r="C67" s="135"/>
      <c r="D67" s="135"/>
      <c r="E67" s="135"/>
      <c r="F67" s="135"/>
      <c r="G67" s="135"/>
      <c r="H67" s="135"/>
      <c r="I67" s="135"/>
      <c r="J67" s="135"/>
      <c r="K67" s="135"/>
    </row>
    <row r="68" spans="1:11">
      <c r="A68" s="135"/>
      <c r="B68" s="135"/>
      <c r="C68" s="135"/>
      <c r="D68" s="135"/>
      <c r="E68" s="135"/>
      <c r="F68" s="135"/>
      <c r="G68" s="135"/>
      <c r="H68" s="135"/>
      <c r="I68" s="135"/>
      <c r="J68" s="135"/>
      <c r="K68" s="135"/>
    </row>
    <row r="69" spans="1:11">
      <c r="A69" s="106" t="s">
        <v>291</v>
      </c>
      <c r="B69" s="99"/>
      <c r="C69" s="99"/>
      <c r="D69" s="99"/>
      <c r="E69" s="99"/>
      <c r="F69" s="99"/>
      <c r="G69" s="99"/>
      <c r="H69" s="99"/>
      <c r="I69" s="99"/>
      <c r="J69" s="99"/>
      <c r="K69" s="99"/>
    </row>
    <row r="70" spans="1:11">
      <c r="A70" s="106" t="s">
        <v>292</v>
      </c>
      <c r="B70" s="99"/>
      <c r="C70" s="99"/>
      <c r="D70" s="99"/>
      <c r="E70" s="99"/>
      <c r="F70" s="99"/>
      <c r="G70" s="99"/>
      <c r="H70" s="99"/>
      <c r="I70" s="99"/>
      <c r="J70" s="99"/>
      <c r="K70" s="99"/>
    </row>
    <row r="71" spans="1:11">
      <c r="A71" s="127" t="s">
        <v>293</v>
      </c>
      <c r="B71" s="135"/>
      <c r="C71" s="135"/>
      <c r="D71" s="135"/>
      <c r="E71" s="135"/>
      <c r="F71" s="135"/>
      <c r="G71" s="135"/>
      <c r="H71" s="135"/>
      <c r="I71" s="135"/>
      <c r="J71" s="135"/>
      <c r="K71" s="135"/>
    </row>
    <row r="72" spans="1:11">
      <c r="A72" s="135"/>
      <c r="B72" s="135"/>
      <c r="C72" s="135"/>
      <c r="D72" s="135"/>
      <c r="E72" s="135"/>
      <c r="F72" s="135"/>
      <c r="G72" s="135"/>
      <c r="H72" s="135"/>
      <c r="I72" s="135"/>
      <c r="J72" s="135"/>
      <c r="K72" s="135"/>
    </row>
    <row r="73" spans="1:11">
      <c r="A73" s="106" t="s">
        <v>294</v>
      </c>
      <c r="B73" s="99"/>
      <c r="C73" s="99"/>
      <c r="D73" s="99"/>
      <c r="E73" s="99"/>
      <c r="F73" s="99"/>
      <c r="G73" s="99"/>
      <c r="H73" s="99"/>
      <c r="I73" s="99"/>
      <c r="J73" s="99"/>
      <c r="K73" s="99"/>
    </row>
    <row r="74" spans="1:11">
      <c r="A74" s="127" t="s">
        <v>295</v>
      </c>
      <c r="B74" s="135"/>
      <c r="C74" s="135"/>
      <c r="D74" s="135"/>
      <c r="E74" s="135"/>
      <c r="F74" s="135"/>
      <c r="G74" s="135"/>
      <c r="H74" s="135"/>
      <c r="I74" s="135"/>
      <c r="J74" s="135"/>
      <c r="K74" s="135"/>
    </row>
    <row r="75" spans="1:11">
      <c r="A75" s="135"/>
      <c r="B75" s="135"/>
      <c r="C75" s="135"/>
      <c r="D75" s="135"/>
      <c r="E75" s="135"/>
      <c r="F75" s="135"/>
      <c r="G75" s="135"/>
      <c r="H75" s="135"/>
      <c r="I75" s="135"/>
      <c r="J75" s="135"/>
      <c r="K75" s="135"/>
    </row>
    <row r="76" spans="1:11">
      <c r="A76" s="135"/>
      <c r="B76" s="135"/>
      <c r="C76" s="135"/>
      <c r="D76" s="135"/>
      <c r="E76" s="135"/>
      <c r="F76" s="135"/>
      <c r="G76" s="135"/>
      <c r="H76" s="135"/>
      <c r="I76" s="135"/>
      <c r="J76" s="135"/>
      <c r="K76" s="135"/>
    </row>
    <row r="77" spans="1:11">
      <c r="A77" s="127" t="s">
        <v>296</v>
      </c>
      <c r="B77" s="135"/>
      <c r="C77" s="135"/>
      <c r="D77" s="135"/>
      <c r="E77" s="135"/>
      <c r="F77" s="135"/>
      <c r="G77" s="135"/>
      <c r="H77" s="135"/>
      <c r="I77" s="135"/>
      <c r="J77" s="135"/>
      <c r="K77" s="135"/>
    </row>
    <row r="78" spans="1:11">
      <c r="A78" s="135"/>
      <c r="B78" s="135"/>
      <c r="C78" s="135"/>
      <c r="D78" s="135"/>
      <c r="E78" s="135"/>
      <c r="F78" s="135"/>
      <c r="G78" s="135"/>
      <c r="H78" s="135"/>
      <c r="I78" s="135"/>
      <c r="J78" s="135"/>
      <c r="K78" s="135"/>
    </row>
    <row r="79" spans="1:11">
      <c r="A79" s="127" t="s">
        <v>297</v>
      </c>
      <c r="B79" s="135"/>
      <c r="C79" s="135"/>
      <c r="D79" s="135"/>
      <c r="E79" s="135"/>
      <c r="F79" s="135"/>
      <c r="G79" s="135"/>
      <c r="H79" s="135"/>
      <c r="I79" s="135"/>
      <c r="J79" s="135"/>
      <c r="K79" s="135"/>
    </row>
    <row r="80" spans="1:11">
      <c r="A80" s="135"/>
      <c r="B80" s="135"/>
      <c r="C80" s="135"/>
      <c r="D80" s="135"/>
      <c r="E80" s="135"/>
      <c r="F80" s="135"/>
      <c r="G80" s="135"/>
      <c r="H80" s="135"/>
      <c r="I80" s="135"/>
      <c r="J80" s="135"/>
      <c r="K80" s="135"/>
    </row>
    <row r="81" spans="1:11">
      <c r="A81" s="127" t="s">
        <v>298</v>
      </c>
      <c r="B81" s="135"/>
      <c r="C81" s="135"/>
      <c r="D81" s="135"/>
      <c r="E81" s="135"/>
      <c r="F81" s="135"/>
      <c r="G81" s="135"/>
      <c r="H81" s="135"/>
      <c r="I81" s="135"/>
      <c r="J81" s="135"/>
      <c r="K81" s="135"/>
    </row>
    <row r="82" spans="1:11">
      <c r="A82" s="135"/>
      <c r="B82" s="135"/>
      <c r="C82" s="135"/>
      <c r="D82" s="135"/>
      <c r="E82" s="135"/>
      <c r="F82" s="135"/>
      <c r="G82" s="135"/>
      <c r="H82" s="135"/>
      <c r="I82" s="135"/>
      <c r="J82" s="135"/>
      <c r="K82" s="135"/>
    </row>
    <row r="83" spans="1:11">
      <c r="A83" s="127" t="s">
        <v>299</v>
      </c>
      <c r="B83" s="127"/>
      <c r="C83" s="127"/>
      <c r="D83" s="127"/>
      <c r="E83" s="127"/>
      <c r="F83" s="127"/>
      <c r="G83" s="127"/>
      <c r="H83" s="127"/>
      <c r="I83" s="127"/>
      <c r="J83" s="127"/>
      <c r="K83" s="127"/>
    </row>
    <row r="84" spans="1:11">
      <c r="A84" s="127"/>
      <c r="B84" s="127"/>
      <c r="C84" s="127"/>
      <c r="D84" s="127"/>
      <c r="E84" s="127"/>
      <c r="F84" s="127"/>
      <c r="G84" s="127"/>
      <c r="H84" s="127"/>
      <c r="I84" s="127"/>
      <c r="J84" s="127"/>
      <c r="K84" s="127"/>
    </row>
    <row r="85" spans="1:11">
      <c r="A85" s="127"/>
      <c r="B85" s="127"/>
      <c r="C85" s="127"/>
      <c r="D85" s="127"/>
      <c r="E85" s="127"/>
      <c r="F85" s="127"/>
      <c r="G85" s="127"/>
      <c r="H85" s="127"/>
      <c r="I85" s="127"/>
      <c r="J85" s="127"/>
      <c r="K85" s="127"/>
    </row>
    <row r="86" spans="1:11">
      <c r="A86" s="127"/>
      <c r="B86" s="127"/>
      <c r="C86" s="127"/>
      <c r="D86" s="127"/>
      <c r="E86" s="127"/>
      <c r="F86" s="127"/>
      <c r="G86" s="127"/>
      <c r="H86" s="127"/>
      <c r="I86" s="127"/>
      <c r="J86" s="127"/>
      <c r="K86" s="127"/>
    </row>
    <row r="87" spans="1:11">
      <c r="A87" s="134" t="s">
        <v>300</v>
      </c>
      <c r="B87" s="134"/>
      <c r="C87" s="134"/>
      <c r="D87" s="134"/>
      <c r="E87" s="134"/>
      <c r="F87" s="134"/>
      <c r="G87" s="134"/>
      <c r="H87" s="134"/>
      <c r="I87" s="134"/>
      <c r="J87" s="134"/>
      <c r="K87" s="134"/>
    </row>
    <row r="88" spans="1:11">
      <c r="A88" s="134"/>
      <c r="B88" s="134"/>
      <c r="C88" s="134"/>
      <c r="D88" s="134"/>
      <c r="E88" s="134"/>
      <c r="F88" s="134"/>
      <c r="G88" s="134"/>
      <c r="H88" s="134"/>
      <c r="I88" s="134"/>
      <c r="J88" s="134"/>
      <c r="K88" s="134"/>
    </row>
    <row r="89" spans="1:11">
      <c r="A89" s="127" t="s">
        <v>301</v>
      </c>
      <c r="B89" s="135"/>
      <c r="C89" s="135"/>
      <c r="D89" s="135"/>
      <c r="E89" s="135"/>
      <c r="F89" s="135"/>
      <c r="G89" s="135"/>
      <c r="H89" s="135"/>
      <c r="I89" s="135"/>
      <c r="J89" s="135"/>
      <c r="K89" s="135"/>
    </row>
    <row r="90" spans="1:11">
      <c r="A90" s="135"/>
      <c r="B90" s="135"/>
      <c r="C90" s="135"/>
      <c r="D90" s="135"/>
      <c r="E90" s="135"/>
      <c r="F90" s="135"/>
      <c r="G90" s="135"/>
      <c r="H90" s="135"/>
      <c r="I90" s="135"/>
      <c r="J90" s="135"/>
      <c r="K90" s="135"/>
    </row>
    <row r="91" spans="1:11">
      <c r="A91" s="106" t="s">
        <v>302</v>
      </c>
      <c r="B91" s="99"/>
      <c r="C91" s="99"/>
      <c r="D91" s="99"/>
      <c r="E91" s="99"/>
      <c r="F91" s="99"/>
      <c r="G91" s="99"/>
      <c r="H91" s="99"/>
      <c r="I91" s="99"/>
      <c r="J91" s="99"/>
      <c r="K91" s="99"/>
    </row>
    <row r="92" spans="1:11">
      <c r="A92" s="106" t="s">
        <v>303</v>
      </c>
      <c r="B92" s="99"/>
      <c r="C92" s="99"/>
      <c r="D92" s="99"/>
      <c r="E92" s="99"/>
      <c r="F92" s="99"/>
      <c r="G92" s="99"/>
      <c r="H92" s="99"/>
      <c r="I92" s="99"/>
      <c r="J92" s="99"/>
      <c r="K92" s="99"/>
    </row>
    <row r="93" spans="1:11">
      <c r="A93" s="127" t="s">
        <v>304</v>
      </c>
      <c r="B93" s="135"/>
      <c r="C93" s="135"/>
      <c r="D93" s="135"/>
      <c r="E93" s="135"/>
      <c r="F93" s="135"/>
      <c r="G93" s="135"/>
      <c r="H93" s="135"/>
      <c r="I93" s="135"/>
      <c r="J93" s="135"/>
      <c r="K93" s="135"/>
    </row>
    <row r="94" spans="1:11">
      <c r="A94" s="135"/>
      <c r="B94" s="135"/>
      <c r="C94" s="135"/>
      <c r="D94" s="135"/>
      <c r="E94" s="135"/>
      <c r="F94" s="135"/>
      <c r="G94" s="135"/>
      <c r="H94" s="135"/>
      <c r="I94" s="135"/>
      <c r="J94" s="135"/>
      <c r="K94" s="135"/>
    </row>
    <row r="95" spans="1:11">
      <c r="A95" s="135"/>
      <c r="B95" s="135"/>
      <c r="C95" s="135"/>
      <c r="D95" s="135"/>
      <c r="E95" s="135"/>
      <c r="F95" s="135"/>
      <c r="G95" s="135"/>
      <c r="H95" s="135"/>
      <c r="I95" s="135"/>
      <c r="J95" s="135"/>
      <c r="K95" s="135"/>
    </row>
    <row r="96" spans="1:11" ht="15" customHeight="1">
      <c r="A96" s="128" t="s">
        <v>305</v>
      </c>
      <c r="B96" s="128"/>
      <c r="C96" s="128"/>
      <c r="D96" s="128"/>
      <c r="E96" s="128"/>
      <c r="F96" s="128"/>
      <c r="G96" s="128"/>
      <c r="H96" s="128"/>
      <c r="I96" s="128"/>
      <c r="J96" s="128"/>
      <c r="K96" s="128"/>
    </row>
    <row r="97" spans="1:11">
      <c r="A97" s="128"/>
      <c r="B97" s="128"/>
      <c r="C97" s="128"/>
      <c r="D97" s="128"/>
      <c r="E97" s="128"/>
      <c r="F97" s="128"/>
      <c r="G97" s="128"/>
      <c r="H97" s="128"/>
      <c r="I97" s="128"/>
      <c r="J97" s="128"/>
      <c r="K97" s="128"/>
    </row>
    <row r="98" spans="1:11">
      <c r="A98" s="128"/>
      <c r="B98" s="128"/>
      <c r="C98" s="128"/>
      <c r="D98" s="128"/>
      <c r="E98" s="128"/>
      <c r="F98" s="128"/>
      <c r="G98" s="128"/>
      <c r="H98" s="128"/>
      <c r="I98" s="128"/>
      <c r="J98" s="128"/>
      <c r="K98" s="128"/>
    </row>
    <row r="99" spans="1:11">
      <c r="A99" s="134" t="s">
        <v>306</v>
      </c>
      <c r="B99" s="134"/>
      <c r="C99" s="134"/>
      <c r="D99" s="134"/>
      <c r="E99" s="134"/>
      <c r="F99" s="134"/>
      <c r="G99" s="134"/>
      <c r="H99" s="134"/>
      <c r="I99" s="134"/>
      <c r="J99" s="134"/>
      <c r="K99" s="134"/>
    </row>
    <row r="100" spans="1:11">
      <c r="A100" s="127" t="s">
        <v>307</v>
      </c>
      <c r="B100" s="135"/>
      <c r="C100" s="135"/>
      <c r="D100" s="135"/>
      <c r="E100" s="135"/>
      <c r="F100" s="135"/>
      <c r="G100" s="135"/>
      <c r="H100" s="135"/>
      <c r="I100" s="135"/>
      <c r="J100" s="135"/>
      <c r="K100" s="135"/>
    </row>
    <row r="101" spans="1:11">
      <c r="A101" s="135"/>
      <c r="B101" s="135"/>
      <c r="C101" s="135"/>
      <c r="D101" s="135"/>
      <c r="E101" s="135"/>
      <c r="F101" s="135"/>
      <c r="G101" s="135"/>
      <c r="H101" s="135"/>
      <c r="I101" s="135"/>
      <c r="J101" s="135"/>
      <c r="K101" s="135"/>
    </row>
    <row r="102" spans="1:11">
      <c r="A102" s="127" t="s">
        <v>308</v>
      </c>
      <c r="B102" s="135"/>
      <c r="C102" s="135"/>
      <c r="D102" s="135"/>
      <c r="E102" s="135"/>
      <c r="F102" s="135"/>
      <c r="G102" s="135"/>
      <c r="H102" s="135"/>
      <c r="I102" s="135"/>
      <c r="J102" s="135"/>
      <c r="K102" s="135"/>
    </row>
    <row r="103" spans="1:11">
      <c r="A103" s="135"/>
      <c r="B103" s="135"/>
      <c r="C103" s="135"/>
      <c r="D103" s="135"/>
      <c r="E103" s="135"/>
      <c r="F103" s="135"/>
      <c r="G103" s="135"/>
      <c r="H103" s="135"/>
      <c r="I103" s="135"/>
      <c r="J103" s="135"/>
      <c r="K103" s="135"/>
    </row>
    <row r="104" spans="1:11">
      <c r="A104" s="127" t="s">
        <v>309</v>
      </c>
      <c r="B104" s="135"/>
      <c r="C104" s="135"/>
      <c r="D104" s="135"/>
      <c r="E104" s="135"/>
      <c r="F104" s="135"/>
      <c r="G104" s="135"/>
      <c r="H104" s="135"/>
      <c r="I104" s="135"/>
      <c r="J104" s="135"/>
      <c r="K104" s="135"/>
    </row>
    <row r="105" spans="1:11">
      <c r="A105" s="135"/>
      <c r="B105" s="135"/>
      <c r="C105" s="135"/>
      <c r="D105" s="135"/>
      <c r="E105" s="135"/>
      <c r="F105" s="135"/>
      <c r="G105" s="135"/>
      <c r="H105" s="135"/>
      <c r="I105" s="135"/>
      <c r="J105" s="135"/>
      <c r="K105" s="135"/>
    </row>
    <row r="106" spans="1:11">
      <c r="A106" s="127" t="s">
        <v>310</v>
      </c>
      <c r="B106" s="135"/>
      <c r="C106" s="135"/>
      <c r="D106" s="135"/>
      <c r="E106" s="135"/>
      <c r="F106" s="135"/>
      <c r="G106" s="135"/>
      <c r="H106" s="135"/>
      <c r="I106" s="135"/>
      <c r="J106" s="135"/>
      <c r="K106" s="135"/>
    </row>
    <row r="107" spans="1:11">
      <c r="A107" s="135"/>
      <c r="B107" s="135"/>
      <c r="C107" s="135"/>
      <c r="D107" s="135"/>
      <c r="E107" s="135"/>
      <c r="F107" s="135"/>
      <c r="G107" s="135"/>
      <c r="H107" s="135"/>
      <c r="I107" s="135"/>
      <c r="J107" s="135"/>
      <c r="K107" s="135"/>
    </row>
    <row r="108" spans="1:11" ht="15" customHeight="1">
      <c r="A108" s="134" t="s">
        <v>311</v>
      </c>
      <c r="B108" s="134"/>
      <c r="C108" s="134"/>
      <c r="D108" s="134"/>
      <c r="E108" s="134"/>
      <c r="F108" s="134"/>
      <c r="G108" s="134"/>
      <c r="H108" s="134"/>
      <c r="I108" s="134"/>
      <c r="J108" s="134"/>
      <c r="K108" s="134"/>
    </row>
    <row r="109" spans="1:11">
      <c r="A109" s="134"/>
      <c r="B109" s="134"/>
      <c r="C109" s="134"/>
      <c r="D109" s="134"/>
      <c r="E109" s="134"/>
      <c r="F109" s="134"/>
      <c r="G109" s="134"/>
      <c r="H109" s="134"/>
      <c r="I109" s="134"/>
      <c r="J109" s="134"/>
      <c r="K109" s="134"/>
    </row>
    <row r="110" spans="1:11">
      <c r="A110" s="127" t="s">
        <v>312</v>
      </c>
      <c r="B110" s="135"/>
      <c r="C110" s="135"/>
      <c r="D110" s="135"/>
      <c r="E110" s="135"/>
      <c r="F110" s="135"/>
      <c r="G110" s="135"/>
      <c r="H110" s="135"/>
      <c r="I110" s="135"/>
      <c r="J110" s="135"/>
      <c r="K110" s="135"/>
    </row>
    <row r="111" spans="1:11">
      <c r="A111" s="135"/>
      <c r="B111" s="135"/>
      <c r="C111" s="135"/>
      <c r="D111" s="135"/>
      <c r="E111" s="135"/>
      <c r="F111" s="135"/>
      <c r="G111" s="135"/>
      <c r="H111" s="135"/>
      <c r="I111" s="135"/>
      <c r="J111" s="135"/>
      <c r="K111" s="135"/>
    </row>
    <row r="112" spans="1:11">
      <c r="A112" s="127" t="s">
        <v>313</v>
      </c>
      <c r="B112" s="135"/>
      <c r="C112" s="135"/>
      <c r="D112" s="135"/>
      <c r="E112" s="135"/>
      <c r="F112" s="135"/>
      <c r="G112" s="135"/>
      <c r="H112" s="135"/>
      <c r="I112" s="135"/>
      <c r="J112" s="135"/>
      <c r="K112" s="135"/>
    </row>
    <row r="113" spans="1:11">
      <c r="A113" s="135"/>
      <c r="B113" s="135"/>
      <c r="C113" s="135"/>
      <c r="D113" s="135"/>
      <c r="E113" s="135"/>
      <c r="F113" s="135"/>
      <c r="G113" s="135"/>
      <c r="H113" s="135"/>
      <c r="I113" s="135"/>
      <c r="J113" s="135"/>
      <c r="K113" s="135"/>
    </row>
    <row r="114" spans="1:11">
      <c r="A114" s="106" t="s">
        <v>314</v>
      </c>
      <c r="B114" s="99"/>
      <c r="C114" s="99"/>
      <c r="D114" s="99"/>
      <c r="E114" s="99"/>
      <c r="F114" s="99"/>
      <c r="G114" s="99"/>
      <c r="H114" s="99"/>
      <c r="I114" s="99"/>
      <c r="J114" s="99"/>
      <c r="K114" s="99"/>
    </row>
    <row r="115" spans="1:11">
      <c r="A115" s="99"/>
      <c r="B115" s="99"/>
      <c r="C115" s="99"/>
      <c r="D115" s="99"/>
      <c r="E115" s="99"/>
      <c r="F115" s="99"/>
      <c r="G115" s="99"/>
      <c r="H115" s="99"/>
      <c r="I115" s="99"/>
      <c r="J115" s="99"/>
      <c r="K115" s="99"/>
    </row>
    <row r="116" spans="1:11">
      <c r="A116" s="107" t="s">
        <v>315</v>
      </c>
      <c r="B116" s="99"/>
      <c r="C116" s="99"/>
      <c r="D116" s="99"/>
      <c r="E116" s="99"/>
      <c r="F116" s="99"/>
      <c r="G116" s="99"/>
      <c r="H116" s="99"/>
      <c r="I116" s="99"/>
      <c r="J116" s="99"/>
      <c r="K116" s="99"/>
    </row>
    <row r="117" spans="1:11">
      <c r="A117" s="99" t="s">
        <v>412</v>
      </c>
      <c r="B117" s="99"/>
      <c r="C117" s="99"/>
      <c r="D117" s="99"/>
      <c r="E117" s="99"/>
      <c r="F117" s="99"/>
      <c r="G117" s="99"/>
      <c r="H117" s="99"/>
      <c r="I117" s="99"/>
      <c r="J117" s="99"/>
      <c r="K117" s="99"/>
    </row>
  </sheetData>
  <sheetProtection algorithmName="SHA-512" hashValue="6iYCQcY6IPQ7G0ktNuDRl12/vC6LpTl/I2RAMLdV54fmTeZf2gxVqR195Ms+Rf0PTGXdmDhyl9Q6W/N94JEGSw==" saltValue="5xUEDGsitfetSEJF4xBMaA==" spinCount="100000" sheet="1" objects="1" scenarios="1"/>
  <mergeCells count="63">
    <mergeCell ref="A43:K43"/>
    <mergeCell ref="A46:K46"/>
    <mergeCell ref="A47:K47"/>
    <mergeCell ref="A48:K48"/>
    <mergeCell ref="A49:K49"/>
    <mergeCell ref="A44:K44"/>
    <mergeCell ref="A45:K45"/>
    <mergeCell ref="A38:K38"/>
    <mergeCell ref="A39:K39"/>
    <mergeCell ref="A40:K40"/>
    <mergeCell ref="A41:K41"/>
    <mergeCell ref="A42:K42"/>
    <mergeCell ref="A12:K12"/>
    <mergeCell ref="A15:K15"/>
    <mergeCell ref="A21:K21"/>
    <mergeCell ref="A22:K22"/>
    <mergeCell ref="A23:K23"/>
    <mergeCell ref="A19:K19"/>
    <mergeCell ref="A20:K20"/>
    <mergeCell ref="A17:K17"/>
    <mergeCell ref="A18:K18"/>
    <mergeCell ref="A24:K24"/>
    <mergeCell ref="A25:K25"/>
    <mergeCell ref="A26:K26"/>
    <mergeCell ref="A36:K36"/>
    <mergeCell ref="A37:K37"/>
    <mergeCell ref="A27:K27"/>
    <mergeCell ref="A28:K28"/>
    <mergeCell ref="A29:K29"/>
    <mergeCell ref="A30:K30"/>
    <mergeCell ref="A31:K31"/>
    <mergeCell ref="A32:K32"/>
    <mergeCell ref="A33:K33"/>
    <mergeCell ref="A34:K34"/>
    <mergeCell ref="A35:K35"/>
    <mergeCell ref="A51:K51"/>
    <mergeCell ref="A50:K50"/>
    <mergeCell ref="A63:K64"/>
    <mergeCell ref="A79:K80"/>
    <mergeCell ref="A81:K82"/>
    <mergeCell ref="A65:K66"/>
    <mergeCell ref="A67:K68"/>
    <mergeCell ref="A52:K52"/>
    <mergeCell ref="A53:K53"/>
    <mergeCell ref="A54:K54"/>
    <mergeCell ref="A55:K55"/>
    <mergeCell ref="A56:K56"/>
    <mergeCell ref="A96:K98"/>
    <mergeCell ref="A108:K109"/>
    <mergeCell ref="A112:K113"/>
    <mergeCell ref="A71:K72"/>
    <mergeCell ref="A74:K76"/>
    <mergeCell ref="A83:K86"/>
    <mergeCell ref="A89:K90"/>
    <mergeCell ref="A102:K103"/>
    <mergeCell ref="A104:K105"/>
    <mergeCell ref="A100:K101"/>
    <mergeCell ref="A77:K78"/>
    <mergeCell ref="A93:K95"/>
    <mergeCell ref="A99:K99"/>
    <mergeCell ref="A106:K107"/>
    <mergeCell ref="A110:K111"/>
    <mergeCell ref="A87:K88"/>
  </mergeCells>
  <hyperlinks>
    <hyperlink ref="A39:J39" location="'TotalAllotj_12 (22)'!A1" display="Accommodation capacity by type of establishment and category in Ibiza (2012)………………………….……………………………………...pg 22" xr:uid="{00000000-0004-0000-0200-000010000000}"/>
    <hyperlink ref="A40:J40" location="'Allotj.municipi_12 (23)'!A1" display="Distribution of accommodation capacity broken down by municipalities in Ibiza (2012)……………………..………………………………..pg 23" xr:uid="{00000000-0004-0000-0200-000011000000}"/>
    <hyperlink ref="A37:J37" location="'TotalAllotj_13 (20)'!A1" display="Accommodation capacity by type of establishment and category in Ibiza (2013)………………………….……………………………………...pg 20" xr:uid="{00000000-0004-0000-0200-000014000000}"/>
    <hyperlink ref="A38:J38" location="'Allotj.municipi_13 (21)'!A1" display="Distribution of accommodation capacity broken down by municipalities in Ibiza (2013)……………………..……………………………..…pg 21" xr:uid="{00000000-0004-0000-0200-000015000000}"/>
    <hyperlink ref="A43:J43" location="'TotalAllotj_10 (26)'!A1" display="Accommodation capacity by type of establishment and category in Ibiza (2010)………………………….……………………………………...pg 26" xr:uid="{00000000-0004-0000-0200-000016000000}"/>
    <hyperlink ref="A44:J44" location="'Allotj.municipi_10 (27)'!A1" display="Distribution of accommodation capacity broken down by municipalities in Ibiza (2010)……………..………………………………………..pg 27" xr:uid="{00000000-0004-0000-0200-000017000000}"/>
    <hyperlink ref="A45:J45" location="'TotalAllotj_09 (28)'!A1" display="Accommodation capacity by type of establishment and category in Ibiza (2009)……….………………………………………………………...pg 28" xr:uid="{00000000-0004-0000-0200-000018000000}"/>
    <hyperlink ref="A46:J46" location="'Allotj.municipi_09 (29)'!A1" display="Distribution of accommodation capacity broken down by municipalities in Ibiza (2009)…………………………..……….………………...pg 29" xr:uid="{00000000-0004-0000-0200-000019000000}"/>
    <hyperlink ref="A47:J47" location="'TotalAllotj_08 (30)'!A1" display="Accommodation capacity by type of establishment and category in Ibiza (2008)……………….………………………………………………...pg 30" xr:uid="{00000000-0004-0000-0200-00001A000000}"/>
    <hyperlink ref="A48:J48" location="'Allotj.municipi_08 (31)'!A1" display="Distribution of accommodation capacity broken down by municipalities in Ibiza (2008)……………………………………………………….pg 31" xr:uid="{00000000-0004-0000-0200-00001B000000}"/>
    <hyperlink ref="A49:J49" location="'TotalAllotj_07 (32)'!A1" display="Accommodation capacity by type of establishment and category in Ibiza (2007)……………………………….…………………………………pg 32" xr:uid="{00000000-0004-0000-0200-00001C000000}"/>
    <hyperlink ref="A50:J50" location="'Allotj.municipi_07 (33)'!A1" display="Distribution of accommodation capacity broken down by municipalities in Ibiza (2007)……………………………………………………….pg 33" xr:uid="{00000000-0004-0000-0200-00001D000000}"/>
    <hyperlink ref="A51:J51" location="'TotalAllotj_06 (34)'!A1" display="Accommodation capacity by type of establishment and category in Ibiza (2006)………………….………………………………………………pg 34" xr:uid="{00000000-0004-0000-0200-00001E000000}"/>
    <hyperlink ref="A52:J52" location="'Allotj.municipi_06 (35)'!A1" display="Distribution of accommodation capacity broken down by municipalities in Ibiza (2006)……………….....………………………………….pg 35" xr:uid="{00000000-0004-0000-0200-00001F000000}"/>
    <hyperlink ref="A53:J53" location="'TotalAllotj_05 (36)'!A1" display="Accommodation capacity by type of establishment and category in Ibiza (2005)………………………………….………………………………pg 36" xr:uid="{00000000-0004-0000-0200-000020000000}"/>
    <hyperlink ref="A54:J54" location="'Allotj.municipi_05 (37)'!A1" display="Distribution of accommodation capacity broken down by municipalities in Ibiza (2005)………………………………….……...…….…...pg 37" xr:uid="{00000000-0004-0000-0200-000021000000}"/>
    <hyperlink ref="A55:J55" location="'TotalAllotj_04 (38)'!A1" display="Accommodation capacity by type of establishment and category in Ibiza (2004)…………………………………………….…………………..pg 38" xr:uid="{00000000-0004-0000-0200-000022000000}"/>
    <hyperlink ref="A56:J56" location="'Allotj.municipi_04 (39)'!A1" display="Distribution of accommodation capacity broken down by municipalities in Ibiza (2004)……………....……….…………………………...pg 39" xr:uid="{00000000-0004-0000-0200-000023000000}"/>
    <hyperlink ref="A35:J35" location="'TotalAllotj_14 (18)'!A1" display="Accommodation capacity by type of establishment and category in Ibiza (2014)………………………….……………………………………...pg 18" xr:uid="{00000000-0004-0000-0200-000026000000}"/>
    <hyperlink ref="A36:J36" location="'Allotj.municipi_14 (19)'!A1" display="Distribution of accommodation capacity broken down by municipalities in Ibiza (2014)……………………..……………………………..…pg 19" xr:uid="{00000000-0004-0000-0200-000027000000}"/>
    <hyperlink ref="A41:J41" location="'TotalAllotj_11 (24)'!A1" display="Accommodation capacity by type of establishment and category in Ibiza (2011)………………………….……………………………………...pg 24" xr:uid="{00000000-0004-0000-0200-000028000000}"/>
    <hyperlink ref="A42:J42" location="'Allotj.municipi_11 (25)'!A1" display="Distribution of accommodation capacity broken down by municipalities in Ibiza (2011)……………………..………………………………..pg 25" xr:uid="{00000000-0004-0000-0200-000029000000}"/>
    <hyperlink ref="A33:J33" location="'TotalAllotj_15 (16)'!A1" display="Accommodation capacity by type of establishment and category in Ibiza (2015)………………………….……………………………………...pg 16" xr:uid="{00000000-0004-0000-0200-00002C000000}"/>
    <hyperlink ref="A34:J34" location="'Allotj.municipi_15 (17)'!A1" display="Distribution of accommodation capacity broken down by municipalities in Ibiza (2015)……………………..……………………………..…pg 17" xr:uid="{00000000-0004-0000-0200-00002D000000}"/>
    <hyperlink ref="A31:J31" location="'TotalAllotj_16 (14)'!A1" display="Accommodation capacity by type of establishment and category in Ibiza (2016)………………………….……………………………………...pg 14" xr:uid="{00000000-0004-0000-0200-00002E000000}"/>
    <hyperlink ref="A32:J32" location="'Allotj.municipi_16 (15)'!A1" display="Distribution of accommodation capacity broken down by municipalities in Ibiza (2016)……………………..……………………………..…pg 15" xr:uid="{00000000-0004-0000-0200-00002F000000}"/>
    <hyperlink ref="A29:J29" location="'TotalAllotj_17 (12)'!A1" display="Accommodation capacity by type of establishment and category in Ibiza (2017)………………………….……………………………………...pg 12" xr:uid="{00000000-0004-0000-0200-000030000000}"/>
    <hyperlink ref="A30:J30" location="'Allotj.municipi_17 (13)'!A1" display="Distribution of accommodation capacity broken down by municipalities in Ibiza (2017)……………………..……………………………..…pg 13" xr:uid="{00000000-0004-0000-0200-000031000000}"/>
    <hyperlink ref="A27:J27" location="'TotalAllotj_18 (10)'!A1" display="Accommodation capacity by type of establishment and category in Ibiza (2018)………………………….……………………………………...pg 10" xr:uid="{00000000-0004-0000-0200-000032000000}"/>
    <hyperlink ref="A28:J28" location="'Allotj.municipi_18 (11)'!A1" display="Distribution of accommodation capacity broken down by municipalities in Ibiza (2018)……………………..……………………………..…pg 11" xr:uid="{00000000-0004-0000-0200-000033000000}"/>
    <hyperlink ref="A25:J25" location="'TotalAllotj_19 (8)'!A1" display="Accommodation capacity by type of establishment and category in Ibiza (2019)………………………….……………………………………...pg 8" xr:uid="{00000000-0004-0000-0200-000034000000}"/>
    <hyperlink ref="A26:J26" location="'Allotj.municipi_19 (9)'!A1" display="Distribution of accommodation capacity broken down by municipalities in Ibiza (2019)……………………..……………………………..…pg 9" xr:uid="{00000000-0004-0000-0200-000035000000}"/>
    <hyperlink ref="A23:J23" location="'TotalAllotj_20 (6)'!A1" display="Accommodation capacity by type of establishment and category in Ibiza (2020)………………………….……………………………………...pg 6" xr:uid="{00000000-0004-0000-0200-000036000000}"/>
    <hyperlink ref="A24:J24" location="'Allotj.municipi_20 (7)'!A1" display="Distribution of accommodation capacity broken down by municipalities in Ibiza (2020)……………………..……………………………..…pg 7" xr:uid="{00000000-0004-0000-0200-000037000000}"/>
    <hyperlink ref="A21:J21" location="'TotalAllotj_21 (4)'!A1" display="Accommodation capacity by type of establishment and category in Ibiza (2021)………………………….……………………………………...pg 4" xr:uid="{00000000-0004-0000-0200-000038000000}"/>
    <hyperlink ref="A22:J22" location="'Allotj.municipi_21 (5)'!A1" display="Distribution of accommodation capacity broken down by municipalities in Ibiza (2021)……………………..……………………………..…pg 5" xr:uid="{00000000-0004-0000-0200-000039000000}"/>
    <hyperlink ref="A19:J19" location="'TotalAllotj_21 (4)'!A1" display="Accommodation capacity by type of establishment and category in Ibiza (2021)………………………….……………………………………...pg 4" xr:uid="{6DB35D1C-71FA-445F-A144-30BAAF4E1779}"/>
    <hyperlink ref="A20:J20" location="'Allotj.municipi_21 (5)'!A1" display="Distribution of accommodation capacity broken down by municipalities in Ibiza (2021)……………………..……………………………..…pg 5" xr:uid="{AD086340-3617-42F8-85FA-0F648A0CD0C0}"/>
    <hyperlink ref="A19:K19" location="'TotalAllotj_22 (4)'!A1" display="Accommodation capacity by type of establishment and category in Ibiza (2022)………………………….………….................................................……………………………...pg 4" xr:uid="{58BD0F97-0851-4DDD-B767-EF11EE0CB440}"/>
    <hyperlink ref="A20:K20" location="'Allotj.municipi_22 (5)'!A1" display="Distribution of accommodation capacity broken down by municipalities in Ibiza (2022)………………….................................................……..……………………………..…pg 5" xr:uid="{05492020-26A1-4DBA-BCC6-75A45C133F18}"/>
    <hyperlink ref="A21:K21" location="'TotalAllotj_21 (6)'!A1" display="Accommodation capacity by type of establishment and category in Ibiza (2021)………………………….………….................................................……………………………...pg 6" xr:uid="{A8FB9706-2E76-45D7-A3EF-CB412E655EBF}"/>
    <hyperlink ref="A22:K22" location="'Allotj.municipi_21 (7)'!A1" display="Distribution of accommodation capacity broken down by municipalities in Ibiza (2021)………………….................................................……..……………………………..…pg 7" xr:uid="{C09546B5-8DE5-4729-A3E6-05E2BB751F45}"/>
    <hyperlink ref="A23:K23" location="'TotalAllotj_20 (8)'!A1" display="Accommodation capacity by type of establishment and category in Ibiza (2020)……………….................................................…………….……………………………………...pg 8" xr:uid="{A02881A7-3FCE-448A-8CB9-12115419D4BE}"/>
    <hyperlink ref="A24:K24" location="'Allotj.municipi_20 (9)'!A1" display="Distribution of accommodation capacity broken down by municipalities in Ibiza (2020)……………………..…..……………….................................................…………..…pg 9" xr:uid="{FC1762A0-CBCF-4FAE-B848-53DD148E6F86}"/>
    <hyperlink ref="A25:K25" location="'TotalAllotj_19 (10)'!A1" display="Accommodation capacity by type of establishment and category in Ibiza (2019)………………………................................................…….……………………………………...pg 10" xr:uid="{A9FD68B4-3229-4B13-B697-E08877D60091}"/>
    <hyperlink ref="A26:K26" location="'Allotj.municipi_19 (11)'!A1" display="Distribution of accommodation capacity broken down by municipalities in Ibiza (2019)……………................................................…………..……………………………..…pg 11" xr:uid="{69D6374D-D0EE-40C4-8AD4-A55DE34701D3}"/>
    <hyperlink ref="A27:K27" location="'TotalAllotj_18 (12)'!A1" display="Accommodation capacity by type of establishment and category in Ibiza (2018)………………………….….……….................................................…………………………...pg 12" xr:uid="{18688F60-64D5-41D1-B862-B2C647366606}"/>
    <hyperlink ref="A28:K28" location="'Allotj.municipi_18 (13)'!A1" display="Distribution of accommodation capacity broken down by municipalities in Ibiza (2018)………………………..................................................……………………………..…pg 13" xr:uid="{BE562EB1-6AA8-45E9-9D7B-719D884860AD}"/>
    <hyperlink ref="A29:K29" location="'TotalAllotj_17 (14)'!A1" display="Accommodation capacity by type of establishment and category in Ibiza (2017)……………………................................................……….……………………………………...pg 14" xr:uid="{0C8C65D3-16F3-4C01-BB00-520BBC6A196C}"/>
    <hyperlink ref="A30:K30" location="'Allotj.municipi_17 (15)'!A1" display="Distribution of accommodation capacity broken down by municipalities in Ibiza (2017)……………………..……………................................................…………………..…pg 15" xr:uid="{13FAC7D7-7407-4008-A8A5-CBBCBDFC0782}"/>
    <hyperlink ref="A31:K31" location="'TotalAllotj_16 (16)'!A1" display="Accommodation capacity by type of establishment and category in Ibiza (2016)…………………................................................………….……………………………………...pg 16" xr:uid="{5FC2BCC4-1AC0-44C1-944B-582CB4F796C2}"/>
    <hyperlink ref="A32:K32" location="'Allotj.municipi_16 (17)'!A1" display="Distribution of accommodation capacity broken down by municipalities in Ibiza (2016)………………................................................………..……………………………..…pg 17" xr:uid="{837896E3-F1FD-495D-8FFA-0AFD4A272200}"/>
    <hyperlink ref="A33:K33" location="'TotalAllotj_15 (18)'!A1" display="Accommodation capacity by type of establishment and category in Ibiza (2015)………………………….……………................................................…………………………...pg 18" xr:uid="{B467C232-C787-4119-A19B-4BCA4A0DF4B1}"/>
    <hyperlink ref="A34:K34" location="'Allotj.municipi_15 (19)'!A1" display="Distribution of accommodation capacity broken down by municipalities in Ibiza (2015)………………………..................................................……………………………..…pg 19" xr:uid="{14C0F582-210E-4F48-BD0F-73552E84E98D}"/>
    <hyperlink ref="A35:K35" location="'TotalAllotj_14 (20)'!A1" display="Accommodation capacity by type of establishment and category in Ibiza (2014)……………................................................……………….……………………………………...pg 20" xr:uid="{057A63BD-FA40-49D5-B31B-595721138CD8}"/>
    <hyperlink ref="A36:K36" location="'Allotj.municipi_14 (21)'!A1" display="Distribution of accommodation capacity broken down by municipalities in Ibiza (2014)……………………................................................…..……………………………..…pg 21" xr:uid="{626D6AA6-633F-44E4-83A6-6F39CD14C1D4}"/>
    <hyperlink ref="A37:K37" location="'TotalAllotj_13 (22)'!A1" display="Accommodation capacity by type of establishment and category in Ibiza (2013)………………………................................................…….……………………………………...pg 22" xr:uid="{5612A06A-04D7-4DF6-B8E3-57F8662A5F34}"/>
    <hyperlink ref="A38:K38" location="'Allotj.municipi_13 (23)'!A1" display="Distribution of accommodation capacity broken down by municipalities in Ibiza (2013)……………………..……………………................................................…………..…pg 23" xr:uid="{F96B2660-B368-42F2-B993-3DA6DCCF2F17}"/>
    <hyperlink ref="A39:K39" location="'TotalAllotj_12 (24)'!A1" display="Accommodation capacity by type of establishment and category in Ibiza (2012)…………................................................………………….……………………………………...pg 24" xr:uid="{2CA1B7E4-CC5D-453B-8294-0F08DCDF22DC}"/>
    <hyperlink ref="A40:K40" location="'Allotj.municipi_12 (25)'!A1" display="Distribution of accommodation capacity broken down by municipalities in Ibiza (2012)………………................................................………..………………………………..pg 25" xr:uid="{2F26DEC8-AE10-4FE0-9BE0-66D5F2B296EE}"/>
    <hyperlink ref="A41:K41" location="'TotalAllotj_11 (26)'!A1" display="Accommodation capacity by type of establishment and category in Ibiza (2011)………………………….………................................................………………………………...pg 26" xr:uid="{7F100468-95B0-4282-85A0-CE47EDD967BC}"/>
    <hyperlink ref="A42:K42" location="'Allotj.municipi_11 (27)'!A1" display="Distribution of accommodation capacity broken down by municipalities in Ibiza (2011)……………………..………………................................................…………………..pg 27" xr:uid="{E1206A25-5A0D-46C3-82CD-BB37F2DE7DE7}"/>
    <hyperlink ref="A43:K43" location="'TotalAllotj_10 (28)'!A1" display="Accommodation capacity by type of establishment and category in Ibiza (2010)………………………….……………………................................................…………………...pg 28" xr:uid="{315EBA07-B1A5-4DED-A40F-A78874D400DB}"/>
    <hyperlink ref="A44:K44" location="'Allotj.municipi_10 (29)'!A1" display="Distribution of accommodation capacity broken down by municipalities in Ibiza (2010)………………..................................................………………………………………..pg 29" xr:uid="{06060A25-F7F9-4A28-926B-AA293F7B579F}"/>
    <hyperlink ref="A45:K45" location="'TotalAllotj_09 (30)'!A1" display="Accommodation capacity by type of establishment and category in Ibiza (2009)………................................................….………………………………………………………...pg 30" xr:uid="{8954D7E8-24B3-4D1E-AA5F-E39D61EAC119}"/>
    <hyperlink ref="A46:K46" location="'Allotj.municipi_09 (31)'!A1" display="Distribution of accommodation capacity broken down by municipalities in Ibiza (2009)…………………................................................…………..……….………………...pg 31" xr:uid="{8FDD934D-A511-45EB-8F81-F384DB13998B}"/>
    <hyperlink ref="A47:K47" location="'TotalAllotj_08 (32)'!A1" display="Accommodation capacity by type of establishment and category in Ibiza (2008)………………...............................................….………………………………………………...pg 32" xr:uid="{A11BE9DA-2E73-4C1B-A512-214AFA615CBE}"/>
    <hyperlink ref="A48:K48" location="'Allotj.municipi_08 (33)'!A1" display="Distribution of accommodation capacity broken down by municipalities in Ibiza (2008)…………………................................................……………………………………….pg 33" xr:uid="{0E3EC894-C4FD-4A80-AAD8-923541C89808}"/>
    <hyperlink ref="A49:K49" location="'TotalAllotj_07 (34)'!A1" display="Accommodation capacity by type of establishment and category in Ibiza (2007)……………………………….………………................................................……………………pg 34" xr:uid="{34DBBC04-941A-49CD-8541-685CEF2CA607}"/>
    <hyperlink ref="A50:K50" location="'Allotj.municipi_07 (35)'!A1" display="Distribution of accommodation capacity broken down by municipalities in Ibiza (2007)……………………………………………................................................…………….pg 35" xr:uid="{34D958AF-FB9F-4FF6-BD2C-33B8A0E286A0}"/>
    <hyperlink ref="A51:K51" location="'TotalAllotj_06 (36)'!A1" display="Accommodation capacity by type of establishment and category in Ibiza (2006)…………………….................................................………………………………………………pg 36" xr:uid="{4425FFB3-46C0-4FEB-8A7D-52F893F5471C}"/>
    <hyperlink ref="A52:K52" location="'Allotj.municipi_06 (37)'!A1" display="Distribution of accommodation capacity broken down by municipalities in Ibiza (2006)……………….....……………................................................……………………….pg 37" xr:uid="{5E175A52-2F92-4A88-9F2A-0809F5003F9D}"/>
    <hyperlink ref="A53:K53" location="'TotalAllotj_05 (38)'!A1" display="Accommodation capacity by type of establishment and category in Ibiza (2005)………………………………….………................................................…………………………pg 38" xr:uid="{5E188502-9E68-4C49-AA71-DD96618F565A}"/>
    <hyperlink ref="A54:K54" location="'Allotj.municipi_05 (39)'!A1" display="Distribution of accommodation capacity broken down by municipalities in Ibiza (2005)………………………………….………....................................................…….…...pg 39" xr:uid="{5037345A-1768-42CC-A125-0E91BBBE51CE}"/>
    <hyperlink ref="A55:K55" location="'TotalAllotj_04 (40)'!A1" display="Accommodation capacity by type of establishment and category in Ibiza (2004)……………………………………….................................................……….…………………..pg 40" xr:uid="{3BF2E71C-61F6-4DD9-BA0B-95BF7B47BF0C}"/>
    <hyperlink ref="A56:K56" location="'Allotj.municipi_04 (41)'!A1" display="Distribution of accommodation capacity broken down by municipalities in Ibiza (2004)……………….....................................................……….…………………………...pg 41" xr:uid="{4AF312BE-39AD-4927-BB63-88803EB0ADF0}"/>
    <hyperlink ref="A17:J17" location="'TotalAllotj_21 (4)'!A1" display="Accommodation capacity by type of establishment and category in Ibiza (2021)………………………….……………………………………...pg 4" xr:uid="{453DE270-31E0-4D70-95A6-AEE043574076}"/>
    <hyperlink ref="A18:J18" location="'Allotj.municipi_21 (5)'!A1" display="Distribution of accommodation capacity broken down by municipalities in Ibiza (2021)……………………..……………………………..…pg 5" xr:uid="{D366FC07-45E6-4C0E-ABF8-64A1325853C2}"/>
    <hyperlink ref="A17:K17" location="'TotalAllotj_22 (4)'!A1" display="Accommodation capacity by type of establishment and category in Ibiza (2022)………………………….………….................................................……………………………...pg 4" xr:uid="{10E99E80-E474-455E-9B9D-397F26DC68C6}"/>
    <hyperlink ref="A18:K18" location="'Allotj.municipi_22 (5)'!A1" display="Distribution of accommodation capacity broken down by municipalities in Ibiza (2022)………………….................................................……..……………………………..…pg 5" xr:uid="{B79EFEAC-4D2D-431D-85A5-AD113BD29E45}"/>
    <hyperlink ref="A17:XFD17" location="'TotalAllotj_23 (4)'!A1" display="Accommodation capacity by type of establishment and category in Ibiza (2023)………………………….………….................................................……………………………...pg 4" xr:uid="{A14BAEE1-C4BD-4888-B59A-D7CFE24C8078}"/>
    <hyperlink ref="A18:XFD18" location="'Allotj.municipi_23 (5)'!A1" display="Distribution of accommodation capacity broken down by municipalities in Ibiza (2023)………………….................................................……..……………………………..…pg 5" xr:uid="{74528A33-824B-4286-A1D9-E0FBD562ECE3}"/>
    <hyperlink ref="A19:XFD19" location="'TotalAllotj_22 (6)'!A1" display="Accommodation capacity by type of establishment and category in Ibiza (2022)………………………….………….................................................……………………………...pg 6" xr:uid="{4E449A37-9E08-49FD-8FBD-CE1ADFC3AE78}"/>
    <hyperlink ref="A20:XFD20" location="'Allotj.municipi_22 (7)'!A1" display="Distribution of accommodation capacity broken down by municipalities in Ibiza (2022)………………….................................................……..……………………………..…pg 7" xr:uid="{DA46209B-39D2-4392-8969-8F43DA82A59E}"/>
    <hyperlink ref="A21:XFD21" location="'TotalAllotj_21 (8)'!A1" display="Accommodation capacity by type of establishment and category in Ibiza (2021)………………………….………….................................................……………………………...pg 8" xr:uid="{16537DC8-2918-47D3-8180-E7C6593B5835}"/>
    <hyperlink ref="A22:XFD22" location="'Allotj.municipi_21 (9)'!A1" display="Distribution of accommodation capacity broken down by municipalities in Ibiza (2021)………………….................................................……..……………………………..…pg 9" xr:uid="{848F8954-D416-4500-946F-6952A42C5A42}"/>
    <hyperlink ref="A23:XFD23" location="'TotalAllotj_20 (10)'!A1" display="Accommodation capacity by type of establishment and category in Ibiza (2020)……………….................................................…………….……………………………………...pg 10" xr:uid="{F62EAE6E-A001-4218-8B47-1D06F61EDF36}"/>
    <hyperlink ref="A24:XFD24" location="'Allotj.municipi_20 (11)'!A1" display="Distribution of accommodation capacity broken down by municipalities in Ibiza (2020)……………………..…..……………….................................................…………..…pg 11" xr:uid="{8E51C2F6-EAB0-48FA-83C3-513AC63068A3}"/>
    <hyperlink ref="A25:XFD25" location="'TotalAllotj_19 (12)'!A1" display="Accommodation capacity by type of establishment and category in Ibiza (2019)………………………................................................…….……………………………………...pg 12" xr:uid="{0492F283-1037-409F-8491-98217E08C6E6}"/>
    <hyperlink ref="A26:XFD26" location="'Allotj.municipi_19 (13)'!A1" display="Distribution of accommodation capacity broken down by municipalities in Ibiza (2019)……………................................................…………..……………………………..…pg 13" xr:uid="{BAB04993-A056-482F-A6BC-830EED79A873}"/>
    <hyperlink ref="A27:XFD27" location="'TotalAllotj_18 (14)'!A1" display="Accommodation capacity by type of establishment and category in Ibiza (2018)………………………….….……….................................................…………………………...pg 14" xr:uid="{49D4A7B9-8129-4224-972B-5E22095F12C5}"/>
    <hyperlink ref="A28:XFD28" location="'Allotj.municipi_18 (15)'!A1" display="Distribution of accommodation capacity broken down by municipalities in Ibiza (2018)………………………..................................................……………………………..…pg 15" xr:uid="{B8FB1256-1C58-4AD5-8E05-F3BB5C90050F}"/>
    <hyperlink ref="A29:XFD29" location="'TotalAllotj_17 (16)'!A1" display="Accommodation capacity by type of establishment and category in Ibiza (2017)……………………................................................……….……………………………………...pg 16" xr:uid="{6B2C1E3C-53B3-4025-B5C5-73D3226DDABD}"/>
    <hyperlink ref="A30:XFD30" location="'Allotj.municipi_17 (17)'!A1" display="Distribution of accommodation capacity broken down by municipalities in Ibiza (2017)……………………..……………................................................…………………..…pg 17" xr:uid="{693C2BC0-CE3C-4B13-9583-151E13F75617}"/>
    <hyperlink ref="A31:XFD31" location="'TotalAllotj_16 (18)'!A1" display="Accommodation capacity by type of establishment and category in Ibiza (2016)…………………................................................………….……………………………………...pg 18" xr:uid="{CE53013D-AA00-4E61-AA05-8E8A0D260627}"/>
    <hyperlink ref="A32:XFD32" location="'Allotj.municipi_16 (19)'!A1" display="Distribution of accommodation capacity broken down by municipalities in Ibiza (2016)………………................................................………..……………………………..…pg 19" xr:uid="{4B7A63D8-4061-4646-9A2B-3D6E2B1F9670}"/>
    <hyperlink ref="A33:XFD33" location="'TotalAllotj_15 (20)'!A1" display="Accommodation capacity by type of establishment and category in Ibiza (2015)………………………….……………................................................…………………………...pg 20" xr:uid="{BC224588-F9DC-4492-B9BD-5B3B2D17BB14}"/>
    <hyperlink ref="A34:XFD34" location="'Allotj.municipi_15 (21)'!A1" display="Distribution of accommodation capacity broken down by municipalities in Ibiza (2015)………………………..................................................……………………………..…pg 21" xr:uid="{C4AC54A2-F7B6-4A0B-AB2F-6A675A2A83B4}"/>
    <hyperlink ref="A35:XFD35" location="'TotalAllotj_14 (22)'!A1" display="Accommodation capacity by type of establishment and category in Ibiza (2014)……………................................................……………….……………………………………...pg 22" xr:uid="{27011C1D-293C-4BD0-8EB1-0C8FCCF0356A}"/>
    <hyperlink ref="A36:XFD36" location="'Allotj.municipi_14 (23)'!A1" display="Distribution of accommodation capacity broken down by municipalities in Ibiza (2014)……………………................................................…..……………………………..…pg 23" xr:uid="{942FEEEE-2F4C-48ED-A869-FFBF13DA8AA8}"/>
    <hyperlink ref="A37:XFD37" location="'TotalAllotj_13 (24)'!A1" display="Accommodation capacity by type of establishment and category in Ibiza (2013)………………………................................................…….……………………………………...pg 24" xr:uid="{DEB41D93-9A1A-4049-9304-44A09C0A6935}"/>
    <hyperlink ref="A38:XFD38" location="'Allotj.municipi_13 (25)'!A1" display="Distribution of accommodation capacity broken down by municipalities in Ibiza (2013)……………………..……………………................................................…………..…pg 25" xr:uid="{CB782E2E-D92B-466A-992B-DE79F17900BB}"/>
    <hyperlink ref="A39:XFD39" location="'TotalAllotj_12 (26)'!A1" display="Accommodation capacity by type of establishment and category in Ibiza (2012)…………................................................………………….……………………………………...pg 26" xr:uid="{E43AF9A5-180D-4379-80A4-99A90079D5B4}"/>
    <hyperlink ref="A40:XFD40" location="'Allotj.municipi_12 (27)'!A1" display="Distribution of accommodation capacity broken down by municipalities in Ibiza (2012)………………................................................………..………………………………..pg 27" xr:uid="{F891E13E-B2FB-480A-ACDA-D6FF1CE30D1D}"/>
    <hyperlink ref="A41:XFD41" location="'TotalAllotj_11 (28)'!A1" display="Accommodation capacity by type of establishment and category in Ibiza (2011)………………………….………................................................………………………………...pg 28" xr:uid="{935BAFC2-B9BF-431D-9A00-5EC600473432}"/>
    <hyperlink ref="A42:XFD42" location="'Allotj.municipi_11 (29)'!A1" display="Distribution of accommodation capacity broken down by municipalities in Ibiza (2011)……………………..………………................................................…………………..pg 29" xr:uid="{204EA4CA-D253-453B-8CC5-377490D221C0}"/>
    <hyperlink ref="A43:XFD43" location="'TotalAllotj_10 (30)'!A1" display="Accommodation capacity by type of establishment and category in Ibiza (2010)………………………….……………………................................................…………………...pg 30" xr:uid="{3F64E1CA-BA80-4B6E-A3C9-AC08B7D97DC3}"/>
    <hyperlink ref="A44:XFD44" location="'Allotj.municipi_10 (31)'!A1" display="Distribution of accommodation capacity broken down by municipalities in Ibiza (2010)………………..................................................………………………………………..pg 31" xr:uid="{E1600F0F-76A7-4BE9-A017-22B662E879E1}"/>
    <hyperlink ref="A45:XFD45" location="'TotalAllotj_09 (32)'!A1" display="Accommodation capacity by type of establishment and category in Ibiza (2009)………................................................….………………………………………………………...pg 32" xr:uid="{CFDF348C-20BF-490F-9E5D-BFE564762D5C}"/>
    <hyperlink ref="A46:XFD46" location="'Allotj.municipi_09 (33)'!A1" display="Distribution of accommodation capacity broken down by municipalities in Ibiza (2009)…………………................................................…………..……….………………...pg 33" xr:uid="{E2144F3A-38A4-4D4C-B49F-9A5B1C9FE663}"/>
    <hyperlink ref="A47:XFD47" location="'TotalAllotj_08 (34)'!A1" display="Accommodation capacity by type of establishment and category in Ibiza (2008)………………...............................................….………………………………………………...pg 34" xr:uid="{DCFC4E4C-5F61-451C-96E7-F706712FA5A1}"/>
    <hyperlink ref="A48:XFD48" location="'Allotj.municipi_08 (35)'!A1" display="Distribution of accommodation capacity broken down by municipalities in Ibiza (2008)…………………................................................……………………………………….pg 35" xr:uid="{1A9C8780-5EC9-45A9-B47F-C4D239F43BC4}"/>
    <hyperlink ref="A49:XFD49" location="'TotalAllotj_07 (36)'!A1" display="Accommodation capacity by type of establishment and category in Ibiza (2007)……………………………….………………................................................……………………pg 36" xr:uid="{7AE85271-AC0D-4749-A1E7-93AD06272490}"/>
    <hyperlink ref="A50:XFD50" location="'Allotj.municipi_07 (37)'!A1" display="Distribution of accommodation capacity broken down by municipalities in Ibiza (2007)……………………………………………................................................…………….pg 37" xr:uid="{9662F1EF-5F53-4955-B535-6C87A71AF58E}"/>
    <hyperlink ref="A51:XFD51" location="'TotalAllotj_06 (38)'!A1" display="Accommodation capacity by type of establishment and category in Ibiza (2006)…………………….................................................………………………………………………pg 38" xr:uid="{DF6F6F6E-88E8-49AE-AAAA-02EF9DA356A2}"/>
    <hyperlink ref="A52:XFD52" location="'Allotj.municipi_06 (39)'!A1" display="Distribution of accommodation capacity broken down by municipalities in Ibiza (2006)……………….....……………................................................……………………….pg 39" xr:uid="{E08B07B7-A1AA-43E2-9869-014B571D6AD0}"/>
    <hyperlink ref="A53:XFD53" location="'TotalAllotj_05 (40)'!A1" display="Accommodation capacity by type of establishment and category in Ibiza (2005)………………………………….………................................................…………………………pg 40" xr:uid="{B4DD4295-725E-4A39-B15F-2F85C232A07D}"/>
    <hyperlink ref="A54:XFD54" location="'Allotj.municipi_05 (41)'!A1" display="Distribution of accommodation capacity broken down by municipalities in Ibiza (2005)………………………………….………....................................................…….…...pg 41" xr:uid="{57B129FA-D27B-4621-8504-B73FFD31E442}"/>
    <hyperlink ref="A55:XFD55" location="'TotalAllotj_04 (42)'!A1" display="Accommodation capacity by type of establishment and category in Ibiza (2004)……………………………………….................................................……….…………………..pg 42" xr:uid="{DF07B9D9-A2D0-4295-9F3A-F075FB28741D}"/>
    <hyperlink ref="A56:XFD56" location="'Allotj.municipi_04 (43)'!A1" display="Distribution of accommodation capacity broken down by municipalities in Ibiza (2004)……………….....................................................……….…………………………...pg 43" xr:uid="{8DDDFAAC-EC0D-4897-8F39-774C20F7CA60}"/>
  </hyperlinks>
  <pageMargins left="0.70866141732283472" right="0.70866141732283472" top="0.74803149606299213" bottom="0.74803149606299213" header="0.31496062992125984" footer="0.31496062992125984"/>
  <pageSetup paperSize="9" scale="93" fitToHeight="0" orientation="landscape" r:id="rId1"/>
  <rowBreaks count="3" manualBreakCount="3">
    <brk id="32" max="10" man="1"/>
    <brk id="57" max="10" man="1"/>
    <brk id="92"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9821-90B6-4F3B-A834-A1879C7DBD78}">
  <dimension ref="A3:N55"/>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140625" style="77" bestFit="1" customWidth="1"/>
    <col min="5" max="5" width="14"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324</v>
      </c>
    </row>
    <row r="4" spans="1:14" s="78" customFormat="1" ht="16.5">
      <c r="A4" s="79" t="s">
        <v>325</v>
      </c>
      <c r="B4" s="80"/>
      <c r="H4" s="80"/>
      <c r="I4" s="80"/>
      <c r="L4" s="81"/>
    </row>
    <row r="5" spans="1:14" s="78" customFormat="1" ht="16.5">
      <c r="A5" s="79" t="s">
        <v>326</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112</v>
      </c>
      <c r="D11" s="83">
        <v>2213</v>
      </c>
      <c r="E11" s="83">
        <v>6838</v>
      </c>
      <c r="F11" s="85">
        <f>E11/E17</f>
        <v>0.36864520998436573</v>
      </c>
      <c r="G11" s="82"/>
      <c r="H11" s="139" t="s">
        <v>16</v>
      </c>
      <c r="I11" s="139"/>
      <c r="J11" s="83"/>
      <c r="K11" s="83"/>
      <c r="L11" s="83"/>
      <c r="M11" s="85"/>
      <c r="N11" s="82"/>
    </row>
    <row r="12" spans="1:14" ht="15">
      <c r="A12" s="139" t="s">
        <v>17</v>
      </c>
      <c r="B12" s="139"/>
      <c r="C12" s="83">
        <v>45</v>
      </c>
      <c r="D12" s="83">
        <v>1529</v>
      </c>
      <c r="E12" s="83">
        <v>4471</v>
      </c>
      <c r="F12" s="85">
        <f>E12/E17</f>
        <v>0.24103725268208528</v>
      </c>
      <c r="G12" s="82"/>
      <c r="H12" s="139" t="s">
        <v>18</v>
      </c>
      <c r="I12" s="139"/>
      <c r="J12" s="83">
        <v>7</v>
      </c>
      <c r="K12" s="83">
        <v>563</v>
      </c>
      <c r="L12" s="83">
        <v>1162</v>
      </c>
      <c r="M12" s="85">
        <f t="shared" ref="M12:M19" si="0">L12/L$19</f>
        <v>0.14846045739108216</v>
      </c>
      <c r="N12" s="82"/>
    </row>
    <row r="13" spans="1:14" ht="15">
      <c r="A13" s="139" t="s">
        <v>19</v>
      </c>
      <c r="B13" s="139"/>
      <c r="C13" s="83">
        <v>40</v>
      </c>
      <c r="D13" s="83">
        <v>1890</v>
      </c>
      <c r="E13" s="83">
        <v>5570</v>
      </c>
      <c r="F13" s="85">
        <f>E13/E17</f>
        <v>0.30028572968893202</v>
      </c>
      <c r="G13" s="82"/>
      <c r="H13" s="139" t="s">
        <v>20</v>
      </c>
      <c r="I13" s="139"/>
      <c r="J13" s="83">
        <v>11</v>
      </c>
      <c r="K13" s="83">
        <v>1345</v>
      </c>
      <c r="L13" s="83">
        <v>2730</v>
      </c>
      <c r="M13" s="85">
        <f t="shared" si="0"/>
        <v>0.34879264085856648</v>
      </c>
      <c r="N13" s="82"/>
    </row>
    <row r="14" spans="1:14" ht="15">
      <c r="A14" s="139" t="s">
        <v>197</v>
      </c>
      <c r="B14" s="139"/>
      <c r="C14" s="83">
        <v>1</v>
      </c>
      <c r="D14" s="83">
        <v>18</v>
      </c>
      <c r="E14" s="83">
        <v>52</v>
      </c>
      <c r="F14" s="85">
        <f>E14/E17</f>
        <v>2.8033856272575339E-3</v>
      </c>
      <c r="G14" s="82"/>
      <c r="H14" s="139" t="s">
        <v>145</v>
      </c>
      <c r="I14" s="139"/>
      <c r="J14" s="83">
        <v>1</v>
      </c>
      <c r="K14" s="83">
        <v>159</v>
      </c>
      <c r="L14" s="83">
        <v>517</v>
      </c>
      <c r="M14" s="85"/>
      <c r="N14" s="82"/>
    </row>
    <row r="15" spans="1:14" ht="15">
      <c r="A15" s="139" t="s">
        <v>21</v>
      </c>
      <c r="B15" s="139"/>
      <c r="C15" s="83">
        <v>12</v>
      </c>
      <c r="D15" s="83">
        <v>546</v>
      </c>
      <c r="E15" s="83">
        <v>1618</v>
      </c>
      <c r="F15" s="85">
        <f>E15/E17</f>
        <v>8.7228422017359433E-2</v>
      </c>
      <c r="G15" s="82"/>
      <c r="H15" s="139" t="s">
        <v>22</v>
      </c>
      <c r="I15" s="139"/>
      <c r="J15" s="83">
        <v>13</v>
      </c>
      <c r="K15" s="83">
        <v>1141</v>
      </c>
      <c r="L15" s="83">
        <v>2454</v>
      </c>
      <c r="M15" s="85">
        <f t="shared" si="0"/>
        <v>0.31353008815638178</v>
      </c>
      <c r="N15" s="82"/>
    </row>
    <row r="16" spans="1:14" ht="15">
      <c r="A16" s="139" t="s">
        <v>211</v>
      </c>
      <c r="B16" s="139"/>
      <c r="C16" s="83"/>
      <c r="D16" s="83"/>
      <c r="E16" s="83"/>
      <c r="F16" s="85"/>
      <c r="G16" s="82"/>
      <c r="H16" s="139" t="s">
        <v>146</v>
      </c>
      <c r="I16" s="139"/>
      <c r="J16" s="83">
        <v>1</v>
      </c>
      <c r="K16" s="83">
        <v>63</v>
      </c>
      <c r="L16" s="83">
        <v>152</v>
      </c>
      <c r="M16" s="85"/>
      <c r="N16" s="82"/>
    </row>
    <row r="17" spans="1:14" ht="15">
      <c r="A17" s="140" t="s">
        <v>23</v>
      </c>
      <c r="B17" s="140"/>
      <c r="C17" s="93">
        <f>SUM(C11:C16)</f>
        <v>210</v>
      </c>
      <c r="D17" s="93">
        <f t="shared" ref="D17:E17" si="1">SUM(D11:D16)</f>
        <v>6196</v>
      </c>
      <c r="E17" s="93">
        <f t="shared" si="1"/>
        <v>18549</v>
      </c>
      <c r="F17" s="23">
        <f>SUM(F11:F16)</f>
        <v>1</v>
      </c>
      <c r="G17" s="82"/>
      <c r="H17" s="139" t="s">
        <v>24</v>
      </c>
      <c r="I17" s="139"/>
      <c r="J17" s="83">
        <v>1</v>
      </c>
      <c r="K17" s="83">
        <v>421</v>
      </c>
      <c r="L17" s="83">
        <v>812</v>
      </c>
      <c r="M17" s="85">
        <f t="shared" si="0"/>
        <v>0.10374345215280439</v>
      </c>
      <c r="N17" s="82"/>
    </row>
    <row r="18" spans="1:14" ht="15">
      <c r="A18" s="139"/>
      <c r="B18" s="139"/>
      <c r="F18" s="85"/>
      <c r="G18" s="82"/>
      <c r="H18" s="139" t="s">
        <v>147</v>
      </c>
      <c r="I18" s="139"/>
      <c r="J18" s="83"/>
      <c r="K18" s="83"/>
      <c r="L18" s="83"/>
      <c r="M18" s="85"/>
      <c r="N18" s="82"/>
    </row>
    <row r="19" spans="1:14" ht="15">
      <c r="A19" s="140" t="s">
        <v>26</v>
      </c>
      <c r="B19" s="140"/>
      <c r="C19" s="93">
        <v>9</v>
      </c>
      <c r="D19" s="93">
        <v>132</v>
      </c>
      <c r="E19" s="93">
        <v>261</v>
      </c>
      <c r="F19" s="94">
        <v>1</v>
      </c>
      <c r="G19" s="82"/>
      <c r="H19" s="140" t="s">
        <v>25</v>
      </c>
      <c r="I19" s="140"/>
      <c r="J19" s="93">
        <f>SUM(J11:J18)</f>
        <v>34</v>
      </c>
      <c r="K19" s="93">
        <f>SUM(K11:K18)</f>
        <v>3692</v>
      </c>
      <c r="L19" s="93">
        <f>SUM(L11:L18)</f>
        <v>7827</v>
      </c>
      <c r="M19" s="94">
        <f t="shared" si="0"/>
        <v>1</v>
      </c>
      <c r="N19" s="82"/>
    </row>
    <row r="20" spans="1:14" ht="15">
      <c r="A20" s="140" t="s">
        <v>27</v>
      </c>
      <c r="B20" s="140"/>
      <c r="C20" s="93">
        <v>37</v>
      </c>
      <c r="D20" s="93">
        <v>320</v>
      </c>
      <c r="E20" s="93">
        <v>655</v>
      </c>
      <c r="F20" s="94">
        <v>1</v>
      </c>
      <c r="G20" s="82"/>
      <c r="H20" s="139"/>
      <c r="I20" s="139"/>
      <c r="J20" s="83"/>
      <c r="K20" s="83"/>
      <c r="L20" s="83"/>
      <c r="M20" s="85"/>
      <c r="N20" s="82"/>
    </row>
    <row r="21" spans="1:14" ht="15">
      <c r="A21" s="140" t="s">
        <v>29</v>
      </c>
      <c r="B21" s="140"/>
      <c r="C21" s="93">
        <v>6</v>
      </c>
      <c r="D21" s="93">
        <v>31</v>
      </c>
      <c r="E21" s="93">
        <v>70</v>
      </c>
      <c r="F21" s="94">
        <v>1</v>
      </c>
      <c r="G21" s="82"/>
      <c r="H21" s="139" t="s">
        <v>28</v>
      </c>
      <c r="I21" s="139"/>
      <c r="J21" s="83"/>
      <c r="K21" s="83"/>
      <c r="L21" s="83"/>
      <c r="M21" s="85"/>
      <c r="N21" s="82"/>
    </row>
    <row r="22" spans="1:14" ht="15">
      <c r="A22" s="140" t="s">
        <v>94</v>
      </c>
      <c r="B22" s="140"/>
      <c r="C22" s="93">
        <v>5</v>
      </c>
      <c r="D22" s="93"/>
      <c r="E22" s="93">
        <v>1598</v>
      </c>
      <c r="F22" s="94">
        <v>1</v>
      </c>
      <c r="G22" s="82"/>
      <c r="H22" s="139" t="s">
        <v>30</v>
      </c>
      <c r="I22" s="139"/>
      <c r="J22" s="83"/>
      <c r="K22" s="83"/>
      <c r="L22" s="83"/>
      <c r="M22" s="85"/>
      <c r="N22" s="82"/>
    </row>
    <row r="23" spans="1:14" ht="15">
      <c r="A23" s="139"/>
      <c r="B23" s="139"/>
      <c r="C23" s="83"/>
      <c r="D23" s="83"/>
      <c r="E23" s="83"/>
      <c r="F23" s="85"/>
      <c r="G23" s="82"/>
      <c r="H23" s="139" t="s">
        <v>31</v>
      </c>
      <c r="I23" s="139"/>
      <c r="J23" s="83">
        <v>1</v>
      </c>
      <c r="K23" s="83">
        <v>24</v>
      </c>
      <c r="L23" s="83">
        <v>48</v>
      </c>
      <c r="M23" s="85">
        <f>L23/L$25</f>
        <v>0.46153846153846156</v>
      </c>
      <c r="N23" s="82"/>
    </row>
    <row r="24" spans="1:14" ht="15">
      <c r="A24" s="139" t="s">
        <v>42</v>
      </c>
      <c r="B24" s="139"/>
      <c r="F24" s="85"/>
      <c r="G24" s="82"/>
      <c r="H24" s="139" t="s">
        <v>33</v>
      </c>
      <c r="I24" s="139"/>
      <c r="J24" s="83">
        <v>1</v>
      </c>
      <c r="K24" s="83">
        <v>28</v>
      </c>
      <c r="L24" s="83">
        <v>56</v>
      </c>
      <c r="M24" s="85">
        <f>L24/L$25</f>
        <v>0.53846153846153844</v>
      </c>
      <c r="N24" s="82"/>
    </row>
    <row r="25" spans="1:14" ht="15">
      <c r="A25" s="139" t="s">
        <v>44</v>
      </c>
      <c r="B25" s="139"/>
      <c r="C25" s="83">
        <v>3</v>
      </c>
      <c r="D25" s="83">
        <v>792</v>
      </c>
      <c r="E25" s="83">
        <v>2041</v>
      </c>
      <c r="F25" s="85">
        <f>E25/E$27</f>
        <v>0.78409527468305806</v>
      </c>
      <c r="G25" s="82"/>
      <c r="H25" s="140" t="s">
        <v>37</v>
      </c>
      <c r="I25" s="140"/>
      <c r="J25" s="93">
        <f>SUM(J21:J24)</f>
        <v>2</v>
      </c>
      <c r="K25" s="93">
        <f>SUM(K21:K24)</f>
        <v>52</v>
      </c>
      <c r="L25" s="93">
        <f>SUM(L21:L24)</f>
        <v>104</v>
      </c>
      <c r="M25" s="94">
        <f>SUM(M21:M24)</f>
        <v>1</v>
      </c>
      <c r="N25" s="82"/>
    </row>
    <row r="26" spans="1:14" ht="15">
      <c r="A26" s="139" t="s">
        <v>46</v>
      </c>
      <c r="B26" s="139"/>
      <c r="C26" s="83">
        <v>1</v>
      </c>
      <c r="D26" s="83">
        <v>243</v>
      </c>
      <c r="E26" s="83">
        <v>562</v>
      </c>
      <c r="F26" s="85">
        <f>E26/E$27</f>
        <v>0.21590472531694199</v>
      </c>
      <c r="G26" s="82"/>
      <c r="H26" s="141"/>
      <c r="I26" s="141"/>
      <c r="M26" s="83"/>
      <c r="N26" s="82"/>
    </row>
    <row r="27" spans="1:14" ht="15">
      <c r="A27" s="140" t="s">
        <v>47</v>
      </c>
      <c r="B27" s="140"/>
      <c r="C27" s="93">
        <f>SUM(C24:C26)</f>
        <v>4</v>
      </c>
      <c r="D27" s="93">
        <f>SUM(D24:D26)</f>
        <v>1035</v>
      </c>
      <c r="E27" s="93">
        <f>SUM(E24:E26)</f>
        <v>2603</v>
      </c>
      <c r="F27" s="94">
        <f>F24+F25+F26</f>
        <v>1</v>
      </c>
      <c r="G27" s="82"/>
      <c r="H27" s="139" t="s">
        <v>40</v>
      </c>
      <c r="I27" s="139"/>
      <c r="J27" s="83">
        <v>13</v>
      </c>
      <c r="K27" s="83">
        <v>209</v>
      </c>
      <c r="L27" s="83">
        <v>395</v>
      </c>
      <c r="M27" s="85">
        <f>L27/L$30</f>
        <v>0.36607970342910101</v>
      </c>
      <c r="N27" s="82"/>
    </row>
    <row r="28" spans="1:14" ht="15">
      <c r="A28" s="139"/>
      <c r="B28" s="139"/>
      <c r="F28" s="85"/>
      <c r="G28" s="82"/>
      <c r="H28" s="139" t="s">
        <v>41</v>
      </c>
      <c r="I28" s="139"/>
      <c r="J28" s="83">
        <v>9</v>
      </c>
      <c r="K28" s="83">
        <v>372</v>
      </c>
      <c r="L28" s="83">
        <v>668</v>
      </c>
      <c r="M28" s="85">
        <f>L28/L$30</f>
        <v>0.61909175162187213</v>
      </c>
      <c r="N28" s="82"/>
    </row>
    <row r="29" spans="1:14" ht="15">
      <c r="A29" s="139" t="s">
        <v>50</v>
      </c>
      <c r="B29" s="139"/>
      <c r="C29" s="83">
        <v>8</v>
      </c>
      <c r="D29" s="83">
        <v>352</v>
      </c>
      <c r="E29" s="83">
        <v>666</v>
      </c>
      <c r="F29" s="85">
        <f>E29/E$37</f>
        <v>1.6928473387219766E-2</v>
      </c>
      <c r="G29" s="82"/>
      <c r="H29" s="139" t="s">
        <v>43</v>
      </c>
      <c r="I29" s="139"/>
      <c r="J29" s="83">
        <v>1</v>
      </c>
      <c r="K29" s="83">
        <v>8</v>
      </c>
      <c r="L29" s="83">
        <v>16</v>
      </c>
      <c r="M29" s="85">
        <f>L29/L$30</f>
        <v>1.4828544949026877E-2</v>
      </c>
      <c r="N29" s="82"/>
    </row>
    <row r="30" spans="1:14" ht="15">
      <c r="A30" s="139" t="s">
        <v>52</v>
      </c>
      <c r="B30" s="139"/>
      <c r="C30" s="83">
        <v>16</v>
      </c>
      <c r="D30" s="83">
        <v>1935</v>
      </c>
      <c r="E30" s="83">
        <v>3635</v>
      </c>
      <c r="F30" s="85">
        <f t="shared" ref="F30:F36" si="2">E30/E$37</f>
        <v>9.2394896039855623E-2</v>
      </c>
      <c r="G30" s="82"/>
      <c r="H30" s="140" t="s">
        <v>45</v>
      </c>
      <c r="I30" s="140"/>
      <c r="J30" s="93">
        <f>SUM(J27:J29)</f>
        <v>23</v>
      </c>
      <c r="K30" s="93">
        <f>SUM(K27:K29)</f>
        <v>589</v>
      </c>
      <c r="L30" s="93">
        <f>SUM(L27:L29)</f>
        <v>1079</v>
      </c>
      <c r="M30" s="94">
        <f>M27+M28+M29</f>
        <v>1</v>
      </c>
      <c r="N30" s="82"/>
    </row>
    <row r="31" spans="1:14" ht="15">
      <c r="A31" s="139" t="s">
        <v>54</v>
      </c>
      <c r="B31" s="139"/>
      <c r="C31" s="83">
        <v>41</v>
      </c>
      <c r="D31" s="83">
        <v>7170</v>
      </c>
      <c r="E31" s="83">
        <v>13809</v>
      </c>
      <c r="F31" s="85">
        <f t="shared" si="2"/>
        <v>0.35099893243861524</v>
      </c>
      <c r="G31" s="82"/>
      <c r="H31" s="141"/>
      <c r="I31" s="141"/>
      <c r="M31" s="83"/>
      <c r="N31" s="82"/>
    </row>
    <row r="32" spans="1:14" ht="15">
      <c r="A32" s="139" t="s">
        <v>143</v>
      </c>
      <c r="B32" s="139"/>
      <c r="C32" s="83"/>
      <c r="D32" s="83"/>
      <c r="E32" s="83"/>
      <c r="F32" s="85"/>
      <c r="G32" s="82"/>
      <c r="H32" s="139" t="s">
        <v>48</v>
      </c>
      <c r="I32" s="139"/>
      <c r="J32" s="83">
        <v>34</v>
      </c>
      <c r="K32" s="83">
        <v>876</v>
      </c>
      <c r="L32" s="83">
        <v>1599</v>
      </c>
      <c r="M32" s="85">
        <f>L32/L$35</f>
        <v>0.55540118096561308</v>
      </c>
      <c r="N32" s="82"/>
    </row>
    <row r="33" spans="1:14" ht="15">
      <c r="A33" s="139" t="s">
        <v>91</v>
      </c>
      <c r="B33" s="139"/>
      <c r="C33" s="83">
        <v>40</v>
      </c>
      <c r="D33" s="83">
        <v>6797</v>
      </c>
      <c r="E33" s="83">
        <v>13120</v>
      </c>
      <c r="F33" s="85">
        <f t="shared" si="2"/>
        <v>0.33348584210258758</v>
      </c>
      <c r="G33" s="82"/>
      <c r="H33" s="139" t="s">
        <v>49</v>
      </c>
      <c r="I33" s="139"/>
      <c r="J33" s="83">
        <v>20</v>
      </c>
      <c r="K33" s="83">
        <v>638</v>
      </c>
      <c r="L33" s="83">
        <v>1223</v>
      </c>
      <c r="M33" s="85">
        <f>L33/L$35</f>
        <v>0.42480027787426189</v>
      </c>
      <c r="N33" s="82"/>
    </row>
    <row r="34" spans="1:14" ht="15">
      <c r="A34" s="139" t="s">
        <v>144</v>
      </c>
      <c r="B34" s="139"/>
      <c r="C34" s="83">
        <v>6</v>
      </c>
      <c r="D34" s="83">
        <v>1188</v>
      </c>
      <c r="E34" s="83">
        <v>2240</v>
      </c>
      <c r="F34" s="85">
        <f t="shared" si="2"/>
        <v>5.6936607188246655E-2</v>
      </c>
      <c r="G34" s="82"/>
      <c r="H34" s="139" t="s">
        <v>51</v>
      </c>
      <c r="I34" s="139"/>
      <c r="J34" s="83">
        <v>1</v>
      </c>
      <c r="K34" s="83">
        <v>30</v>
      </c>
      <c r="L34" s="83">
        <v>57</v>
      </c>
      <c r="M34" s="85">
        <f>L34/L$35</f>
        <v>1.9798541160125045E-2</v>
      </c>
      <c r="N34" s="82"/>
    </row>
    <row r="35" spans="1:14" ht="15">
      <c r="A35" s="139" t="s">
        <v>57</v>
      </c>
      <c r="B35" s="139"/>
      <c r="C35" s="83">
        <v>13</v>
      </c>
      <c r="D35" s="113">
        <v>2348</v>
      </c>
      <c r="E35" s="113">
        <v>4649</v>
      </c>
      <c r="F35" s="85">
        <f t="shared" si="2"/>
        <v>0.11816887804382085</v>
      </c>
      <c r="G35" s="82"/>
      <c r="H35" s="140" t="s">
        <v>53</v>
      </c>
      <c r="I35" s="140"/>
      <c r="J35" s="93">
        <f>SUM(J32:J34)</f>
        <v>55</v>
      </c>
      <c r="K35" s="93">
        <f>SUM(K32:K34)</f>
        <v>1544</v>
      </c>
      <c r="L35" s="93">
        <f>SUM(L32:L34)</f>
        <v>2879</v>
      </c>
      <c r="M35" s="94">
        <f>M32+M33+M34</f>
        <v>1</v>
      </c>
      <c r="N35" s="82"/>
    </row>
    <row r="36" spans="1:14" ht="15">
      <c r="A36" s="139" t="s">
        <v>59</v>
      </c>
      <c r="B36" s="139"/>
      <c r="C36" s="83">
        <v>5</v>
      </c>
      <c r="D36" s="113">
        <v>611</v>
      </c>
      <c r="E36" s="113">
        <v>1223</v>
      </c>
      <c r="F36" s="85">
        <f t="shared" si="2"/>
        <v>3.1086370799654314E-2</v>
      </c>
      <c r="G36" s="82"/>
      <c r="H36" s="142"/>
      <c r="I36" s="142"/>
      <c r="J36" s="83"/>
      <c r="K36" s="83"/>
      <c r="L36" s="83"/>
      <c r="M36" s="83"/>
      <c r="N36" s="82"/>
    </row>
    <row r="37" spans="1:14" ht="15">
      <c r="A37" s="140" t="s">
        <v>61</v>
      </c>
      <c r="B37" s="140"/>
      <c r="C37" s="93">
        <f>SUM(C29:C36)</f>
        <v>129</v>
      </c>
      <c r="D37" s="93">
        <f>SUM(D29:D36)</f>
        <v>20401</v>
      </c>
      <c r="E37" s="93">
        <f>SUM(E29:E36)</f>
        <v>39342</v>
      </c>
      <c r="F37" s="94">
        <f>F29+F30+F31+F32+F33+F34+F35+F36</f>
        <v>1</v>
      </c>
      <c r="G37" s="82"/>
      <c r="H37" s="140" t="s">
        <v>56</v>
      </c>
      <c r="I37" s="140"/>
      <c r="J37" s="93">
        <v>25</v>
      </c>
      <c r="K37" s="93">
        <v>258</v>
      </c>
      <c r="L37" s="93">
        <v>466</v>
      </c>
      <c r="M37" s="94">
        <v>1</v>
      </c>
      <c r="N37" s="82"/>
    </row>
    <row r="38" spans="1:14" ht="15">
      <c r="A38" s="141"/>
      <c r="B38" s="141"/>
      <c r="C38" s="83"/>
      <c r="D38" s="83"/>
      <c r="E38" s="83"/>
      <c r="F38" s="85"/>
      <c r="G38" s="82"/>
      <c r="H38" s="140" t="s">
        <v>58</v>
      </c>
      <c r="I38" s="140"/>
      <c r="J38" s="93">
        <v>3</v>
      </c>
      <c r="K38" s="93">
        <v>49</v>
      </c>
      <c r="L38" s="93">
        <v>89</v>
      </c>
      <c r="M38" s="94">
        <v>1</v>
      </c>
      <c r="N38" s="82"/>
    </row>
    <row r="39" spans="1:14" ht="15">
      <c r="A39" s="139" t="s">
        <v>62</v>
      </c>
      <c r="B39" s="139"/>
      <c r="C39" s="83">
        <v>4</v>
      </c>
      <c r="D39" s="83">
        <v>174</v>
      </c>
      <c r="E39" s="83">
        <v>333</v>
      </c>
      <c r="F39" s="85">
        <f>E39/E$44</f>
        <v>0.15834522111269614</v>
      </c>
      <c r="G39" s="82"/>
      <c r="H39" s="140" t="s">
        <v>60</v>
      </c>
      <c r="I39" s="140"/>
      <c r="J39" s="93"/>
      <c r="K39" s="93"/>
      <c r="L39" s="93"/>
      <c r="M39" s="94"/>
      <c r="N39" s="82"/>
    </row>
    <row r="40" spans="1:14" ht="15">
      <c r="A40" s="139" t="s">
        <v>63</v>
      </c>
      <c r="B40" s="139"/>
      <c r="C40" s="83">
        <v>6</v>
      </c>
      <c r="D40" s="83">
        <v>490</v>
      </c>
      <c r="E40" s="83">
        <v>925</v>
      </c>
      <c r="F40" s="85">
        <f>E40/E$44</f>
        <v>0.43984783642415598</v>
      </c>
      <c r="G40" s="82"/>
      <c r="H40" s="140" t="s">
        <v>226</v>
      </c>
      <c r="I40" s="140"/>
      <c r="J40" s="93"/>
      <c r="K40" s="93"/>
      <c r="L40" s="93"/>
      <c r="M40" s="94"/>
      <c r="N40" s="82"/>
    </row>
    <row r="41" spans="1:14" ht="15">
      <c r="A41" s="139" t="s">
        <v>64</v>
      </c>
      <c r="B41" s="139"/>
      <c r="C41" s="83">
        <v>3</v>
      </c>
      <c r="D41" s="83">
        <v>319</v>
      </c>
      <c r="E41" s="83">
        <v>627</v>
      </c>
      <c r="F41" s="85">
        <f>E41/E$44</f>
        <v>0.29814550641940085</v>
      </c>
      <c r="G41" s="82"/>
      <c r="H41" s="84"/>
      <c r="I41" s="84"/>
      <c r="N41" s="82"/>
    </row>
    <row r="42" spans="1:14" ht="15">
      <c r="A42" s="139" t="s">
        <v>93</v>
      </c>
      <c r="B42" s="139"/>
      <c r="C42" s="83">
        <v>2</v>
      </c>
      <c r="D42" s="83">
        <v>126</v>
      </c>
      <c r="E42" s="83">
        <v>218</v>
      </c>
      <c r="F42" s="85">
        <f>E42/E$44</f>
        <v>0.10366143604374703</v>
      </c>
      <c r="G42" s="82"/>
      <c r="H42" s="140" t="s">
        <v>65</v>
      </c>
      <c r="I42" s="140"/>
      <c r="J42" s="93">
        <f>C17+C19+C20+C21+C22+C27+C37+C44+J19+J25+J30+J35+J37+J38+J39</f>
        <v>557</v>
      </c>
      <c r="K42" s="114">
        <f>D17+D19+D20+D21+D22+D27+D37+D44+K19+K25+K30+K35+K37+K38+K39</f>
        <v>35408</v>
      </c>
      <c r="L42" s="114">
        <f>E17+E19+E20+E21+E22+E27+E37+E44+L19+L25+L30+L35+L37+L38+L39</f>
        <v>77625</v>
      </c>
      <c r="M42" s="82"/>
      <c r="N42" s="82"/>
    </row>
    <row r="43" spans="1:14" ht="15">
      <c r="A43" s="139" t="s">
        <v>67</v>
      </c>
      <c r="B43" s="139"/>
      <c r="F43" s="85"/>
      <c r="G43" s="82"/>
      <c r="L43" s="100"/>
      <c r="N43" s="82"/>
    </row>
    <row r="44" spans="1:14" ht="15">
      <c r="A44" s="140" t="s">
        <v>68</v>
      </c>
      <c r="B44" s="140"/>
      <c r="C44" s="93">
        <f>SUM(C39:C43)</f>
        <v>15</v>
      </c>
      <c r="D44" s="93">
        <f t="shared" ref="D44:E44" si="3">SUM(D39:D43)</f>
        <v>1109</v>
      </c>
      <c r="E44" s="93">
        <f t="shared" si="3"/>
        <v>2103</v>
      </c>
      <c r="F44" s="94">
        <f>F39+F40+F41+F42+F43</f>
        <v>1</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row>
    <row r="54" spans="1:14">
      <c r="A54" s="77"/>
      <c r="B54" s="77"/>
    </row>
    <row r="55" spans="1:14">
      <c r="A55" s="77"/>
      <c r="B55" s="77"/>
    </row>
  </sheetData>
  <sheetProtection algorithmName="SHA-512" hashValue="dJLgadFMIE1m2E2ZGsypjdKPYZFfvTXmElSZF6yD8z8B4jy0ej86SE9w8gGQ4T+B2IBv/GgM/JFn2mAWOsEfNA==" saltValue="xusE/7ImXSAwfBEiuiMh+g==" spinCount="100000" sheet="1" objects="1" scenarios="1"/>
  <mergeCells count="79">
    <mergeCell ref="A53:B53"/>
    <mergeCell ref="A47:B47"/>
    <mergeCell ref="A48:B48"/>
    <mergeCell ref="A49:B49"/>
    <mergeCell ref="A50:B50"/>
    <mergeCell ref="A51:B51"/>
    <mergeCell ref="A52:B52"/>
    <mergeCell ref="A46:B46"/>
    <mergeCell ref="A38:B38"/>
    <mergeCell ref="H38:I38"/>
    <mergeCell ref="A39:B39"/>
    <mergeCell ref="H39:I39"/>
    <mergeCell ref="A40:B40"/>
    <mergeCell ref="H40:I40"/>
    <mergeCell ref="A41:B41"/>
    <mergeCell ref="A42:B42"/>
    <mergeCell ref="H42:I42"/>
    <mergeCell ref="A43:B43"/>
    <mergeCell ref="A44:B44"/>
    <mergeCell ref="A35:B35"/>
    <mergeCell ref="H35:I35"/>
    <mergeCell ref="A36:B36"/>
    <mergeCell ref="H36:I36"/>
    <mergeCell ref="A37:B37"/>
    <mergeCell ref="H37:I37"/>
    <mergeCell ref="A32:B32"/>
    <mergeCell ref="H32:I32"/>
    <mergeCell ref="A33:B33"/>
    <mergeCell ref="H33:I33"/>
    <mergeCell ref="A34:B34"/>
    <mergeCell ref="H34:I34"/>
    <mergeCell ref="A29:B29"/>
    <mergeCell ref="H29:I29"/>
    <mergeCell ref="A30:B30"/>
    <mergeCell ref="H30:I30"/>
    <mergeCell ref="A31:B31"/>
    <mergeCell ref="H31:I31"/>
    <mergeCell ref="A26:B26"/>
    <mergeCell ref="H26:I26"/>
    <mergeCell ref="A27:B27"/>
    <mergeCell ref="H27:I27"/>
    <mergeCell ref="A28:B28"/>
    <mergeCell ref="H28:I28"/>
    <mergeCell ref="A23:B23"/>
    <mergeCell ref="H23:I23"/>
    <mergeCell ref="A24:B24"/>
    <mergeCell ref="H24:I24"/>
    <mergeCell ref="A25:B25"/>
    <mergeCell ref="H25:I25"/>
    <mergeCell ref="A20:B20"/>
    <mergeCell ref="H20:I20"/>
    <mergeCell ref="A21:B21"/>
    <mergeCell ref="H21:I21"/>
    <mergeCell ref="A22:B22"/>
    <mergeCell ref="H22:I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3C371-FDCF-4838-8DB2-27BCD0392A81}">
  <dimension ref="A1:EF44"/>
  <sheetViews>
    <sheetView showGridLines="0" zoomScaleNormal="100" zoomScaleSheetLayoutView="100" workbookViewId="0"/>
  </sheetViews>
  <sheetFormatPr baseColWidth="10" defaultColWidth="9.140625" defaultRowHeight="12.75"/>
  <cols>
    <col min="1" max="1" width="80.5703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5" width="8.7109375" style="57" customWidth="1"/>
    <col min="36" max="36" width="9.140625" style="57" customWidth="1"/>
    <col min="37" max="37" width="8.7109375" style="57" customWidth="1"/>
    <col min="38" max="38" width="9.140625" style="57" customWidth="1"/>
    <col min="39" max="39" width="8.28515625" style="57" customWidth="1"/>
    <col min="40" max="40" width="9.140625" style="57" customWidth="1"/>
    <col min="41" max="41" width="8.28515625" style="57" customWidth="1"/>
    <col min="42" max="42" width="9.140625" style="57" customWidth="1"/>
    <col min="43" max="43" width="8.28515625" style="57" customWidth="1"/>
    <col min="44" max="44" width="9.140625" style="57" customWidth="1"/>
    <col min="45" max="45" width="8.28515625" style="57" customWidth="1"/>
    <col min="46" max="46" width="9.5703125" style="57" customWidth="1"/>
    <col min="47" max="47" width="8.28515625" style="57" customWidth="1"/>
    <col min="48" max="48" width="9.140625" style="57" customWidth="1"/>
    <col min="49" max="49" width="8.28515625" style="57" customWidth="1"/>
    <col min="50" max="50" width="9.140625" style="57" customWidth="1"/>
    <col min="51" max="51" width="8.28515625" style="57" customWidth="1"/>
    <col min="52" max="52" width="9.140625" style="57" customWidth="1"/>
    <col min="53" max="53" width="8.28515625" style="57" customWidth="1"/>
    <col min="54" max="54" width="9.140625" style="57" customWidth="1"/>
    <col min="55" max="55" width="8.28515625" style="57" customWidth="1"/>
    <col min="56" max="56" width="8.7109375" style="57" customWidth="1"/>
    <col min="57" max="57" width="8.28515625" style="57" customWidth="1"/>
    <col min="58" max="58" width="8.7109375" style="57" customWidth="1"/>
    <col min="59" max="59" width="8.28515625" style="57" customWidth="1"/>
    <col min="60" max="60" width="8.7109375" style="57" customWidth="1"/>
    <col min="61" max="61" width="8.28515625" style="57" customWidth="1"/>
    <col min="62" max="62" width="9.140625" style="57" customWidth="1"/>
    <col min="63" max="63" width="8.28515625" style="57" customWidth="1"/>
    <col min="64" max="64" width="9.140625" style="57" customWidth="1"/>
    <col min="65" max="65" width="8.28515625" style="57" customWidth="1"/>
    <col min="66" max="66" width="9.140625" style="57" customWidth="1"/>
    <col min="67" max="67" width="8.28515625" style="57" customWidth="1"/>
    <col min="68" max="68" width="9.140625" style="57"/>
    <col min="69" max="69" width="8.28515625" style="57" customWidth="1"/>
    <col min="70" max="70" width="9.140625" style="57" customWidth="1"/>
    <col min="71" max="71" width="8.28515625" style="57" customWidth="1"/>
    <col min="72" max="72" width="12.28515625" style="57" customWidth="1"/>
    <col min="73" max="73" width="8.28515625" style="57" customWidth="1"/>
    <col min="74" max="16384" width="9.140625" style="57"/>
  </cols>
  <sheetData>
    <row r="1" spans="1:136" ht="16.5">
      <c r="A1" s="75"/>
    </row>
    <row r="2" spans="1:136">
      <c r="A2" s="77"/>
    </row>
    <row r="3" spans="1:136" ht="16.5">
      <c r="A3" s="5" t="s">
        <v>327</v>
      </c>
    </row>
    <row r="4" spans="1:136" s="88" customFormat="1" ht="16.5">
      <c r="A4" s="30" t="s">
        <v>328</v>
      </c>
    </row>
    <row r="5" spans="1:136" s="88" customFormat="1" ht="16.5">
      <c r="A5" s="30" t="s">
        <v>329</v>
      </c>
    </row>
    <row r="6" spans="1:136" s="88" customFormat="1"/>
    <row r="7" spans="1:136" s="89" customFormat="1" ht="15" customHeight="1">
      <c r="A7" s="144" t="s">
        <v>130</v>
      </c>
      <c r="B7" s="143" t="s">
        <v>15</v>
      </c>
      <c r="C7" s="143"/>
      <c r="D7" s="143" t="s">
        <v>17</v>
      </c>
      <c r="E7" s="143"/>
      <c r="F7" s="143" t="s">
        <v>19</v>
      </c>
      <c r="G7" s="143"/>
      <c r="H7" s="143" t="s">
        <v>319</v>
      </c>
      <c r="I7" s="143"/>
      <c r="J7" s="143" t="s">
        <v>21</v>
      </c>
      <c r="K7" s="143"/>
      <c r="L7" s="143" t="s">
        <v>27</v>
      </c>
      <c r="M7" s="143"/>
      <c r="N7" s="143" t="s">
        <v>56</v>
      </c>
      <c r="O7" s="143"/>
      <c r="P7" s="143" t="s">
        <v>94</v>
      </c>
      <c r="Q7" s="143"/>
      <c r="R7" s="143" t="s">
        <v>44</v>
      </c>
      <c r="S7" s="143"/>
      <c r="T7" s="143" t="s">
        <v>46</v>
      </c>
      <c r="U7" s="143"/>
      <c r="V7" s="143" t="s">
        <v>58</v>
      </c>
      <c r="W7" s="143"/>
      <c r="X7" s="143" t="s">
        <v>50</v>
      </c>
      <c r="Y7" s="143"/>
      <c r="Z7" s="143" t="s">
        <v>52</v>
      </c>
      <c r="AA7" s="143"/>
      <c r="AB7" s="143" t="s">
        <v>54</v>
      </c>
      <c r="AC7" s="143"/>
      <c r="AD7" s="143" t="s">
        <v>91</v>
      </c>
      <c r="AE7" s="143"/>
      <c r="AF7" s="143" t="s">
        <v>144</v>
      </c>
      <c r="AG7" s="143"/>
      <c r="AH7" s="143" t="s">
        <v>162</v>
      </c>
      <c r="AI7" s="143"/>
      <c r="AJ7" s="143" t="s">
        <v>198</v>
      </c>
      <c r="AK7" s="143"/>
      <c r="AL7" s="143" t="s">
        <v>18</v>
      </c>
      <c r="AM7" s="143"/>
      <c r="AN7" s="143" t="s">
        <v>20</v>
      </c>
      <c r="AO7" s="143"/>
      <c r="AP7" s="143" t="s">
        <v>212</v>
      </c>
      <c r="AQ7" s="143"/>
      <c r="AR7" s="143" t="s">
        <v>22</v>
      </c>
      <c r="AS7" s="143"/>
      <c r="AT7" s="143" t="s">
        <v>213</v>
      </c>
      <c r="AU7" s="143"/>
      <c r="AV7" s="143" t="s">
        <v>24</v>
      </c>
      <c r="AW7" s="143"/>
      <c r="AX7" s="143" t="s">
        <v>92</v>
      </c>
      <c r="AY7" s="143"/>
      <c r="AZ7" s="143" t="s">
        <v>63</v>
      </c>
      <c r="BA7" s="143"/>
      <c r="BB7" s="143" t="s">
        <v>64</v>
      </c>
      <c r="BC7" s="143"/>
      <c r="BD7" s="143" t="s">
        <v>93</v>
      </c>
      <c r="BE7" s="143"/>
      <c r="BF7" s="143" t="s">
        <v>26</v>
      </c>
      <c r="BG7" s="143"/>
      <c r="BH7" s="143" t="s">
        <v>40</v>
      </c>
      <c r="BI7" s="143"/>
      <c r="BJ7" s="143" t="s">
        <v>41</v>
      </c>
      <c r="BK7" s="143"/>
      <c r="BL7" s="143" t="s">
        <v>43</v>
      </c>
      <c r="BM7" s="143"/>
      <c r="BN7" s="143" t="s">
        <v>48</v>
      </c>
      <c r="BO7" s="143"/>
      <c r="BP7" s="143" t="s">
        <v>49</v>
      </c>
      <c r="BQ7" s="143"/>
      <c r="BR7" s="143" t="s">
        <v>51</v>
      </c>
      <c r="BS7" s="143"/>
      <c r="BT7" s="143" t="s">
        <v>31</v>
      </c>
      <c r="BU7" s="143"/>
      <c r="BV7" s="143" t="s">
        <v>33</v>
      </c>
      <c r="BW7" s="143"/>
      <c r="BX7" s="143" t="s">
        <v>29</v>
      </c>
      <c r="BY7" s="143"/>
      <c r="BZ7" s="143" t="s">
        <v>65</v>
      </c>
      <c r="CA7" s="143"/>
    </row>
    <row r="8" spans="1:136" s="89" customFormat="1" ht="15" customHeight="1">
      <c r="A8" s="144"/>
      <c r="B8" s="38"/>
      <c r="C8" s="38" t="s">
        <v>80</v>
      </c>
      <c r="D8" s="38"/>
      <c r="E8" s="38"/>
      <c r="F8" s="38"/>
      <c r="G8" s="38"/>
      <c r="H8" s="38"/>
      <c r="I8" s="38"/>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t="s">
        <v>80</v>
      </c>
      <c r="BX8" s="38"/>
      <c r="BY8" s="38" t="s">
        <v>80</v>
      </c>
      <c r="BZ8" s="38"/>
      <c r="CA8" s="38"/>
    </row>
    <row r="9" spans="1:136"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c r="AQ9" s="38"/>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c r="BX9" s="38" t="s">
        <v>82</v>
      </c>
      <c r="BY9" s="38" t="s">
        <v>83</v>
      </c>
      <c r="BZ9" s="38" t="s">
        <v>82</v>
      </c>
      <c r="CA9" s="38" t="s">
        <v>83</v>
      </c>
    </row>
    <row r="10" spans="1:136" ht="15">
      <c r="A10" s="37" t="s">
        <v>217</v>
      </c>
      <c r="B10" s="12">
        <v>19</v>
      </c>
      <c r="C10" s="12">
        <v>983</v>
      </c>
      <c r="D10" s="12">
        <v>10</v>
      </c>
      <c r="E10" s="12">
        <v>805</v>
      </c>
      <c r="F10" s="12">
        <v>6</v>
      </c>
      <c r="G10" s="12">
        <v>1517</v>
      </c>
      <c r="H10" s="12">
        <v>1</v>
      </c>
      <c r="I10" s="12">
        <v>52</v>
      </c>
      <c r="J10" s="12">
        <v>4</v>
      </c>
      <c r="K10" s="12">
        <v>374</v>
      </c>
      <c r="L10" s="12"/>
      <c r="M10" s="12"/>
      <c r="N10" s="12">
        <v>13</v>
      </c>
      <c r="O10" s="12">
        <v>222</v>
      </c>
      <c r="P10" s="12"/>
      <c r="Q10" s="12"/>
      <c r="R10" s="12"/>
      <c r="S10" s="12"/>
      <c r="T10" s="12"/>
      <c r="U10" s="12"/>
      <c r="V10" s="12"/>
      <c r="W10" s="12"/>
      <c r="X10" s="12">
        <v>3</v>
      </c>
      <c r="Y10" s="12">
        <v>253</v>
      </c>
      <c r="Z10" s="12">
        <v>4</v>
      </c>
      <c r="AA10" s="12">
        <v>723</v>
      </c>
      <c r="AB10" s="12">
        <v>5</v>
      </c>
      <c r="AC10" s="12">
        <v>800</v>
      </c>
      <c r="AD10" s="12">
        <v>8</v>
      </c>
      <c r="AE10" s="12">
        <v>2364</v>
      </c>
      <c r="AF10" s="12">
        <v>3</v>
      </c>
      <c r="AG10" s="12">
        <v>1257</v>
      </c>
      <c r="AH10" s="12">
        <v>5</v>
      </c>
      <c r="AI10" s="12">
        <v>592</v>
      </c>
      <c r="AJ10" s="12">
        <v>1</v>
      </c>
      <c r="AK10" s="12">
        <v>322</v>
      </c>
      <c r="AL10" s="12">
        <v>1</v>
      </c>
      <c r="AM10" s="12">
        <v>213</v>
      </c>
      <c r="AN10" s="12">
        <v>1</v>
      </c>
      <c r="AO10" s="12">
        <v>6</v>
      </c>
      <c r="AP10" s="12">
        <v>1</v>
      </c>
      <c r="AQ10" s="12">
        <v>517</v>
      </c>
      <c r="AR10" s="12"/>
      <c r="AS10" s="12"/>
      <c r="AT10" s="12"/>
      <c r="AU10" s="12"/>
      <c r="AV10" s="12"/>
      <c r="AW10" s="12"/>
      <c r="AX10" s="12">
        <v>1</v>
      </c>
      <c r="AY10" s="12">
        <v>85</v>
      </c>
      <c r="AZ10" s="12">
        <v>3</v>
      </c>
      <c r="BA10" s="12">
        <v>411</v>
      </c>
      <c r="BB10" s="12"/>
      <c r="BC10" s="12"/>
      <c r="BD10" s="12">
        <v>1</v>
      </c>
      <c r="BE10" s="12">
        <v>199</v>
      </c>
      <c r="BF10" s="12">
        <v>1</v>
      </c>
      <c r="BG10" s="12">
        <v>20</v>
      </c>
      <c r="BH10" s="12">
        <v>2</v>
      </c>
      <c r="BI10" s="12">
        <v>101</v>
      </c>
      <c r="BJ10" s="12">
        <v>1</v>
      </c>
      <c r="BK10" s="12">
        <v>75</v>
      </c>
      <c r="BL10" s="12"/>
      <c r="BM10" s="12"/>
      <c r="BN10" s="12">
        <v>10</v>
      </c>
      <c r="BO10" s="96">
        <v>437</v>
      </c>
      <c r="BP10" s="12">
        <v>3</v>
      </c>
      <c r="BQ10" s="12">
        <v>85</v>
      </c>
      <c r="BR10" s="12">
        <v>1</v>
      </c>
      <c r="BS10" s="12">
        <v>57</v>
      </c>
      <c r="BT10" s="12"/>
      <c r="BU10" s="12"/>
      <c r="BV10" s="12"/>
      <c r="BW10" s="12"/>
      <c r="BX10" s="12">
        <v>2</v>
      </c>
      <c r="BY10" s="12">
        <v>30</v>
      </c>
      <c r="BZ10" s="101">
        <f>B10+D10+F10+H10+J10+L10+N10+P10+R10+T10+V10+X10+Z10+AB10+AD10+AF10+AH10+AJ10+AL10+AN10+AP10+AR10+AT10+AV10+AX10+AZ10+BB10+BD10+BF10+BH10+BJ10+BL10+BN10+BP10+BR10+BT10+BV10+BX10</f>
        <v>110</v>
      </c>
      <c r="CA10" s="101">
        <f>C10+E10+G10+I10+K10+M10+O10+Q10+S10+U10+W10+Y10+AA10+AC10+AE10+AG10+AI10+AK10+AM10+AO10+AQ10+AS10+AU10+AW10+AY10+BA10+BC10+BE10+BG10+BI10+BK10+BM10+BO10+BQ10+BS10+BU10+BW10+BY10</f>
        <v>12500</v>
      </c>
      <c r="CB10" s="90"/>
      <c r="DA10" s="89"/>
      <c r="DB10" s="89"/>
      <c r="EF10" s="91"/>
    </row>
    <row r="11" spans="1:136" ht="15">
      <c r="A11" s="69" t="s">
        <v>84</v>
      </c>
      <c r="B11" s="12">
        <v>30</v>
      </c>
      <c r="C11" s="12">
        <v>1785</v>
      </c>
      <c r="D11" s="12">
        <v>11</v>
      </c>
      <c r="E11" s="12">
        <v>1089</v>
      </c>
      <c r="F11" s="12">
        <v>5</v>
      </c>
      <c r="G11" s="12">
        <v>333</v>
      </c>
      <c r="H11" s="12"/>
      <c r="I11" s="12"/>
      <c r="J11" s="12"/>
      <c r="K11" s="12"/>
      <c r="L11" s="12">
        <v>5</v>
      </c>
      <c r="M11" s="12">
        <v>82</v>
      </c>
      <c r="N11" s="12">
        <v>9</v>
      </c>
      <c r="O11" s="12">
        <v>206</v>
      </c>
      <c r="P11" s="12">
        <v>1</v>
      </c>
      <c r="Q11" s="12">
        <v>274</v>
      </c>
      <c r="R11" s="12"/>
      <c r="S11" s="12"/>
      <c r="T11" s="12"/>
      <c r="U11" s="12"/>
      <c r="V11" s="12"/>
      <c r="W11" s="12"/>
      <c r="X11" s="12">
        <v>5</v>
      </c>
      <c r="Y11" s="12">
        <v>413</v>
      </c>
      <c r="Z11" s="12">
        <v>3</v>
      </c>
      <c r="AA11" s="12">
        <v>1109</v>
      </c>
      <c r="AB11" s="12">
        <v>11</v>
      </c>
      <c r="AC11" s="12">
        <v>2654</v>
      </c>
      <c r="AD11" s="12">
        <v>6</v>
      </c>
      <c r="AE11" s="12">
        <v>1936</v>
      </c>
      <c r="AF11" s="12">
        <v>1</v>
      </c>
      <c r="AG11" s="12">
        <v>297</v>
      </c>
      <c r="AH11" s="12">
        <v>2</v>
      </c>
      <c r="AI11" s="12">
        <v>757</v>
      </c>
      <c r="AJ11" s="12">
        <v>2</v>
      </c>
      <c r="AK11" s="12">
        <v>374</v>
      </c>
      <c r="AL11" s="12">
        <v>4</v>
      </c>
      <c r="AM11" s="12">
        <v>499</v>
      </c>
      <c r="AN11" s="12">
        <v>2</v>
      </c>
      <c r="AO11" s="12">
        <v>911</v>
      </c>
      <c r="AP11" s="12"/>
      <c r="AQ11" s="12"/>
      <c r="AR11" s="12">
        <v>3</v>
      </c>
      <c r="AS11" s="12">
        <v>350</v>
      </c>
      <c r="AT11" s="12"/>
      <c r="AU11" s="12"/>
      <c r="AV11" s="12"/>
      <c r="AW11" s="12"/>
      <c r="AX11" s="12">
        <v>3</v>
      </c>
      <c r="AY11" s="12">
        <v>248</v>
      </c>
      <c r="AZ11" s="12">
        <v>2</v>
      </c>
      <c r="BA11" s="12">
        <v>430</v>
      </c>
      <c r="BB11" s="12"/>
      <c r="BC11" s="12"/>
      <c r="BD11" s="12"/>
      <c r="BE11" s="12"/>
      <c r="BF11" s="12">
        <v>3</v>
      </c>
      <c r="BG11" s="12">
        <v>86</v>
      </c>
      <c r="BH11" s="12">
        <v>2</v>
      </c>
      <c r="BI11" s="12">
        <v>76</v>
      </c>
      <c r="BJ11" s="12">
        <v>3</v>
      </c>
      <c r="BK11" s="12">
        <v>310</v>
      </c>
      <c r="BL11" s="12"/>
      <c r="BM11" s="12"/>
      <c r="BN11" s="12">
        <v>16</v>
      </c>
      <c r="BO11" s="12">
        <v>884</v>
      </c>
      <c r="BP11" s="12">
        <v>10</v>
      </c>
      <c r="BQ11" s="12">
        <v>855</v>
      </c>
      <c r="BR11" s="12"/>
      <c r="BS11" s="12"/>
      <c r="BT11" s="12"/>
      <c r="BU11" s="12"/>
      <c r="BV11" s="12"/>
      <c r="BW11" s="12"/>
      <c r="BX11" s="12">
        <v>1</v>
      </c>
      <c r="BY11" s="12">
        <v>10</v>
      </c>
      <c r="BZ11" s="101">
        <f t="shared" ref="BZ11:BZ14" si="0">B11+D11+F11+H11+J11+L11+N11+P11+R11+T11+V11+X11+Z11+AB11+AD11+AF11+AH11+AJ11+AL11+AN11+AP11+AR11+AT11+AV11+AX11+AZ11+BB11+BD11+BF11+BH11+BJ11+BL11+BN11+BP11+BR11+BT11+BV11+BX11</f>
        <v>140</v>
      </c>
      <c r="CA11" s="101">
        <f t="shared" ref="CA11:CA14" si="1">C11+E11+G11+I11+K11+M11+O11+Q11+S11+U11+W11+Y11+AA11+AC11+AE11+AG11+AI11+AK11+AM11+AO11+AQ11+AS11+AU11+AW11+AY11+BA11+BC11+BE11+BG11+BI11+BK11+BM11+BO11+BQ11+BS11+BU11+BW11+BY11</f>
        <v>15968</v>
      </c>
      <c r="DA11" s="89"/>
      <c r="DB11" s="89"/>
    </row>
    <row r="12" spans="1:136" ht="15">
      <c r="A12" s="37" t="s">
        <v>85</v>
      </c>
      <c r="B12" s="12">
        <v>5</v>
      </c>
      <c r="C12" s="12">
        <v>186</v>
      </c>
      <c r="D12" s="12">
        <v>4</v>
      </c>
      <c r="E12" s="12">
        <v>339</v>
      </c>
      <c r="F12" s="12">
        <v>3</v>
      </c>
      <c r="G12" s="12">
        <v>198</v>
      </c>
      <c r="H12" s="12"/>
      <c r="I12" s="12"/>
      <c r="J12" s="12">
        <v>3</v>
      </c>
      <c r="K12" s="12">
        <v>203</v>
      </c>
      <c r="L12" s="12">
        <v>11</v>
      </c>
      <c r="M12" s="12">
        <v>221</v>
      </c>
      <c r="N12" s="12">
        <v>1</v>
      </c>
      <c r="O12" s="12">
        <v>8</v>
      </c>
      <c r="P12" s="12"/>
      <c r="Q12" s="12"/>
      <c r="R12" s="12"/>
      <c r="S12" s="12"/>
      <c r="T12" s="12">
        <v>1</v>
      </c>
      <c r="U12" s="12">
        <v>562</v>
      </c>
      <c r="V12" s="12"/>
      <c r="W12" s="12"/>
      <c r="X12" s="12"/>
      <c r="Y12" s="12"/>
      <c r="Z12" s="12"/>
      <c r="AA12" s="12"/>
      <c r="AB12" s="12">
        <v>4</v>
      </c>
      <c r="AC12" s="12">
        <v>1366</v>
      </c>
      <c r="AD12" s="12">
        <v>5</v>
      </c>
      <c r="AE12" s="12">
        <v>1528</v>
      </c>
      <c r="AF12" s="12"/>
      <c r="AG12" s="12"/>
      <c r="AH12" s="12">
        <v>2</v>
      </c>
      <c r="AI12" s="12">
        <v>308</v>
      </c>
      <c r="AJ12" s="12"/>
      <c r="AK12" s="12"/>
      <c r="AL12" s="12"/>
      <c r="AM12" s="12"/>
      <c r="AN12" s="12"/>
      <c r="AO12" s="12"/>
      <c r="AP12" s="12"/>
      <c r="AQ12" s="12"/>
      <c r="AR12" s="12">
        <v>1</v>
      </c>
      <c r="AS12" s="12">
        <v>98</v>
      </c>
      <c r="AT12" s="12"/>
      <c r="AU12" s="12"/>
      <c r="AV12" s="12"/>
      <c r="AW12" s="12"/>
      <c r="AX12" s="12"/>
      <c r="AY12" s="12"/>
      <c r="AZ12" s="12"/>
      <c r="BA12" s="12"/>
      <c r="BB12" s="12"/>
      <c r="BC12" s="12"/>
      <c r="BD12" s="12"/>
      <c r="BE12" s="12"/>
      <c r="BF12" s="12">
        <v>3</v>
      </c>
      <c r="BG12" s="12">
        <v>88</v>
      </c>
      <c r="BH12" s="12">
        <v>1</v>
      </c>
      <c r="BI12" s="12">
        <v>20</v>
      </c>
      <c r="BJ12" s="12">
        <v>1</v>
      </c>
      <c r="BK12" s="12">
        <v>21</v>
      </c>
      <c r="BL12" s="12"/>
      <c r="BM12" s="12"/>
      <c r="BN12" s="12">
        <v>3</v>
      </c>
      <c r="BO12" s="12">
        <v>118</v>
      </c>
      <c r="BP12" s="12"/>
      <c r="BQ12" s="12"/>
      <c r="BR12" s="12"/>
      <c r="BS12" s="12"/>
      <c r="BT12" s="12"/>
      <c r="BU12" s="12"/>
      <c r="BV12" s="12"/>
      <c r="BW12" s="12"/>
      <c r="BX12" s="12">
        <v>3</v>
      </c>
      <c r="BY12" s="12">
        <v>30</v>
      </c>
      <c r="BZ12" s="101">
        <f t="shared" si="0"/>
        <v>51</v>
      </c>
      <c r="CA12" s="101">
        <f t="shared" si="1"/>
        <v>5294</v>
      </c>
      <c r="DA12" s="89"/>
      <c r="DB12" s="89"/>
    </row>
    <row r="13" spans="1:136" ht="15">
      <c r="A13" s="37" t="s">
        <v>86</v>
      </c>
      <c r="B13" s="12">
        <v>22</v>
      </c>
      <c r="C13" s="12">
        <v>1907</v>
      </c>
      <c r="D13" s="12">
        <v>5</v>
      </c>
      <c r="E13" s="12">
        <v>619</v>
      </c>
      <c r="F13" s="12">
        <v>19</v>
      </c>
      <c r="G13" s="12">
        <v>2171</v>
      </c>
      <c r="H13" s="12"/>
      <c r="I13" s="12"/>
      <c r="J13" s="12">
        <v>4</v>
      </c>
      <c r="K13" s="12">
        <v>903</v>
      </c>
      <c r="L13" s="12">
        <v>2</v>
      </c>
      <c r="M13" s="12">
        <v>32</v>
      </c>
      <c r="N13" s="12">
        <v>1</v>
      </c>
      <c r="O13" s="12">
        <v>12</v>
      </c>
      <c r="P13" s="12">
        <v>1</v>
      </c>
      <c r="Q13" s="12">
        <v>400</v>
      </c>
      <c r="R13" s="12"/>
      <c r="S13" s="12"/>
      <c r="T13" s="12"/>
      <c r="U13" s="12"/>
      <c r="V13" s="12"/>
      <c r="W13" s="12"/>
      <c r="X13" s="12"/>
      <c r="Y13" s="12"/>
      <c r="Z13" s="12">
        <v>5</v>
      </c>
      <c r="AA13" s="12">
        <v>1102</v>
      </c>
      <c r="AB13" s="12">
        <v>11</v>
      </c>
      <c r="AC13" s="12">
        <v>4565</v>
      </c>
      <c r="AD13" s="12">
        <v>10</v>
      </c>
      <c r="AE13" s="12">
        <v>3352</v>
      </c>
      <c r="AF13" s="12"/>
      <c r="AG13" s="12"/>
      <c r="AH13" s="12">
        <v>3</v>
      </c>
      <c r="AI13" s="12">
        <v>2647</v>
      </c>
      <c r="AJ13" s="12"/>
      <c r="AK13" s="12"/>
      <c r="AL13" s="12">
        <v>2</v>
      </c>
      <c r="AM13" s="12">
        <v>450</v>
      </c>
      <c r="AN13" s="12">
        <v>4</v>
      </c>
      <c r="AO13" s="12">
        <v>785</v>
      </c>
      <c r="AP13" s="12"/>
      <c r="AQ13" s="12"/>
      <c r="AR13" s="12">
        <v>5</v>
      </c>
      <c r="AS13" s="12">
        <v>1544</v>
      </c>
      <c r="AT13" s="12">
        <v>1</v>
      </c>
      <c r="AU13" s="12">
        <v>152</v>
      </c>
      <c r="AV13" s="12">
        <v>1</v>
      </c>
      <c r="AW13" s="12">
        <v>812</v>
      </c>
      <c r="AX13" s="12"/>
      <c r="AY13" s="12"/>
      <c r="AZ13" s="12">
        <v>1</v>
      </c>
      <c r="BA13" s="12">
        <v>84</v>
      </c>
      <c r="BB13" s="12">
        <v>2</v>
      </c>
      <c r="BC13" s="12">
        <v>343</v>
      </c>
      <c r="BD13" s="12">
        <v>1</v>
      </c>
      <c r="BE13" s="12">
        <v>19</v>
      </c>
      <c r="BF13" s="12"/>
      <c r="BG13" s="12"/>
      <c r="BH13" s="12">
        <v>3</v>
      </c>
      <c r="BI13" s="12">
        <v>44</v>
      </c>
      <c r="BJ13" s="12"/>
      <c r="BK13" s="12"/>
      <c r="BL13" s="12">
        <v>1</v>
      </c>
      <c r="BM13" s="12">
        <v>16</v>
      </c>
      <c r="BN13" s="12">
        <v>1</v>
      </c>
      <c r="BO13" s="12">
        <v>13</v>
      </c>
      <c r="BP13" s="12"/>
      <c r="BQ13" s="12"/>
      <c r="BR13" s="12"/>
      <c r="BS13" s="12"/>
      <c r="BT13" s="12">
        <v>1</v>
      </c>
      <c r="BU13" s="12">
        <v>48</v>
      </c>
      <c r="BV13" s="12">
        <v>1</v>
      </c>
      <c r="BW13" s="12">
        <v>56</v>
      </c>
      <c r="BX13" s="12"/>
      <c r="BY13" s="12"/>
      <c r="BZ13" s="101">
        <f t="shared" si="0"/>
        <v>107</v>
      </c>
      <c r="CA13" s="101">
        <f t="shared" si="1"/>
        <v>22076</v>
      </c>
      <c r="DA13" s="89"/>
      <c r="DB13" s="89"/>
    </row>
    <row r="14" spans="1:136" ht="15">
      <c r="A14" s="37" t="s">
        <v>87</v>
      </c>
      <c r="B14" s="12">
        <v>36</v>
      </c>
      <c r="C14" s="12">
        <v>1977</v>
      </c>
      <c r="D14" s="12">
        <v>15</v>
      </c>
      <c r="E14" s="12">
        <v>1619</v>
      </c>
      <c r="F14" s="12">
        <v>7</v>
      </c>
      <c r="G14" s="12">
        <v>1351</v>
      </c>
      <c r="H14" s="12"/>
      <c r="I14" s="12"/>
      <c r="J14" s="12">
        <v>1</v>
      </c>
      <c r="K14" s="12">
        <v>138</v>
      </c>
      <c r="L14" s="12">
        <v>19</v>
      </c>
      <c r="M14" s="12">
        <v>320</v>
      </c>
      <c r="N14" s="12">
        <v>1</v>
      </c>
      <c r="O14" s="12">
        <v>18</v>
      </c>
      <c r="P14" s="12">
        <v>3</v>
      </c>
      <c r="Q14" s="12">
        <v>924</v>
      </c>
      <c r="R14" s="12">
        <v>3</v>
      </c>
      <c r="S14" s="12">
        <v>2041</v>
      </c>
      <c r="T14" s="12"/>
      <c r="U14" s="12"/>
      <c r="V14" s="12">
        <v>3</v>
      </c>
      <c r="W14" s="12">
        <v>89</v>
      </c>
      <c r="X14" s="12"/>
      <c r="Y14" s="12"/>
      <c r="Z14" s="12">
        <v>4</v>
      </c>
      <c r="AA14" s="12">
        <v>701</v>
      </c>
      <c r="AB14" s="12">
        <v>10</v>
      </c>
      <c r="AC14" s="12">
        <v>4424</v>
      </c>
      <c r="AD14" s="12">
        <v>11</v>
      </c>
      <c r="AE14" s="12">
        <v>3940</v>
      </c>
      <c r="AF14" s="12">
        <v>2</v>
      </c>
      <c r="AG14" s="12">
        <v>686</v>
      </c>
      <c r="AH14" s="12">
        <v>1</v>
      </c>
      <c r="AI14" s="12">
        <v>345</v>
      </c>
      <c r="AJ14" s="12">
        <v>2</v>
      </c>
      <c r="AK14" s="12">
        <v>527</v>
      </c>
      <c r="AL14" s="12"/>
      <c r="AM14" s="12"/>
      <c r="AN14" s="12">
        <v>4</v>
      </c>
      <c r="AO14" s="12">
        <v>1028</v>
      </c>
      <c r="AP14" s="12"/>
      <c r="AQ14" s="12"/>
      <c r="AR14" s="12">
        <v>4</v>
      </c>
      <c r="AS14" s="12">
        <v>462</v>
      </c>
      <c r="AT14" s="12"/>
      <c r="AU14" s="12"/>
      <c r="AV14" s="12"/>
      <c r="AW14" s="12"/>
      <c r="AX14" s="12"/>
      <c r="AY14" s="12"/>
      <c r="AZ14" s="12"/>
      <c r="BA14" s="12"/>
      <c r="BB14" s="12">
        <v>1</v>
      </c>
      <c r="BC14" s="12">
        <v>284</v>
      </c>
      <c r="BD14" s="12"/>
      <c r="BE14" s="12"/>
      <c r="BF14" s="12">
        <v>2</v>
      </c>
      <c r="BG14" s="12">
        <v>67</v>
      </c>
      <c r="BH14" s="12">
        <v>5</v>
      </c>
      <c r="BI14" s="12">
        <v>154</v>
      </c>
      <c r="BJ14" s="12">
        <v>4</v>
      </c>
      <c r="BK14" s="12">
        <v>262</v>
      </c>
      <c r="BL14" s="12"/>
      <c r="BM14" s="12"/>
      <c r="BN14" s="12">
        <v>4</v>
      </c>
      <c r="BO14" s="12">
        <v>147</v>
      </c>
      <c r="BP14" s="12">
        <v>7</v>
      </c>
      <c r="BQ14" s="12">
        <v>283</v>
      </c>
      <c r="BR14" s="12"/>
      <c r="BS14" s="12"/>
      <c r="BT14" s="12"/>
      <c r="BU14" s="12"/>
      <c r="BV14" s="12"/>
      <c r="BW14" s="12"/>
      <c r="BX14" s="12"/>
      <c r="BY14" s="12"/>
      <c r="BZ14" s="101">
        <f t="shared" si="0"/>
        <v>149</v>
      </c>
      <c r="CA14" s="101">
        <f t="shared" si="1"/>
        <v>21787</v>
      </c>
      <c r="DA14" s="89"/>
      <c r="DB14" s="89"/>
    </row>
    <row r="15" spans="1:136" s="89" customFormat="1" ht="15">
      <c r="A15" s="73" t="s">
        <v>218</v>
      </c>
      <c r="B15" s="39">
        <f>SUM(B10:B14)</f>
        <v>112</v>
      </c>
      <c r="C15" s="39">
        <f t="shared" ref="C15:BT15" si="2">SUM(C10:C14)</f>
        <v>6838</v>
      </c>
      <c r="D15" s="39">
        <f t="shared" si="2"/>
        <v>45</v>
      </c>
      <c r="E15" s="39">
        <f t="shared" si="2"/>
        <v>4471</v>
      </c>
      <c r="F15" s="39">
        <f t="shared" si="2"/>
        <v>40</v>
      </c>
      <c r="G15" s="39">
        <f t="shared" si="2"/>
        <v>5570</v>
      </c>
      <c r="H15" s="39">
        <f t="shared" si="2"/>
        <v>1</v>
      </c>
      <c r="I15" s="39">
        <f t="shared" si="2"/>
        <v>52</v>
      </c>
      <c r="J15" s="39">
        <f t="shared" si="2"/>
        <v>12</v>
      </c>
      <c r="K15" s="39">
        <f t="shared" si="2"/>
        <v>1618</v>
      </c>
      <c r="L15" s="39">
        <f t="shared" si="2"/>
        <v>37</v>
      </c>
      <c r="M15" s="39">
        <f t="shared" si="2"/>
        <v>655</v>
      </c>
      <c r="N15" s="39">
        <f t="shared" si="2"/>
        <v>25</v>
      </c>
      <c r="O15" s="39">
        <f t="shared" si="2"/>
        <v>466</v>
      </c>
      <c r="P15" s="39">
        <f t="shared" si="2"/>
        <v>5</v>
      </c>
      <c r="Q15" s="39">
        <f t="shared" si="2"/>
        <v>1598</v>
      </c>
      <c r="R15" s="39">
        <f t="shared" si="2"/>
        <v>3</v>
      </c>
      <c r="S15" s="39">
        <f t="shared" si="2"/>
        <v>2041</v>
      </c>
      <c r="T15" s="39">
        <f t="shared" si="2"/>
        <v>1</v>
      </c>
      <c r="U15" s="39">
        <f t="shared" si="2"/>
        <v>562</v>
      </c>
      <c r="V15" s="39">
        <f t="shared" si="2"/>
        <v>3</v>
      </c>
      <c r="W15" s="39">
        <f t="shared" si="2"/>
        <v>89</v>
      </c>
      <c r="X15" s="39">
        <f t="shared" si="2"/>
        <v>8</v>
      </c>
      <c r="Y15" s="39">
        <f t="shared" si="2"/>
        <v>666</v>
      </c>
      <c r="Z15" s="39">
        <f t="shared" si="2"/>
        <v>16</v>
      </c>
      <c r="AA15" s="39">
        <f t="shared" si="2"/>
        <v>3635</v>
      </c>
      <c r="AB15" s="39">
        <f t="shared" si="2"/>
        <v>41</v>
      </c>
      <c r="AC15" s="39">
        <f t="shared" si="2"/>
        <v>13809</v>
      </c>
      <c r="AD15" s="39">
        <f t="shared" si="2"/>
        <v>40</v>
      </c>
      <c r="AE15" s="39">
        <f t="shared" si="2"/>
        <v>13120</v>
      </c>
      <c r="AF15" s="39">
        <f t="shared" si="2"/>
        <v>6</v>
      </c>
      <c r="AG15" s="39">
        <f t="shared" si="2"/>
        <v>2240</v>
      </c>
      <c r="AH15" s="39">
        <f t="shared" si="2"/>
        <v>13</v>
      </c>
      <c r="AI15" s="39">
        <f t="shared" si="2"/>
        <v>4649</v>
      </c>
      <c r="AJ15" s="39">
        <f t="shared" si="2"/>
        <v>5</v>
      </c>
      <c r="AK15" s="39">
        <f t="shared" si="2"/>
        <v>1223</v>
      </c>
      <c r="AL15" s="39">
        <f t="shared" si="2"/>
        <v>7</v>
      </c>
      <c r="AM15" s="39">
        <f t="shared" si="2"/>
        <v>1162</v>
      </c>
      <c r="AN15" s="39">
        <f t="shared" si="2"/>
        <v>11</v>
      </c>
      <c r="AO15" s="39">
        <f t="shared" si="2"/>
        <v>2730</v>
      </c>
      <c r="AP15" s="39">
        <f t="shared" si="2"/>
        <v>1</v>
      </c>
      <c r="AQ15" s="39">
        <f t="shared" si="2"/>
        <v>517</v>
      </c>
      <c r="AR15" s="39">
        <f t="shared" si="2"/>
        <v>13</v>
      </c>
      <c r="AS15" s="39">
        <f t="shared" si="2"/>
        <v>2454</v>
      </c>
      <c r="AT15" s="39">
        <f t="shared" si="2"/>
        <v>1</v>
      </c>
      <c r="AU15" s="39">
        <f t="shared" si="2"/>
        <v>152</v>
      </c>
      <c r="AV15" s="39">
        <f t="shared" si="2"/>
        <v>1</v>
      </c>
      <c r="AW15" s="39">
        <f t="shared" si="2"/>
        <v>812</v>
      </c>
      <c r="AX15" s="39">
        <f t="shared" si="2"/>
        <v>4</v>
      </c>
      <c r="AY15" s="39">
        <f t="shared" si="2"/>
        <v>333</v>
      </c>
      <c r="AZ15" s="39">
        <f t="shared" si="2"/>
        <v>6</v>
      </c>
      <c r="BA15" s="39">
        <f t="shared" si="2"/>
        <v>925</v>
      </c>
      <c r="BB15" s="39">
        <f t="shared" si="2"/>
        <v>3</v>
      </c>
      <c r="BC15" s="39">
        <f t="shared" si="2"/>
        <v>627</v>
      </c>
      <c r="BD15" s="39">
        <f t="shared" si="2"/>
        <v>2</v>
      </c>
      <c r="BE15" s="39">
        <f t="shared" si="2"/>
        <v>218</v>
      </c>
      <c r="BF15" s="39">
        <f t="shared" si="2"/>
        <v>9</v>
      </c>
      <c r="BG15" s="39">
        <f t="shared" si="2"/>
        <v>261</v>
      </c>
      <c r="BH15" s="39">
        <f t="shared" si="2"/>
        <v>13</v>
      </c>
      <c r="BI15" s="39">
        <f t="shared" si="2"/>
        <v>395</v>
      </c>
      <c r="BJ15" s="39">
        <f t="shared" si="2"/>
        <v>9</v>
      </c>
      <c r="BK15" s="39">
        <f t="shared" si="2"/>
        <v>668</v>
      </c>
      <c r="BL15" s="39">
        <f t="shared" si="2"/>
        <v>1</v>
      </c>
      <c r="BM15" s="39">
        <f t="shared" si="2"/>
        <v>16</v>
      </c>
      <c r="BN15" s="39">
        <f t="shared" si="2"/>
        <v>34</v>
      </c>
      <c r="BO15" s="39">
        <f t="shared" si="2"/>
        <v>1599</v>
      </c>
      <c r="BP15" s="39">
        <f t="shared" si="2"/>
        <v>20</v>
      </c>
      <c r="BQ15" s="39">
        <f t="shared" si="2"/>
        <v>1223</v>
      </c>
      <c r="BR15" s="39">
        <f t="shared" si="2"/>
        <v>1</v>
      </c>
      <c r="BS15" s="39">
        <f t="shared" si="2"/>
        <v>57</v>
      </c>
      <c r="BT15" s="39">
        <f t="shared" si="2"/>
        <v>1</v>
      </c>
      <c r="BU15" s="39">
        <f>SUM(BU10:BU14)</f>
        <v>48</v>
      </c>
      <c r="BV15" s="39">
        <f t="shared" ref="BV15" si="3">SUM(BV10:BV14)</f>
        <v>1</v>
      </c>
      <c r="BW15" s="39">
        <f>SUM(BW10:BW14)</f>
        <v>56</v>
      </c>
      <c r="BX15" s="39">
        <f>SUM(BX10:BX14)</f>
        <v>6</v>
      </c>
      <c r="BY15" s="39">
        <f>SUM(BY10:BY14)</f>
        <v>70</v>
      </c>
      <c r="BZ15" s="39">
        <f t="shared" ref="BZ15:CA15" si="4">SUM(BZ10:BZ14)</f>
        <v>557</v>
      </c>
      <c r="CA15" s="39">
        <f t="shared" si="4"/>
        <v>77625</v>
      </c>
    </row>
    <row r="16" spans="1:136">
      <c r="A16" s="62" t="s">
        <v>134</v>
      </c>
    </row>
    <row r="17" spans="1:3">
      <c r="A17" s="63" t="s">
        <v>135</v>
      </c>
    </row>
    <row r="18" spans="1:3">
      <c r="A18" s="63" t="s">
        <v>136</v>
      </c>
      <c r="C18" s="90"/>
    </row>
    <row r="21" spans="1:3">
      <c r="A21" s="92"/>
    </row>
    <row r="22" spans="1:3">
      <c r="A22" s="92"/>
      <c r="B22" s="92"/>
    </row>
    <row r="23" spans="1:3">
      <c r="A23" s="92"/>
      <c r="B23" s="92"/>
    </row>
    <row r="24" spans="1:3">
      <c r="A24" s="92"/>
      <c r="B24" s="92"/>
    </row>
    <row r="25" spans="1:3">
      <c r="A25" s="92"/>
      <c r="B25" s="92"/>
    </row>
    <row r="26" spans="1:3">
      <c r="A26" s="92"/>
      <c r="B26" s="92"/>
    </row>
    <row r="27" spans="1:3">
      <c r="A27" s="92"/>
      <c r="B27" s="92"/>
    </row>
    <row r="28" spans="1:3">
      <c r="A28" s="92"/>
      <c r="B28" s="92"/>
    </row>
    <row r="29" spans="1:3">
      <c r="A29" s="92"/>
      <c r="B29" s="92"/>
    </row>
    <row r="30" spans="1:3">
      <c r="A30" s="92"/>
      <c r="B30" s="92"/>
    </row>
    <row r="31" spans="1:3">
      <c r="A31" s="92"/>
      <c r="B31" s="92"/>
    </row>
    <row r="32" spans="1:3">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algorithmName="SHA-512" hashValue="u5piAjVAVLnXy2tyxkmR+aw3m8b/4h/IEfRwIM0Asa4fnKqXxDyDunEOUeayfl7uhzNjpKjxqmOdUC8xCIQX4w==" saltValue="q9MitDTJOIgiya2LG9+/pw==" spinCount="100000" sheet="1" objects="1" scenarios="1"/>
  <mergeCells count="40">
    <mergeCell ref="BX7:BY7"/>
    <mergeCell ref="BZ7:CA7"/>
    <mergeCell ref="AT7:AU7"/>
    <mergeCell ref="AP7:AQ7"/>
    <mergeCell ref="BL7:BM7"/>
    <mergeCell ref="BN7:BO7"/>
    <mergeCell ref="BP7:BQ7"/>
    <mergeCell ref="BR7:BS7"/>
    <mergeCell ref="BT7:BU7"/>
    <mergeCell ref="BV7:BW7"/>
    <mergeCell ref="AZ7:BA7"/>
    <mergeCell ref="BB7:BC7"/>
    <mergeCell ref="BD7:BE7"/>
    <mergeCell ref="BF7:BG7"/>
    <mergeCell ref="BH7:BI7"/>
    <mergeCell ref="BJ7:BK7"/>
    <mergeCell ref="AX7:AY7"/>
    <mergeCell ref="X7:Y7"/>
    <mergeCell ref="Z7:AA7"/>
    <mergeCell ref="AB7:AC7"/>
    <mergeCell ref="AD7:AE7"/>
    <mergeCell ref="AF7:AG7"/>
    <mergeCell ref="AH7:AI7"/>
    <mergeCell ref="AJ7:AK7"/>
    <mergeCell ref="AL7:AM7"/>
    <mergeCell ref="AN7:AO7"/>
    <mergeCell ref="AR7:AS7"/>
    <mergeCell ref="AV7:AW7"/>
    <mergeCell ref="V7:W7"/>
    <mergeCell ref="A7:A8"/>
    <mergeCell ref="B7:C7"/>
    <mergeCell ref="D7:E7"/>
    <mergeCell ref="F7:G7"/>
    <mergeCell ref="H7:I7"/>
    <mergeCell ref="J7:K7"/>
    <mergeCell ref="L7:M7"/>
    <mergeCell ref="N7:O7"/>
    <mergeCell ref="P7:Q7"/>
    <mergeCell ref="R7:S7"/>
    <mergeCell ref="T7:U7"/>
  </mergeCells>
  <conditionalFormatting sqref="A10:BY14 BZ10:CA15">
    <cfRule type="expression" dxfId="18" priority="1" stopIfTrue="1">
      <formula>MOD(ROW(),2)=0</formula>
    </cfRule>
  </conditionalFormatting>
  <conditionalFormatting sqref="A8:CA15 A1:XFD6 A7:AP7 AR7:AT7 AV7:CA7 DD7:IX15 A16:XFD65536">
    <cfRule type="expression" priority="3">
      <formula>SI(0," ")</formula>
    </cfRule>
  </conditionalFormatting>
  <conditionalFormatting sqref="L3">
    <cfRule type="expression" priority="2">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3" manualBreakCount="3">
    <brk id="19" max="1048575" man="1"/>
    <brk id="37" max="1048575" man="1"/>
    <brk id="5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756D-61CA-41C4-B2EC-398396288FFA}">
  <dimension ref="A3:N55"/>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140625" style="77" bestFit="1" customWidth="1"/>
    <col min="5" max="5" width="14"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316</v>
      </c>
    </row>
    <row r="4" spans="1:14" s="78" customFormat="1" ht="16.5">
      <c r="A4" s="79" t="s">
        <v>317</v>
      </c>
      <c r="B4" s="80"/>
      <c r="H4" s="80"/>
      <c r="I4" s="80"/>
      <c r="L4" s="81"/>
    </row>
    <row r="5" spans="1:14" s="78" customFormat="1" ht="16.5">
      <c r="A5" s="79" t="s">
        <v>318</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111</v>
      </c>
      <c r="D11" s="83">
        <v>2189</v>
      </c>
      <c r="E11" s="83">
        <v>6757</v>
      </c>
      <c r="F11" s="85">
        <f>E11/E17</f>
        <v>0.36587611002815679</v>
      </c>
      <c r="G11" s="82"/>
      <c r="H11" s="139" t="s">
        <v>16</v>
      </c>
      <c r="I11" s="139"/>
      <c r="J11" s="83"/>
      <c r="K11" s="83"/>
      <c r="L11" s="83"/>
      <c r="M11" s="85"/>
      <c r="N11" s="82"/>
    </row>
    <row r="12" spans="1:14" ht="15">
      <c r="A12" s="139" t="s">
        <v>17</v>
      </c>
      <c r="B12" s="139"/>
      <c r="C12" s="83">
        <v>45</v>
      </c>
      <c r="D12" s="83">
        <v>1528</v>
      </c>
      <c r="E12" s="83">
        <v>4471</v>
      </c>
      <c r="F12" s="85">
        <f>E12/E17</f>
        <v>0.24209443361490146</v>
      </c>
      <c r="G12" s="82"/>
      <c r="H12" s="139" t="s">
        <v>18</v>
      </c>
      <c r="I12" s="139"/>
      <c r="J12" s="83">
        <v>7</v>
      </c>
      <c r="K12" s="83">
        <v>563</v>
      </c>
      <c r="L12" s="83">
        <v>1162</v>
      </c>
      <c r="M12" s="85">
        <f t="shared" ref="M12:M19" si="0">L12/L$19</f>
        <v>0.14658761195912703</v>
      </c>
      <c r="N12" s="82"/>
    </row>
    <row r="13" spans="1:14" ht="15">
      <c r="A13" s="139" t="s">
        <v>19</v>
      </c>
      <c r="B13" s="139"/>
      <c r="C13" s="83">
        <v>40</v>
      </c>
      <c r="D13" s="83">
        <v>1890</v>
      </c>
      <c r="E13" s="83">
        <v>5570</v>
      </c>
      <c r="F13" s="85">
        <f>E13/E17</f>
        <v>0.30160277236300626</v>
      </c>
      <c r="G13" s="82"/>
      <c r="H13" s="139" t="s">
        <v>20</v>
      </c>
      <c r="I13" s="139"/>
      <c r="J13" s="83">
        <v>11</v>
      </c>
      <c r="K13" s="83">
        <v>1502</v>
      </c>
      <c r="L13" s="83">
        <v>3241</v>
      </c>
      <c r="M13" s="85">
        <f t="shared" si="0"/>
        <v>0.40885580925949289</v>
      </c>
      <c r="N13" s="82"/>
    </row>
    <row r="14" spans="1:14" ht="15">
      <c r="A14" s="139" t="s">
        <v>197</v>
      </c>
      <c r="B14" s="139"/>
      <c r="C14" s="83">
        <v>1</v>
      </c>
      <c r="D14" s="83">
        <v>18</v>
      </c>
      <c r="E14" s="83">
        <v>52</v>
      </c>
      <c r="F14" s="85">
        <f>E14/E17</f>
        <v>2.8156811782542777E-3</v>
      </c>
      <c r="G14" s="82"/>
      <c r="H14" s="139" t="s">
        <v>145</v>
      </c>
      <c r="I14" s="139"/>
      <c r="J14" s="83"/>
      <c r="K14" s="83"/>
      <c r="L14" s="83"/>
      <c r="M14" s="85"/>
      <c r="N14" s="82"/>
    </row>
    <row r="15" spans="1:14" ht="15">
      <c r="A15" s="139" t="s">
        <v>21</v>
      </c>
      <c r="B15" s="139"/>
      <c r="C15" s="83">
        <v>12</v>
      </c>
      <c r="D15" s="83">
        <v>546</v>
      </c>
      <c r="E15" s="83">
        <v>1618</v>
      </c>
      <c r="F15" s="85">
        <f>E15/E17</f>
        <v>8.7611002815681183E-2</v>
      </c>
      <c r="G15" s="82"/>
      <c r="H15" s="139" t="s">
        <v>22</v>
      </c>
      <c r="I15" s="139"/>
      <c r="J15" s="83">
        <v>14</v>
      </c>
      <c r="K15" s="83">
        <v>1248</v>
      </c>
      <c r="L15" s="83">
        <v>2712</v>
      </c>
      <c r="M15" s="85">
        <f t="shared" si="0"/>
        <v>0.3421218619906648</v>
      </c>
      <c r="N15" s="82"/>
    </row>
    <row r="16" spans="1:14" ht="15">
      <c r="A16" s="139" t="s">
        <v>211</v>
      </c>
      <c r="B16" s="139"/>
      <c r="C16" s="83"/>
      <c r="D16" s="83"/>
      <c r="E16" s="83"/>
      <c r="F16" s="85"/>
      <c r="G16" s="82"/>
      <c r="H16" s="139" t="s">
        <v>146</v>
      </c>
      <c r="I16" s="139"/>
      <c r="J16" s="83"/>
      <c r="K16" s="83"/>
      <c r="L16" s="83"/>
      <c r="M16" s="85"/>
      <c r="N16" s="82"/>
    </row>
    <row r="17" spans="1:14" ht="15">
      <c r="A17" s="140" t="s">
        <v>23</v>
      </c>
      <c r="B17" s="140"/>
      <c r="C17" s="93">
        <f>SUM(C11:C16)</f>
        <v>209</v>
      </c>
      <c r="D17" s="93">
        <f>SUM(D11:D16)</f>
        <v>6171</v>
      </c>
      <c r="E17" s="93">
        <f>SUM(E11:E16)</f>
        <v>18468</v>
      </c>
      <c r="F17" s="23">
        <f>SUM(F11:F16)</f>
        <v>1</v>
      </c>
      <c r="G17" s="82"/>
      <c r="H17" s="139" t="s">
        <v>24</v>
      </c>
      <c r="I17" s="139"/>
      <c r="J17" s="83">
        <v>1</v>
      </c>
      <c r="K17" s="83">
        <v>421</v>
      </c>
      <c r="L17" s="83">
        <v>812</v>
      </c>
      <c r="M17" s="85">
        <f t="shared" si="0"/>
        <v>0.10243471679071528</v>
      </c>
      <c r="N17" s="82"/>
    </row>
    <row r="18" spans="1:14" ht="15">
      <c r="A18" s="139"/>
      <c r="B18" s="139"/>
      <c r="F18" s="85"/>
      <c r="G18" s="82"/>
      <c r="H18" s="139" t="s">
        <v>147</v>
      </c>
      <c r="I18" s="139"/>
      <c r="J18" s="83"/>
      <c r="K18" s="83"/>
      <c r="L18" s="83"/>
      <c r="M18" s="85"/>
      <c r="N18" s="82"/>
    </row>
    <row r="19" spans="1:14" ht="15">
      <c r="A19" s="140" t="s">
        <v>26</v>
      </c>
      <c r="B19" s="140"/>
      <c r="C19" s="93">
        <v>10</v>
      </c>
      <c r="D19" s="93">
        <v>156</v>
      </c>
      <c r="E19" s="93">
        <v>309</v>
      </c>
      <c r="F19" s="94">
        <v>1</v>
      </c>
      <c r="G19" s="82"/>
      <c r="H19" s="140" t="s">
        <v>25</v>
      </c>
      <c r="I19" s="140"/>
      <c r="J19" s="93">
        <f>J11+J12+J13+J14+J15+J16+J17+J18</f>
        <v>33</v>
      </c>
      <c r="K19" s="93">
        <f>K11+K12+K13+K14+K15+K16+K17+K18</f>
        <v>3734</v>
      </c>
      <c r="L19" s="93">
        <f>L11+L12+L13+L14+L15+L16+L17+L18</f>
        <v>7927</v>
      </c>
      <c r="M19" s="94">
        <f t="shared" si="0"/>
        <v>1</v>
      </c>
      <c r="N19" s="82"/>
    </row>
    <row r="20" spans="1:14" ht="15">
      <c r="A20" s="140" t="s">
        <v>27</v>
      </c>
      <c r="B20" s="140"/>
      <c r="C20" s="93">
        <v>34</v>
      </c>
      <c r="D20" s="93">
        <v>286</v>
      </c>
      <c r="E20" s="93">
        <v>580</v>
      </c>
      <c r="F20" s="94">
        <v>1</v>
      </c>
      <c r="G20" s="82"/>
      <c r="H20" s="139"/>
      <c r="I20" s="139"/>
      <c r="J20" s="83"/>
      <c r="K20" s="83"/>
      <c r="L20" s="83"/>
      <c r="M20" s="85"/>
      <c r="N20" s="82"/>
    </row>
    <row r="21" spans="1:14" ht="15">
      <c r="A21" s="140" t="s">
        <v>29</v>
      </c>
      <c r="B21" s="140"/>
      <c r="C21" s="93">
        <v>5</v>
      </c>
      <c r="D21" s="93">
        <v>24</v>
      </c>
      <c r="E21" s="93">
        <v>48</v>
      </c>
      <c r="F21" s="94">
        <v>1</v>
      </c>
      <c r="G21" s="82"/>
      <c r="H21" s="139" t="s">
        <v>28</v>
      </c>
      <c r="I21" s="139"/>
      <c r="J21" s="83">
        <v>1</v>
      </c>
      <c r="K21" s="83">
        <v>24</v>
      </c>
      <c r="L21" s="83">
        <v>48</v>
      </c>
      <c r="M21" s="85">
        <f>L21/L$25</f>
        <v>0.46153846153846156</v>
      </c>
      <c r="N21" s="82"/>
    </row>
    <row r="22" spans="1:14" ht="15">
      <c r="A22" s="140" t="s">
        <v>94</v>
      </c>
      <c r="B22" s="140"/>
      <c r="C22" s="93">
        <v>5</v>
      </c>
      <c r="D22" s="93"/>
      <c r="E22" s="93">
        <v>1598</v>
      </c>
      <c r="F22" s="94">
        <v>1</v>
      </c>
      <c r="G22" s="82"/>
      <c r="H22" s="139" t="s">
        <v>30</v>
      </c>
      <c r="I22" s="139"/>
      <c r="J22" s="83"/>
      <c r="K22" s="83"/>
      <c r="L22" s="83"/>
      <c r="M22" s="85"/>
      <c r="N22" s="82"/>
    </row>
    <row r="23" spans="1:14" ht="15">
      <c r="A23" s="139"/>
      <c r="B23" s="139"/>
      <c r="C23" s="83"/>
      <c r="D23" s="83"/>
      <c r="E23" s="83"/>
      <c r="F23" s="85"/>
      <c r="G23" s="82"/>
      <c r="H23" s="139" t="s">
        <v>31</v>
      </c>
      <c r="I23" s="139"/>
      <c r="J23" s="83"/>
      <c r="K23" s="83"/>
      <c r="L23" s="83"/>
      <c r="M23" s="85"/>
      <c r="N23" s="82"/>
    </row>
    <row r="24" spans="1:14" ht="15">
      <c r="A24" s="139" t="s">
        <v>42</v>
      </c>
      <c r="B24" s="139"/>
      <c r="F24" s="85"/>
      <c r="G24" s="82"/>
      <c r="H24" s="139" t="s">
        <v>33</v>
      </c>
      <c r="I24" s="139"/>
      <c r="J24" s="83">
        <v>1</v>
      </c>
      <c r="K24" s="83">
        <v>28</v>
      </c>
      <c r="L24" s="83">
        <v>56</v>
      </c>
      <c r="M24" s="85"/>
      <c r="N24" s="82"/>
    </row>
    <row r="25" spans="1:14" ht="15">
      <c r="A25" s="139" t="s">
        <v>44</v>
      </c>
      <c r="B25" s="139"/>
      <c r="C25" s="83">
        <v>3</v>
      </c>
      <c r="D25" s="83">
        <v>792</v>
      </c>
      <c r="E25" s="83">
        <v>2041</v>
      </c>
      <c r="F25" s="85">
        <f>E25/E$27</f>
        <v>0.78409527468305806</v>
      </c>
      <c r="G25" s="82"/>
      <c r="H25" s="140" t="s">
        <v>37</v>
      </c>
      <c r="I25" s="140"/>
      <c r="J25" s="93">
        <f>SUM(J21:J24)</f>
        <v>2</v>
      </c>
      <c r="K25" s="93">
        <f>SUM(K21:K24)</f>
        <v>52</v>
      </c>
      <c r="L25" s="93">
        <f>SUM(L21:L24)</f>
        <v>104</v>
      </c>
      <c r="M25" s="94">
        <f>SUM(M21:M24)</f>
        <v>0.46153846153846156</v>
      </c>
      <c r="N25" s="82"/>
    </row>
    <row r="26" spans="1:14" ht="15">
      <c r="A26" s="139" t="s">
        <v>46</v>
      </c>
      <c r="B26" s="139"/>
      <c r="C26" s="83">
        <v>1</v>
      </c>
      <c r="D26" s="83">
        <v>243</v>
      </c>
      <c r="E26" s="83">
        <v>562</v>
      </c>
      <c r="F26" s="85">
        <f>E26/E$27</f>
        <v>0.21590472531694199</v>
      </c>
      <c r="G26" s="82"/>
      <c r="H26" s="141"/>
      <c r="I26" s="141"/>
      <c r="M26" s="83"/>
      <c r="N26" s="82"/>
    </row>
    <row r="27" spans="1:14" ht="15">
      <c r="A27" s="140" t="s">
        <v>47</v>
      </c>
      <c r="B27" s="140"/>
      <c r="C27" s="93">
        <f>C24+C25+C26</f>
        <v>4</v>
      </c>
      <c r="D27" s="93">
        <f>D24+D25+D26</f>
        <v>1035</v>
      </c>
      <c r="E27" s="93">
        <f>E24+E25+E26</f>
        <v>2603</v>
      </c>
      <c r="F27" s="94">
        <f>F24+F25+F26</f>
        <v>1</v>
      </c>
      <c r="G27" s="82"/>
      <c r="H27" s="139" t="s">
        <v>40</v>
      </c>
      <c r="I27" s="139"/>
      <c r="J27" s="83">
        <v>13</v>
      </c>
      <c r="K27" s="83">
        <v>209</v>
      </c>
      <c r="L27" s="83">
        <v>395</v>
      </c>
      <c r="M27" s="85">
        <f>L27/L$30</f>
        <v>0.36607970342910101</v>
      </c>
      <c r="N27" s="82"/>
    </row>
    <row r="28" spans="1:14" ht="15">
      <c r="A28" s="139"/>
      <c r="B28" s="139"/>
      <c r="F28" s="85"/>
      <c r="G28" s="82"/>
      <c r="H28" s="139" t="s">
        <v>41</v>
      </c>
      <c r="I28" s="139"/>
      <c r="J28" s="83">
        <v>9</v>
      </c>
      <c r="K28" s="83">
        <v>372</v>
      </c>
      <c r="L28" s="83">
        <v>668</v>
      </c>
      <c r="M28" s="85">
        <f>L28/L$30</f>
        <v>0.61909175162187213</v>
      </c>
      <c r="N28" s="82"/>
    </row>
    <row r="29" spans="1:14" ht="15">
      <c r="A29" s="139" t="s">
        <v>50</v>
      </c>
      <c r="B29" s="139"/>
      <c r="C29" s="83">
        <v>8</v>
      </c>
      <c r="D29" s="83">
        <v>352</v>
      </c>
      <c r="E29" s="83">
        <v>666</v>
      </c>
      <c r="F29" s="85">
        <f>E29/E$37</f>
        <v>1.6956488530183059E-2</v>
      </c>
      <c r="G29" s="82"/>
      <c r="H29" s="139" t="s">
        <v>43</v>
      </c>
      <c r="I29" s="139"/>
      <c r="J29" s="83">
        <v>1</v>
      </c>
      <c r="K29" s="83">
        <v>8</v>
      </c>
      <c r="L29" s="83">
        <v>16</v>
      </c>
      <c r="M29" s="85">
        <f>L29/L$30</f>
        <v>1.4828544949026877E-2</v>
      </c>
      <c r="N29" s="82"/>
    </row>
    <row r="30" spans="1:14" ht="15">
      <c r="A30" s="139" t="s">
        <v>52</v>
      </c>
      <c r="B30" s="139"/>
      <c r="C30" s="83">
        <v>19</v>
      </c>
      <c r="D30" s="83">
        <v>2416</v>
      </c>
      <c r="E30" s="83">
        <v>4550</v>
      </c>
      <c r="F30" s="85">
        <f t="shared" ref="F30:F36" si="1">E30/E$37</f>
        <v>0.11584387809659598</v>
      </c>
      <c r="G30" s="82"/>
      <c r="H30" s="140" t="s">
        <v>45</v>
      </c>
      <c r="I30" s="140"/>
      <c r="J30" s="93">
        <f>J27+J28+J29</f>
        <v>23</v>
      </c>
      <c r="K30" s="93">
        <f>K27+K28+K29</f>
        <v>589</v>
      </c>
      <c r="L30" s="93">
        <f>L27+L28+L29</f>
        <v>1079</v>
      </c>
      <c r="M30" s="94">
        <f>M27+M28+M29</f>
        <v>1</v>
      </c>
      <c r="N30" s="82"/>
    </row>
    <row r="31" spans="1:14" ht="15">
      <c r="A31" s="139" t="s">
        <v>54</v>
      </c>
      <c r="B31" s="139"/>
      <c r="C31" s="83">
        <v>44</v>
      </c>
      <c r="D31" s="83">
        <v>7602</v>
      </c>
      <c r="E31" s="83">
        <v>14612</v>
      </c>
      <c r="F31" s="85">
        <f t="shared" si="1"/>
        <v>0.3720243399444968</v>
      </c>
      <c r="G31" s="82"/>
      <c r="H31" s="141"/>
      <c r="I31" s="141"/>
      <c r="M31" s="83"/>
      <c r="N31" s="82"/>
    </row>
    <row r="32" spans="1:14" ht="15">
      <c r="A32" s="139" t="s">
        <v>143</v>
      </c>
      <c r="B32" s="139"/>
      <c r="C32" s="83"/>
      <c r="D32" s="83"/>
      <c r="E32" s="83"/>
      <c r="F32" s="85"/>
      <c r="G32" s="82"/>
      <c r="H32" s="139" t="s">
        <v>48</v>
      </c>
      <c r="I32" s="139"/>
      <c r="J32" s="83">
        <v>34</v>
      </c>
      <c r="K32" s="83">
        <v>876</v>
      </c>
      <c r="L32" s="83">
        <v>1599</v>
      </c>
      <c r="M32" s="85">
        <f>L32/L$35</f>
        <v>0.55540118096561308</v>
      </c>
      <c r="N32" s="82"/>
    </row>
    <row r="33" spans="1:14" ht="15">
      <c r="A33" s="139" t="s">
        <v>91</v>
      </c>
      <c r="B33" s="139"/>
      <c r="C33" s="83">
        <v>41</v>
      </c>
      <c r="D33" s="83">
        <v>7112</v>
      </c>
      <c r="E33" s="83">
        <v>13678</v>
      </c>
      <c r="F33" s="85">
        <f t="shared" si="1"/>
        <v>0.34824451969345926</v>
      </c>
      <c r="G33" s="82"/>
      <c r="H33" s="139" t="s">
        <v>49</v>
      </c>
      <c r="I33" s="139"/>
      <c r="J33" s="83">
        <v>20</v>
      </c>
      <c r="K33" s="83">
        <v>638</v>
      </c>
      <c r="L33" s="83">
        <v>1223</v>
      </c>
      <c r="M33" s="85">
        <f>L33/L$35</f>
        <v>0.42480027787426189</v>
      </c>
      <c r="N33" s="82"/>
    </row>
    <row r="34" spans="1:14" ht="15">
      <c r="A34" s="139" t="s">
        <v>144</v>
      </c>
      <c r="B34" s="139"/>
      <c r="C34" s="83">
        <v>1</v>
      </c>
      <c r="D34" s="83">
        <v>217</v>
      </c>
      <c r="E34" s="83">
        <v>413</v>
      </c>
      <c r="F34" s="85">
        <f t="shared" si="1"/>
        <v>1.0515059704152558E-2</v>
      </c>
      <c r="G34" s="82"/>
      <c r="H34" s="139" t="s">
        <v>51</v>
      </c>
      <c r="I34" s="139"/>
      <c r="J34" s="83">
        <v>1</v>
      </c>
      <c r="K34" s="83">
        <v>30</v>
      </c>
      <c r="L34" s="83">
        <v>57</v>
      </c>
      <c r="M34" s="85">
        <f>L34/L$35</f>
        <v>1.9798541160125045E-2</v>
      </c>
      <c r="N34" s="82"/>
    </row>
    <row r="35" spans="1:14" ht="15">
      <c r="A35" s="139" t="s">
        <v>57</v>
      </c>
      <c r="B35" s="139"/>
      <c r="C35" s="83">
        <v>12</v>
      </c>
      <c r="D35" s="83">
        <f>2096-33+189</f>
        <v>2252</v>
      </c>
      <c r="E35" s="83">
        <f>4154-66+369</f>
        <v>4457</v>
      </c>
      <c r="F35" s="85">
        <f t="shared" si="1"/>
        <v>0.11347608014868753</v>
      </c>
      <c r="G35" s="82"/>
      <c r="H35" s="140" t="s">
        <v>53</v>
      </c>
      <c r="I35" s="140"/>
      <c r="J35" s="93">
        <f>J32+J33+J34</f>
        <v>55</v>
      </c>
      <c r="K35" s="93">
        <f>K32+K33+K34</f>
        <v>1544</v>
      </c>
      <c r="L35" s="93">
        <f>L32+L33+L34</f>
        <v>2879</v>
      </c>
      <c r="M35" s="94">
        <f>M32+M33+M34</f>
        <v>1</v>
      </c>
      <c r="N35" s="82"/>
    </row>
    <row r="36" spans="1:14" ht="15">
      <c r="A36" s="139" t="s">
        <v>59</v>
      </c>
      <c r="B36" s="139"/>
      <c r="C36" s="83">
        <v>4</v>
      </c>
      <c r="D36" s="83">
        <v>450</v>
      </c>
      <c r="E36" s="83">
        <v>901</v>
      </c>
      <c r="F36" s="85">
        <f t="shared" si="1"/>
        <v>2.2939633882424829E-2</v>
      </c>
      <c r="G36" s="82"/>
      <c r="H36" s="142"/>
      <c r="I36" s="142"/>
      <c r="J36" s="83"/>
      <c r="K36" s="83"/>
      <c r="L36" s="83"/>
      <c r="M36" s="83"/>
      <c r="N36" s="82"/>
    </row>
    <row r="37" spans="1:14" ht="15">
      <c r="A37" s="140" t="s">
        <v>61</v>
      </c>
      <c r="B37" s="140"/>
      <c r="C37" s="93">
        <f>C29+C30+C31+C32+C33+C34+C35+C36</f>
        <v>129</v>
      </c>
      <c r="D37" s="93">
        <f>D29+D30+D31+D32+D33+D34+D35+D36</f>
        <v>20401</v>
      </c>
      <c r="E37" s="93">
        <f>E29+E30+E31+E32+E33+E34+E35+E36</f>
        <v>39277</v>
      </c>
      <c r="F37" s="94">
        <f>F29+F30+F31+F32+F33+F34+F35+F36</f>
        <v>1</v>
      </c>
      <c r="G37" s="82"/>
      <c r="H37" s="140" t="s">
        <v>56</v>
      </c>
      <c r="I37" s="140"/>
      <c r="J37" s="93">
        <v>25</v>
      </c>
      <c r="K37" s="93">
        <v>258</v>
      </c>
      <c r="L37" s="93">
        <v>466</v>
      </c>
      <c r="M37" s="94">
        <v>1</v>
      </c>
      <c r="N37" s="82"/>
    </row>
    <row r="38" spans="1:14" ht="15">
      <c r="A38" s="141"/>
      <c r="B38" s="141"/>
      <c r="C38" s="83"/>
      <c r="D38" s="83"/>
      <c r="E38" s="83"/>
      <c r="F38" s="85"/>
      <c r="G38" s="82"/>
      <c r="H38" s="140" t="s">
        <v>58</v>
      </c>
      <c r="I38" s="140"/>
      <c r="J38" s="93">
        <v>3</v>
      </c>
      <c r="K38" s="93">
        <v>49</v>
      </c>
      <c r="L38" s="93">
        <v>89</v>
      </c>
      <c r="M38" s="94">
        <v>1</v>
      </c>
      <c r="N38" s="82"/>
    </row>
    <row r="39" spans="1:14" ht="15">
      <c r="A39" s="139" t="s">
        <v>62</v>
      </c>
      <c r="B39" s="139"/>
      <c r="C39" s="83">
        <v>4</v>
      </c>
      <c r="D39" s="83">
        <v>174</v>
      </c>
      <c r="E39" s="83">
        <v>333</v>
      </c>
      <c r="F39" s="85">
        <f>E39/E$44</f>
        <v>0.15834522111269614</v>
      </c>
      <c r="G39" s="82"/>
      <c r="H39" s="140" t="s">
        <v>60</v>
      </c>
      <c r="I39" s="140"/>
      <c r="J39" s="93"/>
      <c r="K39" s="93"/>
      <c r="L39" s="93"/>
      <c r="M39" s="94"/>
      <c r="N39" s="82"/>
    </row>
    <row r="40" spans="1:14" ht="15">
      <c r="A40" s="139" t="s">
        <v>63</v>
      </c>
      <c r="B40" s="139"/>
      <c r="C40" s="83">
        <v>6</v>
      </c>
      <c r="D40" s="83">
        <v>490</v>
      </c>
      <c r="E40" s="83">
        <v>925</v>
      </c>
      <c r="F40" s="85">
        <f>E40/E$44</f>
        <v>0.43984783642415598</v>
      </c>
      <c r="G40" s="82"/>
      <c r="H40" s="140" t="s">
        <v>226</v>
      </c>
      <c r="I40" s="140"/>
      <c r="J40" s="93"/>
      <c r="K40" s="93"/>
      <c r="L40" s="93"/>
      <c r="M40" s="94"/>
      <c r="N40" s="82"/>
    </row>
    <row r="41" spans="1:14" ht="15">
      <c r="A41" s="139" t="s">
        <v>64</v>
      </c>
      <c r="B41" s="139"/>
      <c r="C41" s="83">
        <v>3</v>
      </c>
      <c r="D41" s="83">
        <v>319</v>
      </c>
      <c r="E41" s="83">
        <v>627</v>
      </c>
      <c r="F41" s="85">
        <f>E41/E$44</f>
        <v>0.29814550641940085</v>
      </c>
      <c r="G41" s="82"/>
      <c r="H41" s="84"/>
      <c r="I41" s="84"/>
      <c r="N41" s="82"/>
    </row>
    <row r="42" spans="1:14" ht="15">
      <c r="A42" s="139" t="s">
        <v>93</v>
      </c>
      <c r="B42" s="139"/>
      <c r="C42" s="83">
        <v>2</v>
      </c>
      <c r="D42" s="83">
        <v>126</v>
      </c>
      <c r="E42" s="83">
        <v>218</v>
      </c>
      <c r="F42" s="85">
        <f>E42/E$44</f>
        <v>0.10366143604374703</v>
      </c>
      <c r="G42" s="82"/>
      <c r="H42" s="140" t="s">
        <v>65</v>
      </c>
      <c r="I42" s="140"/>
      <c r="J42" s="93">
        <f>C17+C19+C20+C21+C22+C27+C37+C44+J19+J25+J30+J35+J37+J38+J39</f>
        <v>552</v>
      </c>
      <c r="K42" s="93">
        <f>D17+D19+D20+D21+D22+D27+D37+D44+K19+K25+K30+K35+K37+K38+K39</f>
        <v>35408</v>
      </c>
      <c r="L42" s="93">
        <f>E17+E19+E20+E21+E22+E27+E37+E44+L19+L25+L30+L35+L37+L38+L39</f>
        <v>77530</v>
      </c>
      <c r="M42" s="82"/>
      <c r="N42" s="82"/>
    </row>
    <row r="43" spans="1:14" ht="15">
      <c r="A43" s="139" t="s">
        <v>67</v>
      </c>
      <c r="B43" s="139"/>
      <c r="F43" s="85"/>
      <c r="G43" s="82"/>
      <c r="L43" s="100"/>
      <c r="N43" s="82"/>
    </row>
    <row r="44" spans="1:14" ht="15">
      <c r="A44" s="140" t="s">
        <v>68</v>
      </c>
      <c r="B44" s="140"/>
      <c r="C44" s="93">
        <f>C39+C40+C41+C42+C43</f>
        <v>15</v>
      </c>
      <c r="D44" s="93">
        <f>D39+D40+D41+D42+D43</f>
        <v>1109</v>
      </c>
      <c r="E44" s="93">
        <f>E39+E40+E41+E42+E43</f>
        <v>2103</v>
      </c>
      <c r="F44" s="94">
        <f>F39+F40+F41+F42+F43</f>
        <v>1</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row>
    <row r="54" spans="1:14">
      <c r="A54" s="77"/>
      <c r="B54" s="77"/>
    </row>
    <row r="55" spans="1:14">
      <c r="A55" s="77"/>
      <c r="B55" s="77"/>
    </row>
  </sheetData>
  <sheetProtection algorithmName="SHA-512" hashValue="zxP+7ywk/zhHgsXWe5P9Mu0AK/J/zYkp4Wds4/m7GsJxiHdlDZYNYgJR+pz9EX6DMrpgOwKSIU8jS5kaJ71Z5A==" saltValue="KncwxKLNGGTEYmEXkW6hUw==" spinCount="100000" sheet="1" objects="1" scenarios="1"/>
  <mergeCells count="79">
    <mergeCell ref="A53:B53"/>
    <mergeCell ref="A47:B47"/>
    <mergeCell ref="A48:B48"/>
    <mergeCell ref="A49:B49"/>
    <mergeCell ref="A50:B50"/>
    <mergeCell ref="A51:B51"/>
    <mergeCell ref="A52:B52"/>
    <mergeCell ref="A46:B46"/>
    <mergeCell ref="A38:B38"/>
    <mergeCell ref="H38:I38"/>
    <mergeCell ref="A39:B39"/>
    <mergeCell ref="H39:I39"/>
    <mergeCell ref="A40:B40"/>
    <mergeCell ref="H40:I40"/>
    <mergeCell ref="A41:B41"/>
    <mergeCell ref="A42:B42"/>
    <mergeCell ref="H42:I42"/>
    <mergeCell ref="A43:B43"/>
    <mergeCell ref="A44:B44"/>
    <mergeCell ref="A35:B35"/>
    <mergeCell ref="H35:I35"/>
    <mergeCell ref="A36:B36"/>
    <mergeCell ref="H36:I36"/>
    <mergeCell ref="A37:B37"/>
    <mergeCell ref="H37:I37"/>
    <mergeCell ref="A32:B32"/>
    <mergeCell ref="H32:I32"/>
    <mergeCell ref="A33:B33"/>
    <mergeCell ref="H33:I33"/>
    <mergeCell ref="A34:B34"/>
    <mergeCell ref="H34:I34"/>
    <mergeCell ref="A29:B29"/>
    <mergeCell ref="H29:I29"/>
    <mergeCell ref="A30:B30"/>
    <mergeCell ref="H30:I30"/>
    <mergeCell ref="A31:B31"/>
    <mergeCell ref="H31:I31"/>
    <mergeCell ref="A26:B26"/>
    <mergeCell ref="H26:I26"/>
    <mergeCell ref="A27:B27"/>
    <mergeCell ref="H27:I27"/>
    <mergeCell ref="A28:B28"/>
    <mergeCell ref="H28:I28"/>
    <mergeCell ref="A23:B23"/>
    <mergeCell ref="H23:I23"/>
    <mergeCell ref="A24:B24"/>
    <mergeCell ref="H24:I24"/>
    <mergeCell ref="A25:B25"/>
    <mergeCell ref="H25:I25"/>
    <mergeCell ref="A20:B20"/>
    <mergeCell ref="H20:I20"/>
    <mergeCell ref="A21:B21"/>
    <mergeCell ref="H21:I21"/>
    <mergeCell ref="A22:B22"/>
    <mergeCell ref="H22:I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5A4C5-0073-4929-9753-906B74B6CBD9}">
  <dimension ref="A1:EB44"/>
  <sheetViews>
    <sheetView showGridLines="0" zoomScaleNormal="100" zoomScaleSheetLayoutView="100" workbookViewId="0"/>
  </sheetViews>
  <sheetFormatPr baseColWidth="10" defaultColWidth="9.140625" defaultRowHeight="12.75"/>
  <cols>
    <col min="1" max="1" width="80.5703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5" width="8.7109375" style="57" customWidth="1"/>
    <col min="36" max="36" width="9.140625" style="57" customWidth="1"/>
    <col min="37" max="37" width="8.7109375" style="57" customWidth="1"/>
    <col min="38" max="38" width="9.140625" style="57" customWidth="1"/>
    <col min="39" max="39" width="8.28515625" style="57" customWidth="1"/>
    <col min="40" max="40" width="9.140625" style="57" customWidth="1"/>
    <col min="41" max="41" width="8.28515625" style="57" customWidth="1"/>
    <col min="42" max="42" width="9.140625" style="57" customWidth="1"/>
    <col min="43" max="43" width="8.28515625" style="57" customWidth="1"/>
    <col min="44" max="44" width="9.140625" style="57" customWidth="1"/>
    <col min="45" max="45" width="8.28515625" style="57" customWidth="1"/>
    <col min="46" max="46" width="9.5703125" style="57" customWidth="1"/>
    <col min="47" max="47" width="8.28515625" style="57" customWidth="1"/>
    <col min="48" max="48" width="9.140625" style="57" customWidth="1"/>
    <col min="49" max="49" width="8.28515625" style="57" customWidth="1"/>
    <col min="50" max="50" width="9.140625" style="57" customWidth="1"/>
    <col min="51" max="51" width="8.28515625" style="57" customWidth="1"/>
    <col min="52" max="52" width="9.140625" style="57" customWidth="1"/>
    <col min="53" max="53" width="8.28515625" style="57" customWidth="1"/>
    <col min="54" max="54" width="9.140625" style="57" customWidth="1"/>
    <col min="55" max="55" width="8.28515625" style="57" customWidth="1"/>
    <col min="56" max="56" width="8.7109375" style="57" customWidth="1"/>
    <col min="57" max="57" width="8.28515625" style="57" customWidth="1"/>
    <col min="58" max="58" width="8.7109375" style="57" customWidth="1"/>
    <col min="59" max="59" width="8.28515625" style="57" customWidth="1"/>
    <col min="60" max="60" width="8.7109375" style="57" customWidth="1"/>
    <col min="61" max="61" width="8.28515625" style="57" customWidth="1"/>
    <col min="62" max="62" width="9.140625" style="57" customWidth="1"/>
    <col min="63" max="63" width="8.28515625" style="57" customWidth="1"/>
    <col min="64" max="64" width="9.140625" style="57" customWidth="1"/>
    <col min="65" max="65" width="8.28515625" style="57" customWidth="1"/>
    <col min="66" max="66" width="9.140625" style="57" customWidth="1"/>
    <col min="67" max="67" width="8.28515625" style="57" customWidth="1"/>
    <col min="68" max="68" width="9.140625" style="57"/>
    <col min="69" max="69" width="8.28515625" style="57" customWidth="1"/>
    <col min="70" max="70" width="9.140625" style="57" customWidth="1"/>
    <col min="71" max="71" width="8.28515625" style="57" customWidth="1"/>
    <col min="72" max="72" width="12.28515625" style="57" customWidth="1"/>
    <col min="73" max="73" width="8.28515625" style="57" customWidth="1"/>
    <col min="74" max="16384" width="9.140625" style="57"/>
  </cols>
  <sheetData>
    <row r="1" spans="1:132" ht="16.5">
      <c r="A1" s="75"/>
    </row>
    <row r="2" spans="1:132">
      <c r="A2" s="77"/>
    </row>
    <row r="3" spans="1:132" ht="16.5">
      <c r="A3" s="5" t="s">
        <v>320</v>
      </c>
    </row>
    <row r="4" spans="1:132" s="88" customFormat="1" ht="16.5">
      <c r="A4" s="30" t="s">
        <v>321</v>
      </c>
    </row>
    <row r="5" spans="1:132" s="88" customFormat="1" ht="16.5">
      <c r="A5" s="30" t="s">
        <v>322</v>
      </c>
    </row>
    <row r="6" spans="1:132" s="88" customFormat="1"/>
    <row r="7" spans="1:132" s="89" customFormat="1" ht="15" customHeight="1">
      <c r="A7" s="144" t="s">
        <v>130</v>
      </c>
      <c r="B7" s="143" t="s">
        <v>15</v>
      </c>
      <c r="C7" s="143"/>
      <c r="D7" s="143" t="s">
        <v>17</v>
      </c>
      <c r="E7" s="143"/>
      <c r="F7" s="143" t="s">
        <v>19</v>
      </c>
      <c r="G7" s="143"/>
      <c r="H7" s="143" t="s">
        <v>319</v>
      </c>
      <c r="I7" s="143"/>
      <c r="J7" s="143" t="s">
        <v>21</v>
      </c>
      <c r="K7" s="143"/>
      <c r="L7" s="143" t="s">
        <v>27</v>
      </c>
      <c r="M7" s="143"/>
      <c r="N7" s="143" t="s">
        <v>56</v>
      </c>
      <c r="O7" s="143"/>
      <c r="P7" s="143" t="s">
        <v>94</v>
      </c>
      <c r="Q7" s="143"/>
      <c r="R7" s="143" t="s">
        <v>44</v>
      </c>
      <c r="S7" s="143"/>
      <c r="T7" s="143" t="s">
        <v>46</v>
      </c>
      <c r="U7" s="143"/>
      <c r="V7" s="143" t="s">
        <v>58</v>
      </c>
      <c r="W7" s="143"/>
      <c r="X7" s="143" t="s">
        <v>50</v>
      </c>
      <c r="Y7" s="143"/>
      <c r="Z7" s="143" t="s">
        <v>52</v>
      </c>
      <c r="AA7" s="143"/>
      <c r="AB7" s="143" t="s">
        <v>54</v>
      </c>
      <c r="AC7" s="143"/>
      <c r="AD7" s="143" t="s">
        <v>91</v>
      </c>
      <c r="AE7" s="143"/>
      <c r="AF7" s="143" t="s">
        <v>144</v>
      </c>
      <c r="AG7" s="143"/>
      <c r="AH7" s="143" t="s">
        <v>162</v>
      </c>
      <c r="AI7" s="143"/>
      <c r="AJ7" s="143" t="s">
        <v>198</v>
      </c>
      <c r="AK7" s="143"/>
      <c r="AL7" s="143" t="s">
        <v>18</v>
      </c>
      <c r="AM7" s="143"/>
      <c r="AN7" s="143" t="s">
        <v>20</v>
      </c>
      <c r="AO7" s="143"/>
      <c r="AP7" s="143" t="s">
        <v>22</v>
      </c>
      <c r="AQ7" s="143"/>
      <c r="AR7" s="143" t="s">
        <v>24</v>
      </c>
      <c r="AS7" s="143"/>
      <c r="AT7" s="143" t="s">
        <v>92</v>
      </c>
      <c r="AU7" s="143"/>
      <c r="AV7" s="143" t="s">
        <v>63</v>
      </c>
      <c r="AW7" s="143"/>
      <c r="AX7" s="143" t="s">
        <v>64</v>
      </c>
      <c r="AY7" s="143"/>
      <c r="AZ7" s="143" t="s">
        <v>93</v>
      </c>
      <c r="BA7" s="143"/>
      <c r="BB7" s="143" t="s">
        <v>26</v>
      </c>
      <c r="BC7" s="143"/>
      <c r="BD7" s="143" t="s">
        <v>40</v>
      </c>
      <c r="BE7" s="143"/>
      <c r="BF7" s="143" t="s">
        <v>41</v>
      </c>
      <c r="BG7" s="143"/>
      <c r="BH7" s="143" t="s">
        <v>43</v>
      </c>
      <c r="BI7" s="143"/>
      <c r="BJ7" s="143" t="s">
        <v>48</v>
      </c>
      <c r="BK7" s="143"/>
      <c r="BL7" s="143" t="s">
        <v>49</v>
      </c>
      <c r="BM7" s="143"/>
      <c r="BN7" s="143" t="s">
        <v>51</v>
      </c>
      <c r="BO7" s="143"/>
      <c r="BP7" s="143" t="s">
        <v>28</v>
      </c>
      <c r="BQ7" s="143"/>
      <c r="BR7" s="143" t="s">
        <v>33</v>
      </c>
      <c r="BS7" s="143"/>
      <c r="BT7" s="143" t="s">
        <v>29</v>
      </c>
      <c r="BU7" s="143"/>
      <c r="BV7" s="143" t="s">
        <v>65</v>
      </c>
      <c r="BW7" s="143"/>
    </row>
    <row r="8" spans="1:132" s="89" customFormat="1" ht="15" customHeight="1">
      <c r="A8" s="144"/>
      <c r="B8" s="38"/>
      <c r="C8" s="38" t="s">
        <v>80</v>
      </c>
      <c r="D8" s="38"/>
      <c r="E8" s="38"/>
      <c r="F8" s="38"/>
      <c r="G8" s="38"/>
      <c r="H8" s="38"/>
      <c r="I8" s="38"/>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row>
    <row r="9" spans="1:132"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row>
    <row r="10" spans="1:132" ht="15">
      <c r="A10" s="37" t="s">
        <v>217</v>
      </c>
      <c r="B10" s="12">
        <v>19</v>
      </c>
      <c r="C10" s="12">
        <v>983</v>
      </c>
      <c r="D10" s="12">
        <v>10</v>
      </c>
      <c r="E10" s="12">
        <v>805</v>
      </c>
      <c r="F10" s="12">
        <v>6</v>
      </c>
      <c r="G10" s="12">
        <v>1517</v>
      </c>
      <c r="H10" s="12">
        <v>1</v>
      </c>
      <c r="I10" s="12">
        <v>52</v>
      </c>
      <c r="J10" s="12">
        <v>4</v>
      </c>
      <c r="K10" s="12">
        <v>374</v>
      </c>
      <c r="L10" s="12"/>
      <c r="M10" s="12"/>
      <c r="N10" s="12">
        <v>13</v>
      </c>
      <c r="O10" s="12">
        <v>222</v>
      </c>
      <c r="P10" s="12"/>
      <c r="Q10" s="12"/>
      <c r="R10" s="12"/>
      <c r="S10" s="12"/>
      <c r="T10" s="12"/>
      <c r="U10" s="12"/>
      <c r="V10" s="12"/>
      <c r="W10" s="12"/>
      <c r="X10" s="12">
        <v>3</v>
      </c>
      <c r="Y10" s="12">
        <v>253</v>
      </c>
      <c r="Z10" s="12">
        <v>4</v>
      </c>
      <c r="AA10" s="12">
        <v>723</v>
      </c>
      <c r="AB10" s="12">
        <v>7</v>
      </c>
      <c r="AC10" s="12">
        <v>1266</v>
      </c>
      <c r="AD10" s="12">
        <v>9</v>
      </c>
      <c r="AE10" s="12">
        <v>3166</v>
      </c>
      <c r="AF10" s="12">
        <v>1</v>
      </c>
      <c r="AG10" s="12">
        <v>413</v>
      </c>
      <c r="AH10" s="12">
        <v>5</v>
      </c>
      <c r="AI10" s="12">
        <f>289-66+369</f>
        <v>592</v>
      </c>
      <c r="AJ10" s="12"/>
      <c r="AK10" s="12"/>
      <c r="AL10" s="12">
        <v>1</v>
      </c>
      <c r="AM10" s="12">
        <v>213</v>
      </c>
      <c r="AN10" s="12">
        <v>1</v>
      </c>
      <c r="AO10" s="12">
        <v>517</v>
      </c>
      <c r="AP10" s="12"/>
      <c r="AQ10" s="12"/>
      <c r="AR10" s="12"/>
      <c r="AS10" s="12"/>
      <c r="AT10" s="12">
        <v>1</v>
      </c>
      <c r="AU10" s="12">
        <v>85</v>
      </c>
      <c r="AV10" s="12">
        <v>3</v>
      </c>
      <c r="AW10" s="12">
        <v>411</v>
      </c>
      <c r="AX10" s="12"/>
      <c r="AY10" s="12"/>
      <c r="AZ10" s="12">
        <v>1</v>
      </c>
      <c r="BA10" s="12">
        <v>199</v>
      </c>
      <c r="BB10" s="12">
        <v>1</v>
      </c>
      <c r="BC10" s="12">
        <v>20</v>
      </c>
      <c r="BD10" s="12">
        <v>2</v>
      </c>
      <c r="BE10" s="12">
        <v>101</v>
      </c>
      <c r="BF10" s="12">
        <v>1</v>
      </c>
      <c r="BG10" s="12">
        <v>75</v>
      </c>
      <c r="BH10" s="12"/>
      <c r="BI10" s="12"/>
      <c r="BJ10" s="12">
        <v>10</v>
      </c>
      <c r="BK10" s="96">
        <v>437</v>
      </c>
      <c r="BL10" s="12">
        <v>3</v>
      </c>
      <c r="BM10" s="12">
        <v>85</v>
      </c>
      <c r="BN10" s="12">
        <v>1</v>
      </c>
      <c r="BO10" s="12">
        <v>57</v>
      </c>
      <c r="BP10" s="12"/>
      <c r="BQ10" s="12"/>
      <c r="BR10" s="12"/>
      <c r="BS10" s="12"/>
      <c r="BT10" s="12">
        <v>1</v>
      </c>
      <c r="BU10" s="12">
        <v>8</v>
      </c>
      <c r="BV10" s="101">
        <f>B10+D10+F10+H10+J10+L10+N10+P10+R10+T10+V10+X10+Z10+AB10+AD10+AF10+AH10+AJ10+AL10+AN10+AP10+AR10+AT10+AV10+AX10+AZ10+BB10+BD10+BF10+BH10+BJ10+BL10+BN10+BP10+BR10+BT10</f>
        <v>108</v>
      </c>
      <c r="BW10" s="101">
        <f>C10+E10+G10+I10+K10+M10+O10+Q10+S10+U10+W10+Y10+AA10+AC10+AE10+AG10+AI10+AK10+AM10+AO10+AQ10+AS10+AU10+AW10+AY10+BA10+BC10+BE10+BG10+BI10+BK10+BM10+BO10+BQ10+BS10+BU10</f>
        <v>12574</v>
      </c>
      <c r="BX10" s="90"/>
      <c r="CW10" s="89"/>
      <c r="CX10" s="89"/>
      <c r="EB10" s="91"/>
    </row>
    <row r="11" spans="1:132" ht="15">
      <c r="A11" s="69" t="s">
        <v>84</v>
      </c>
      <c r="B11" s="12">
        <v>30</v>
      </c>
      <c r="C11" s="12">
        <v>1785</v>
      </c>
      <c r="D11" s="12">
        <v>11</v>
      </c>
      <c r="E11" s="12">
        <v>1089</v>
      </c>
      <c r="F11" s="12">
        <v>5</v>
      </c>
      <c r="G11" s="12">
        <v>333</v>
      </c>
      <c r="H11" s="12"/>
      <c r="I11" s="12"/>
      <c r="J11" s="12"/>
      <c r="K11" s="12"/>
      <c r="L11" s="12">
        <v>4</v>
      </c>
      <c r="M11" s="12">
        <v>74</v>
      </c>
      <c r="N11" s="12">
        <v>9</v>
      </c>
      <c r="O11" s="12">
        <v>206</v>
      </c>
      <c r="P11" s="12">
        <v>1</v>
      </c>
      <c r="Q11" s="12">
        <v>274</v>
      </c>
      <c r="R11" s="12"/>
      <c r="S11" s="12"/>
      <c r="T11" s="12"/>
      <c r="U11" s="12"/>
      <c r="V11" s="12"/>
      <c r="W11" s="12"/>
      <c r="X11" s="12">
        <v>5</v>
      </c>
      <c r="Y11" s="12">
        <v>413</v>
      </c>
      <c r="Z11" s="12">
        <v>5</v>
      </c>
      <c r="AA11" s="12">
        <v>1807</v>
      </c>
      <c r="AB11" s="12">
        <v>10</v>
      </c>
      <c r="AC11" s="12">
        <v>2359</v>
      </c>
      <c r="AD11" s="12">
        <v>6</v>
      </c>
      <c r="AE11" s="12">
        <v>1830</v>
      </c>
      <c r="AF11" s="12"/>
      <c r="AG11" s="12"/>
      <c r="AH11" s="12">
        <v>2</v>
      </c>
      <c r="AI11" s="12">
        <v>757</v>
      </c>
      <c r="AJ11" s="12">
        <v>2</v>
      </c>
      <c r="AK11" s="12">
        <v>374</v>
      </c>
      <c r="AL11" s="12">
        <v>4</v>
      </c>
      <c r="AM11" s="12">
        <v>499</v>
      </c>
      <c r="AN11" s="12">
        <v>2</v>
      </c>
      <c r="AO11" s="12">
        <v>911</v>
      </c>
      <c r="AP11" s="12">
        <v>3</v>
      </c>
      <c r="AQ11" s="12">
        <v>350</v>
      </c>
      <c r="AR11" s="12"/>
      <c r="AS11" s="12"/>
      <c r="AT11" s="12">
        <v>3</v>
      </c>
      <c r="AU11" s="12">
        <v>248</v>
      </c>
      <c r="AV11" s="12">
        <v>2</v>
      </c>
      <c r="AW11" s="12">
        <v>430</v>
      </c>
      <c r="AX11" s="12"/>
      <c r="AY11" s="12"/>
      <c r="AZ11" s="12"/>
      <c r="BA11" s="12"/>
      <c r="BB11" s="12">
        <v>3</v>
      </c>
      <c r="BC11" s="12">
        <v>86</v>
      </c>
      <c r="BD11" s="12">
        <v>2</v>
      </c>
      <c r="BE11" s="12">
        <v>76</v>
      </c>
      <c r="BF11" s="12">
        <v>3</v>
      </c>
      <c r="BG11" s="12">
        <v>310</v>
      </c>
      <c r="BH11" s="12"/>
      <c r="BI11" s="12"/>
      <c r="BJ11" s="12">
        <v>16</v>
      </c>
      <c r="BK11" s="12">
        <v>884</v>
      </c>
      <c r="BL11" s="12">
        <v>10</v>
      </c>
      <c r="BM11" s="12">
        <v>855</v>
      </c>
      <c r="BN11" s="12"/>
      <c r="BO11" s="12"/>
      <c r="BP11" s="12"/>
      <c r="BQ11" s="12"/>
      <c r="BR11" s="12"/>
      <c r="BS11" s="12"/>
      <c r="BT11" s="12">
        <v>1</v>
      </c>
      <c r="BU11" s="12">
        <v>10</v>
      </c>
      <c r="BV11" s="101">
        <f t="shared" ref="BV11:BV14" si="0">B11+D11+F11+H11+J11+L11+N11+P11+R11+T11+V11+X11+Z11+AB11+AD11+AF11+AH11+AJ11+AL11+AN11+AP11+AR11+AT11+AV11+AX11+AZ11+BB11+BD11+BF11+BH11+BJ11+BL11+BN11+BP11+BR11+BT11</f>
        <v>139</v>
      </c>
      <c r="BW11" s="101">
        <f t="shared" ref="BW11:BW14" si="1">C11+E11+G11+I11+K11+M11+O11+Q11+S11+U11+W11+Y11+AA11+AC11+AE11+AG11+AI11+AK11+AM11+AO11+AQ11+AS11+AU11+AW11+AY11+BA11+BC11+BE11+BG11+BI11+BK11+BM11+BO11+BQ11+BS11+BU11</f>
        <v>15960</v>
      </c>
      <c r="CW11" s="89"/>
      <c r="CX11" s="89"/>
    </row>
    <row r="12" spans="1:132" ht="15">
      <c r="A12" s="37" t="s">
        <v>85</v>
      </c>
      <c r="B12" s="12">
        <v>5</v>
      </c>
      <c r="C12" s="12">
        <v>186</v>
      </c>
      <c r="D12" s="12">
        <v>4</v>
      </c>
      <c r="E12" s="12">
        <v>339</v>
      </c>
      <c r="F12" s="12">
        <v>3</v>
      </c>
      <c r="G12" s="12">
        <v>198</v>
      </c>
      <c r="H12" s="12"/>
      <c r="I12" s="12"/>
      <c r="J12" s="12">
        <v>3</v>
      </c>
      <c r="K12" s="12">
        <v>203</v>
      </c>
      <c r="L12" s="12">
        <v>11</v>
      </c>
      <c r="M12" s="12">
        <v>178</v>
      </c>
      <c r="N12" s="12">
        <v>1</v>
      </c>
      <c r="O12" s="12">
        <v>8</v>
      </c>
      <c r="P12" s="12"/>
      <c r="Q12" s="12"/>
      <c r="R12" s="12"/>
      <c r="S12" s="12"/>
      <c r="T12" s="12">
        <v>1</v>
      </c>
      <c r="U12" s="12">
        <v>562</v>
      </c>
      <c r="V12" s="12"/>
      <c r="W12" s="12"/>
      <c r="X12" s="12"/>
      <c r="Y12" s="12"/>
      <c r="Z12" s="12"/>
      <c r="AA12" s="12"/>
      <c r="AB12" s="12">
        <v>5</v>
      </c>
      <c r="AC12" s="12">
        <v>1522</v>
      </c>
      <c r="AD12" s="12">
        <v>4</v>
      </c>
      <c r="AE12" s="12">
        <v>1296</v>
      </c>
      <c r="AF12" s="12"/>
      <c r="AG12" s="12"/>
      <c r="AH12" s="12">
        <v>1</v>
      </c>
      <c r="AI12" s="12">
        <v>116</v>
      </c>
      <c r="AJ12" s="12"/>
      <c r="AK12" s="12"/>
      <c r="AL12" s="12"/>
      <c r="AM12" s="12"/>
      <c r="AN12" s="12"/>
      <c r="AO12" s="12"/>
      <c r="AP12" s="12">
        <v>2</v>
      </c>
      <c r="AQ12" s="12">
        <v>366</v>
      </c>
      <c r="AR12" s="12"/>
      <c r="AS12" s="12"/>
      <c r="AT12" s="12"/>
      <c r="AU12" s="12"/>
      <c r="AV12" s="12"/>
      <c r="AW12" s="12"/>
      <c r="AX12" s="12"/>
      <c r="AY12" s="12"/>
      <c r="AZ12" s="12"/>
      <c r="BA12" s="12"/>
      <c r="BB12" s="12">
        <v>4</v>
      </c>
      <c r="BC12" s="12">
        <v>136</v>
      </c>
      <c r="BD12" s="12">
        <v>1</v>
      </c>
      <c r="BE12" s="12">
        <v>20</v>
      </c>
      <c r="BF12" s="12">
        <v>1</v>
      </c>
      <c r="BG12" s="12">
        <v>21</v>
      </c>
      <c r="BH12" s="12"/>
      <c r="BI12" s="12"/>
      <c r="BJ12" s="12">
        <v>3</v>
      </c>
      <c r="BK12" s="12">
        <v>118</v>
      </c>
      <c r="BL12" s="12"/>
      <c r="BM12" s="12"/>
      <c r="BN12" s="12"/>
      <c r="BO12" s="12"/>
      <c r="BP12" s="12"/>
      <c r="BQ12" s="12"/>
      <c r="BR12" s="12"/>
      <c r="BS12" s="12"/>
      <c r="BT12" s="12">
        <v>3</v>
      </c>
      <c r="BU12" s="12">
        <v>30</v>
      </c>
      <c r="BV12" s="101">
        <f t="shared" si="0"/>
        <v>52</v>
      </c>
      <c r="BW12" s="101">
        <f t="shared" si="1"/>
        <v>5299</v>
      </c>
      <c r="CW12" s="89"/>
      <c r="CX12" s="89"/>
    </row>
    <row r="13" spans="1:132" ht="15">
      <c r="A13" s="37" t="s">
        <v>86</v>
      </c>
      <c r="B13" s="12">
        <v>21</v>
      </c>
      <c r="C13" s="12">
        <v>1826</v>
      </c>
      <c r="D13" s="12">
        <v>5</v>
      </c>
      <c r="E13" s="12">
        <v>619</v>
      </c>
      <c r="F13" s="12">
        <v>19</v>
      </c>
      <c r="G13" s="12">
        <v>2171</v>
      </c>
      <c r="H13" s="12"/>
      <c r="I13" s="12"/>
      <c r="J13" s="12">
        <v>4</v>
      </c>
      <c r="K13" s="12">
        <v>903</v>
      </c>
      <c r="L13" s="12">
        <v>2</v>
      </c>
      <c r="M13" s="12">
        <v>32</v>
      </c>
      <c r="N13" s="12">
        <v>1</v>
      </c>
      <c r="O13" s="12">
        <v>12</v>
      </c>
      <c r="P13" s="12">
        <v>1</v>
      </c>
      <c r="Q13" s="12">
        <v>400</v>
      </c>
      <c r="R13" s="12"/>
      <c r="S13" s="12"/>
      <c r="T13" s="12"/>
      <c r="U13" s="12"/>
      <c r="V13" s="12"/>
      <c r="W13" s="12"/>
      <c r="X13" s="12"/>
      <c r="Y13" s="12"/>
      <c r="Z13" s="12">
        <v>6</v>
      </c>
      <c r="AA13" s="12">
        <v>1319</v>
      </c>
      <c r="AB13" s="12">
        <v>10</v>
      </c>
      <c r="AC13" s="12">
        <v>4348</v>
      </c>
      <c r="AD13" s="12">
        <v>11</v>
      </c>
      <c r="AE13" s="12">
        <v>3613</v>
      </c>
      <c r="AF13" s="12"/>
      <c r="AG13" s="12"/>
      <c r="AH13" s="12">
        <v>3</v>
      </c>
      <c r="AI13" s="12">
        <v>2647</v>
      </c>
      <c r="AJ13" s="12"/>
      <c r="AK13" s="12"/>
      <c r="AL13" s="12">
        <v>2</v>
      </c>
      <c r="AM13" s="12">
        <v>450</v>
      </c>
      <c r="AN13" s="12">
        <v>4</v>
      </c>
      <c r="AO13" s="12">
        <v>785</v>
      </c>
      <c r="AP13" s="12">
        <v>5</v>
      </c>
      <c r="AQ13" s="12">
        <v>1376</v>
      </c>
      <c r="AR13" s="12">
        <v>1</v>
      </c>
      <c r="AS13" s="12">
        <v>812</v>
      </c>
      <c r="AT13" s="12"/>
      <c r="AU13" s="12"/>
      <c r="AV13" s="12">
        <v>1</v>
      </c>
      <c r="AW13" s="12">
        <v>84</v>
      </c>
      <c r="AX13" s="12">
        <v>2</v>
      </c>
      <c r="AY13" s="12">
        <v>343</v>
      </c>
      <c r="AZ13" s="12">
        <v>1</v>
      </c>
      <c r="BA13" s="12">
        <v>19</v>
      </c>
      <c r="BB13" s="12"/>
      <c r="BC13" s="12"/>
      <c r="BD13" s="12">
        <v>3</v>
      </c>
      <c r="BE13" s="12">
        <v>44</v>
      </c>
      <c r="BF13" s="12"/>
      <c r="BG13" s="12"/>
      <c r="BH13" s="12">
        <v>1</v>
      </c>
      <c r="BI13" s="12">
        <v>16</v>
      </c>
      <c r="BJ13" s="12">
        <v>1</v>
      </c>
      <c r="BK13" s="12">
        <v>13</v>
      </c>
      <c r="BL13" s="12"/>
      <c r="BM13" s="12"/>
      <c r="BN13" s="12"/>
      <c r="BO13" s="12"/>
      <c r="BP13" s="12">
        <v>1</v>
      </c>
      <c r="BQ13" s="12">
        <v>48</v>
      </c>
      <c r="BR13" s="12">
        <v>1</v>
      </c>
      <c r="BS13" s="12">
        <v>56</v>
      </c>
      <c r="BT13" s="12"/>
      <c r="BU13" s="12"/>
      <c r="BV13" s="101">
        <f t="shared" si="0"/>
        <v>106</v>
      </c>
      <c r="BW13" s="101">
        <f t="shared" si="1"/>
        <v>21936</v>
      </c>
      <c r="CW13" s="89"/>
      <c r="CX13" s="89"/>
    </row>
    <row r="14" spans="1:132" ht="15">
      <c r="A14" s="37" t="s">
        <v>87</v>
      </c>
      <c r="B14" s="12">
        <v>36</v>
      </c>
      <c r="C14" s="12">
        <v>1977</v>
      </c>
      <c r="D14" s="12">
        <v>15</v>
      </c>
      <c r="E14" s="12">
        <v>1619</v>
      </c>
      <c r="F14" s="12">
        <v>7</v>
      </c>
      <c r="G14" s="12">
        <v>1351</v>
      </c>
      <c r="H14" s="12"/>
      <c r="I14" s="12"/>
      <c r="J14" s="12">
        <v>1</v>
      </c>
      <c r="K14" s="12">
        <v>138</v>
      </c>
      <c r="L14" s="12">
        <v>17</v>
      </c>
      <c r="M14" s="12">
        <v>296</v>
      </c>
      <c r="N14" s="12">
        <v>1</v>
      </c>
      <c r="O14" s="12">
        <v>18</v>
      </c>
      <c r="P14" s="12">
        <v>3</v>
      </c>
      <c r="Q14" s="12">
        <v>924</v>
      </c>
      <c r="R14" s="12">
        <v>3</v>
      </c>
      <c r="S14" s="12">
        <v>2041</v>
      </c>
      <c r="T14" s="12"/>
      <c r="U14" s="12"/>
      <c r="V14" s="12">
        <v>3</v>
      </c>
      <c r="W14" s="12">
        <v>89</v>
      </c>
      <c r="X14" s="12"/>
      <c r="Y14" s="12"/>
      <c r="Z14" s="12">
        <v>4</v>
      </c>
      <c r="AA14" s="12">
        <v>701</v>
      </c>
      <c r="AB14" s="12">
        <v>12</v>
      </c>
      <c r="AC14" s="12">
        <v>5117</v>
      </c>
      <c r="AD14" s="12">
        <v>11</v>
      </c>
      <c r="AE14" s="12">
        <v>3773</v>
      </c>
      <c r="AF14" s="12"/>
      <c r="AG14" s="12"/>
      <c r="AH14" s="12">
        <v>1</v>
      </c>
      <c r="AI14" s="12">
        <v>345</v>
      </c>
      <c r="AJ14" s="12">
        <v>2</v>
      </c>
      <c r="AK14" s="12">
        <v>527</v>
      </c>
      <c r="AL14" s="12"/>
      <c r="AM14" s="12"/>
      <c r="AN14" s="12">
        <v>4</v>
      </c>
      <c r="AO14" s="12">
        <v>1028</v>
      </c>
      <c r="AP14" s="12">
        <v>4</v>
      </c>
      <c r="AQ14" s="12">
        <v>620</v>
      </c>
      <c r="AR14" s="12"/>
      <c r="AS14" s="12"/>
      <c r="AT14" s="12"/>
      <c r="AU14" s="12"/>
      <c r="AV14" s="12"/>
      <c r="AW14" s="12"/>
      <c r="AX14" s="12">
        <v>1</v>
      </c>
      <c r="AY14" s="12">
        <v>284</v>
      </c>
      <c r="AZ14" s="12"/>
      <c r="BA14" s="12"/>
      <c r="BB14" s="12">
        <v>2</v>
      </c>
      <c r="BC14" s="12">
        <v>67</v>
      </c>
      <c r="BD14" s="12">
        <v>5</v>
      </c>
      <c r="BE14" s="12">
        <v>154</v>
      </c>
      <c r="BF14" s="12">
        <v>4</v>
      </c>
      <c r="BG14" s="12">
        <v>262</v>
      </c>
      <c r="BH14" s="12"/>
      <c r="BI14" s="12"/>
      <c r="BJ14" s="12">
        <v>4</v>
      </c>
      <c r="BK14" s="12">
        <v>147</v>
      </c>
      <c r="BL14" s="12">
        <v>7</v>
      </c>
      <c r="BM14" s="12">
        <v>283</v>
      </c>
      <c r="BN14" s="12"/>
      <c r="BO14" s="12"/>
      <c r="BP14" s="12"/>
      <c r="BQ14" s="12"/>
      <c r="BR14" s="12"/>
      <c r="BS14" s="12"/>
      <c r="BT14" s="12"/>
      <c r="BU14" s="12"/>
      <c r="BV14" s="101">
        <f t="shared" si="0"/>
        <v>147</v>
      </c>
      <c r="BW14" s="101">
        <f t="shared" si="1"/>
        <v>21761</v>
      </c>
      <c r="CW14" s="89"/>
      <c r="CX14" s="89"/>
    </row>
    <row r="15" spans="1:132" s="89" customFormat="1" ht="15">
      <c r="A15" s="73" t="s">
        <v>218</v>
      </c>
      <c r="B15" s="39">
        <f>SUM(B10:B14)</f>
        <v>111</v>
      </c>
      <c r="C15" s="39">
        <f t="shared" ref="C15:BP15" si="2">SUM(C10:C14)</f>
        <v>6757</v>
      </c>
      <c r="D15" s="39">
        <f t="shared" si="2"/>
        <v>45</v>
      </c>
      <c r="E15" s="39">
        <f t="shared" si="2"/>
        <v>4471</v>
      </c>
      <c r="F15" s="39">
        <f t="shared" si="2"/>
        <v>40</v>
      </c>
      <c r="G15" s="39">
        <f t="shared" si="2"/>
        <v>5570</v>
      </c>
      <c r="H15" s="39">
        <f t="shared" si="2"/>
        <v>1</v>
      </c>
      <c r="I15" s="39">
        <f t="shared" si="2"/>
        <v>52</v>
      </c>
      <c r="J15" s="39">
        <f t="shared" si="2"/>
        <v>12</v>
      </c>
      <c r="K15" s="39">
        <f t="shared" si="2"/>
        <v>1618</v>
      </c>
      <c r="L15" s="39">
        <f t="shared" si="2"/>
        <v>34</v>
      </c>
      <c r="M15" s="39">
        <f t="shared" si="2"/>
        <v>580</v>
      </c>
      <c r="N15" s="39">
        <f t="shared" si="2"/>
        <v>25</v>
      </c>
      <c r="O15" s="39">
        <f t="shared" si="2"/>
        <v>466</v>
      </c>
      <c r="P15" s="39">
        <f t="shared" si="2"/>
        <v>5</v>
      </c>
      <c r="Q15" s="39">
        <f t="shared" si="2"/>
        <v>1598</v>
      </c>
      <c r="R15" s="39">
        <f t="shared" si="2"/>
        <v>3</v>
      </c>
      <c r="S15" s="39">
        <f t="shared" si="2"/>
        <v>2041</v>
      </c>
      <c r="T15" s="39">
        <f t="shared" si="2"/>
        <v>1</v>
      </c>
      <c r="U15" s="39">
        <f t="shared" si="2"/>
        <v>562</v>
      </c>
      <c r="V15" s="39">
        <f t="shared" si="2"/>
        <v>3</v>
      </c>
      <c r="W15" s="39">
        <f t="shared" si="2"/>
        <v>89</v>
      </c>
      <c r="X15" s="39">
        <f t="shared" si="2"/>
        <v>8</v>
      </c>
      <c r="Y15" s="39">
        <f t="shared" si="2"/>
        <v>666</v>
      </c>
      <c r="Z15" s="39">
        <f t="shared" si="2"/>
        <v>19</v>
      </c>
      <c r="AA15" s="39">
        <f t="shared" si="2"/>
        <v>4550</v>
      </c>
      <c r="AB15" s="39">
        <f t="shared" si="2"/>
        <v>44</v>
      </c>
      <c r="AC15" s="39">
        <f t="shared" si="2"/>
        <v>14612</v>
      </c>
      <c r="AD15" s="39">
        <f t="shared" si="2"/>
        <v>41</v>
      </c>
      <c r="AE15" s="39">
        <f t="shared" si="2"/>
        <v>13678</v>
      </c>
      <c r="AF15" s="39">
        <f t="shared" si="2"/>
        <v>1</v>
      </c>
      <c r="AG15" s="39">
        <f t="shared" si="2"/>
        <v>413</v>
      </c>
      <c r="AH15" s="39">
        <f t="shared" si="2"/>
        <v>12</v>
      </c>
      <c r="AI15" s="39">
        <f t="shared" si="2"/>
        <v>4457</v>
      </c>
      <c r="AJ15" s="39">
        <f t="shared" si="2"/>
        <v>4</v>
      </c>
      <c r="AK15" s="39">
        <f t="shared" si="2"/>
        <v>901</v>
      </c>
      <c r="AL15" s="39">
        <f t="shared" si="2"/>
        <v>7</v>
      </c>
      <c r="AM15" s="39">
        <f t="shared" si="2"/>
        <v>1162</v>
      </c>
      <c r="AN15" s="39">
        <f t="shared" si="2"/>
        <v>11</v>
      </c>
      <c r="AO15" s="39">
        <f t="shared" si="2"/>
        <v>3241</v>
      </c>
      <c r="AP15" s="39">
        <f t="shared" si="2"/>
        <v>14</v>
      </c>
      <c r="AQ15" s="39">
        <f t="shared" si="2"/>
        <v>2712</v>
      </c>
      <c r="AR15" s="39">
        <f t="shared" si="2"/>
        <v>1</v>
      </c>
      <c r="AS15" s="39">
        <f t="shared" si="2"/>
        <v>812</v>
      </c>
      <c r="AT15" s="39">
        <f t="shared" si="2"/>
        <v>4</v>
      </c>
      <c r="AU15" s="39">
        <f t="shared" si="2"/>
        <v>333</v>
      </c>
      <c r="AV15" s="39">
        <f t="shared" si="2"/>
        <v>6</v>
      </c>
      <c r="AW15" s="39">
        <f t="shared" si="2"/>
        <v>925</v>
      </c>
      <c r="AX15" s="39">
        <f t="shared" si="2"/>
        <v>3</v>
      </c>
      <c r="AY15" s="39">
        <f t="shared" si="2"/>
        <v>627</v>
      </c>
      <c r="AZ15" s="39">
        <f t="shared" si="2"/>
        <v>2</v>
      </c>
      <c r="BA15" s="39">
        <f t="shared" si="2"/>
        <v>218</v>
      </c>
      <c r="BB15" s="39">
        <f t="shared" si="2"/>
        <v>10</v>
      </c>
      <c r="BC15" s="39">
        <f t="shared" si="2"/>
        <v>309</v>
      </c>
      <c r="BD15" s="39">
        <f t="shared" si="2"/>
        <v>13</v>
      </c>
      <c r="BE15" s="39">
        <f t="shared" si="2"/>
        <v>395</v>
      </c>
      <c r="BF15" s="39">
        <f t="shared" si="2"/>
        <v>9</v>
      </c>
      <c r="BG15" s="39">
        <f t="shared" si="2"/>
        <v>668</v>
      </c>
      <c r="BH15" s="39">
        <f t="shared" si="2"/>
        <v>1</v>
      </c>
      <c r="BI15" s="39">
        <f t="shared" si="2"/>
        <v>16</v>
      </c>
      <c r="BJ15" s="39">
        <f t="shared" si="2"/>
        <v>34</v>
      </c>
      <c r="BK15" s="39">
        <f t="shared" si="2"/>
        <v>1599</v>
      </c>
      <c r="BL15" s="39">
        <f t="shared" si="2"/>
        <v>20</v>
      </c>
      <c r="BM15" s="39">
        <f t="shared" si="2"/>
        <v>1223</v>
      </c>
      <c r="BN15" s="39">
        <f t="shared" si="2"/>
        <v>1</v>
      </c>
      <c r="BO15" s="39">
        <f t="shared" si="2"/>
        <v>57</v>
      </c>
      <c r="BP15" s="39">
        <f t="shared" si="2"/>
        <v>1</v>
      </c>
      <c r="BQ15" s="39">
        <f>SUM(BQ10:BQ14)</f>
        <v>48</v>
      </c>
      <c r="BR15" s="39">
        <f t="shared" ref="BR15" si="3">SUM(BR10:BR14)</f>
        <v>1</v>
      </c>
      <c r="BS15" s="39">
        <f>SUM(BS10:BS14)</f>
        <v>56</v>
      </c>
      <c r="BT15" s="39">
        <f>SUM(BT10:BT14)</f>
        <v>5</v>
      </c>
      <c r="BU15" s="39">
        <f>SUM(BU10:BU14)</f>
        <v>48</v>
      </c>
      <c r="BV15" s="39">
        <f t="shared" ref="BV15:BW15" si="4">SUM(BV10:BV14)</f>
        <v>552</v>
      </c>
      <c r="BW15" s="39">
        <f t="shared" si="4"/>
        <v>77530</v>
      </c>
    </row>
    <row r="16" spans="1:132">
      <c r="A16" s="62" t="s">
        <v>134</v>
      </c>
    </row>
    <row r="17" spans="1:3">
      <c r="A17" s="63" t="s">
        <v>135</v>
      </c>
    </row>
    <row r="18" spans="1:3">
      <c r="A18" s="63" t="s">
        <v>136</v>
      </c>
      <c r="C18" s="90"/>
    </row>
    <row r="21" spans="1:3">
      <c r="A21" s="92"/>
    </row>
    <row r="22" spans="1:3">
      <c r="A22" s="92"/>
      <c r="B22" s="92"/>
    </row>
    <row r="23" spans="1:3">
      <c r="A23" s="92"/>
      <c r="B23" s="92"/>
    </row>
    <row r="24" spans="1:3">
      <c r="A24" s="92"/>
      <c r="B24" s="92"/>
    </row>
    <row r="25" spans="1:3">
      <c r="A25" s="92"/>
      <c r="B25" s="92"/>
    </row>
    <row r="26" spans="1:3">
      <c r="A26" s="92"/>
      <c r="B26" s="92"/>
    </row>
    <row r="27" spans="1:3">
      <c r="A27" s="92"/>
      <c r="B27" s="92"/>
    </row>
    <row r="28" spans="1:3">
      <c r="A28" s="92"/>
      <c r="B28" s="92"/>
    </row>
    <row r="29" spans="1:3">
      <c r="A29" s="92"/>
      <c r="B29" s="92"/>
    </row>
    <row r="30" spans="1:3">
      <c r="A30" s="92"/>
      <c r="B30" s="92"/>
    </row>
    <row r="31" spans="1:3">
      <c r="A31" s="92"/>
      <c r="B31" s="92"/>
    </row>
    <row r="32" spans="1:3">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algorithmName="SHA-512" hashValue="8DIElsaojMjeXxgQB74E3TolxLAcXwPYGfPgzqc03aBpc89jyhSSikpBqClpwInwIwbxXg5NXgcndZTro/vCTA==" saltValue="K8yQN1PtrwyDQ1G2/kNdGQ==" spinCount="100000" sheet="1" objects="1" scenarios="1"/>
  <mergeCells count="38">
    <mergeCell ref="BP7:BQ7"/>
    <mergeCell ref="BT7:BU7"/>
    <mergeCell ref="BV7:BW7"/>
    <mergeCell ref="BD7:BE7"/>
    <mergeCell ref="BF7:BG7"/>
    <mergeCell ref="BH7:BI7"/>
    <mergeCell ref="BJ7:BK7"/>
    <mergeCell ref="BL7:BM7"/>
    <mergeCell ref="BN7:BO7"/>
    <mergeCell ref="AB7:AC7"/>
    <mergeCell ref="AD7:AE7"/>
    <mergeCell ref="AF7:AG7"/>
    <mergeCell ref="BB7:BC7"/>
    <mergeCell ref="AJ7:AK7"/>
    <mergeCell ref="AL7:AM7"/>
    <mergeCell ref="AN7:AO7"/>
    <mergeCell ref="AP7:AQ7"/>
    <mergeCell ref="AR7:AS7"/>
    <mergeCell ref="AT7:AU7"/>
    <mergeCell ref="AV7:AW7"/>
    <mergeCell ref="AX7:AY7"/>
    <mergeCell ref="AZ7:BA7"/>
    <mergeCell ref="L7:M7"/>
    <mergeCell ref="H7:I7"/>
    <mergeCell ref="BR7:BS7"/>
    <mergeCell ref="A7:A8"/>
    <mergeCell ref="B7:C7"/>
    <mergeCell ref="D7:E7"/>
    <mergeCell ref="F7:G7"/>
    <mergeCell ref="J7:K7"/>
    <mergeCell ref="AH7:AI7"/>
    <mergeCell ref="N7:O7"/>
    <mergeCell ref="P7:Q7"/>
    <mergeCell ref="R7:S7"/>
    <mergeCell ref="T7:U7"/>
    <mergeCell ref="V7:W7"/>
    <mergeCell ref="X7:Y7"/>
    <mergeCell ref="Z7:AA7"/>
  </mergeCells>
  <conditionalFormatting sqref="A10:BU14 BV10:BW15">
    <cfRule type="expression" dxfId="17" priority="1" stopIfTrue="1">
      <formula>MOD(ROW(),2)=0</formula>
    </cfRule>
  </conditionalFormatting>
  <conditionalFormatting sqref="A7:BW15 A1:XFD6 CZ7:IT15 A16:XFD65536">
    <cfRule type="expression" priority="3">
      <formula>SI(0," ")</formula>
    </cfRule>
  </conditionalFormatting>
  <conditionalFormatting sqref="L3">
    <cfRule type="expression" priority="2">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3" manualBreakCount="3">
    <brk id="19" max="1048575" man="1"/>
    <brk id="37" max="1048575" man="1"/>
    <brk id="55"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N55"/>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140625" style="77" bestFit="1" customWidth="1"/>
    <col min="5" max="5" width="14"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236</v>
      </c>
    </row>
    <row r="4" spans="1:14" s="78" customFormat="1" ht="16.5">
      <c r="A4" s="79" t="s">
        <v>237</v>
      </c>
      <c r="B4" s="80"/>
      <c r="H4" s="80"/>
      <c r="I4" s="80"/>
      <c r="L4" s="81"/>
    </row>
    <row r="5" spans="1:14" s="78" customFormat="1" ht="16.5">
      <c r="A5" s="79" t="s">
        <v>238</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120</v>
      </c>
      <c r="D11" s="83">
        <v>2549</v>
      </c>
      <c r="E11" s="83">
        <v>7827</v>
      </c>
      <c r="F11" s="85">
        <f>E11/E17</f>
        <v>0.41487331707834196</v>
      </c>
      <c r="G11" s="82"/>
      <c r="H11" s="139" t="s">
        <v>16</v>
      </c>
      <c r="I11" s="139"/>
      <c r="J11" s="83"/>
      <c r="K11" s="83"/>
      <c r="L11" s="83"/>
      <c r="M11" s="85"/>
      <c r="N11" s="82"/>
    </row>
    <row r="12" spans="1:14" ht="15">
      <c r="A12" s="139" t="s">
        <v>17</v>
      </c>
      <c r="B12" s="139"/>
      <c r="C12" s="83">
        <v>53</v>
      </c>
      <c r="D12" s="83">
        <v>1885</v>
      </c>
      <c r="E12" s="83">
        <v>5411</v>
      </c>
      <c r="F12" s="85">
        <f>E12/E17</f>
        <v>0.28681225484999467</v>
      </c>
      <c r="G12" s="82"/>
      <c r="H12" s="139" t="s">
        <v>18</v>
      </c>
      <c r="I12" s="139"/>
      <c r="J12" s="83">
        <v>6</v>
      </c>
      <c r="K12" s="83">
        <v>431</v>
      </c>
      <c r="L12" s="83">
        <v>898</v>
      </c>
      <c r="M12" s="85">
        <f t="shared" ref="M12:M19" si="0">L12/L$19</f>
        <v>0.11401726764855256</v>
      </c>
      <c r="N12" s="82"/>
    </row>
    <row r="13" spans="1:14" ht="15">
      <c r="A13" s="139" t="s">
        <v>19</v>
      </c>
      <c r="B13" s="139"/>
      <c r="C13" s="83">
        <v>35</v>
      </c>
      <c r="D13" s="83">
        <v>1681</v>
      </c>
      <c r="E13" s="83">
        <v>5043</v>
      </c>
      <c r="F13" s="85">
        <f>E13/E17</f>
        <v>0.26730626523905437</v>
      </c>
      <c r="G13" s="82"/>
      <c r="H13" s="139" t="s">
        <v>20</v>
      </c>
      <c r="I13" s="139"/>
      <c r="J13" s="83">
        <v>10</v>
      </c>
      <c r="K13" s="83">
        <v>1302</v>
      </c>
      <c r="L13" s="83">
        <v>2775</v>
      </c>
      <c r="M13" s="85">
        <f t="shared" si="0"/>
        <v>0.35233621127475878</v>
      </c>
      <c r="N13" s="82"/>
    </row>
    <row r="14" spans="1:14" ht="15">
      <c r="A14" s="139" t="s">
        <v>197</v>
      </c>
      <c r="B14" s="139"/>
      <c r="C14" s="83"/>
      <c r="D14" s="83"/>
      <c r="E14" s="83"/>
      <c r="F14" s="85"/>
      <c r="G14" s="82"/>
      <c r="H14" s="139" t="s">
        <v>145</v>
      </c>
      <c r="I14" s="139"/>
      <c r="J14" s="83">
        <v>1</v>
      </c>
      <c r="K14" s="83">
        <v>159</v>
      </c>
      <c r="L14" s="83">
        <v>517</v>
      </c>
      <c r="M14" s="85">
        <f t="shared" si="0"/>
        <v>6.5642458100558659E-2</v>
      </c>
      <c r="N14" s="82"/>
    </row>
    <row r="15" spans="1:14" ht="15">
      <c r="A15" s="139" t="s">
        <v>21</v>
      </c>
      <c r="B15" s="139"/>
      <c r="C15" s="83">
        <v>5</v>
      </c>
      <c r="D15" s="83">
        <v>189</v>
      </c>
      <c r="E15" s="83">
        <v>585</v>
      </c>
      <c r="F15" s="85">
        <f>E15/E17</f>
        <v>3.1008162832608925E-2</v>
      </c>
      <c r="G15" s="82"/>
      <c r="H15" s="139" t="s">
        <v>22</v>
      </c>
      <c r="I15" s="139"/>
      <c r="J15" s="83">
        <v>15</v>
      </c>
      <c r="K15" s="83">
        <v>1222</v>
      </c>
      <c r="L15" s="83">
        <v>2722</v>
      </c>
      <c r="M15" s="85">
        <f t="shared" si="0"/>
        <v>0.34560690705942104</v>
      </c>
      <c r="N15" s="82"/>
    </row>
    <row r="16" spans="1:14" ht="15">
      <c r="A16" s="139" t="s">
        <v>211</v>
      </c>
      <c r="B16" s="139"/>
      <c r="C16" s="83"/>
      <c r="D16" s="83"/>
      <c r="E16" s="83"/>
      <c r="F16" s="85"/>
      <c r="G16" s="82"/>
      <c r="H16" s="139" t="s">
        <v>146</v>
      </c>
      <c r="I16" s="139"/>
      <c r="J16" s="83">
        <v>1</v>
      </c>
      <c r="K16" s="83">
        <v>63</v>
      </c>
      <c r="L16" s="83">
        <v>152</v>
      </c>
      <c r="M16" s="85">
        <f t="shared" si="0"/>
        <v>1.9299136617572373E-2</v>
      </c>
      <c r="N16" s="82"/>
    </row>
    <row r="17" spans="1:14" ht="15">
      <c r="A17" s="140" t="s">
        <v>23</v>
      </c>
      <c r="B17" s="140"/>
      <c r="C17" s="93">
        <f>SUM(C11:C16)</f>
        <v>213</v>
      </c>
      <c r="D17" s="93">
        <f>SUM(D11:D16)</f>
        <v>6304</v>
      </c>
      <c r="E17" s="93">
        <f>SUM(E11:E16)</f>
        <v>18866</v>
      </c>
      <c r="F17" s="23">
        <f>SUM(F11:F16)</f>
        <v>0.99999999999999978</v>
      </c>
      <c r="G17" s="82"/>
      <c r="H17" s="139" t="s">
        <v>24</v>
      </c>
      <c r="I17" s="139"/>
      <c r="J17" s="83">
        <v>1</v>
      </c>
      <c r="K17" s="83">
        <v>421</v>
      </c>
      <c r="L17" s="83">
        <v>812</v>
      </c>
      <c r="M17" s="85">
        <f t="shared" si="0"/>
        <v>0.10309801929913662</v>
      </c>
      <c r="N17" s="82"/>
    </row>
    <row r="18" spans="1:14" ht="15">
      <c r="A18" s="139"/>
      <c r="B18" s="139"/>
      <c r="F18" s="85"/>
      <c r="G18" s="82"/>
      <c r="H18" s="139" t="s">
        <v>147</v>
      </c>
      <c r="I18" s="139"/>
      <c r="J18" s="83"/>
      <c r="K18" s="83"/>
      <c r="L18" s="83"/>
      <c r="M18" s="85"/>
      <c r="N18" s="82"/>
    </row>
    <row r="19" spans="1:14" ht="15">
      <c r="A19" s="140" t="s">
        <v>26</v>
      </c>
      <c r="B19" s="140"/>
      <c r="C19" s="93">
        <v>10</v>
      </c>
      <c r="D19" s="93">
        <v>156</v>
      </c>
      <c r="E19" s="93">
        <v>309</v>
      </c>
      <c r="F19" s="94">
        <v>1</v>
      </c>
      <c r="G19" s="82"/>
      <c r="H19" s="140" t="s">
        <v>25</v>
      </c>
      <c r="I19" s="140"/>
      <c r="J19" s="93">
        <f>J11+J12+J13+J14+J15+J16+J17+J18</f>
        <v>34</v>
      </c>
      <c r="K19" s="93">
        <f>K11+K12+K13+K14+K15+K16+K17+K18</f>
        <v>3598</v>
      </c>
      <c r="L19" s="93">
        <f>L11+L12+L13+L14+L15+L16+L17+L18</f>
        <v>7876</v>
      </c>
      <c r="M19" s="94">
        <f t="shared" si="0"/>
        <v>1</v>
      </c>
      <c r="N19" s="82"/>
    </row>
    <row r="20" spans="1:14" ht="15">
      <c r="A20" s="140" t="s">
        <v>27</v>
      </c>
      <c r="B20" s="140"/>
      <c r="C20" s="93">
        <v>34</v>
      </c>
      <c r="D20" s="93">
        <v>286</v>
      </c>
      <c r="E20" s="93">
        <v>580</v>
      </c>
      <c r="F20" s="94">
        <v>1</v>
      </c>
      <c r="G20" s="82"/>
      <c r="H20" s="139"/>
      <c r="I20" s="139"/>
      <c r="J20" s="83"/>
      <c r="K20" s="83"/>
      <c r="L20" s="83"/>
      <c r="M20" s="85"/>
      <c r="N20" s="82"/>
    </row>
    <row r="21" spans="1:14" ht="15">
      <c r="A21" s="140" t="s">
        <v>29</v>
      </c>
      <c r="B21" s="140"/>
      <c r="C21" s="93">
        <v>3</v>
      </c>
      <c r="D21" s="93">
        <v>16</v>
      </c>
      <c r="E21" s="93">
        <v>30</v>
      </c>
      <c r="F21" s="94">
        <v>1</v>
      </c>
      <c r="G21" s="82"/>
      <c r="H21" s="139" t="s">
        <v>28</v>
      </c>
      <c r="I21" s="139"/>
      <c r="J21" s="83">
        <v>1</v>
      </c>
      <c r="K21" s="83">
        <v>24</v>
      </c>
      <c r="L21" s="83">
        <v>48</v>
      </c>
      <c r="M21" s="102">
        <f>L21/L$25</f>
        <v>1</v>
      </c>
      <c r="N21" s="82"/>
    </row>
    <row r="22" spans="1:14" ht="15">
      <c r="A22" s="140" t="s">
        <v>94</v>
      </c>
      <c r="B22" s="140"/>
      <c r="C22" s="93">
        <v>5</v>
      </c>
      <c r="D22" s="93"/>
      <c r="E22" s="93">
        <v>1598</v>
      </c>
      <c r="F22" s="94">
        <v>1</v>
      </c>
      <c r="G22" s="82"/>
      <c r="H22" s="139" t="s">
        <v>30</v>
      </c>
      <c r="I22" s="139"/>
      <c r="J22" s="83"/>
      <c r="K22" s="83"/>
      <c r="L22" s="83"/>
      <c r="M22" s="85"/>
      <c r="N22" s="82"/>
    </row>
    <row r="23" spans="1:14" ht="15">
      <c r="A23" s="139"/>
      <c r="B23" s="139"/>
      <c r="C23" s="83"/>
      <c r="D23" s="83"/>
      <c r="E23" s="83"/>
      <c r="F23" s="85"/>
      <c r="G23" s="82"/>
      <c r="H23" s="139" t="s">
        <v>31</v>
      </c>
      <c r="I23" s="139"/>
      <c r="J23" s="83"/>
      <c r="K23" s="83"/>
      <c r="L23" s="83"/>
      <c r="M23" s="85"/>
      <c r="N23" s="82"/>
    </row>
    <row r="24" spans="1:14" ht="15">
      <c r="A24" s="139" t="s">
        <v>42</v>
      </c>
      <c r="B24" s="139"/>
      <c r="F24" s="85"/>
      <c r="G24" s="82"/>
      <c r="H24" s="139" t="s">
        <v>33</v>
      </c>
      <c r="I24" s="139"/>
      <c r="J24" s="83"/>
      <c r="K24" s="83"/>
      <c r="L24" s="83"/>
      <c r="M24" s="85"/>
      <c r="N24" s="82"/>
    </row>
    <row r="25" spans="1:14" ht="15">
      <c r="A25" s="139" t="s">
        <v>44</v>
      </c>
      <c r="B25" s="139"/>
      <c r="C25" s="83">
        <v>2</v>
      </c>
      <c r="D25" s="83">
        <v>706</v>
      </c>
      <c r="E25" s="83">
        <v>1719</v>
      </c>
      <c r="F25" s="85">
        <f>E25/E$27</f>
        <v>0.75361683472161334</v>
      </c>
      <c r="G25" s="82"/>
      <c r="H25" s="140" t="s">
        <v>37</v>
      </c>
      <c r="I25" s="140"/>
      <c r="J25" s="93">
        <f>SUM(J21:J24)</f>
        <v>1</v>
      </c>
      <c r="K25" s="93">
        <f>SUM(K21:K24)</f>
        <v>24</v>
      </c>
      <c r="L25" s="93">
        <f>SUM(L21:L24)</f>
        <v>48</v>
      </c>
      <c r="M25" s="94">
        <f>SUM(M21:M24)</f>
        <v>1</v>
      </c>
      <c r="N25" s="82"/>
    </row>
    <row r="26" spans="1:14" ht="15">
      <c r="A26" s="139" t="s">
        <v>46</v>
      </c>
      <c r="B26" s="139"/>
      <c r="C26" s="83">
        <v>1</v>
      </c>
      <c r="D26" s="83">
        <v>243</v>
      </c>
      <c r="E26" s="83">
        <v>562</v>
      </c>
      <c r="F26" s="85">
        <f>E26/E$27</f>
        <v>0.24638316527838666</v>
      </c>
      <c r="G26" s="82"/>
      <c r="H26" s="141"/>
      <c r="I26" s="141"/>
      <c r="M26" s="83"/>
      <c r="N26" s="82"/>
    </row>
    <row r="27" spans="1:14" ht="15">
      <c r="A27" s="140" t="s">
        <v>47</v>
      </c>
      <c r="B27" s="140"/>
      <c r="C27" s="93">
        <f>C24+C25+C26</f>
        <v>3</v>
      </c>
      <c r="D27" s="93">
        <f>D24+D25+D26</f>
        <v>949</v>
      </c>
      <c r="E27" s="93">
        <f>E24+E25+E26</f>
        <v>2281</v>
      </c>
      <c r="F27" s="94">
        <f>F24+F25+F26</f>
        <v>1</v>
      </c>
      <c r="G27" s="82"/>
      <c r="H27" s="139" t="s">
        <v>40</v>
      </c>
      <c r="I27" s="139"/>
      <c r="J27" s="83">
        <v>13</v>
      </c>
      <c r="K27" s="83">
        <v>209</v>
      </c>
      <c r="L27" s="83">
        <v>395</v>
      </c>
      <c r="M27" s="85">
        <f>L27/L$30</f>
        <v>0.36710037174721188</v>
      </c>
      <c r="N27" s="82"/>
    </row>
    <row r="28" spans="1:14" ht="15">
      <c r="A28" s="139"/>
      <c r="B28" s="139"/>
      <c r="F28" s="85"/>
      <c r="G28" s="82"/>
      <c r="H28" s="139" t="s">
        <v>41</v>
      </c>
      <c r="I28" s="139"/>
      <c r="J28" s="83">
        <v>9</v>
      </c>
      <c r="K28" s="83">
        <v>370</v>
      </c>
      <c r="L28" s="83">
        <v>665</v>
      </c>
      <c r="M28" s="85">
        <f>L28/L$30</f>
        <v>0.61802973977695164</v>
      </c>
      <c r="N28" s="82"/>
    </row>
    <row r="29" spans="1:14" ht="15">
      <c r="A29" s="139" t="s">
        <v>50</v>
      </c>
      <c r="B29" s="139"/>
      <c r="C29" s="83">
        <v>6</v>
      </c>
      <c r="D29" s="83">
        <v>302</v>
      </c>
      <c r="E29" s="83">
        <v>570</v>
      </c>
      <c r="F29" s="85">
        <f>E29/E$37</f>
        <v>1.4366005494367014E-2</v>
      </c>
      <c r="G29" s="82"/>
      <c r="H29" s="139" t="s">
        <v>43</v>
      </c>
      <c r="I29" s="139"/>
      <c r="J29" s="83">
        <v>1</v>
      </c>
      <c r="K29" s="83">
        <v>8</v>
      </c>
      <c r="L29" s="83">
        <v>16</v>
      </c>
      <c r="M29" s="85">
        <f>L29/L$30</f>
        <v>1.4869888475836431E-2</v>
      </c>
      <c r="N29" s="82"/>
    </row>
    <row r="30" spans="1:14" ht="15">
      <c r="A30" s="139" t="s">
        <v>52</v>
      </c>
      <c r="B30" s="139"/>
      <c r="C30" s="83">
        <v>13</v>
      </c>
      <c r="D30" s="83">
        <v>1323</v>
      </c>
      <c r="E30" s="83">
        <v>2464</v>
      </c>
      <c r="F30" s="85">
        <f t="shared" ref="F30:F36" si="1">E30/E$37</f>
        <v>6.2101469365123368E-2</v>
      </c>
      <c r="G30" s="82"/>
      <c r="H30" s="140" t="s">
        <v>45</v>
      </c>
      <c r="I30" s="140"/>
      <c r="J30" s="93">
        <f>J27+J28+J29</f>
        <v>23</v>
      </c>
      <c r="K30" s="93">
        <f>K27+K28+K29</f>
        <v>587</v>
      </c>
      <c r="L30" s="93">
        <f>L27+L28+L29</f>
        <v>1076</v>
      </c>
      <c r="M30" s="94">
        <f>M27+M28+M29</f>
        <v>1</v>
      </c>
      <c r="N30" s="82"/>
    </row>
    <row r="31" spans="1:14" ht="15">
      <c r="A31" s="139" t="s">
        <v>54</v>
      </c>
      <c r="B31" s="139"/>
      <c r="C31" s="83">
        <v>39</v>
      </c>
      <c r="D31" s="83">
        <v>6185</v>
      </c>
      <c r="E31" s="83">
        <v>11920</v>
      </c>
      <c r="F31" s="85">
        <f t="shared" si="1"/>
        <v>0.30042593946114876</v>
      </c>
      <c r="G31" s="82"/>
      <c r="H31" s="141"/>
      <c r="I31" s="141"/>
      <c r="M31" s="83"/>
      <c r="N31" s="82"/>
    </row>
    <row r="32" spans="1:14" ht="15">
      <c r="A32" s="139" t="s">
        <v>143</v>
      </c>
      <c r="B32" s="139"/>
      <c r="C32" s="83">
        <v>1</v>
      </c>
      <c r="D32" s="83">
        <v>195</v>
      </c>
      <c r="E32" s="83">
        <v>370</v>
      </c>
      <c r="F32" s="85">
        <f t="shared" si="1"/>
        <v>9.3253018121329731E-3</v>
      </c>
      <c r="G32" s="82"/>
      <c r="H32" s="139" t="s">
        <v>48</v>
      </c>
      <c r="I32" s="139"/>
      <c r="J32" s="83">
        <v>31</v>
      </c>
      <c r="K32" s="83">
        <v>777</v>
      </c>
      <c r="L32" s="83">
        <v>1402</v>
      </c>
      <c r="M32" s="85">
        <f>L32/L$35</f>
        <v>0.53206831119544595</v>
      </c>
      <c r="N32" s="82"/>
    </row>
    <row r="33" spans="1:14" ht="15">
      <c r="A33" s="139" t="s">
        <v>91</v>
      </c>
      <c r="B33" s="139"/>
      <c r="C33" s="83">
        <v>42</v>
      </c>
      <c r="D33" s="83">
        <v>7974</v>
      </c>
      <c r="E33" s="83">
        <v>15452</v>
      </c>
      <c r="F33" s="85">
        <f t="shared" si="1"/>
        <v>0.38944476648940191</v>
      </c>
      <c r="G33" s="82"/>
      <c r="H33" s="139" t="s">
        <v>49</v>
      </c>
      <c r="I33" s="139"/>
      <c r="J33" s="83">
        <v>19</v>
      </c>
      <c r="K33" s="83">
        <v>588</v>
      </c>
      <c r="L33" s="83">
        <v>1126</v>
      </c>
      <c r="M33" s="85">
        <f>L33/L$35</f>
        <v>0.42732447817836811</v>
      </c>
      <c r="N33" s="82"/>
    </row>
    <row r="34" spans="1:14" ht="15">
      <c r="A34" s="139" t="s">
        <v>144</v>
      </c>
      <c r="B34" s="139"/>
      <c r="C34" s="83">
        <v>6</v>
      </c>
      <c r="D34" s="83">
        <v>1156</v>
      </c>
      <c r="E34" s="83">
        <v>2104</v>
      </c>
      <c r="F34" s="85">
        <f t="shared" si="1"/>
        <v>5.3028202737102098E-2</v>
      </c>
      <c r="G34" s="82"/>
      <c r="H34" s="139" t="s">
        <v>51</v>
      </c>
      <c r="I34" s="139"/>
      <c r="J34" s="83">
        <v>2</v>
      </c>
      <c r="K34" s="83">
        <v>55</v>
      </c>
      <c r="L34" s="83">
        <v>107</v>
      </c>
      <c r="M34" s="85">
        <f>L34/L$35</f>
        <v>4.0607210626185955E-2</v>
      </c>
      <c r="N34" s="82"/>
    </row>
    <row r="35" spans="1:14" ht="15">
      <c r="A35" s="139" t="s">
        <v>57</v>
      </c>
      <c r="B35" s="139"/>
      <c r="C35" s="83">
        <v>10</v>
      </c>
      <c r="D35" s="83">
        <v>2517</v>
      </c>
      <c r="E35" s="83">
        <v>4939</v>
      </c>
      <c r="F35" s="85">
        <f t="shared" si="1"/>
        <v>0.12448017743276961</v>
      </c>
      <c r="G35" s="82"/>
      <c r="H35" s="140" t="s">
        <v>53</v>
      </c>
      <c r="I35" s="140"/>
      <c r="J35" s="93">
        <f>J32+J33+J34</f>
        <v>52</v>
      </c>
      <c r="K35" s="93">
        <f>K32+K33+K34</f>
        <v>1420</v>
      </c>
      <c r="L35" s="93">
        <f>L32+L33+L34</f>
        <v>2635</v>
      </c>
      <c r="M35" s="94">
        <f>M32+M33+M34</f>
        <v>1</v>
      </c>
      <c r="N35" s="82"/>
    </row>
    <row r="36" spans="1:14" ht="15">
      <c r="A36" s="139" t="s">
        <v>59</v>
      </c>
      <c r="B36" s="139"/>
      <c r="C36" s="83">
        <v>6</v>
      </c>
      <c r="D36" s="83">
        <v>854</v>
      </c>
      <c r="E36" s="83">
        <v>1858</v>
      </c>
      <c r="F36" s="85">
        <f t="shared" si="1"/>
        <v>4.6828137207954229E-2</v>
      </c>
      <c r="G36" s="82"/>
      <c r="H36" s="142"/>
      <c r="I36" s="142"/>
      <c r="J36" s="83"/>
      <c r="K36" s="83"/>
      <c r="L36" s="83"/>
      <c r="M36" s="83"/>
      <c r="N36" s="82"/>
    </row>
    <row r="37" spans="1:14" ht="15">
      <c r="A37" s="140" t="s">
        <v>61</v>
      </c>
      <c r="B37" s="140"/>
      <c r="C37" s="93">
        <f>C29+C30+C31+C32+C33+C34+C35+C36</f>
        <v>123</v>
      </c>
      <c r="D37" s="93">
        <f>D29+D30+D31+D32+D33+D34+D35+D36</f>
        <v>20506</v>
      </c>
      <c r="E37" s="93">
        <f>E29+E30+E31+E32+E33+E34+E35+E36</f>
        <v>39677</v>
      </c>
      <c r="F37" s="94">
        <f>F29+F30+F31+F32+F33+F34+F35+F36</f>
        <v>0.99999999999999989</v>
      </c>
      <c r="G37" s="82"/>
      <c r="H37" s="140" t="s">
        <v>56</v>
      </c>
      <c r="I37" s="140"/>
      <c r="J37" s="93">
        <v>22</v>
      </c>
      <c r="K37" s="93">
        <v>222</v>
      </c>
      <c r="L37" s="93">
        <v>418</v>
      </c>
      <c r="M37" s="94">
        <v>1</v>
      </c>
      <c r="N37" s="82"/>
    </row>
    <row r="38" spans="1:14" ht="15">
      <c r="A38" s="141"/>
      <c r="B38" s="141"/>
      <c r="C38" s="83"/>
      <c r="D38" s="83"/>
      <c r="E38" s="83"/>
      <c r="F38" s="85"/>
      <c r="G38" s="82"/>
      <c r="H38" s="140" t="s">
        <v>58</v>
      </c>
      <c r="I38" s="140"/>
      <c r="J38" s="93">
        <v>3</v>
      </c>
      <c r="K38" s="93">
        <v>36</v>
      </c>
      <c r="L38" s="93">
        <v>58</v>
      </c>
      <c r="M38" s="94">
        <v>1</v>
      </c>
      <c r="N38" s="82"/>
    </row>
    <row r="39" spans="1:14" ht="15">
      <c r="A39" s="139" t="s">
        <v>62</v>
      </c>
      <c r="B39" s="139"/>
      <c r="C39" s="83">
        <v>4</v>
      </c>
      <c r="D39" s="83">
        <v>174</v>
      </c>
      <c r="E39" s="83">
        <v>331</v>
      </c>
      <c r="F39" s="85">
        <f>E39/E$44</f>
        <v>0.17662753468516543</v>
      </c>
      <c r="G39" s="82"/>
      <c r="H39" s="140" t="s">
        <v>60</v>
      </c>
      <c r="I39" s="140"/>
      <c r="J39" s="93"/>
      <c r="K39" s="93"/>
      <c r="L39" s="93"/>
      <c r="M39" s="94"/>
      <c r="N39" s="82"/>
    </row>
    <row r="40" spans="1:14" ht="15">
      <c r="A40" s="139" t="s">
        <v>63</v>
      </c>
      <c r="B40" s="139"/>
      <c r="C40" s="83">
        <v>6</v>
      </c>
      <c r="D40" s="83">
        <v>490</v>
      </c>
      <c r="E40" s="83">
        <v>925</v>
      </c>
      <c r="F40" s="85">
        <f>E40/E$44</f>
        <v>0.49359658484525082</v>
      </c>
      <c r="G40" s="82"/>
      <c r="H40" s="140" t="s">
        <v>226</v>
      </c>
      <c r="I40" s="140"/>
      <c r="J40" s="93"/>
      <c r="K40" s="93"/>
      <c r="L40" s="93"/>
      <c r="M40" s="94"/>
      <c r="N40" s="82"/>
    </row>
    <row r="41" spans="1:14" ht="15">
      <c r="A41" s="139" t="s">
        <v>64</v>
      </c>
      <c r="B41" s="139"/>
      <c r="C41" s="83">
        <v>3</v>
      </c>
      <c r="D41" s="83">
        <v>201</v>
      </c>
      <c r="E41" s="83">
        <v>400</v>
      </c>
      <c r="F41" s="85">
        <f>E41/E$44</f>
        <v>0.21344717182497333</v>
      </c>
      <c r="G41" s="82"/>
      <c r="H41" s="84"/>
      <c r="I41" s="84"/>
      <c r="N41" s="82"/>
    </row>
    <row r="42" spans="1:14" ht="15">
      <c r="A42" s="139" t="s">
        <v>93</v>
      </c>
      <c r="B42" s="139"/>
      <c r="C42" s="83">
        <v>2</v>
      </c>
      <c r="D42" s="83">
        <v>126</v>
      </c>
      <c r="E42" s="83">
        <v>218</v>
      </c>
      <c r="F42" s="85">
        <f>E42/E$44</f>
        <v>0.11632870864461047</v>
      </c>
      <c r="G42" s="82"/>
      <c r="H42" s="140" t="s">
        <v>65</v>
      </c>
      <c r="I42" s="140"/>
      <c r="J42" s="93">
        <f>C17+C19+C20+C21+C22+C27+C37+C44+J19+J25+J30+J35+J37+J38+J39</f>
        <v>541</v>
      </c>
      <c r="K42" s="93">
        <f>D17+D19+D20+D21+D22+D27+D37+D44+K19+K25+K30+K35+K37+K38+K39</f>
        <v>35095</v>
      </c>
      <c r="L42" s="93">
        <f>E17+E19+E20+E21+E22+E27+E37+E44+L19+L25+L30+L35+L37+L38+L39</f>
        <v>77326</v>
      </c>
      <c r="M42" s="82"/>
      <c r="N42" s="82"/>
    </row>
    <row r="43" spans="1:14" ht="15">
      <c r="A43" s="139" t="s">
        <v>67</v>
      </c>
      <c r="B43" s="139"/>
      <c r="F43" s="85"/>
      <c r="G43" s="82"/>
      <c r="L43" s="100"/>
      <c r="N43" s="82"/>
    </row>
    <row r="44" spans="1:14" ht="15">
      <c r="A44" s="140" t="s">
        <v>68</v>
      </c>
      <c r="B44" s="140"/>
      <c r="C44" s="93">
        <f>C39+C40+C41+C42+C43</f>
        <v>15</v>
      </c>
      <c r="D44" s="93">
        <f>D39+D40+D41+D42+D43</f>
        <v>991</v>
      </c>
      <c r="E44" s="93">
        <f>E39+E40+E41+E42+E43</f>
        <v>1874</v>
      </c>
      <c r="F44" s="94">
        <f>F39+F40+F41+F42+F43</f>
        <v>1</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row>
    <row r="54" spans="1:14">
      <c r="A54" s="77"/>
      <c r="B54" s="77"/>
    </row>
    <row r="55" spans="1:14">
      <c r="A55" s="77"/>
      <c r="B55" s="77"/>
    </row>
  </sheetData>
  <sheetProtection algorithmName="SHA-512" hashValue="FjD+FzCk0P0JaUL5U8SpWLDVuO1F3DqZjt1/XPWF3LZRYsUDRKqAs4c1NQmugv8wWen0xds/HyoW/mxHAo+13g==" saltValue="4Tnz5RvqRai8Z6oaoWcOew==" spinCount="100000" sheet="1" objects="1" scenarios="1"/>
  <mergeCells count="79">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46:B46"/>
    <mergeCell ref="A38:B38"/>
    <mergeCell ref="H38:I38"/>
    <mergeCell ref="A39:B39"/>
    <mergeCell ref="H39:I39"/>
    <mergeCell ref="A40:B40"/>
    <mergeCell ref="H40:I40"/>
    <mergeCell ref="A41:B41"/>
    <mergeCell ref="A42:B42"/>
    <mergeCell ref="H42:I42"/>
    <mergeCell ref="A43:B43"/>
    <mergeCell ref="A44:B44"/>
    <mergeCell ref="A53:B53"/>
    <mergeCell ref="A47:B47"/>
    <mergeCell ref="A48:B48"/>
    <mergeCell ref="A49:B49"/>
    <mergeCell ref="A50:B50"/>
    <mergeCell ref="A51:B51"/>
    <mergeCell ref="A52:B52"/>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D44"/>
  <sheetViews>
    <sheetView showGridLines="0" zoomScaleNormal="100" zoomScaleSheetLayoutView="100" workbookViewId="0"/>
  </sheetViews>
  <sheetFormatPr baseColWidth="10" defaultColWidth="9.140625" defaultRowHeight="12.75"/>
  <cols>
    <col min="1" max="1" width="80.5703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5" width="8.7109375" style="57" customWidth="1"/>
    <col min="36" max="36" width="9.140625" style="57" customWidth="1"/>
    <col min="37" max="37" width="8.7109375" style="57" customWidth="1"/>
    <col min="38" max="38" width="9.140625" style="57" customWidth="1"/>
    <col min="39" max="39" width="8.28515625" style="57" customWidth="1"/>
    <col min="40" max="40" width="9.140625" style="57" customWidth="1"/>
    <col min="41" max="41" width="8.28515625" style="57" customWidth="1"/>
    <col min="42" max="42" width="9.140625" style="57" customWidth="1"/>
    <col min="43" max="43" width="8.28515625" style="57" customWidth="1"/>
    <col min="44" max="44" width="9.140625" style="57" customWidth="1"/>
    <col min="45" max="45" width="8.28515625" style="57" customWidth="1"/>
    <col min="46" max="46" width="9.5703125" style="57" customWidth="1"/>
    <col min="47" max="47" width="8.28515625" style="57" customWidth="1"/>
    <col min="48" max="48" width="9.140625" style="57" customWidth="1"/>
    <col min="49" max="49" width="8.28515625" style="57" customWidth="1"/>
    <col min="50" max="50" width="9.140625" style="57" customWidth="1"/>
    <col min="51" max="51" width="8.28515625" style="57" customWidth="1"/>
    <col min="52" max="52" width="9.140625" style="57" customWidth="1"/>
    <col min="53" max="53" width="8.28515625" style="57" customWidth="1"/>
    <col min="54" max="54" width="9.140625" style="57" customWidth="1"/>
    <col min="55" max="55" width="8.28515625" style="57" customWidth="1"/>
    <col min="56" max="56" width="8.7109375" style="57" customWidth="1"/>
    <col min="57" max="57" width="8.28515625" style="57" customWidth="1"/>
    <col min="58" max="58" width="8.7109375" style="57" customWidth="1"/>
    <col min="59" max="59" width="8.28515625" style="57" customWidth="1"/>
    <col min="60" max="60" width="8.7109375" style="57" customWidth="1"/>
    <col min="61" max="61" width="8.28515625" style="57" customWidth="1"/>
    <col min="62" max="62" width="9.140625" style="57" customWidth="1"/>
    <col min="63" max="63" width="8.28515625" style="57" customWidth="1"/>
    <col min="64" max="64" width="9.140625" style="57" customWidth="1"/>
    <col min="65" max="65" width="8.28515625" style="57" customWidth="1"/>
    <col min="66" max="66" width="9.140625" style="57" customWidth="1"/>
    <col min="67" max="67" width="8.28515625" style="57" customWidth="1"/>
    <col min="68" max="68" width="9.140625" style="57"/>
    <col min="69" max="69" width="8.28515625" style="57" customWidth="1"/>
    <col min="70" max="70" width="9.140625" style="57" customWidth="1"/>
    <col min="71" max="71" width="8.28515625" style="57" customWidth="1"/>
    <col min="72" max="72" width="12.28515625" style="57" customWidth="1"/>
    <col min="73" max="73" width="8.28515625" style="57" customWidth="1"/>
    <col min="74" max="16384" width="9.140625" style="57"/>
  </cols>
  <sheetData>
    <row r="1" spans="1:134" ht="16.5">
      <c r="A1" s="75"/>
    </row>
    <row r="2" spans="1:134">
      <c r="A2" s="77"/>
    </row>
    <row r="3" spans="1:134" ht="16.5">
      <c r="A3" s="5" t="s">
        <v>233</v>
      </c>
    </row>
    <row r="4" spans="1:134" s="88" customFormat="1" ht="16.5">
      <c r="A4" s="30" t="s">
        <v>234</v>
      </c>
    </row>
    <row r="5" spans="1:134" s="88" customFormat="1" ht="16.5">
      <c r="A5" s="30" t="s">
        <v>235</v>
      </c>
    </row>
    <row r="6" spans="1:134" s="88" customFormat="1"/>
    <row r="7" spans="1:134" s="89" customFormat="1" ht="15" customHeight="1">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143</v>
      </c>
      <c r="AC7" s="143"/>
      <c r="AD7" s="143" t="s">
        <v>91</v>
      </c>
      <c r="AE7" s="143"/>
      <c r="AF7" s="143" t="s">
        <v>144</v>
      </c>
      <c r="AG7" s="143"/>
      <c r="AH7" s="143" t="s">
        <v>162</v>
      </c>
      <c r="AI7" s="143"/>
      <c r="AJ7" s="143" t="s">
        <v>198</v>
      </c>
      <c r="AK7" s="143"/>
      <c r="AL7" s="143" t="s">
        <v>18</v>
      </c>
      <c r="AM7" s="143"/>
      <c r="AN7" s="143" t="s">
        <v>20</v>
      </c>
      <c r="AO7" s="143"/>
      <c r="AP7" s="143" t="s">
        <v>212</v>
      </c>
      <c r="AQ7" s="143"/>
      <c r="AR7" s="143" t="s">
        <v>22</v>
      </c>
      <c r="AS7" s="143"/>
      <c r="AT7" s="143" t="s">
        <v>213</v>
      </c>
      <c r="AU7" s="143"/>
      <c r="AV7" s="143" t="s">
        <v>24</v>
      </c>
      <c r="AW7" s="143"/>
      <c r="AX7" s="143" t="s">
        <v>92</v>
      </c>
      <c r="AY7" s="143"/>
      <c r="AZ7" s="143" t="s">
        <v>63</v>
      </c>
      <c r="BA7" s="143"/>
      <c r="BB7" s="143" t="s">
        <v>64</v>
      </c>
      <c r="BC7" s="143"/>
      <c r="BD7" s="143" t="s">
        <v>93</v>
      </c>
      <c r="BE7" s="143"/>
      <c r="BF7" s="143" t="s">
        <v>26</v>
      </c>
      <c r="BG7" s="143"/>
      <c r="BH7" s="143" t="s">
        <v>40</v>
      </c>
      <c r="BI7" s="143"/>
      <c r="BJ7" s="143" t="s">
        <v>41</v>
      </c>
      <c r="BK7" s="143"/>
      <c r="BL7" s="143" t="s">
        <v>43</v>
      </c>
      <c r="BM7" s="143"/>
      <c r="BN7" s="143" t="s">
        <v>48</v>
      </c>
      <c r="BO7" s="143"/>
      <c r="BP7" s="143" t="s">
        <v>49</v>
      </c>
      <c r="BQ7" s="143"/>
      <c r="BR7" s="143" t="s">
        <v>51</v>
      </c>
      <c r="BS7" s="143"/>
      <c r="BT7" s="143" t="s">
        <v>28</v>
      </c>
      <c r="BU7" s="143"/>
      <c r="BV7" s="143" t="s">
        <v>29</v>
      </c>
      <c r="BW7" s="143"/>
      <c r="BX7" s="143" t="s">
        <v>65</v>
      </c>
      <c r="BY7" s="143"/>
    </row>
    <row r="8" spans="1:134" s="89" customFormat="1" ht="15" customHeight="1">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t="s">
        <v>80</v>
      </c>
      <c r="BX8" s="38"/>
      <c r="BY8" s="38"/>
    </row>
    <row r="9" spans="1:134"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c r="BX9" s="38" t="s">
        <v>82</v>
      </c>
      <c r="BY9" s="38" t="s">
        <v>83</v>
      </c>
    </row>
    <row r="10" spans="1:134" ht="15">
      <c r="A10" s="37" t="s">
        <v>217</v>
      </c>
      <c r="B10" s="12">
        <v>24</v>
      </c>
      <c r="C10" s="12">
        <v>1509</v>
      </c>
      <c r="D10" s="12">
        <v>10</v>
      </c>
      <c r="E10" s="12">
        <v>829</v>
      </c>
      <c r="F10" s="12">
        <v>6</v>
      </c>
      <c r="G10" s="12">
        <v>1517</v>
      </c>
      <c r="H10" s="12">
        <v>2</v>
      </c>
      <c r="I10" s="12">
        <v>162</v>
      </c>
      <c r="J10" s="12"/>
      <c r="K10" s="12"/>
      <c r="L10" s="12">
        <v>11</v>
      </c>
      <c r="M10" s="12">
        <v>190</v>
      </c>
      <c r="N10" s="12"/>
      <c r="O10" s="12"/>
      <c r="P10" s="12"/>
      <c r="Q10" s="12"/>
      <c r="R10" s="12"/>
      <c r="S10" s="12"/>
      <c r="T10" s="12"/>
      <c r="U10" s="12"/>
      <c r="V10" s="12">
        <v>3</v>
      </c>
      <c r="W10" s="12">
        <v>245</v>
      </c>
      <c r="X10" s="12">
        <v>1</v>
      </c>
      <c r="Y10" s="12">
        <v>158</v>
      </c>
      <c r="Z10" s="12">
        <v>7</v>
      </c>
      <c r="AA10" s="12">
        <v>962</v>
      </c>
      <c r="AB10" s="12"/>
      <c r="AC10" s="12"/>
      <c r="AD10" s="12">
        <v>9</v>
      </c>
      <c r="AE10" s="12">
        <v>3150</v>
      </c>
      <c r="AF10" s="12">
        <v>2</v>
      </c>
      <c r="AG10" s="12">
        <v>818</v>
      </c>
      <c r="AH10" s="12">
        <v>3</v>
      </c>
      <c r="AI10" s="12">
        <v>349</v>
      </c>
      <c r="AJ10" s="12">
        <v>2</v>
      </c>
      <c r="AK10" s="12">
        <v>627</v>
      </c>
      <c r="AL10" s="12">
        <v>1</v>
      </c>
      <c r="AM10" s="12">
        <v>213</v>
      </c>
      <c r="AN10" s="12"/>
      <c r="AO10" s="12"/>
      <c r="AP10" s="12">
        <v>1</v>
      </c>
      <c r="AQ10" s="12">
        <v>517</v>
      </c>
      <c r="AR10" s="12"/>
      <c r="AS10" s="12"/>
      <c r="AT10" s="12"/>
      <c r="AU10" s="12"/>
      <c r="AV10" s="12"/>
      <c r="AW10" s="12"/>
      <c r="AX10" s="12">
        <v>1</v>
      </c>
      <c r="AY10" s="12">
        <v>85</v>
      </c>
      <c r="AZ10" s="12">
        <v>3</v>
      </c>
      <c r="BA10" s="12">
        <v>411</v>
      </c>
      <c r="BB10" s="12"/>
      <c r="BC10" s="12"/>
      <c r="BD10" s="12">
        <v>1</v>
      </c>
      <c r="BE10" s="12">
        <v>199</v>
      </c>
      <c r="BF10" s="12">
        <v>1</v>
      </c>
      <c r="BG10" s="12">
        <v>20</v>
      </c>
      <c r="BH10" s="12">
        <v>2</v>
      </c>
      <c r="BI10" s="12">
        <v>101</v>
      </c>
      <c r="BJ10" s="12">
        <v>1</v>
      </c>
      <c r="BK10" s="12">
        <v>75</v>
      </c>
      <c r="BL10" s="12"/>
      <c r="BM10" s="12"/>
      <c r="BN10" s="12">
        <v>10</v>
      </c>
      <c r="BO10" s="96">
        <v>428</v>
      </c>
      <c r="BP10" s="12">
        <v>3</v>
      </c>
      <c r="BQ10" s="12">
        <v>85</v>
      </c>
      <c r="BR10" s="12">
        <v>1</v>
      </c>
      <c r="BS10" s="12">
        <v>57</v>
      </c>
      <c r="BT10" s="12"/>
      <c r="BU10" s="12"/>
      <c r="BV10" s="12"/>
      <c r="BW10" s="12"/>
      <c r="BX10" s="101">
        <f t="shared" ref="BX10:BY14" si="0">B10+D10+F10+H10+J10+L10+N10+P10+R10+T10+V10+X10+Z10+AB10+AT10+AD10+AF10+AH10+AJ10+AL10+AN10+AP10+AR10+AV10+AX10+AZ10+BB10+BD10+BF10+BH10+BJ10+BL10+BN10+BP10+BR10+BT10+BV10</f>
        <v>105</v>
      </c>
      <c r="BY10" s="101">
        <f t="shared" si="0"/>
        <v>12707</v>
      </c>
      <c r="BZ10" s="90"/>
      <c r="CY10" s="89"/>
      <c r="CZ10" s="89"/>
      <c r="ED10" s="91"/>
    </row>
    <row r="11" spans="1:134" ht="15">
      <c r="A11" s="69" t="s">
        <v>84</v>
      </c>
      <c r="B11" s="12">
        <v>32</v>
      </c>
      <c r="C11" s="12">
        <v>2126</v>
      </c>
      <c r="D11" s="12">
        <v>13</v>
      </c>
      <c r="E11" s="12">
        <v>1124</v>
      </c>
      <c r="F11" s="12">
        <v>2</v>
      </c>
      <c r="G11" s="12">
        <v>60</v>
      </c>
      <c r="H11" s="12"/>
      <c r="I11" s="12"/>
      <c r="J11" s="12">
        <v>4</v>
      </c>
      <c r="K11" s="12">
        <v>74</v>
      </c>
      <c r="L11" s="12">
        <v>8</v>
      </c>
      <c r="M11" s="12">
        <v>190</v>
      </c>
      <c r="N11" s="12">
        <v>1</v>
      </c>
      <c r="O11" s="12">
        <v>274</v>
      </c>
      <c r="P11" s="12"/>
      <c r="Q11" s="12"/>
      <c r="R11" s="12"/>
      <c r="S11" s="12"/>
      <c r="T11" s="12"/>
      <c r="U11" s="12"/>
      <c r="V11" s="12">
        <v>3</v>
      </c>
      <c r="W11" s="12">
        <v>325</v>
      </c>
      <c r="X11" s="12">
        <v>6</v>
      </c>
      <c r="Y11" s="12">
        <v>1357</v>
      </c>
      <c r="Z11" s="12">
        <v>13</v>
      </c>
      <c r="AA11" s="12">
        <v>3335</v>
      </c>
      <c r="AB11" s="12"/>
      <c r="AC11" s="12"/>
      <c r="AD11" s="12">
        <v>4</v>
      </c>
      <c r="AE11" s="12">
        <v>1814</v>
      </c>
      <c r="AF11" s="12">
        <v>1</v>
      </c>
      <c r="AG11" s="12">
        <v>297</v>
      </c>
      <c r="AH11" s="12"/>
      <c r="AI11" s="12"/>
      <c r="AJ11" s="12">
        <v>1</v>
      </c>
      <c r="AK11" s="12">
        <v>278</v>
      </c>
      <c r="AL11" s="12">
        <v>3</v>
      </c>
      <c r="AM11" s="12">
        <v>367</v>
      </c>
      <c r="AN11" s="12">
        <v>2</v>
      </c>
      <c r="AO11" s="12">
        <v>911</v>
      </c>
      <c r="AP11" s="12"/>
      <c r="AQ11" s="12"/>
      <c r="AR11" s="12">
        <v>3</v>
      </c>
      <c r="AS11" s="12">
        <v>396</v>
      </c>
      <c r="AT11" s="12"/>
      <c r="AU11" s="12"/>
      <c r="AV11" s="12"/>
      <c r="AW11" s="12"/>
      <c r="AX11" s="12">
        <v>3</v>
      </c>
      <c r="AY11" s="12">
        <v>246</v>
      </c>
      <c r="AZ11" s="12">
        <v>2</v>
      </c>
      <c r="BA11" s="12">
        <v>430</v>
      </c>
      <c r="BB11" s="12">
        <v>1</v>
      </c>
      <c r="BC11" s="12">
        <v>57</v>
      </c>
      <c r="BD11" s="12"/>
      <c r="BE11" s="12"/>
      <c r="BF11" s="12">
        <v>3</v>
      </c>
      <c r="BG11" s="12">
        <v>86</v>
      </c>
      <c r="BH11" s="12">
        <v>2</v>
      </c>
      <c r="BI11" s="12">
        <v>76</v>
      </c>
      <c r="BJ11" s="12">
        <v>3</v>
      </c>
      <c r="BK11" s="12">
        <v>310</v>
      </c>
      <c r="BL11" s="12"/>
      <c r="BM11" s="12"/>
      <c r="BN11" s="12">
        <v>14</v>
      </c>
      <c r="BO11" s="12">
        <v>744</v>
      </c>
      <c r="BP11" s="12">
        <v>9</v>
      </c>
      <c r="BQ11" s="12">
        <v>758</v>
      </c>
      <c r="BR11" s="12"/>
      <c r="BS11" s="12"/>
      <c r="BT11" s="12"/>
      <c r="BU11" s="12"/>
      <c r="BV11" s="12">
        <v>1</v>
      </c>
      <c r="BW11" s="12">
        <v>10</v>
      </c>
      <c r="BX11" s="101">
        <f t="shared" si="0"/>
        <v>134</v>
      </c>
      <c r="BY11" s="101">
        <f t="shared" si="0"/>
        <v>15645</v>
      </c>
      <c r="CY11" s="89"/>
      <c r="CZ11" s="89"/>
    </row>
    <row r="12" spans="1:134" ht="15">
      <c r="A12" s="37" t="s">
        <v>85</v>
      </c>
      <c r="B12" s="12">
        <v>5</v>
      </c>
      <c r="C12" s="12">
        <v>186</v>
      </c>
      <c r="D12" s="12">
        <v>6</v>
      </c>
      <c r="E12" s="12">
        <v>513</v>
      </c>
      <c r="F12" s="12">
        <v>3</v>
      </c>
      <c r="G12" s="12">
        <v>198</v>
      </c>
      <c r="H12" s="12">
        <v>1</v>
      </c>
      <c r="I12" s="12">
        <v>29</v>
      </c>
      <c r="J12" s="12">
        <v>11</v>
      </c>
      <c r="K12" s="12">
        <v>178</v>
      </c>
      <c r="L12" s="12">
        <v>1</v>
      </c>
      <c r="M12" s="12">
        <v>8</v>
      </c>
      <c r="N12" s="12"/>
      <c r="O12" s="12"/>
      <c r="P12" s="12"/>
      <c r="Q12" s="12"/>
      <c r="R12" s="12">
        <v>1</v>
      </c>
      <c r="S12" s="12">
        <v>562</v>
      </c>
      <c r="T12" s="12"/>
      <c r="U12" s="12"/>
      <c r="V12" s="12"/>
      <c r="W12" s="12"/>
      <c r="X12" s="12"/>
      <c r="Y12" s="12"/>
      <c r="Z12" s="12">
        <v>3</v>
      </c>
      <c r="AA12" s="12">
        <v>1252</v>
      </c>
      <c r="AB12" s="12"/>
      <c r="AC12" s="12"/>
      <c r="AD12" s="12">
        <v>6</v>
      </c>
      <c r="AE12" s="12">
        <v>1566</v>
      </c>
      <c r="AF12" s="12"/>
      <c r="AG12" s="12"/>
      <c r="AH12" s="12">
        <v>1</v>
      </c>
      <c r="AI12" s="12">
        <v>116</v>
      </c>
      <c r="AJ12" s="12">
        <v>1</v>
      </c>
      <c r="AK12" s="12">
        <v>426</v>
      </c>
      <c r="AL12" s="12"/>
      <c r="AM12" s="12"/>
      <c r="AN12" s="12"/>
      <c r="AO12" s="12"/>
      <c r="AP12" s="12"/>
      <c r="AQ12" s="12"/>
      <c r="AR12" s="12">
        <v>2</v>
      </c>
      <c r="AS12" s="12">
        <v>426</v>
      </c>
      <c r="AT12" s="12"/>
      <c r="AU12" s="12"/>
      <c r="AV12" s="12"/>
      <c r="AW12" s="12"/>
      <c r="AX12" s="12"/>
      <c r="AY12" s="12"/>
      <c r="AZ12" s="12"/>
      <c r="BA12" s="12"/>
      <c r="BB12" s="12"/>
      <c r="BC12" s="12"/>
      <c r="BD12" s="12"/>
      <c r="BE12" s="12"/>
      <c r="BF12" s="12">
        <v>4</v>
      </c>
      <c r="BG12" s="12">
        <v>136</v>
      </c>
      <c r="BH12" s="12">
        <v>1</v>
      </c>
      <c r="BI12" s="12">
        <v>20</v>
      </c>
      <c r="BJ12" s="12">
        <v>1</v>
      </c>
      <c r="BK12" s="12">
        <v>18</v>
      </c>
      <c r="BL12" s="12"/>
      <c r="BM12" s="12"/>
      <c r="BN12" s="12">
        <v>3</v>
      </c>
      <c r="BO12" s="12">
        <v>118</v>
      </c>
      <c r="BP12" s="12"/>
      <c r="BQ12" s="12"/>
      <c r="BR12" s="12"/>
      <c r="BS12" s="12"/>
      <c r="BT12" s="12"/>
      <c r="BU12" s="12"/>
      <c r="BV12" s="12">
        <v>2</v>
      </c>
      <c r="BW12" s="12">
        <v>20</v>
      </c>
      <c r="BX12" s="101">
        <f t="shared" si="0"/>
        <v>52</v>
      </c>
      <c r="BY12" s="101">
        <f t="shared" si="0"/>
        <v>5772</v>
      </c>
      <c r="CY12" s="89"/>
      <c r="CZ12" s="89"/>
    </row>
    <row r="13" spans="1:134" ht="15">
      <c r="A13" s="37" t="s">
        <v>86</v>
      </c>
      <c r="B13" s="12">
        <v>22</v>
      </c>
      <c r="C13" s="12">
        <v>1891</v>
      </c>
      <c r="D13" s="12">
        <v>9</v>
      </c>
      <c r="E13" s="12">
        <v>1326</v>
      </c>
      <c r="F13" s="12">
        <v>17</v>
      </c>
      <c r="G13" s="12">
        <v>1917</v>
      </c>
      <c r="H13" s="12">
        <v>2</v>
      </c>
      <c r="I13" s="12">
        <v>394</v>
      </c>
      <c r="J13" s="12">
        <v>2</v>
      </c>
      <c r="K13" s="12">
        <v>32</v>
      </c>
      <c r="L13" s="12">
        <v>1</v>
      </c>
      <c r="M13" s="12">
        <v>12</v>
      </c>
      <c r="N13" s="12">
        <v>1</v>
      </c>
      <c r="O13" s="12">
        <v>400</v>
      </c>
      <c r="P13" s="12"/>
      <c r="Q13" s="12"/>
      <c r="R13" s="12"/>
      <c r="S13" s="12"/>
      <c r="T13" s="12"/>
      <c r="U13" s="12"/>
      <c r="V13" s="12"/>
      <c r="W13" s="12"/>
      <c r="X13" s="12">
        <v>3</v>
      </c>
      <c r="Y13" s="12">
        <v>454</v>
      </c>
      <c r="Z13" s="12">
        <v>8</v>
      </c>
      <c r="AA13" s="12">
        <v>2200</v>
      </c>
      <c r="AB13" s="12">
        <v>1</v>
      </c>
      <c r="AC13" s="12">
        <v>370</v>
      </c>
      <c r="AD13" s="12">
        <v>10</v>
      </c>
      <c r="AE13" s="12">
        <v>4526</v>
      </c>
      <c r="AF13" s="12"/>
      <c r="AG13" s="12"/>
      <c r="AH13" s="12">
        <v>4</v>
      </c>
      <c r="AI13" s="12">
        <v>3705</v>
      </c>
      <c r="AJ13" s="12"/>
      <c r="AK13" s="12"/>
      <c r="AL13" s="12">
        <v>1</v>
      </c>
      <c r="AM13" s="12">
        <v>270</v>
      </c>
      <c r="AN13" s="12">
        <v>6</v>
      </c>
      <c r="AO13" s="12">
        <v>1223</v>
      </c>
      <c r="AP13" s="12"/>
      <c r="AQ13" s="12"/>
      <c r="AR13" s="12">
        <v>5</v>
      </c>
      <c r="AS13" s="12">
        <v>1281</v>
      </c>
      <c r="AT13" s="12">
        <v>1</v>
      </c>
      <c r="AU13" s="12">
        <v>152</v>
      </c>
      <c r="AV13" s="12">
        <v>1</v>
      </c>
      <c r="AW13" s="12">
        <v>812</v>
      </c>
      <c r="AX13" s="12"/>
      <c r="AY13" s="12"/>
      <c r="AZ13" s="12">
        <v>1</v>
      </c>
      <c r="BA13" s="12">
        <v>84</v>
      </c>
      <c r="BB13" s="12">
        <v>2</v>
      </c>
      <c r="BC13" s="12">
        <v>343</v>
      </c>
      <c r="BD13" s="12">
        <v>1</v>
      </c>
      <c r="BE13" s="12">
        <v>19</v>
      </c>
      <c r="BF13" s="12"/>
      <c r="BG13" s="12"/>
      <c r="BH13" s="12">
        <v>3</v>
      </c>
      <c r="BI13" s="12">
        <v>44</v>
      </c>
      <c r="BJ13" s="12"/>
      <c r="BK13" s="12"/>
      <c r="BL13" s="12">
        <v>1</v>
      </c>
      <c r="BM13" s="12">
        <v>16</v>
      </c>
      <c r="BN13" s="12">
        <v>1</v>
      </c>
      <c r="BO13" s="12">
        <v>13</v>
      </c>
      <c r="BP13" s="12"/>
      <c r="BQ13" s="12"/>
      <c r="BR13" s="12"/>
      <c r="BS13" s="12"/>
      <c r="BT13" s="12">
        <v>1</v>
      </c>
      <c r="BU13" s="12">
        <v>48</v>
      </c>
      <c r="BV13" s="12"/>
      <c r="BW13" s="12"/>
      <c r="BX13" s="101">
        <f t="shared" si="0"/>
        <v>104</v>
      </c>
      <c r="BY13" s="101">
        <f t="shared" si="0"/>
        <v>21532</v>
      </c>
      <c r="CY13" s="89"/>
      <c r="CZ13" s="89"/>
    </row>
    <row r="14" spans="1:134" ht="15">
      <c r="A14" s="37" t="s">
        <v>87</v>
      </c>
      <c r="B14" s="12">
        <v>37</v>
      </c>
      <c r="C14" s="12">
        <v>2115</v>
      </c>
      <c r="D14" s="12">
        <v>15</v>
      </c>
      <c r="E14" s="12">
        <v>1619</v>
      </c>
      <c r="F14" s="12">
        <v>7</v>
      </c>
      <c r="G14" s="12">
        <v>1351</v>
      </c>
      <c r="H14" s="12"/>
      <c r="I14" s="12"/>
      <c r="J14" s="12">
        <v>17</v>
      </c>
      <c r="K14" s="12">
        <v>296</v>
      </c>
      <c r="L14" s="12">
        <v>1</v>
      </c>
      <c r="M14" s="12">
        <v>18</v>
      </c>
      <c r="N14" s="12">
        <v>3</v>
      </c>
      <c r="O14" s="12">
        <v>924</v>
      </c>
      <c r="P14" s="12">
        <v>2</v>
      </c>
      <c r="Q14" s="12">
        <v>1719</v>
      </c>
      <c r="R14" s="12"/>
      <c r="S14" s="12"/>
      <c r="T14" s="12">
        <v>3</v>
      </c>
      <c r="U14" s="12">
        <v>58</v>
      </c>
      <c r="V14" s="12"/>
      <c r="W14" s="12"/>
      <c r="X14" s="12">
        <v>3</v>
      </c>
      <c r="Y14" s="12">
        <v>495</v>
      </c>
      <c r="Z14" s="12">
        <v>8</v>
      </c>
      <c r="AA14" s="12">
        <v>4171</v>
      </c>
      <c r="AB14" s="12"/>
      <c r="AC14" s="12"/>
      <c r="AD14" s="12">
        <v>13</v>
      </c>
      <c r="AE14" s="12">
        <v>4396</v>
      </c>
      <c r="AF14" s="12">
        <v>3</v>
      </c>
      <c r="AG14" s="12">
        <v>989</v>
      </c>
      <c r="AH14" s="12">
        <v>2</v>
      </c>
      <c r="AI14" s="12">
        <v>769</v>
      </c>
      <c r="AJ14" s="12">
        <v>2</v>
      </c>
      <c r="AK14" s="12">
        <v>527</v>
      </c>
      <c r="AL14" s="12">
        <v>1</v>
      </c>
      <c r="AM14" s="12">
        <v>48</v>
      </c>
      <c r="AN14" s="12">
        <v>2</v>
      </c>
      <c r="AO14" s="12">
        <v>641</v>
      </c>
      <c r="AP14" s="12"/>
      <c r="AQ14" s="12"/>
      <c r="AR14" s="12">
        <v>5</v>
      </c>
      <c r="AS14" s="12">
        <v>619</v>
      </c>
      <c r="AT14" s="12"/>
      <c r="AU14" s="12"/>
      <c r="AV14" s="12"/>
      <c r="AW14" s="12"/>
      <c r="AX14" s="12"/>
      <c r="AY14" s="12"/>
      <c r="AZ14" s="12"/>
      <c r="BA14" s="12"/>
      <c r="BB14" s="12"/>
      <c r="BC14" s="12"/>
      <c r="BD14" s="12"/>
      <c r="BE14" s="12"/>
      <c r="BF14" s="12">
        <v>2</v>
      </c>
      <c r="BG14" s="12">
        <v>67</v>
      </c>
      <c r="BH14" s="12">
        <v>5</v>
      </c>
      <c r="BI14" s="12">
        <v>154</v>
      </c>
      <c r="BJ14" s="12">
        <v>4</v>
      </c>
      <c r="BK14" s="12">
        <v>262</v>
      </c>
      <c r="BL14" s="12"/>
      <c r="BM14" s="12"/>
      <c r="BN14" s="12">
        <v>3</v>
      </c>
      <c r="BO14" s="12">
        <v>99</v>
      </c>
      <c r="BP14" s="12">
        <v>7</v>
      </c>
      <c r="BQ14" s="12">
        <v>283</v>
      </c>
      <c r="BR14" s="12">
        <v>1</v>
      </c>
      <c r="BS14" s="12">
        <v>50</v>
      </c>
      <c r="BT14" s="12"/>
      <c r="BU14" s="12"/>
      <c r="BV14" s="12"/>
      <c r="BW14" s="12"/>
      <c r="BX14" s="101">
        <f t="shared" si="0"/>
        <v>146</v>
      </c>
      <c r="BY14" s="101">
        <f t="shared" si="0"/>
        <v>21670</v>
      </c>
      <c r="CY14" s="89"/>
      <c r="CZ14" s="89"/>
    </row>
    <row r="15" spans="1:134" s="89" customFormat="1" ht="15">
      <c r="A15" s="73" t="s">
        <v>218</v>
      </c>
      <c r="B15" s="39">
        <f>SUM(B10:B14)</f>
        <v>120</v>
      </c>
      <c r="C15" s="39">
        <f t="shared" ref="C15:BT15" si="1">SUM(C10:C14)</f>
        <v>7827</v>
      </c>
      <c r="D15" s="39">
        <f t="shared" si="1"/>
        <v>53</v>
      </c>
      <c r="E15" s="39">
        <f t="shared" si="1"/>
        <v>5411</v>
      </c>
      <c r="F15" s="39">
        <f t="shared" si="1"/>
        <v>35</v>
      </c>
      <c r="G15" s="39">
        <f t="shared" si="1"/>
        <v>5043</v>
      </c>
      <c r="H15" s="39">
        <f t="shared" si="1"/>
        <v>5</v>
      </c>
      <c r="I15" s="39">
        <f t="shared" si="1"/>
        <v>585</v>
      </c>
      <c r="J15" s="39">
        <f t="shared" si="1"/>
        <v>34</v>
      </c>
      <c r="K15" s="39">
        <f t="shared" si="1"/>
        <v>580</v>
      </c>
      <c r="L15" s="39">
        <f t="shared" si="1"/>
        <v>22</v>
      </c>
      <c r="M15" s="39">
        <f t="shared" si="1"/>
        <v>418</v>
      </c>
      <c r="N15" s="39">
        <f t="shared" si="1"/>
        <v>5</v>
      </c>
      <c r="O15" s="39">
        <f t="shared" si="1"/>
        <v>1598</v>
      </c>
      <c r="P15" s="39">
        <f t="shared" si="1"/>
        <v>2</v>
      </c>
      <c r="Q15" s="39">
        <f t="shared" si="1"/>
        <v>1719</v>
      </c>
      <c r="R15" s="39">
        <f t="shared" si="1"/>
        <v>1</v>
      </c>
      <c r="S15" s="39">
        <f t="shared" si="1"/>
        <v>562</v>
      </c>
      <c r="T15" s="39">
        <f t="shared" si="1"/>
        <v>3</v>
      </c>
      <c r="U15" s="39">
        <f t="shared" si="1"/>
        <v>58</v>
      </c>
      <c r="V15" s="39">
        <f t="shared" si="1"/>
        <v>6</v>
      </c>
      <c r="W15" s="39">
        <f t="shared" si="1"/>
        <v>570</v>
      </c>
      <c r="X15" s="39">
        <f t="shared" si="1"/>
        <v>13</v>
      </c>
      <c r="Y15" s="39">
        <f t="shared" si="1"/>
        <v>2464</v>
      </c>
      <c r="Z15" s="39">
        <f t="shared" si="1"/>
        <v>39</v>
      </c>
      <c r="AA15" s="39">
        <f t="shared" si="1"/>
        <v>11920</v>
      </c>
      <c r="AB15" s="39">
        <f t="shared" si="1"/>
        <v>1</v>
      </c>
      <c r="AC15" s="39">
        <f t="shared" si="1"/>
        <v>370</v>
      </c>
      <c r="AD15" s="39">
        <f t="shared" si="1"/>
        <v>42</v>
      </c>
      <c r="AE15" s="39">
        <f t="shared" si="1"/>
        <v>15452</v>
      </c>
      <c r="AF15" s="39">
        <f t="shared" si="1"/>
        <v>6</v>
      </c>
      <c r="AG15" s="39">
        <f t="shared" si="1"/>
        <v>2104</v>
      </c>
      <c r="AH15" s="39">
        <f t="shared" si="1"/>
        <v>10</v>
      </c>
      <c r="AI15" s="39">
        <f t="shared" si="1"/>
        <v>4939</v>
      </c>
      <c r="AJ15" s="39">
        <f t="shared" si="1"/>
        <v>6</v>
      </c>
      <c r="AK15" s="39">
        <f t="shared" si="1"/>
        <v>1858</v>
      </c>
      <c r="AL15" s="39">
        <f t="shared" si="1"/>
        <v>6</v>
      </c>
      <c r="AM15" s="39">
        <f t="shared" si="1"/>
        <v>898</v>
      </c>
      <c r="AN15" s="39">
        <f t="shared" si="1"/>
        <v>10</v>
      </c>
      <c r="AO15" s="39">
        <f t="shared" si="1"/>
        <v>2775</v>
      </c>
      <c r="AP15" s="39">
        <f t="shared" si="1"/>
        <v>1</v>
      </c>
      <c r="AQ15" s="39">
        <f t="shared" si="1"/>
        <v>517</v>
      </c>
      <c r="AR15" s="39">
        <f t="shared" si="1"/>
        <v>15</v>
      </c>
      <c r="AS15" s="39">
        <f t="shared" si="1"/>
        <v>2722</v>
      </c>
      <c r="AT15" s="39">
        <f t="shared" si="1"/>
        <v>1</v>
      </c>
      <c r="AU15" s="39">
        <f t="shared" si="1"/>
        <v>152</v>
      </c>
      <c r="AV15" s="39">
        <f t="shared" si="1"/>
        <v>1</v>
      </c>
      <c r="AW15" s="39">
        <f t="shared" si="1"/>
        <v>812</v>
      </c>
      <c r="AX15" s="39">
        <f t="shared" si="1"/>
        <v>4</v>
      </c>
      <c r="AY15" s="39">
        <f t="shared" si="1"/>
        <v>331</v>
      </c>
      <c r="AZ15" s="39">
        <f t="shared" si="1"/>
        <v>6</v>
      </c>
      <c r="BA15" s="39">
        <f t="shared" si="1"/>
        <v>925</v>
      </c>
      <c r="BB15" s="39">
        <f t="shared" si="1"/>
        <v>3</v>
      </c>
      <c r="BC15" s="39">
        <f t="shared" si="1"/>
        <v>400</v>
      </c>
      <c r="BD15" s="39">
        <f t="shared" si="1"/>
        <v>2</v>
      </c>
      <c r="BE15" s="39">
        <f t="shared" si="1"/>
        <v>218</v>
      </c>
      <c r="BF15" s="39">
        <f t="shared" si="1"/>
        <v>10</v>
      </c>
      <c r="BG15" s="39">
        <f t="shared" si="1"/>
        <v>309</v>
      </c>
      <c r="BH15" s="39">
        <f t="shared" si="1"/>
        <v>13</v>
      </c>
      <c r="BI15" s="39">
        <f t="shared" si="1"/>
        <v>395</v>
      </c>
      <c r="BJ15" s="39">
        <f t="shared" si="1"/>
        <v>9</v>
      </c>
      <c r="BK15" s="39">
        <f t="shared" si="1"/>
        <v>665</v>
      </c>
      <c r="BL15" s="39">
        <f t="shared" si="1"/>
        <v>1</v>
      </c>
      <c r="BM15" s="39">
        <f t="shared" si="1"/>
        <v>16</v>
      </c>
      <c r="BN15" s="39">
        <f t="shared" si="1"/>
        <v>31</v>
      </c>
      <c r="BO15" s="39">
        <f t="shared" si="1"/>
        <v>1402</v>
      </c>
      <c r="BP15" s="39">
        <f t="shared" si="1"/>
        <v>19</v>
      </c>
      <c r="BQ15" s="39">
        <f t="shared" si="1"/>
        <v>1126</v>
      </c>
      <c r="BR15" s="39">
        <f t="shared" si="1"/>
        <v>2</v>
      </c>
      <c r="BS15" s="39">
        <f t="shared" si="1"/>
        <v>107</v>
      </c>
      <c r="BT15" s="39">
        <f t="shared" si="1"/>
        <v>1</v>
      </c>
      <c r="BU15" s="39">
        <f>SUM(BU10:BU14)</f>
        <v>48</v>
      </c>
      <c r="BV15" s="39">
        <f>SUM(BV10:BV14)</f>
        <v>3</v>
      </c>
      <c r="BW15" s="39">
        <f>SUM(BW10:BW14)</f>
        <v>30</v>
      </c>
      <c r="BX15" s="39">
        <f>B15+D15+F15+H15+J15+L15+N15+P15++R15+T15+V15+X15+Z15+AB15+AD15+AF15+AH15+AJ15+AL15+AN15+AP15+AR15+AT15+AV15+AX15+AZ15+BB15+BD15+BF15+BH15+BJ15+BL15+BN15+BP15+BR15+BT15+BV15</f>
        <v>541</v>
      </c>
      <c r="BY15" s="39">
        <f>C15+E15+G15+I15+K15+M15+O15+Q15++S15+U15+W15+Y15+AA15+AC15+AE15+AG15+AI15+AK15+AM15+AO15+AQ15+AS15+AU15+AW15+AY15+BA15+BC15+BE15+BG15+BI15+BK15+BM15+BO15+BQ15+BS15+BU15+BW15</f>
        <v>77326</v>
      </c>
    </row>
    <row r="16" spans="1:134">
      <c r="A16" s="62" t="s">
        <v>134</v>
      </c>
    </row>
    <row r="17" spans="1:3">
      <c r="A17" s="63" t="s">
        <v>135</v>
      </c>
    </row>
    <row r="18" spans="1:3">
      <c r="A18" s="63" t="s">
        <v>136</v>
      </c>
      <c r="C18" s="90"/>
    </row>
    <row r="21" spans="1:3">
      <c r="A21" s="92"/>
    </row>
    <row r="22" spans="1:3">
      <c r="A22" s="92"/>
      <c r="B22" s="92"/>
    </row>
    <row r="23" spans="1:3">
      <c r="A23" s="92"/>
      <c r="B23" s="92"/>
    </row>
    <row r="24" spans="1:3">
      <c r="A24" s="92"/>
      <c r="B24" s="92"/>
    </row>
    <row r="25" spans="1:3">
      <c r="A25" s="92"/>
      <c r="B25" s="92"/>
    </row>
    <row r="26" spans="1:3">
      <c r="A26" s="92"/>
      <c r="B26" s="92"/>
    </row>
    <row r="27" spans="1:3">
      <c r="A27" s="92"/>
      <c r="B27" s="92"/>
    </row>
    <row r="28" spans="1:3">
      <c r="A28" s="92"/>
      <c r="B28" s="92"/>
    </row>
    <row r="29" spans="1:3">
      <c r="A29" s="92"/>
      <c r="B29" s="92"/>
    </row>
    <row r="30" spans="1:3">
      <c r="A30" s="92"/>
      <c r="B30" s="92"/>
    </row>
    <row r="31" spans="1:3">
      <c r="A31" s="92"/>
      <c r="B31" s="92"/>
    </row>
    <row r="32" spans="1:3">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algorithmName="SHA-512" hashValue="lwRfDibrY/nUrmPsGZsKT5wV2q7z1QHv/oBtJY+OMN2s8trOPWWBqrf9Qkj67fuEqZWXAe7zTQQCz7pl4n1C1g==" saltValue="lnXdquE8gUyk5alkAoGamA==" spinCount="100000" sheet="1" objects="1" scenarios="1"/>
  <mergeCells count="39">
    <mergeCell ref="J7:K7"/>
    <mergeCell ref="A7:A8"/>
    <mergeCell ref="B7:C7"/>
    <mergeCell ref="D7:E7"/>
    <mergeCell ref="F7:G7"/>
    <mergeCell ref="H7:I7"/>
    <mergeCell ref="AJ7:AK7"/>
    <mergeCell ref="AB7:AC7"/>
    <mergeCell ref="L7:M7"/>
    <mergeCell ref="N7:O7"/>
    <mergeCell ref="P7:Q7"/>
    <mergeCell ref="R7:S7"/>
    <mergeCell ref="T7:U7"/>
    <mergeCell ref="V7:W7"/>
    <mergeCell ref="X7:Y7"/>
    <mergeCell ref="Z7:AA7"/>
    <mergeCell ref="AD7:AE7"/>
    <mergeCell ref="AF7:AG7"/>
    <mergeCell ref="AH7:AI7"/>
    <mergeCell ref="BJ7:BK7"/>
    <mergeCell ref="AL7:AM7"/>
    <mergeCell ref="AN7:AO7"/>
    <mergeCell ref="AP7:AQ7"/>
    <mergeCell ref="AR7:AS7"/>
    <mergeCell ref="AV7:AW7"/>
    <mergeCell ref="AX7:AY7"/>
    <mergeCell ref="AT7:AU7"/>
    <mergeCell ref="AZ7:BA7"/>
    <mergeCell ref="BB7:BC7"/>
    <mergeCell ref="BD7:BE7"/>
    <mergeCell ref="BF7:BG7"/>
    <mergeCell ref="BH7:BI7"/>
    <mergeCell ref="BV7:BW7"/>
    <mergeCell ref="BX7:BY7"/>
    <mergeCell ref="BL7:BM7"/>
    <mergeCell ref="BN7:BO7"/>
    <mergeCell ref="BP7:BQ7"/>
    <mergeCell ref="BR7:BS7"/>
    <mergeCell ref="BT7:BU7"/>
  </mergeCells>
  <conditionalFormatting sqref="A10:BW14 BX10:BY15">
    <cfRule type="expression" dxfId="16" priority="1" stopIfTrue="1">
      <formula>MOD(ROW(),2)=0</formula>
    </cfRule>
  </conditionalFormatting>
  <conditionalFormatting sqref="A7:BY15 A1:XFD6 DB7:IV15 A16:XFD65536">
    <cfRule type="expression" priority="3">
      <formula>SI(0," ")</formula>
    </cfRule>
  </conditionalFormatting>
  <conditionalFormatting sqref="L3">
    <cfRule type="expression" priority="2">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3" manualBreakCount="3">
    <brk id="19" max="1048575" man="1"/>
    <brk id="37" max="1048575" man="1"/>
    <brk id="55"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N55"/>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140625" style="77" bestFit="1" customWidth="1"/>
    <col min="5" max="5" width="14"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227</v>
      </c>
    </row>
    <row r="4" spans="1:14" s="78" customFormat="1" ht="16.5">
      <c r="A4" s="79" t="s">
        <v>228</v>
      </c>
      <c r="B4" s="80"/>
      <c r="H4" s="80"/>
      <c r="I4" s="80"/>
      <c r="L4" s="81"/>
    </row>
    <row r="5" spans="1:14" s="78" customFormat="1" ht="16.5">
      <c r="A5" s="79" t="s">
        <v>229</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130</v>
      </c>
      <c r="D11" s="83">
        <v>2823</v>
      </c>
      <c r="E11" s="83">
        <v>8662</v>
      </c>
      <c r="F11" s="85">
        <f>E11/E17</f>
        <v>0.40724024447578749</v>
      </c>
      <c r="G11" s="82"/>
      <c r="H11" s="139" t="s">
        <v>16</v>
      </c>
      <c r="I11" s="139"/>
      <c r="J11" s="83"/>
      <c r="K11" s="83"/>
      <c r="L11" s="83"/>
      <c r="M11" s="85"/>
      <c r="N11" s="82"/>
    </row>
    <row r="12" spans="1:14" ht="15">
      <c r="A12" s="139" t="s">
        <v>17</v>
      </c>
      <c r="B12" s="139"/>
      <c r="C12" s="83">
        <v>56</v>
      </c>
      <c r="D12" s="83">
        <v>2410</v>
      </c>
      <c r="E12" s="83">
        <v>6603</v>
      </c>
      <c r="F12" s="85">
        <f>E12/E17</f>
        <v>0.31043723554301833</v>
      </c>
      <c r="G12" s="82"/>
      <c r="H12" s="139" t="s">
        <v>18</v>
      </c>
      <c r="I12" s="139"/>
      <c r="J12" s="83">
        <v>6</v>
      </c>
      <c r="K12" s="83">
        <v>495</v>
      </c>
      <c r="L12" s="83">
        <v>1030</v>
      </c>
      <c r="M12" s="85">
        <f t="shared" ref="M12:M19" si="0">L12/L$19</f>
        <v>0.14468324202837476</v>
      </c>
      <c r="N12" s="82"/>
    </row>
    <row r="13" spans="1:14" ht="15">
      <c r="A13" s="139" t="s">
        <v>19</v>
      </c>
      <c r="B13" s="139"/>
      <c r="C13" s="83">
        <v>39</v>
      </c>
      <c r="D13" s="83">
        <v>1767</v>
      </c>
      <c r="E13" s="83">
        <v>5280</v>
      </c>
      <c r="F13" s="85">
        <f>E13/E17</f>
        <v>0.24823695345557123</v>
      </c>
      <c r="G13" s="82"/>
      <c r="H13" s="139" t="s">
        <v>20</v>
      </c>
      <c r="I13" s="139"/>
      <c r="J13" s="83">
        <v>11</v>
      </c>
      <c r="K13" s="83">
        <v>1435</v>
      </c>
      <c r="L13" s="83">
        <v>2896</v>
      </c>
      <c r="M13" s="85">
        <f t="shared" si="0"/>
        <v>0.40679870768366344</v>
      </c>
      <c r="N13" s="82"/>
    </row>
    <row r="14" spans="1:14" ht="15">
      <c r="A14" s="139" t="s">
        <v>197</v>
      </c>
      <c r="B14" s="139"/>
      <c r="C14" s="83"/>
      <c r="D14" s="83"/>
      <c r="E14" s="83"/>
      <c r="F14" s="85"/>
      <c r="G14" s="82"/>
      <c r="H14" s="139" t="s">
        <v>145</v>
      </c>
      <c r="I14" s="139"/>
      <c r="J14" s="83">
        <v>1</v>
      </c>
      <c r="K14" s="83">
        <v>159</v>
      </c>
      <c r="L14" s="83">
        <v>517</v>
      </c>
      <c r="M14" s="85">
        <f t="shared" si="0"/>
        <v>7.2622559348223065E-2</v>
      </c>
      <c r="N14" s="82"/>
    </row>
    <row r="15" spans="1:14" ht="15">
      <c r="A15" s="139" t="s">
        <v>21</v>
      </c>
      <c r="B15" s="139"/>
      <c r="C15" s="83">
        <v>6</v>
      </c>
      <c r="D15" s="83">
        <v>234</v>
      </c>
      <c r="E15" s="83">
        <v>725</v>
      </c>
      <c r="F15" s="85">
        <f>E15/E17</f>
        <v>3.4085566525622946E-2</v>
      </c>
      <c r="G15" s="82"/>
      <c r="H15" s="139" t="s">
        <v>22</v>
      </c>
      <c r="I15" s="139"/>
      <c r="J15" s="83">
        <v>8</v>
      </c>
      <c r="K15" s="83">
        <v>841</v>
      </c>
      <c r="L15" s="83">
        <v>1864</v>
      </c>
      <c r="M15" s="85">
        <f t="shared" si="0"/>
        <v>0.26183452732125301</v>
      </c>
      <c r="N15" s="82"/>
    </row>
    <row r="16" spans="1:14" ht="15">
      <c r="A16" s="139" t="s">
        <v>211</v>
      </c>
      <c r="B16" s="139"/>
      <c r="C16" s="83"/>
      <c r="D16" s="83"/>
      <c r="E16" s="83"/>
      <c r="F16" s="85"/>
      <c r="G16" s="82"/>
      <c r="H16" s="139" t="s">
        <v>146</v>
      </c>
      <c r="I16" s="139"/>
      <c r="J16" s="83"/>
      <c r="K16" s="83"/>
      <c r="L16" s="83"/>
      <c r="M16" s="85"/>
      <c r="N16" s="82"/>
    </row>
    <row r="17" spans="1:14" ht="15">
      <c r="A17" s="140" t="s">
        <v>23</v>
      </c>
      <c r="B17" s="140"/>
      <c r="C17" s="93">
        <f>SUM(C11:C16)</f>
        <v>231</v>
      </c>
      <c r="D17" s="93">
        <f>SUM(D11:D16)</f>
        <v>7234</v>
      </c>
      <c r="E17" s="93">
        <f>SUM(E11:E16)</f>
        <v>21270</v>
      </c>
      <c r="F17" s="23">
        <f>SUM(F11:F16)</f>
        <v>1</v>
      </c>
      <c r="G17" s="82"/>
      <c r="H17" s="139" t="s">
        <v>24</v>
      </c>
      <c r="I17" s="139"/>
      <c r="J17" s="83">
        <v>1</v>
      </c>
      <c r="K17" s="83">
        <v>421</v>
      </c>
      <c r="L17" s="83">
        <v>812</v>
      </c>
      <c r="M17" s="85">
        <f t="shared" si="0"/>
        <v>0.11406096361848574</v>
      </c>
      <c r="N17" s="82"/>
    </row>
    <row r="18" spans="1:14" ht="15">
      <c r="A18" s="139"/>
      <c r="B18" s="139"/>
      <c r="F18" s="85"/>
      <c r="G18" s="82"/>
      <c r="H18" s="139" t="s">
        <v>147</v>
      </c>
      <c r="I18" s="139"/>
      <c r="J18" s="83"/>
      <c r="K18" s="83"/>
      <c r="L18" s="83"/>
      <c r="M18" s="85"/>
      <c r="N18" s="82"/>
    </row>
    <row r="19" spans="1:14" ht="15">
      <c r="A19" s="140" t="s">
        <v>26</v>
      </c>
      <c r="B19" s="140"/>
      <c r="C19" s="93">
        <v>7</v>
      </c>
      <c r="D19" s="93">
        <v>93</v>
      </c>
      <c r="E19" s="93">
        <v>183</v>
      </c>
      <c r="F19" s="94">
        <v>1</v>
      </c>
      <c r="G19" s="82"/>
      <c r="H19" s="140" t="s">
        <v>25</v>
      </c>
      <c r="I19" s="140"/>
      <c r="J19" s="93">
        <f>J11+J12+J13+J14+J15+J16+J17+J18</f>
        <v>27</v>
      </c>
      <c r="K19" s="93">
        <f>K11+K12+K13+K14+K15+K16+K17+K18</f>
        <v>3351</v>
      </c>
      <c r="L19" s="93">
        <f>L11+L12+L13+L14+L15+L16+L17+L18</f>
        <v>7119</v>
      </c>
      <c r="M19" s="94">
        <f t="shared" si="0"/>
        <v>1</v>
      </c>
      <c r="N19" s="82"/>
    </row>
    <row r="20" spans="1:14" ht="15">
      <c r="A20" s="140" t="s">
        <v>27</v>
      </c>
      <c r="B20" s="140"/>
      <c r="C20" s="93">
        <v>31</v>
      </c>
      <c r="D20" s="93">
        <v>267</v>
      </c>
      <c r="E20" s="93">
        <v>542</v>
      </c>
      <c r="F20" s="94">
        <v>1</v>
      </c>
      <c r="G20" s="82"/>
      <c r="H20" s="139"/>
      <c r="I20" s="139"/>
      <c r="J20" s="83"/>
      <c r="K20" s="83"/>
      <c r="L20" s="83"/>
      <c r="M20" s="85"/>
      <c r="N20" s="82"/>
    </row>
    <row r="21" spans="1:14" ht="15">
      <c r="A21" s="140" t="s">
        <v>29</v>
      </c>
      <c r="B21" s="140"/>
      <c r="C21" s="93">
        <v>3</v>
      </c>
      <c r="D21" s="93">
        <v>16</v>
      </c>
      <c r="E21" s="93">
        <v>30</v>
      </c>
      <c r="F21" s="94">
        <v>1</v>
      </c>
      <c r="G21" s="82"/>
      <c r="H21" s="139" t="s">
        <v>28</v>
      </c>
      <c r="I21" s="139"/>
      <c r="J21" s="83">
        <v>1</v>
      </c>
      <c r="K21" s="83">
        <v>24</v>
      </c>
      <c r="L21" s="83">
        <v>48</v>
      </c>
      <c r="M21" s="85">
        <f>L21/L$25</f>
        <v>0.46153846153846156</v>
      </c>
      <c r="N21" s="82"/>
    </row>
    <row r="22" spans="1:14" ht="15">
      <c r="A22" s="140" t="s">
        <v>94</v>
      </c>
      <c r="B22" s="140"/>
      <c r="C22" s="93">
        <v>5</v>
      </c>
      <c r="D22" s="93"/>
      <c r="E22" s="93">
        <v>1598</v>
      </c>
      <c r="F22" s="94">
        <v>1</v>
      </c>
      <c r="G22" s="82"/>
      <c r="H22" s="139" t="s">
        <v>30</v>
      </c>
      <c r="I22" s="139"/>
      <c r="J22" s="83"/>
      <c r="K22" s="83"/>
      <c r="L22" s="83"/>
      <c r="M22" s="85"/>
      <c r="N22" s="82"/>
    </row>
    <row r="23" spans="1:14" ht="15">
      <c r="A23" s="139"/>
      <c r="B23" s="139"/>
      <c r="C23" s="83"/>
      <c r="D23" s="83"/>
      <c r="E23" s="83"/>
      <c r="F23" s="85"/>
      <c r="G23" s="82"/>
      <c r="H23" s="139" t="s">
        <v>31</v>
      </c>
      <c r="I23" s="139"/>
      <c r="J23" s="83"/>
      <c r="K23" s="83"/>
      <c r="L23" s="83"/>
      <c r="M23" s="85"/>
      <c r="N23" s="82"/>
    </row>
    <row r="24" spans="1:14" ht="15">
      <c r="A24" s="139" t="s">
        <v>42</v>
      </c>
      <c r="B24" s="139"/>
      <c r="F24" s="85"/>
      <c r="G24" s="82"/>
      <c r="H24" s="139" t="s">
        <v>33</v>
      </c>
      <c r="I24" s="139"/>
      <c r="J24" s="83">
        <v>1</v>
      </c>
      <c r="K24" s="83">
        <v>28</v>
      </c>
      <c r="L24" s="83">
        <v>56</v>
      </c>
      <c r="M24" s="85">
        <f>L24/L$25</f>
        <v>0.53846153846153844</v>
      </c>
      <c r="N24" s="82"/>
    </row>
    <row r="25" spans="1:14" ht="15">
      <c r="A25" s="139" t="s">
        <v>44</v>
      </c>
      <c r="B25" s="139"/>
      <c r="C25" s="83">
        <v>3</v>
      </c>
      <c r="D25" s="83">
        <v>792</v>
      </c>
      <c r="E25" s="83">
        <v>2041</v>
      </c>
      <c r="F25" s="85">
        <f>E25/E$27</f>
        <v>0.69116153064679986</v>
      </c>
      <c r="G25" s="82"/>
      <c r="H25" s="140" t="s">
        <v>37</v>
      </c>
      <c r="I25" s="140"/>
      <c r="J25" s="93">
        <f>SUM(J21:J24)</f>
        <v>2</v>
      </c>
      <c r="K25" s="93">
        <f>SUM(K21:K24)</f>
        <v>52</v>
      </c>
      <c r="L25" s="93">
        <f>SUM(L21:L24)</f>
        <v>104</v>
      </c>
      <c r="M25" s="94">
        <f>SUM(M21:M24)</f>
        <v>1</v>
      </c>
      <c r="N25" s="82"/>
    </row>
    <row r="26" spans="1:14" ht="15">
      <c r="A26" s="139" t="s">
        <v>46</v>
      </c>
      <c r="B26" s="139"/>
      <c r="C26" s="83">
        <v>2</v>
      </c>
      <c r="D26" s="83">
        <v>418</v>
      </c>
      <c r="E26" s="83">
        <v>912</v>
      </c>
      <c r="F26" s="85">
        <f>E26/E$27</f>
        <v>0.30883846935320014</v>
      </c>
      <c r="G26" s="82"/>
      <c r="H26" s="141"/>
      <c r="I26" s="141"/>
      <c r="M26" s="83"/>
      <c r="N26" s="82"/>
    </row>
    <row r="27" spans="1:14" ht="15">
      <c r="A27" s="140" t="s">
        <v>47</v>
      </c>
      <c r="B27" s="140"/>
      <c r="C27" s="93">
        <f>C24+C25+C26</f>
        <v>5</v>
      </c>
      <c r="D27" s="93">
        <f>D24+D25+D26</f>
        <v>1210</v>
      </c>
      <c r="E27" s="93">
        <f>E24+E25+E26</f>
        <v>2953</v>
      </c>
      <c r="F27" s="94">
        <f>F24+F25+F26</f>
        <v>1</v>
      </c>
      <c r="G27" s="82"/>
      <c r="H27" s="139" t="s">
        <v>40</v>
      </c>
      <c r="I27" s="139"/>
      <c r="J27" s="83">
        <v>13</v>
      </c>
      <c r="K27" s="83">
        <v>209</v>
      </c>
      <c r="L27" s="83">
        <v>395</v>
      </c>
      <c r="M27" s="85">
        <f>L27/L$30</f>
        <v>0.36607970342910101</v>
      </c>
      <c r="N27" s="82"/>
    </row>
    <row r="28" spans="1:14" ht="15">
      <c r="A28" s="139"/>
      <c r="B28" s="139"/>
      <c r="F28" s="85"/>
      <c r="G28" s="82"/>
      <c r="H28" s="139" t="s">
        <v>41</v>
      </c>
      <c r="I28" s="139"/>
      <c r="J28" s="83">
        <v>9</v>
      </c>
      <c r="K28" s="83">
        <v>372</v>
      </c>
      <c r="L28" s="83">
        <v>668</v>
      </c>
      <c r="M28" s="85">
        <f>L28/L$30</f>
        <v>0.61909175162187213</v>
      </c>
      <c r="N28" s="82"/>
    </row>
    <row r="29" spans="1:14" ht="15">
      <c r="A29" s="139" t="s">
        <v>50</v>
      </c>
      <c r="B29" s="139"/>
      <c r="C29" s="83">
        <v>8</v>
      </c>
      <c r="D29" s="83">
        <v>377</v>
      </c>
      <c r="E29" s="83">
        <v>695</v>
      </c>
      <c r="F29" s="85">
        <f>E29/E$37</f>
        <v>1.8928561701664081E-2</v>
      </c>
      <c r="G29" s="82"/>
      <c r="H29" s="139" t="s">
        <v>43</v>
      </c>
      <c r="I29" s="139"/>
      <c r="J29" s="83">
        <v>1</v>
      </c>
      <c r="K29" s="83">
        <v>8</v>
      </c>
      <c r="L29" s="83">
        <v>16</v>
      </c>
      <c r="M29" s="85">
        <f>L29/L$30</f>
        <v>1.4828544949026877E-2</v>
      </c>
      <c r="N29" s="82"/>
    </row>
    <row r="30" spans="1:14" ht="15">
      <c r="A30" s="139" t="s">
        <v>52</v>
      </c>
      <c r="B30" s="139"/>
      <c r="C30" s="83">
        <v>18</v>
      </c>
      <c r="D30" s="83">
        <v>2313</v>
      </c>
      <c r="E30" s="83">
        <v>4343</v>
      </c>
      <c r="F30" s="85">
        <f t="shared" ref="F30:F36" si="1">E30/E$37</f>
        <v>0.11828308412996705</v>
      </c>
      <c r="G30" s="82"/>
      <c r="H30" s="140" t="s">
        <v>45</v>
      </c>
      <c r="I30" s="140"/>
      <c r="J30" s="93">
        <f>J27+J28+J29</f>
        <v>23</v>
      </c>
      <c r="K30" s="93">
        <f>K27+K28+K29</f>
        <v>589</v>
      </c>
      <c r="L30" s="93">
        <f>L27+L28+L29</f>
        <v>1079</v>
      </c>
      <c r="M30" s="94">
        <f>M27+M28+M29</f>
        <v>1</v>
      </c>
      <c r="N30" s="82"/>
    </row>
    <row r="31" spans="1:14" ht="15">
      <c r="A31" s="139" t="s">
        <v>54</v>
      </c>
      <c r="B31" s="139"/>
      <c r="C31" s="83">
        <v>50</v>
      </c>
      <c r="D31" s="83">
        <v>10109</v>
      </c>
      <c r="E31" s="83">
        <v>19332</v>
      </c>
      <c r="F31" s="85">
        <f t="shared" si="1"/>
        <v>0.52651360405261871</v>
      </c>
      <c r="G31" s="82"/>
      <c r="H31" s="141"/>
      <c r="I31" s="141"/>
      <c r="M31" s="83"/>
      <c r="N31" s="82"/>
    </row>
    <row r="32" spans="1:14" ht="15">
      <c r="A32" s="139" t="s">
        <v>143</v>
      </c>
      <c r="B32" s="139"/>
      <c r="C32" s="83"/>
      <c r="D32" s="83"/>
      <c r="E32" s="83"/>
      <c r="F32" s="85"/>
      <c r="G32" s="82"/>
      <c r="H32" s="139" t="s">
        <v>48</v>
      </c>
      <c r="I32" s="139"/>
      <c r="J32" s="83">
        <v>36</v>
      </c>
      <c r="K32" s="83">
        <v>1009</v>
      </c>
      <c r="L32" s="83">
        <v>1849</v>
      </c>
      <c r="M32" s="85">
        <f>L32/L$35</f>
        <v>0.53178027034800113</v>
      </c>
      <c r="N32" s="82"/>
    </row>
    <row r="33" spans="1:14" ht="15">
      <c r="A33" s="139" t="s">
        <v>91</v>
      </c>
      <c r="B33" s="139"/>
      <c r="C33" s="83">
        <v>24</v>
      </c>
      <c r="D33" s="83">
        <v>4074</v>
      </c>
      <c r="E33" s="83">
        <v>7857</v>
      </c>
      <c r="F33" s="85">
        <f t="shared" si="1"/>
        <v>0.21398807092082686</v>
      </c>
      <c r="G33" s="82"/>
      <c r="H33" s="139" t="s">
        <v>49</v>
      </c>
      <c r="I33" s="139"/>
      <c r="J33" s="83">
        <v>22</v>
      </c>
      <c r="K33" s="83">
        <v>818</v>
      </c>
      <c r="L33" s="83">
        <v>1571</v>
      </c>
      <c r="M33" s="85">
        <f>L33/L$35</f>
        <v>0.45182628702904803</v>
      </c>
      <c r="N33" s="82"/>
    </row>
    <row r="34" spans="1:14" ht="15">
      <c r="A34" s="139" t="s">
        <v>144</v>
      </c>
      <c r="B34" s="139"/>
      <c r="C34" s="83">
        <v>2</v>
      </c>
      <c r="D34" s="83">
        <v>396</v>
      </c>
      <c r="E34" s="83">
        <v>755</v>
      </c>
      <c r="F34" s="85">
        <f t="shared" si="1"/>
        <v>2.0562682136340115E-2</v>
      </c>
      <c r="G34" s="82"/>
      <c r="H34" s="139" t="s">
        <v>51</v>
      </c>
      <c r="I34" s="139"/>
      <c r="J34" s="83">
        <v>1</v>
      </c>
      <c r="K34" s="83">
        <v>30</v>
      </c>
      <c r="L34" s="83">
        <v>57</v>
      </c>
      <c r="M34" s="85">
        <f>L34/L$35</f>
        <v>1.6393442622950821E-2</v>
      </c>
      <c r="N34" s="82"/>
    </row>
    <row r="35" spans="1:14" ht="15">
      <c r="A35" s="139" t="s">
        <v>57</v>
      </c>
      <c r="B35" s="139"/>
      <c r="C35" s="83">
        <v>7</v>
      </c>
      <c r="D35" s="83">
        <v>1696</v>
      </c>
      <c r="E35" s="83">
        <v>3354</v>
      </c>
      <c r="F35" s="85">
        <f t="shared" si="1"/>
        <v>9.1347332298390385E-2</v>
      </c>
      <c r="G35" s="82"/>
      <c r="H35" s="140" t="s">
        <v>53</v>
      </c>
      <c r="I35" s="140"/>
      <c r="J35" s="93">
        <f>J32+J33+J34</f>
        <v>59</v>
      </c>
      <c r="K35" s="93">
        <f>K32+K33+K34</f>
        <v>1857</v>
      </c>
      <c r="L35" s="93">
        <f>L32+L33+L34</f>
        <v>3477</v>
      </c>
      <c r="M35" s="94">
        <f>M32+M33+M34</f>
        <v>1</v>
      </c>
      <c r="N35" s="82"/>
    </row>
    <row r="36" spans="1:14" ht="15">
      <c r="A36" s="139" t="s">
        <v>59</v>
      </c>
      <c r="B36" s="139"/>
      <c r="C36" s="83">
        <v>2</v>
      </c>
      <c r="D36" s="83">
        <v>195</v>
      </c>
      <c r="E36" s="83">
        <v>381</v>
      </c>
      <c r="F36" s="85">
        <f t="shared" si="1"/>
        <v>1.0376664760192826E-2</v>
      </c>
      <c r="G36" s="82"/>
      <c r="H36" s="142"/>
      <c r="I36" s="142"/>
      <c r="J36" s="83"/>
      <c r="K36" s="83"/>
      <c r="L36" s="83"/>
      <c r="M36" s="83"/>
      <c r="N36" s="82"/>
    </row>
    <row r="37" spans="1:14" ht="15">
      <c r="A37" s="140" t="s">
        <v>61</v>
      </c>
      <c r="B37" s="140"/>
      <c r="C37" s="93">
        <f>C29+C30+C31+C32+C33+C34+C35+C36</f>
        <v>111</v>
      </c>
      <c r="D37" s="93">
        <f>D29+D30+D31+D32+D33+D34+D35+D36</f>
        <v>19160</v>
      </c>
      <c r="E37" s="93">
        <f>E29+E30+E31+E32+E33+E34+E35+E36</f>
        <v>36717</v>
      </c>
      <c r="F37" s="94">
        <f>F29+F30+F31+F32+F33+F34+F35+F36</f>
        <v>1</v>
      </c>
      <c r="G37" s="82"/>
      <c r="H37" s="140" t="s">
        <v>56</v>
      </c>
      <c r="I37" s="140"/>
      <c r="J37" s="93">
        <v>25</v>
      </c>
      <c r="K37" s="93">
        <v>260</v>
      </c>
      <c r="L37" s="93">
        <v>466</v>
      </c>
      <c r="M37" s="94">
        <v>1</v>
      </c>
      <c r="N37" s="82"/>
    </row>
    <row r="38" spans="1:14" ht="15">
      <c r="A38" s="141"/>
      <c r="B38" s="141"/>
      <c r="C38" s="83"/>
      <c r="D38" s="83"/>
      <c r="E38" s="83"/>
      <c r="F38" s="85"/>
      <c r="G38" s="82"/>
      <c r="H38" s="140" t="s">
        <v>58</v>
      </c>
      <c r="I38" s="140"/>
      <c r="J38" s="93">
        <v>3</v>
      </c>
      <c r="K38" s="93">
        <v>49</v>
      </c>
      <c r="L38" s="93">
        <v>89</v>
      </c>
      <c r="M38" s="94">
        <v>1</v>
      </c>
      <c r="N38" s="82"/>
    </row>
    <row r="39" spans="1:14" ht="15">
      <c r="A39" s="139" t="s">
        <v>62</v>
      </c>
      <c r="B39" s="139"/>
      <c r="C39" s="83">
        <v>5</v>
      </c>
      <c r="D39" s="83">
        <v>204</v>
      </c>
      <c r="E39" s="83">
        <v>388</v>
      </c>
      <c r="F39" s="85">
        <f>E39/E$44</f>
        <v>0.17979610750695088</v>
      </c>
      <c r="G39" s="82"/>
      <c r="H39" s="140" t="s">
        <v>60</v>
      </c>
      <c r="I39" s="140"/>
      <c r="J39" s="93"/>
      <c r="K39" s="93"/>
      <c r="L39" s="93"/>
      <c r="M39" s="94"/>
      <c r="N39" s="82"/>
    </row>
    <row r="40" spans="1:14" ht="15">
      <c r="A40" s="139" t="s">
        <v>63</v>
      </c>
      <c r="B40" s="139"/>
      <c r="C40" s="83">
        <v>6</v>
      </c>
      <c r="D40" s="83">
        <v>490</v>
      </c>
      <c r="E40" s="83">
        <v>925</v>
      </c>
      <c r="F40" s="85">
        <f>E40/E$44</f>
        <v>0.42863762743280814</v>
      </c>
      <c r="G40" s="82"/>
      <c r="H40" s="140" t="s">
        <v>226</v>
      </c>
      <c r="I40" s="140"/>
      <c r="J40" s="93"/>
      <c r="K40" s="93"/>
      <c r="L40" s="93"/>
      <c r="M40" s="94"/>
      <c r="N40" s="82"/>
    </row>
    <row r="41" spans="1:14" ht="15">
      <c r="A41" s="139" t="s">
        <v>64</v>
      </c>
      <c r="B41" s="139"/>
      <c r="C41" s="83">
        <v>3</v>
      </c>
      <c r="D41" s="83">
        <v>319</v>
      </c>
      <c r="E41" s="83">
        <v>627</v>
      </c>
      <c r="F41" s="85">
        <f>E41/E$44</f>
        <v>0.29054680259499538</v>
      </c>
      <c r="G41" s="82"/>
      <c r="H41" s="84"/>
      <c r="I41" s="84"/>
      <c r="N41" s="82"/>
    </row>
    <row r="42" spans="1:14" ht="15">
      <c r="A42" s="139" t="s">
        <v>93</v>
      </c>
      <c r="B42" s="139"/>
      <c r="C42" s="83">
        <v>2</v>
      </c>
      <c r="D42" s="83">
        <v>126</v>
      </c>
      <c r="E42" s="83">
        <v>218</v>
      </c>
      <c r="F42" s="85">
        <f>E42/E$44</f>
        <v>0.1010194624652456</v>
      </c>
      <c r="G42" s="82"/>
      <c r="H42" s="140" t="s">
        <v>65</v>
      </c>
      <c r="I42" s="140"/>
      <c r="J42" s="93">
        <f>C17+C19+C20+C21+C22+C27+C37+C44+J19+J25+J30+J35+J37+J38+J39</f>
        <v>548</v>
      </c>
      <c r="K42" s="93">
        <f>D17+D19+D20+D21+D22+D27+D37+D44+K19+K25+K30+K35+K37+K38+K39</f>
        <v>35277</v>
      </c>
      <c r="L42" s="93">
        <f>E17+E19+E20+E21+E22+E27+E37+E44+L19+L25+L30+L35+L37+L38+L39</f>
        <v>77785</v>
      </c>
      <c r="M42" s="82"/>
      <c r="N42" s="82"/>
    </row>
    <row r="43" spans="1:14" ht="15">
      <c r="A43" s="139" t="s">
        <v>67</v>
      </c>
      <c r="B43" s="139"/>
      <c r="F43" s="85"/>
      <c r="G43" s="82"/>
      <c r="L43" s="100"/>
      <c r="N43" s="82"/>
    </row>
    <row r="44" spans="1:14" ht="15">
      <c r="A44" s="140" t="s">
        <v>68</v>
      </c>
      <c r="B44" s="140"/>
      <c r="C44" s="93">
        <f>C39+C40+C41+C42+C43</f>
        <v>16</v>
      </c>
      <c r="D44" s="93">
        <f>D39+D40+D41+D42+D43</f>
        <v>1139</v>
      </c>
      <c r="E44" s="93">
        <f>E39+E40+E41+E42+E43</f>
        <v>2158</v>
      </c>
      <c r="F44" s="94">
        <f>F39+F40+F41+F42+F43</f>
        <v>1</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row>
    <row r="54" spans="1:14">
      <c r="A54" s="77"/>
      <c r="B54" s="77"/>
    </row>
    <row r="55" spans="1:14">
      <c r="A55" s="77"/>
      <c r="B55" s="77"/>
    </row>
  </sheetData>
  <sheetProtection algorithmName="SHA-512" hashValue="iqz9ifkIEIgkiADJ6Z97Lj3agQkndxAkTatXq3GvEAGO7mJSZ4GtLpRhXWSRyBPkLxfHNpP4U4/LdnvC4b9t+Q==" saltValue="PUwBSxMX3tB3cYHvZxivxQ==" spinCount="100000" sheet="1"/>
  <mergeCells count="79">
    <mergeCell ref="A46:B46"/>
    <mergeCell ref="A53:B53"/>
    <mergeCell ref="A47:B47"/>
    <mergeCell ref="A48:B48"/>
    <mergeCell ref="A49:B49"/>
    <mergeCell ref="A50:B50"/>
    <mergeCell ref="A51:B51"/>
    <mergeCell ref="A52:B52"/>
    <mergeCell ref="A41:B41"/>
    <mergeCell ref="A42:B42"/>
    <mergeCell ref="H42:I42"/>
    <mergeCell ref="A43:B43"/>
    <mergeCell ref="A44:B44"/>
    <mergeCell ref="A38:B38"/>
    <mergeCell ref="H38:I38"/>
    <mergeCell ref="A39:B39"/>
    <mergeCell ref="H39:I39"/>
    <mergeCell ref="A40:B40"/>
    <mergeCell ref="H40:I40"/>
    <mergeCell ref="A35:B35"/>
    <mergeCell ref="H35:I35"/>
    <mergeCell ref="A36:B36"/>
    <mergeCell ref="H36:I36"/>
    <mergeCell ref="A37:B37"/>
    <mergeCell ref="H37:I37"/>
    <mergeCell ref="A32:B32"/>
    <mergeCell ref="H32:I32"/>
    <mergeCell ref="A33:B33"/>
    <mergeCell ref="H33:I33"/>
    <mergeCell ref="A34:B34"/>
    <mergeCell ref="H34:I34"/>
    <mergeCell ref="A29:B29"/>
    <mergeCell ref="H29:I29"/>
    <mergeCell ref="A30:B30"/>
    <mergeCell ref="H30:I30"/>
    <mergeCell ref="A31:B31"/>
    <mergeCell ref="H31:I31"/>
    <mergeCell ref="A26:B26"/>
    <mergeCell ref="H26:I26"/>
    <mergeCell ref="A27:B27"/>
    <mergeCell ref="H27:I27"/>
    <mergeCell ref="A28:B28"/>
    <mergeCell ref="H28:I28"/>
    <mergeCell ref="A23:B23"/>
    <mergeCell ref="H23:I23"/>
    <mergeCell ref="A24:B24"/>
    <mergeCell ref="H24:I24"/>
    <mergeCell ref="A25:B25"/>
    <mergeCell ref="H25:I25"/>
    <mergeCell ref="A20:B20"/>
    <mergeCell ref="H20:I20"/>
    <mergeCell ref="A21:B21"/>
    <mergeCell ref="H21:I21"/>
    <mergeCell ref="A22:B22"/>
    <mergeCell ref="H22:I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B44"/>
  <sheetViews>
    <sheetView showGridLines="0" zoomScaleNormal="100" zoomScaleSheetLayoutView="100" workbookViewId="0"/>
  </sheetViews>
  <sheetFormatPr baseColWidth="10" defaultColWidth="9.140625" defaultRowHeight="12.75"/>
  <cols>
    <col min="1" max="1" width="80.5703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5" width="8.7109375" style="57" customWidth="1"/>
    <col min="36" max="36" width="9.140625" style="57" customWidth="1"/>
    <col min="37" max="37" width="8.7109375" style="57" customWidth="1"/>
    <col min="38" max="38" width="9.140625" style="57" customWidth="1"/>
    <col min="39" max="39" width="8.28515625" style="57" customWidth="1"/>
    <col min="40" max="40" width="9.140625" style="57" customWidth="1"/>
    <col min="41" max="41" width="8.28515625" style="57" customWidth="1"/>
    <col min="42" max="42" width="9.140625" style="57" customWidth="1"/>
    <col min="43" max="43" width="8.28515625" style="57" customWidth="1"/>
    <col min="44" max="44" width="9.140625" style="57" customWidth="1"/>
    <col min="45" max="45" width="8.28515625" style="57" customWidth="1"/>
    <col min="46" max="46" width="9.5703125" style="57" customWidth="1"/>
    <col min="47" max="47" width="8.28515625" style="57" customWidth="1"/>
    <col min="48" max="48" width="9.140625" style="57" customWidth="1"/>
    <col min="49" max="49" width="8.28515625" style="57" customWidth="1"/>
    <col min="50" max="50" width="9.140625" style="57" customWidth="1"/>
    <col min="51" max="51" width="8.28515625" style="57" customWidth="1"/>
    <col min="52" max="52" width="9.140625" style="57" customWidth="1"/>
    <col min="53" max="53" width="8.28515625" style="57" customWidth="1"/>
    <col min="54" max="54" width="9.140625" style="57" customWidth="1"/>
    <col min="55" max="55" width="8.28515625" style="57" customWidth="1"/>
    <col min="56" max="56" width="8.7109375" style="57" customWidth="1"/>
    <col min="57" max="57" width="8.28515625" style="57" customWidth="1"/>
    <col min="58" max="58" width="8.7109375" style="57" customWidth="1"/>
    <col min="59" max="59" width="8.28515625" style="57" customWidth="1"/>
    <col min="60" max="60" width="8.7109375" style="57" customWidth="1"/>
    <col min="61" max="61" width="8.28515625" style="57" customWidth="1"/>
    <col min="62" max="62" width="9.140625" style="57" customWidth="1"/>
    <col min="63" max="63" width="8.28515625" style="57" customWidth="1"/>
    <col min="64" max="64" width="9.140625" style="57" customWidth="1"/>
    <col min="65" max="65" width="8.28515625" style="57" customWidth="1"/>
    <col min="66" max="66" width="9.140625" style="57" customWidth="1"/>
    <col min="67" max="67" width="8.28515625" style="57" customWidth="1"/>
    <col min="68" max="68" width="9.140625" style="57"/>
    <col min="69" max="69" width="8.28515625" style="57" customWidth="1"/>
    <col min="70" max="70" width="9.140625" style="57" customWidth="1"/>
    <col min="71" max="71" width="8.28515625" style="57" customWidth="1"/>
    <col min="72" max="72" width="12.28515625" style="57" customWidth="1"/>
    <col min="73" max="73" width="8.28515625" style="57" customWidth="1"/>
    <col min="74" max="16384" width="9.140625" style="57"/>
  </cols>
  <sheetData>
    <row r="1" spans="1:132" ht="16.5">
      <c r="A1" s="75"/>
    </row>
    <row r="2" spans="1:132">
      <c r="A2" s="77"/>
    </row>
    <row r="3" spans="1:132" ht="16.5">
      <c r="A3" s="5" t="s">
        <v>230</v>
      </c>
    </row>
    <row r="4" spans="1:132" s="88" customFormat="1" ht="16.5">
      <c r="A4" s="30" t="s">
        <v>231</v>
      </c>
    </row>
    <row r="5" spans="1:132" s="88" customFormat="1" ht="16.5">
      <c r="A5" s="30" t="s">
        <v>232</v>
      </c>
    </row>
    <row r="6" spans="1:132" s="88" customFormat="1"/>
    <row r="7" spans="1:132" s="89" customFormat="1" ht="15" customHeight="1">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91</v>
      </c>
      <c r="AC7" s="143"/>
      <c r="AD7" s="143" t="s">
        <v>144</v>
      </c>
      <c r="AE7" s="143"/>
      <c r="AF7" s="143" t="s">
        <v>162</v>
      </c>
      <c r="AG7" s="143"/>
      <c r="AH7" s="143" t="s">
        <v>198</v>
      </c>
      <c r="AI7" s="143"/>
      <c r="AJ7" s="143" t="s">
        <v>18</v>
      </c>
      <c r="AK7" s="143"/>
      <c r="AL7" s="143" t="s">
        <v>20</v>
      </c>
      <c r="AM7" s="143"/>
      <c r="AN7" s="143" t="s">
        <v>212</v>
      </c>
      <c r="AO7" s="143"/>
      <c r="AP7" s="143" t="s">
        <v>22</v>
      </c>
      <c r="AQ7" s="143"/>
      <c r="AR7" s="143" t="s">
        <v>24</v>
      </c>
      <c r="AS7" s="143"/>
      <c r="AT7" s="143" t="s">
        <v>92</v>
      </c>
      <c r="AU7" s="143"/>
      <c r="AV7" s="143" t="s">
        <v>63</v>
      </c>
      <c r="AW7" s="143"/>
      <c r="AX7" s="143" t="s">
        <v>64</v>
      </c>
      <c r="AY7" s="143"/>
      <c r="AZ7" s="143" t="s">
        <v>93</v>
      </c>
      <c r="BA7" s="143"/>
      <c r="BB7" s="143" t="s">
        <v>26</v>
      </c>
      <c r="BC7" s="143"/>
      <c r="BD7" s="143" t="s">
        <v>40</v>
      </c>
      <c r="BE7" s="143"/>
      <c r="BF7" s="143" t="s">
        <v>41</v>
      </c>
      <c r="BG7" s="143"/>
      <c r="BH7" s="143" t="s">
        <v>43</v>
      </c>
      <c r="BI7" s="143"/>
      <c r="BJ7" s="143" t="s">
        <v>48</v>
      </c>
      <c r="BK7" s="143"/>
      <c r="BL7" s="143" t="s">
        <v>49</v>
      </c>
      <c r="BM7" s="143"/>
      <c r="BN7" s="143" t="s">
        <v>51</v>
      </c>
      <c r="BO7" s="143"/>
      <c r="BP7" s="143" t="s">
        <v>28</v>
      </c>
      <c r="BQ7" s="143"/>
      <c r="BR7" s="143" t="s">
        <v>33</v>
      </c>
      <c r="BS7" s="143"/>
      <c r="BT7" s="143" t="s">
        <v>29</v>
      </c>
      <c r="BU7" s="143"/>
      <c r="BV7" s="143" t="s">
        <v>65</v>
      </c>
      <c r="BW7" s="143"/>
    </row>
    <row r="8" spans="1:132" s="89" customFormat="1" ht="15" customHeight="1">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row>
    <row r="9" spans="1:132"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row>
    <row r="10" spans="1:132" ht="15">
      <c r="A10" s="37" t="s">
        <v>217</v>
      </c>
      <c r="B10" s="12">
        <v>27</v>
      </c>
      <c r="C10" s="12">
        <v>1599</v>
      </c>
      <c r="D10" s="12">
        <v>9</v>
      </c>
      <c r="E10" s="12">
        <v>781</v>
      </c>
      <c r="F10" s="12">
        <v>7</v>
      </c>
      <c r="G10" s="12">
        <v>1568</v>
      </c>
      <c r="H10" s="12">
        <v>3</v>
      </c>
      <c r="I10" s="12">
        <v>302</v>
      </c>
      <c r="J10" s="12"/>
      <c r="K10" s="12"/>
      <c r="L10" s="12">
        <v>13</v>
      </c>
      <c r="M10" s="12">
        <v>222</v>
      </c>
      <c r="N10" s="12"/>
      <c r="O10" s="12"/>
      <c r="P10" s="12"/>
      <c r="Q10" s="12"/>
      <c r="R10" s="12"/>
      <c r="S10" s="12"/>
      <c r="T10" s="12"/>
      <c r="U10" s="12"/>
      <c r="V10" s="12">
        <v>4</v>
      </c>
      <c r="W10" s="12">
        <v>337</v>
      </c>
      <c r="X10" s="12">
        <v>4</v>
      </c>
      <c r="Y10" s="12">
        <v>723</v>
      </c>
      <c r="Z10" s="12">
        <v>9</v>
      </c>
      <c r="AA10" s="12">
        <v>2802</v>
      </c>
      <c r="AB10" s="12">
        <v>7</v>
      </c>
      <c r="AC10" s="12">
        <v>2050</v>
      </c>
      <c r="AD10" s="12">
        <v>2</v>
      </c>
      <c r="AE10" s="12">
        <v>755</v>
      </c>
      <c r="AF10" s="12">
        <v>1</v>
      </c>
      <c r="AG10" s="12">
        <v>23</v>
      </c>
      <c r="AH10" s="12">
        <v>2</v>
      </c>
      <c r="AI10" s="12">
        <v>381</v>
      </c>
      <c r="AJ10" s="12">
        <v>1</v>
      </c>
      <c r="AK10" s="12">
        <v>213</v>
      </c>
      <c r="AL10" s="12"/>
      <c r="AM10" s="12"/>
      <c r="AN10" s="12">
        <v>1</v>
      </c>
      <c r="AO10" s="12">
        <v>517</v>
      </c>
      <c r="AP10" s="12"/>
      <c r="AQ10" s="12"/>
      <c r="AR10" s="12"/>
      <c r="AS10" s="12"/>
      <c r="AT10" s="12">
        <v>1</v>
      </c>
      <c r="AU10" s="12">
        <v>85</v>
      </c>
      <c r="AV10" s="12">
        <v>3</v>
      </c>
      <c r="AW10" s="12">
        <v>411</v>
      </c>
      <c r="AX10" s="12"/>
      <c r="AY10" s="12"/>
      <c r="AZ10" s="12">
        <v>1</v>
      </c>
      <c r="BA10" s="12">
        <v>199</v>
      </c>
      <c r="BB10" s="12">
        <v>1</v>
      </c>
      <c r="BC10" s="12">
        <v>20</v>
      </c>
      <c r="BD10" s="12">
        <v>2</v>
      </c>
      <c r="BE10" s="12">
        <v>101</v>
      </c>
      <c r="BF10" s="12">
        <v>1</v>
      </c>
      <c r="BG10" s="12">
        <v>75</v>
      </c>
      <c r="BH10" s="12"/>
      <c r="BI10" s="12"/>
      <c r="BJ10" s="12">
        <v>10</v>
      </c>
      <c r="BK10" s="96">
        <v>437</v>
      </c>
      <c r="BL10" s="12">
        <v>3</v>
      </c>
      <c r="BM10" s="12">
        <v>85</v>
      </c>
      <c r="BN10" s="12">
        <v>1</v>
      </c>
      <c r="BO10" s="12">
        <v>57</v>
      </c>
      <c r="BP10" s="12"/>
      <c r="BQ10" s="12"/>
      <c r="BR10" s="12"/>
      <c r="BS10" s="12"/>
      <c r="BT10" s="12"/>
      <c r="BU10" s="12"/>
      <c r="BV10" s="15">
        <f t="shared" ref="BV10:BW12" si="0">B10+D10+F10+H10+J10+L10+N10+P10++R10+T10+V10+X10+Z10+AB10+AD10+AF10+AH10+AJ10+AL10+AN10+AP10+AR10+AT10+AV10+AX10+AZ10+BB10+BD10+BF10+BH10+BJ10+BL10+BN10+BP10+BR10+BT10</f>
        <v>113</v>
      </c>
      <c r="BW10" s="15">
        <f t="shared" si="0"/>
        <v>13743</v>
      </c>
      <c r="BX10" s="90"/>
      <c r="CW10" s="89"/>
      <c r="CX10" s="89"/>
      <c r="EB10" s="91"/>
    </row>
    <row r="11" spans="1:132" ht="15">
      <c r="A11" s="69" t="s">
        <v>84</v>
      </c>
      <c r="B11" s="12">
        <v>34</v>
      </c>
      <c r="C11" s="12">
        <v>2384</v>
      </c>
      <c r="D11" s="12">
        <v>14</v>
      </c>
      <c r="E11" s="12">
        <v>1793</v>
      </c>
      <c r="F11" s="12">
        <v>2</v>
      </c>
      <c r="G11" s="12">
        <v>60</v>
      </c>
      <c r="H11" s="12"/>
      <c r="I11" s="12"/>
      <c r="J11" s="12">
        <v>5</v>
      </c>
      <c r="K11" s="12">
        <v>98</v>
      </c>
      <c r="L11" s="12">
        <v>9</v>
      </c>
      <c r="M11" s="12">
        <v>206</v>
      </c>
      <c r="N11" s="12">
        <v>1</v>
      </c>
      <c r="O11" s="12">
        <v>274</v>
      </c>
      <c r="P11" s="12"/>
      <c r="Q11" s="12"/>
      <c r="R11" s="12"/>
      <c r="S11" s="12"/>
      <c r="T11" s="12"/>
      <c r="U11" s="12"/>
      <c r="V11" s="12">
        <v>4</v>
      </c>
      <c r="W11" s="12">
        <v>358</v>
      </c>
      <c r="X11" s="12">
        <v>5</v>
      </c>
      <c r="Y11" s="12">
        <v>1808</v>
      </c>
      <c r="Z11" s="12">
        <v>11</v>
      </c>
      <c r="AA11" s="12">
        <v>2993</v>
      </c>
      <c r="AB11" s="12">
        <v>3</v>
      </c>
      <c r="AC11" s="12">
        <v>1021</v>
      </c>
      <c r="AD11" s="12"/>
      <c r="AE11" s="12"/>
      <c r="AF11" s="12"/>
      <c r="AG11" s="12"/>
      <c r="AH11" s="12"/>
      <c r="AI11" s="12"/>
      <c r="AJ11" s="12">
        <v>3</v>
      </c>
      <c r="AK11" s="12">
        <v>367</v>
      </c>
      <c r="AL11" s="12">
        <v>3</v>
      </c>
      <c r="AM11" s="12">
        <v>1107</v>
      </c>
      <c r="AN11" s="12"/>
      <c r="AO11" s="12"/>
      <c r="AP11" s="12">
        <v>2</v>
      </c>
      <c r="AQ11" s="12">
        <v>338</v>
      </c>
      <c r="AR11" s="12"/>
      <c r="AS11" s="12"/>
      <c r="AT11" s="12">
        <v>4</v>
      </c>
      <c r="AU11" s="12">
        <v>303</v>
      </c>
      <c r="AV11" s="12">
        <v>2</v>
      </c>
      <c r="AW11" s="12">
        <v>430</v>
      </c>
      <c r="AX11" s="12"/>
      <c r="AY11" s="12"/>
      <c r="AZ11" s="12"/>
      <c r="BA11" s="12"/>
      <c r="BB11" s="12">
        <v>2</v>
      </c>
      <c r="BC11" s="12">
        <v>46</v>
      </c>
      <c r="BD11" s="12">
        <v>2</v>
      </c>
      <c r="BE11" s="12">
        <v>76</v>
      </c>
      <c r="BF11" s="12">
        <v>3</v>
      </c>
      <c r="BG11" s="12">
        <v>310</v>
      </c>
      <c r="BH11" s="12"/>
      <c r="BI11" s="12"/>
      <c r="BJ11" s="12">
        <v>17</v>
      </c>
      <c r="BK11" s="12">
        <v>1084</v>
      </c>
      <c r="BL11" s="12">
        <v>11</v>
      </c>
      <c r="BM11" s="12">
        <v>981</v>
      </c>
      <c r="BN11" s="12"/>
      <c r="BO11" s="12"/>
      <c r="BP11" s="12"/>
      <c r="BQ11" s="12"/>
      <c r="BR11" s="12"/>
      <c r="BS11" s="12"/>
      <c r="BT11" s="12">
        <v>1</v>
      </c>
      <c r="BU11" s="12">
        <v>10</v>
      </c>
      <c r="BV11" s="15">
        <f t="shared" si="0"/>
        <v>138</v>
      </c>
      <c r="BW11" s="15">
        <f t="shared" si="0"/>
        <v>16047</v>
      </c>
      <c r="CW11" s="89"/>
      <c r="CX11" s="89"/>
    </row>
    <row r="12" spans="1:132" ht="15">
      <c r="A12" s="37" t="s">
        <v>85</v>
      </c>
      <c r="B12" s="12">
        <v>6</v>
      </c>
      <c r="C12" s="12">
        <v>514</v>
      </c>
      <c r="D12" s="12">
        <v>6</v>
      </c>
      <c r="E12" s="12">
        <v>513</v>
      </c>
      <c r="F12" s="12">
        <v>4</v>
      </c>
      <c r="G12" s="12">
        <v>298</v>
      </c>
      <c r="H12" s="12">
        <v>1</v>
      </c>
      <c r="I12" s="12">
        <v>29</v>
      </c>
      <c r="J12" s="12">
        <v>10</v>
      </c>
      <c r="K12" s="12">
        <v>159</v>
      </c>
      <c r="L12" s="12">
        <v>1</v>
      </c>
      <c r="M12" s="12">
        <v>8</v>
      </c>
      <c r="N12" s="12"/>
      <c r="O12" s="12"/>
      <c r="P12" s="12"/>
      <c r="Q12" s="12"/>
      <c r="R12" s="12">
        <v>2</v>
      </c>
      <c r="S12" s="12">
        <v>912</v>
      </c>
      <c r="T12" s="12"/>
      <c r="U12" s="12"/>
      <c r="V12" s="12"/>
      <c r="W12" s="12"/>
      <c r="X12" s="12"/>
      <c r="Y12" s="12"/>
      <c r="Z12" s="12">
        <v>5</v>
      </c>
      <c r="AA12" s="12">
        <v>1522</v>
      </c>
      <c r="AB12" s="12">
        <v>3</v>
      </c>
      <c r="AC12" s="12">
        <v>1104</v>
      </c>
      <c r="AD12" s="12"/>
      <c r="AE12" s="12"/>
      <c r="AF12" s="12">
        <v>1</v>
      </c>
      <c r="AG12" s="12">
        <v>116</v>
      </c>
      <c r="AH12" s="12"/>
      <c r="AI12" s="12"/>
      <c r="AJ12" s="12"/>
      <c r="AK12" s="12"/>
      <c r="AL12" s="12"/>
      <c r="AM12" s="12"/>
      <c r="AN12" s="12"/>
      <c r="AO12" s="12"/>
      <c r="AP12" s="12"/>
      <c r="AQ12" s="12"/>
      <c r="AR12" s="12"/>
      <c r="AS12" s="12"/>
      <c r="AT12" s="12"/>
      <c r="AU12" s="12"/>
      <c r="AV12" s="12"/>
      <c r="AW12" s="12"/>
      <c r="AX12" s="12"/>
      <c r="AY12" s="12"/>
      <c r="AZ12" s="12"/>
      <c r="BA12" s="12"/>
      <c r="BB12" s="12">
        <v>3</v>
      </c>
      <c r="BC12" s="12">
        <v>88</v>
      </c>
      <c r="BD12" s="12">
        <v>1</v>
      </c>
      <c r="BE12" s="12">
        <v>20</v>
      </c>
      <c r="BF12" s="12">
        <v>1</v>
      </c>
      <c r="BG12" s="12">
        <v>21</v>
      </c>
      <c r="BH12" s="12"/>
      <c r="BI12" s="12"/>
      <c r="BJ12" s="12">
        <v>3</v>
      </c>
      <c r="BK12" s="12">
        <v>118</v>
      </c>
      <c r="BL12" s="12">
        <v>1</v>
      </c>
      <c r="BM12" s="12">
        <v>222</v>
      </c>
      <c r="BN12" s="12"/>
      <c r="BO12" s="12"/>
      <c r="BP12" s="12"/>
      <c r="BQ12" s="12"/>
      <c r="BR12" s="12"/>
      <c r="BS12" s="12"/>
      <c r="BT12" s="12">
        <v>2</v>
      </c>
      <c r="BU12" s="12">
        <v>20</v>
      </c>
      <c r="BV12" s="15">
        <f t="shared" si="0"/>
        <v>50</v>
      </c>
      <c r="BW12" s="15">
        <f t="shared" si="0"/>
        <v>5664</v>
      </c>
      <c r="CW12" s="89"/>
      <c r="CX12" s="89"/>
    </row>
    <row r="13" spans="1:132" ht="15">
      <c r="A13" s="37" t="s">
        <v>86</v>
      </c>
      <c r="B13" s="12">
        <v>26</v>
      </c>
      <c r="C13" s="12">
        <v>2058</v>
      </c>
      <c r="D13" s="12">
        <v>11</v>
      </c>
      <c r="E13" s="12">
        <v>1648</v>
      </c>
      <c r="F13" s="12">
        <v>18</v>
      </c>
      <c r="G13" s="12">
        <v>2140</v>
      </c>
      <c r="H13" s="12">
        <v>2</v>
      </c>
      <c r="I13" s="12">
        <v>394</v>
      </c>
      <c r="J13" s="12">
        <v>2</v>
      </c>
      <c r="K13" s="12">
        <v>32</v>
      </c>
      <c r="L13" s="12">
        <v>1</v>
      </c>
      <c r="M13" s="12">
        <v>12</v>
      </c>
      <c r="N13" s="12">
        <v>1</v>
      </c>
      <c r="O13" s="12">
        <v>400</v>
      </c>
      <c r="P13" s="12"/>
      <c r="Q13" s="12"/>
      <c r="R13" s="12"/>
      <c r="S13" s="12"/>
      <c r="T13" s="12"/>
      <c r="U13" s="12"/>
      <c r="V13" s="12"/>
      <c r="W13" s="12"/>
      <c r="X13" s="12">
        <v>5</v>
      </c>
      <c r="Y13" s="12">
        <v>1111</v>
      </c>
      <c r="Z13" s="12">
        <v>11</v>
      </c>
      <c r="AA13" s="12">
        <v>5429</v>
      </c>
      <c r="AB13" s="12">
        <v>4</v>
      </c>
      <c r="AC13" s="12">
        <v>1210</v>
      </c>
      <c r="AD13" s="12"/>
      <c r="AE13" s="12"/>
      <c r="AF13" s="12">
        <v>3</v>
      </c>
      <c r="AG13" s="12">
        <v>2647</v>
      </c>
      <c r="AH13" s="12"/>
      <c r="AI13" s="12"/>
      <c r="AJ13" s="12">
        <v>2</v>
      </c>
      <c r="AK13" s="12">
        <v>450</v>
      </c>
      <c r="AL13" s="12">
        <v>4</v>
      </c>
      <c r="AM13" s="12">
        <v>761</v>
      </c>
      <c r="AN13" s="12"/>
      <c r="AO13" s="12"/>
      <c r="AP13" s="12">
        <v>3</v>
      </c>
      <c r="AQ13" s="12">
        <v>1104</v>
      </c>
      <c r="AR13" s="12">
        <v>1</v>
      </c>
      <c r="AS13" s="12">
        <v>812</v>
      </c>
      <c r="AT13" s="12"/>
      <c r="AU13" s="12"/>
      <c r="AV13" s="12">
        <v>1</v>
      </c>
      <c r="AW13" s="12">
        <v>84</v>
      </c>
      <c r="AX13" s="12">
        <v>2</v>
      </c>
      <c r="AY13" s="12">
        <v>343</v>
      </c>
      <c r="AZ13" s="12">
        <v>1</v>
      </c>
      <c r="BA13" s="12">
        <v>19</v>
      </c>
      <c r="BB13" s="12"/>
      <c r="BC13" s="12"/>
      <c r="BD13" s="12">
        <v>3</v>
      </c>
      <c r="BE13" s="12">
        <v>44</v>
      </c>
      <c r="BF13" s="12"/>
      <c r="BG13" s="12"/>
      <c r="BH13" s="12">
        <v>1</v>
      </c>
      <c r="BI13" s="12">
        <v>16</v>
      </c>
      <c r="BJ13" s="12">
        <v>1</v>
      </c>
      <c r="BK13" s="12">
        <v>13</v>
      </c>
      <c r="BL13" s="12"/>
      <c r="BM13" s="12"/>
      <c r="BN13" s="12"/>
      <c r="BO13" s="12"/>
      <c r="BP13" s="12">
        <v>1</v>
      </c>
      <c r="BQ13" s="12">
        <v>48</v>
      </c>
      <c r="BR13" s="12">
        <v>1</v>
      </c>
      <c r="BS13" s="12">
        <v>56</v>
      </c>
      <c r="BT13" s="12"/>
      <c r="BU13" s="12"/>
      <c r="BV13" s="15">
        <f t="shared" ref="BV13:BW15" si="1">B13+D13+F13+H13+J13+L13+N13+P13++R13+T13+V13+X13+Z13+AB13+AD13+AF13+AH13+AJ13+AL13+AN13+AP13+AR13+AT13+AV13+AX13+AZ13+BB13+BD13+BF13+BH13+BJ13+BL13+BN13+BP13+BR13+BT13</f>
        <v>105</v>
      </c>
      <c r="BW13" s="15">
        <f t="shared" si="1"/>
        <v>20831</v>
      </c>
      <c r="CW13" s="89"/>
      <c r="CX13" s="89"/>
    </row>
    <row r="14" spans="1:132" ht="15">
      <c r="A14" s="37" t="s">
        <v>87</v>
      </c>
      <c r="B14" s="12">
        <v>37</v>
      </c>
      <c r="C14" s="12">
        <v>2107</v>
      </c>
      <c r="D14" s="12">
        <v>16</v>
      </c>
      <c r="E14" s="12">
        <v>1868</v>
      </c>
      <c r="F14" s="12">
        <v>8</v>
      </c>
      <c r="G14" s="12">
        <v>1214</v>
      </c>
      <c r="H14" s="12"/>
      <c r="I14" s="12"/>
      <c r="J14" s="12">
        <v>14</v>
      </c>
      <c r="K14" s="12">
        <v>253</v>
      </c>
      <c r="L14" s="12">
        <v>1</v>
      </c>
      <c r="M14" s="12">
        <v>18</v>
      </c>
      <c r="N14" s="12">
        <v>3</v>
      </c>
      <c r="O14" s="12">
        <v>924</v>
      </c>
      <c r="P14" s="12">
        <v>3</v>
      </c>
      <c r="Q14" s="12">
        <v>2041</v>
      </c>
      <c r="R14" s="12"/>
      <c r="S14" s="12"/>
      <c r="T14" s="12">
        <v>3</v>
      </c>
      <c r="U14" s="12">
        <v>89</v>
      </c>
      <c r="V14" s="12"/>
      <c r="W14" s="12"/>
      <c r="X14" s="12">
        <v>4</v>
      </c>
      <c r="Y14" s="12">
        <v>701</v>
      </c>
      <c r="Z14" s="12">
        <v>14</v>
      </c>
      <c r="AA14" s="12">
        <v>6586</v>
      </c>
      <c r="AB14" s="12">
        <v>7</v>
      </c>
      <c r="AC14" s="12">
        <v>2472</v>
      </c>
      <c r="AD14" s="12"/>
      <c r="AE14" s="12"/>
      <c r="AF14" s="12">
        <v>2</v>
      </c>
      <c r="AG14" s="12">
        <v>568</v>
      </c>
      <c r="AH14" s="12"/>
      <c r="AI14" s="12"/>
      <c r="AJ14" s="12"/>
      <c r="AK14" s="12"/>
      <c r="AL14" s="12">
        <v>4</v>
      </c>
      <c r="AM14" s="12">
        <v>1028</v>
      </c>
      <c r="AN14" s="12"/>
      <c r="AO14" s="12"/>
      <c r="AP14" s="12">
        <v>3</v>
      </c>
      <c r="AQ14" s="12">
        <v>422</v>
      </c>
      <c r="AR14" s="12"/>
      <c r="AS14" s="12"/>
      <c r="AT14" s="12"/>
      <c r="AU14" s="12"/>
      <c r="AV14" s="12"/>
      <c r="AW14" s="12"/>
      <c r="AX14" s="12">
        <v>1</v>
      </c>
      <c r="AY14" s="12">
        <v>284</v>
      </c>
      <c r="AZ14" s="12"/>
      <c r="BA14" s="12"/>
      <c r="BB14" s="12">
        <v>1</v>
      </c>
      <c r="BC14" s="12">
        <v>29</v>
      </c>
      <c r="BD14" s="12">
        <v>5</v>
      </c>
      <c r="BE14" s="12">
        <v>154</v>
      </c>
      <c r="BF14" s="12">
        <v>4</v>
      </c>
      <c r="BG14" s="12">
        <v>262</v>
      </c>
      <c r="BH14" s="12"/>
      <c r="BI14" s="12"/>
      <c r="BJ14" s="12">
        <v>5</v>
      </c>
      <c r="BK14" s="12">
        <v>197</v>
      </c>
      <c r="BL14" s="12">
        <v>7</v>
      </c>
      <c r="BM14" s="12">
        <v>283</v>
      </c>
      <c r="BN14" s="12"/>
      <c r="BO14" s="12"/>
      <c r="BP14" s="12"/>
      <c r="BQ14" s="12"/>
      <c r="BR14" s="12"/>
      <c r="BS14" s="12"/>
      <c r="BT14" s="12"/>
      <c r="BU14" s="12"/>
      <c r="BV14" s="15">
        <f t="shared" si="1"/>
        <v>142</v>
      </c>
      <c r="BW14" s="15">
        <f t="shared" si="1"/>
        <v>21500</v>
      </c>
      <c r="CW14" s="89"/>
      <c r="CX14" s="89"/>
    </row>
    <row r="15" spans="1:132" s="89" customFormat="1" ht="15">
      <c r="A15" s="73" t="s">
        <v>218</v>
      </c>
      <c r="B15" s="39">
        <f>SUM(B10:B14)</f>
        <v>130</v>
      </c>
      <c r="C15" s="39">
        <f t="shared" ref="C15:BP15" si="2">SUM(C10:C14)</f>
        <v>8662</v>
      </c>
      <c r="D15" s="39">
        <f t="shared" si="2"/>
        <v>56</v>
      </c>
      <c r="E15" s="39">
        <f t="shared" si="2"/>
        <v>6603</v>
      </c>
      <c r="F15" s="39">
        <f t="shared" si="2"/>
        <v>39</v>
      </c>
      <c r="G15" s="39">
        <f t="shared" si="2"/>
        <v>5280</v>
      </c>
      <c r="H15" s="39">
        <f t="shared" si="2"/>
        <v>6</v>
      </c>
      <c r="I15" s="39">
        <f t="shared" si="2"/>
        <v>725</v>
      </c>
      <c r="J15" s="39">
        <f t="shared" si="2"/>
        <v>31</v>
      </c>
      <c r="K15" s="39">
        <f t="shared" si="2"/>
        <v>542</v>
      </c>
      <c r="L15" s="39">
        <f t="shared" si="2"/>
        <v>25</v>
      </c>
      <c r="M15" s="39">
        <f t="shared" si="2"/>
        <v>466</v>
      </c>
      <c r="N15" s="39">
        <f t="shared" si="2"/>
        <v>5</v>
      </c>
      <c r="O15" s="39">
        <f t="shared" si="2"/>
        <v>1598</v>
      </c>
      <c r="P15" s="39">
        <f t="shared" si="2"/>
        <v>3</v>
      </c>
      <c r="Q15" s="39">
        <f t="shared" si="2"/>
        <v>2041</v>
      </c>
      <c r="R15" s="39">
        <f t="shared" si="2"/>
        <v>2</v>
      </c>
      <c r="S15" s="39">
        <f t="shared" si="2"/>
        <v>912</v>
      </c>
      <c r="T15" s="39">
        <f t="shared" si="2"/>
        <v>3</v>
      </c>
      <c r="U15" s="39">
        <f t="shared" si="2"/>
        <v>89</v>
      </c>
      <c r="V15" s="39">
        <f t="shared" si="2"/>
        <v>8</v>
      </c>
      <c r="W15" s="39">
        <f t="shared" si="2"/>
        <v>695</v>
      </c>
      <c r="X15" s="39">
        <f t="shared" si="2"/>
        <v>18</v>
      </c>
      <c r="Y15" s="39">
        <f t="shared" si="2"/>
        <v>4343</v>
      </c>
      <c r="Z15" s="39">
        <f t="shared" si="2"/>
        <v>50</v>
      </c>
      <c r="AA15" s="39">
        <f t="shared" si="2"/>
        <v>19332</v>
      </c>
      <c r="AB15" s="39">
        <f t="shared" si="2"/>
        <v>24</v>
      </c>
      <c r="AC15" s="39">
        <f t="shared" si="2"/>
        <v>7857</v>
      </c>
      <c r="AD15" s="39">
        <f t="shared" si="2"/>
        <v>2</v>
      </c>
      <c r="AE15" s="39">
        <f t="shared" si="2"/>
        <v>755</v>
      </c>
      <c r="AF15" s="39">
        <f t="shared" si="2"/>
        <v>7</v>
      </c>
      <c r="AG15" s="39">
        <f t="shared" si="2"/>
        <v>3354</v>
      </c>
      <c r="AH15" s="39">
        <f t="shared" si="2"/>
        <v>2</v>
      </c>
      <c r="AI15" s="39">
        <f t="shared" si="2"/>
        <v>381</v>
      </c>
      <c r="AJ15" s="39">
        <f t="shared" si="2"/>
        <v>6</v>
      </c>
      <c r="AK15" s="39">
        <f t="shared" si="2"/>
        <v>1030</v>
      </c>
      <c r="AL15" s="39">
        <f t="shared" si="2"/>
        <v>11</v>
      </c>
      <c r="AM15" s="39">
        <f t="shared" si="2"/>
        <v>2896</v>
      </c>
      <c r="AN15" s="39">
        <f t="shared" si="2"/>
        <v>1</v>
      </c>
      <c r="AO15" s="39">
        <f t="shared" si="2"/>
        <v>517</v>
      </c>
      <c r="AP15" s="39">
        <f t="shared" si="2"/>
        <v>8</v>
      </c>
      <c r="AQ15" s="39">
        <f t="shared" si="2"/>
        <v>1864</v>
      </c>
      <c r="AR15" s="39">
        <f t="shared" si="2"/>
        <v>1</v>
      </c>
      <c r="AS15" s="39">
        <f t="shared" si="2"/>
        <v>812</v>
      </c>
      <c r="AT15" s="39">
        <f t="shared" si="2"/>
        <v>5</v>
      </c>
      <c r="AU15" s="39">
        <f t="shared" si="2"/>
        <v>388</v>
      </c>
      <c r="AV15" s="39">
        <f t="shared" si="2"/>
        <v>6</v>
      </c>
      <c r="AW15" s="39">
        <f t="shared" si="2"/>
        <v>925</v>
      </c>
      <c r="AX15" s="39">
        <f t="shared" si="2"/>
        <v>3</v>
      </c>
      <c r="AY15" s="39">
        <f t="shared" si="2"/>
        <v>627</v>
      </c>
      <c r="AZ15" s="39">
        <f t="shared" si="2"/>
        <v>2</v>
      </c>
      <c r="BA15" s="39">
        <f t="shared" si="2"/>
        <v>218</v>
      </c>
      <c r="BB15" s="39">
        <f t="shared" si="2"/>
        <v>7</v>
      </c>
      <c r="BC15" s="39">
        <f t="shared" si="2"/>
        <v>183</v>
      </c>
      <c r="BD15" s="39">
        <f t="shared" si="2"/>
        <v>13</v>
      </c>
      <c r="BE15" s="39">
        <f t="shared" si="2"/>
        <v>395</v>
      </c>
      <c r="BF15" s="39">
        <f t="shared" si="2"/>
        <v>9</v>
      </c>
      <c r="BG15" s="39">
        <f t="shared" si="2"/>
        <v>668</v>
      </c>
      <c r="BH15" s="39">
        <f t="shared" si="2"/>
        <v>1</v>
      </c>
      <c r="BI15" s="39">
        <f t="shared" si="2"/>
        <v>16</v>
      </c>
      <c r="BJ15" s="39">
        <f t="shared" si="2"/>
        <v>36</v>
      </c>
      <c r="BK15" s="39">
        <f t="shared" si="2"/>
        <v>1849</v>
      </c>
      <c r="BL15" s="39">
        <f t="shared" si="2"/>
        <v>22</v>
      </c>
      <c r="BM15" s="39">
        <f t="shared" si="2"/>
        <v>1571</v>
      </c>
      <c r="BN15" s="39">
        <f t="shared" si="2"/>
        <v>1</v>
      </c>
      <c r="BO15" s="39">
        <f t="shared" si="2"/>
        <v>57</v>
      </c>
      <c r="BP15" s="39">
        <f t="shared" si="2"/>
        <v>1</v>
      </c>
      <c r="BQ15" s="39">
        <f>SUM(BQ10:BQ14)</f>
        <v>48</v>
      </c>
      <c r="BR15" s="39">
        <f>SUM(BR10:BR14)</f>
        <v>1</v>
      </c>
      <c r="BS15" s="39">
        <f>SUM(BS10:BS14)</f>
        <v>56</v>
      </c>
      <c r="BT15" s="39">
        <f>SUM(BT10:BT14)</f>
        <v>3</v>
      </c>
      <c r="BU15" s="39">
        <f>SUM(BU10:BU14)</f>
        <v>30</v>
      </c>
      <c r="BV15" s="39">
        <f t="shared" si="1"/>
        <v>548</v>
      </c>
      <c r="BW15" s="39">
        <f t="shared" si="1"/>
        <v>77785</v>
      </c>
    </row>
    <row r="16" spans="1:132">
      <c r="A16" s="62" t="s">
        <v>134</v>
      </c>
    </row>
    <row r="17" spans="1:3">
      <c r="A17" s="63" t="s">
        <v>135</v>
      </c>
    </row>
    <row r="18" spans="1:3">
      <c r="A18" s="63" t="s">
        <v>136</v>
      </c>
      <c r="C18" s="90"/>
    </row>
    <row r="21" spans="1:3">
      <c r="A21" s="92"/>
    </row>
    <row r="22" spans="1:3">
      <c r="A22" s="92"/>
      <c r="B22" s="92"/>
    </row>
    <row r="23" spans="1:3">
      <c r="A23" s="92"/>
      <c r="B23" s="92"/>
    </row>
    <row r="24" spans="1:3">
      <c r="A24" s="92"/>
      <c r="B24" s="92"/>
    </row>
    <row r="25" spans="1:3">
      <c r="A25" s="92"/>
      <c r="B25" s="92"/>
    </row>
    <row r="26" spans="1:3">
      <c r="A26" s="92"/>
      <c r="B26" s="92"/>
    </row>
    <row r="27" spans="1:3">
      <c r="A27" s="92"/>
      <c r="B27" s="92"/>
    </row>
    <row r="28" spans="1:3">
      <c r="A28" s="92"/>
      <c r="B28" s="92"/>
    </row>
    <row r="29" spans="1:3">
      <c r="A29" s="92"/>
      <c r="B29" s="92"/>
    </row>
    <row r="30" spans="1:3">
      <c r="A30" s="92"/>
      <c r="B30" s="92"/>
    </row>
    <row r="31" spans="1:3">
      <c r="A31" s="92"/>
      <c r="B31" s="92"/>
    </row>
    <row r="32" spans="1:3">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8">
    <mergeCell ref="BH7:BI7"/>
    <mergeCell ref="BV7:BW7"/>
    <mergeCell ref="BJ7:BK7"/>
    <mergeCell ref="BL7:BM7"/>
    <mergeCell ref="BN7:BO7"/>
    <mergeCell ref="BP7:BQ7"/>
    <mergeCell ref="BR7:BS7"/>
    <mergeCell ref="BT7:BU7"/>
    <mergeCell ref="AX7:AY7"/>
    <mergeCell ref="AZ7:BA7"/>
    <mergeCell ref="BB7:BC7"/>
    <mergeCell ref="BD7:BE7"/>
    <mergeCell ref="BF7:BG7"/>
    <mergeCell ref="AN7:AO7"/>
    <mergeCell ref="AP7:AQ7"/>
    <mergeCell ref="AT7:AU7"/>
    <mergeCell ref="AV7:AW7"/>
    <mergeCell ref="AR7:AS7"/>
    <mergeCell ref="AD7:AE7"/>
    <mergeCell ref="AF7:AG7"/>
    <mergeCell ref="AH7:AI7"/>
    <mergeCell ref="AJ7:AK7"/>
    <mergeCell ref="AL7:AM7"/>
    <mergeCell ref="T7:U7"/>
    <mergeCell ref="V7:W7"/>
    <mergeCell ref="X7:Y7"/>
    <mergeCell ref="Z7:AA7"/>
    <mergeCell ref="AB7:AC7"/>
    <mergeCell ref="J7:K7"/>
    <mergeCell ref="L7:M7"/>
    <mergeCell ref="N7:O7"/>
    <mergeCell ref="P7:Q7"/>
    <mergeCell ref="R7:S7"/>
    <mergeCell ref="A7:A8"/>
    <mergeCell ref="B7:C7"/>
    <mergeCell ref="D7:E7"/>
    <mergeCell ref="F7:G7"/>
    <mergeCell ref="H7:I7"/>
  </mergeCells>
  <conditionalFormatting sqref="A1:AQ1048576 AR7:BW15 AR1:IV6 CZ7:IV15 AR16:IV65536">
    <cfRule type="expression" priority="3">
      <formula>SI(0," ")</formula>
    </cfRule>
  </conditionalFormatting>
  <conditionalFormatting sqref="A10:BU14 BV10:BW15">
    <cfRule type="expression" dxfId="15" priority="1" stopIfTrue="1">
      <formula>MOD(ROW(),2)=0</formula>
    </cfRule>
  </conditionalFormatting>
  <conditionalFormatting sqref="L3">
    <cfRule type="expression" priority="2">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3" manualBreakCount="3">
    <brk id="19" max="1048575" man="1"/>
    <brk id="37" max="1048575" man="1"/>
    <brk id="55"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N55"/>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140625" style="77" bestFit="1" customWidth="1"/>
    <col min="5" max="5" width="14"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220</v>
      </c>
    </row>
    <row r="4" spans="1:14" s="78" customFormat="1" ht="16.5">
      <c r="A4" s="79" t="s">
        <v>221</v>
      </c>
      <c r="B4" s="80"/>
      <c r="H4" s="80"/>
      <c r="I4" s="80"/>
      <c r="L4" s="81"/>
    </row>
    <row r="5" spans="1:14" s="78" customFormat="1" ht="16.5">
      <c r="A5" s="79" t="s">
        <v>222</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128</v>
      </c>
      <c r="D11" s="83">
        <v>2840</v>
      </c>
      <c r="E11" s="83">
        <v>8710</v>
      </c>
      <c r="F11" s="85">
        <f>E11/E17</f>
        <v>0.4140127388535032</v>
      </c>
      <c r="G11" s="82"/>
      <c r="H11" s="139" t="s">
        <v>16</v>
      </c>
      <c r="I11" s="139"/>
      <c r="J11" s="83"/>
      <c r="K11" s="83"/>
      <c r="L11" s="83"/>
      <c r="M11" s="85"/>
      <c r="N11" s="82"/>
    </row>
    <row r="12" spans="1:14" ht="15">
      <c r="A12" s="139" t="s">
        <v>17</v>
      </c>
      <c r="B12" s="139"/>
      <c r="C12" s="83">
        <v>56</v>
      </c>
      <c r="D12" s="83">
        <v>2410</v>
      </c>
      <c r="E12" s="83">
        <v>6603</v>
      </c>
      <c r="F12" s="85">
        <f>E12/E17</f>
        <v>0.31386063314003232</v>
      </c>
      <c r="G12" s="82"/>
      <c r="H12" s="139" t="s">
        <v>18</v>
      </c>
      <c r="I12" s="139"/>
      <c r="J12" s="83">
        <v>6</v>
      </c>
      <c r="K12" s="83">
        <v>495</v>
      </c>
      <c r="L12" s="83">
        <v>1030</v>
      </c>
      <c r="M12" s="85">
        <f t="shared" ref="M12:M19" si="0">L12/L$19</f>
        <v>0.14441951766685363</v>
      </c>
      <c r="N12" s="82"/>
    </row>
    <row r="13" spans="1:14" ht="15">
      <c r="A13" s="139" t="s">
        <v>19</v>
      </c>
      <c r="B13" s="139"/>
      <c r="C13" s="83">
        <v>39</v>
      </c>
      <c r="D13" s="83">
        <v>1767</v>
      </c>
      <c r="E13" s="83">
        <v>5280</v>
      </c>
      <c r="F13" s="85">
        <f>E13/E17</f>
        <v>0.2509744272269227</v>
      </c>
      <c r="G13" s="82"/>
      <c r="H13" s="139" t="s">
        <v>20</v>
      </c>
      <c r="I13" s="139"/>
      <c r="J13" s="83">
        <v>11</v>
      </c>
      <c r="K13" s="83">
        <v>1399</v>
      </c>
      <c r="L13" s="83">
        <v>2917</v>
      </c>
      <c r="M13" s="85">
        <f t="shared" si="0"/>
        <v>0.40900168255748737</v>
      </c>
      <c r="N13" s="82"/>
    </row>
    <row r="14" spans="1:14" ht="15">
      <c r="A14" s="139" t="s">
        <v>197</v>
      </c>
      <c r="B14" s="139"/>
      <c r="C14" s="83"/>
      <c r="D14" s="83"/>
      <c r="E14" s="83"/>
      <c r="F14" s="85"/>
      <c r="G14" s="82"/>
      <c r="H14" s="139" t="s">
        <v>145</v>
      </c>
      <c r="I14" s="139"/>
      <c r="J14" s="83">
        <v>1</v>
      </c>
      <c r="K14" s="83">
        <v>159</v>
      </c>
      <c r="L14" s="83">
        <v>517</v>
      </c>
      <c r="M14" s="85">
        <f t="shared" si="0"/>
        <v>7.2490185081323613E-2</v>
      </c>
      <c r="N14" s="82"/>
    </row>
    <row r="15" spans="1:14" ht="15">
      <c r="A15" s="139" t="s">
        <v>21</v>
      </c>
      <c r="B15" s="139"/>
      <c r="C15" s="83">
        <v>4</v>
      </c>
      <c r="D15" s="83">
        <v>144</v>
      </c>
      <c r="E15" s="83">
        <v>445</v>
      </c>
      <c r="F15" s="85">
        <f>E15/E17</f>
        <v>2.1152200779541781E-2</v>
      </c>
      <c r="G15" s="82"/>
      <c r="H15" s="139" t="s">
        <v>22</v>
      </c>
      <c r="I15" s="139"/>
      <c r="J15" s="83">
        <v>9</v>
      </c>
      <c r="K15" s="83">
        <v>1247</v>
      </c>
      <c r="L15" s="83">
        <v>2668</v>
      </c>
      <c r="M15" s="85">
        <f t="shared" si="0"/>
        <v>0.37408861469433541</v>
      </c>
      <c r="N15" s="82"/>
    </row>
    <row r="16" spans="1:14" ht="15">
      <c r="A16" s="139" t="s">
        <v>211</v>
      </c>
      <c r="B16" s="139"/>
      <c r="C16" s="83"/>
      <c r="D16" s="83"/>
      <c r="E16" s="83"/>
      <c r="F16" s="85"/>
      <c r="G16" s="82"/>
      <c r="H16" s="139" t="s">
        <v>146</v>
      </c>
      <c r="I16" s="139"/>
      <c r="J16" s="83"/>
      <c r="K16" s="83"/>
      <c r="L16" s="83"/>
      <c r="M16" s="85"/>
      <c r="N16" s="82"/>
    </row>
    <row r="17" spans="1:14" ht="15">
      <c r="A17" s="140" t="s">
        <v>23</v>
      </c>
      <c r="B17" s="140"/>
      <c r="C17" s="93">
        <f>SUM(C11:C16)</f>
        <v>227</v>
      </c>
      <c r="D17" s="93">
        <f>SUM(D11:D16)</f>
        <v>7161</v>
      </c>
      <c r="E17" s="93">
        <f>SUM(E11:E16)</f>
        <v>21038</v>
      </c>
      <c r="F17" s="23">
        <f>SUM(F11:F16)</f>
        <v>1</v>
      </c>
      <c r="G17" s="82"/>
      <c r="H17" s="139" t="s">
        <v>24</v>
      </c>
      <c r="I17" s="139"/>
      <c r="J17" s="83"/>
      <c r="K17" s="83"/>
      <c r="L17" s="83"/>
      <c r="M17" s="85"/>
      <c r="N17" s="82"/>
    </row>
    <row r="18" spans="1:14" ht="15">
      <c r="A18" s="139"/>
      <c r="B18" s="139"/>
      <c r="F18" s="85"/>
      <c r="G18" s="82"/>
      <c r="H18" s="139" t="s">
        <v>147</v>
      </c>
      <c r="I18" s="139"/>
      <c r="J18" s="83"/>
      <c r="K18" s="83"/>
      <c r="L18" s="83"/>
      <c r="M18" s="85"/>
      <c r="N18" s="82"/>
    </row>
    <row r="19" spans="1:14" ht="15">
      <c r="A19" s="140" t="s">
        <v>26</v>
      </c>
      <c r="B19" s="140"/>
      <c r="C19" s="93">
        <v>7</v>
      </c>
      <c r="D19" s="93">
        <v>93</v>
      </c>
      <c r="E19" s="93">
        <v>183</v>
      </c>
      <c r="F19" s="94">
        <v>1</v>
      </c>
      <c r="G19" s="82"/>
      <c r="H19" s="140" t="s">
        <v>25</v>
      </c>
      <c r="I19" s="140"/>
      <c r="J19" s="93">
        <f>J11+J12+J13+J14+J15+J16+J17+J18</f>
        <v>27</v>
      </c>
      <c r="K19" s="93">
        <f>K11+K12+K13+K14+K15+K16+K17+K18</f>
        <v>3300</v>
      </c>
      <c r="L19" s="93">
        <f>L11+L12+L13+L14+L15+L16+L17+L18</f>
        <v>7132</v>
      </c>
      <c r="M19" s="94">
        <f t="shared" si="0"/>
        <v>1</v>
      </c>
      <c r="N19" s="82"/>
    </row>
    <row r="20" spans="1:14" ht="15">
      <c r="A20" s="140" t="s">
        <v>27</v>
      </c>
      <c r="B20" s="140"/>
      <c r="C20" s="93">
        <v>31</v>
      </c>
      <c r="D20" s="93">
        <v>267</v>
      </c>
      <c r="E20" s="93">
        <v>542</v>
      </c>
      <c r="F20" s="94">
        <v>1</v>
      </c>
      <c r="G20" s="82"/>
      <c r="H20" s="139"/>
      <c r="I20" s="139"/>
      <c r="J20" s="83"/>
      <c r="K20" s="83"/>
      <c r="L20" s="83"/>
      <c r="M20" s="85"/>
      <c r="N20" s="82"/>
    </row>
    <row r="21" spans="1:14" ht="15">
      <c r="A21" s="140" t="s">
        <v>29</v>
      </c>
      <c r="B21" s="140"/>
      <c r="C21" s="93">
        <v>3</v>
      </c>
      <c r="D21" s="93">
        <v>16</v>
      </c>
      <c r="E21" s="93">
        <v>30</v>
      </c>
      <c r="F21" s="94">
        <v>1</v>
      </c>
      <c r="G21" s="82"/>
      <c r="H21" s="139" t="s">
        <v>28</v>
      </c>
      <c r="I21" s="139"/>
      <c r="J21" s="83">
        <v>1</v>
      </c>
      <c r="K21" s="83">
        <v>24</v>
      </c>
      <c r="L21" s="83">
        <v>48</v>
      </c>
      <c r="M21" s="85">
        <f>L21/L$25</f>
        <v>0.46153846153846156</v>
      </c>
      <c r="N21" s="82"/>
    </row>
    <row r="22" spans="1:14" ht="15">
      <c r="A22" s="140" t="s">
        <v>94</v>
      </c>
      <c r="B22" s="140"/>
      <c r="C22" s="93">
        <v>5</v>
      </c>
      <c r="D22" s="93"/>
      <c r="E22" s="93">
        <v>1598</v>
      </c>
      <c r="F22" s="94">
        <v>1</v>
      </c>
      <c r="G22" s="82"/>
      <c r="H22" s="139" t="s">
        <v>30</v>
      </c>
      <c r="I22" s="139"/>
      <c r="J22" s="83"/>
      <c r="K22" s="83"/>
      <c r="L22" s="83"/>
      <c r="M22" s="85"/>
      <c r="N22" s="82"/>
    </row>
    <row r="23" spans="1:14" ht="15">
      <c r="A23" s="139"/>
      <c r="B23" s="139"/>
      <c r="C23" s="83"/>
      <c r="D23" s="83"/>
      <c r="E23" s="83"/>
      <c r="F23" s="85"/>
      <c r="G23" s="82"/>
      <c r="H23" s="139" t="s">
        <v>31</v>
      </c>
      <c r="I23" s="139"/>
      <c r="J23" s="83"/>
      <c r="K23" s="83"/>
      <c r="L23" s="83"/>
      <c r="M23" s="85"/>
      <c r="N23" s="82"/>
    </row>
    <row r="24" spans="1:14" ht="15">
      <c r="A24" s="139" t="s">
        <v>42</v>
      </c>
      <c r="B24" s="139"/>
      <c r="F24" s="85"/>
      <c r="G24" s="82"/>
      <c r="H24" s="139" t="s">
        <v>33</v>
      </c>
      <c r="I24" s="139"/>
      <c r="J24" s="83">
        <v>1</v>
      </c>
      <c r="K24" s="83">
        <v>28</v>
      </c>
      <c r="L24" s="83">
        <v>56</v>
      </c>
      <c r="M24" s="85">
        <f>L24/L$25</f>
        <v>0.53846153846153844</v>
      </c>
      <c r="N24" s="82"/>
    </row>
    <row r="25" spans="1:14" ht="15">
      <c r="A25" s="139" t="s">
        <v>44</v>
      </c>
      <c r="B25" s="139"/>
      <c r="C25" s="83">
        <v>3</v>
      </c>
      <c r="D25" s="83">
        <v>792</v>
      </c>
      <c r="E25" s="83">
        <v>2041</v>
      </c>
      <c r="F25" s="85">
        <f>E25/E$27</f>
        <v>0.69116153064679986</v>
      </c>
      <c r="G25" s="82"/>
      <c r="H25" s="140" t="s">
        <v>37</v>
      </c>
      <c r="I25" s="140"/>
      <c r="J25" s="93">
        <f>SUM(J21:J24)</f>
        <v>2</v>
      </c>
      <c r="K25" s="93">
        <f>SUM(K21:K24)</f>
        <v>52</v>
      </c>
      <c r="L25" s="93">
        <f>SUM(L21:L24)</f>
        <v>104</v>
      </c>
      <c r="M25" s="94">
        <f>SUM(M21:M24)</f>
        <v>1</v>
      </c>
      <c r="N25" s="82"/>
    </row>
    <row r="26" spans="1:14" ht="15">
      <c r="A26" s="139" t="s">
        <v>46</v>
      </c>
      <c r="B26" s="139"/>
      <c r="C26" s="83">
        <v>2</v>
      </c>
      <c r="D26" s="83">
        <v>418</v>
      </c>
      <c r="E26" s="83">
        <v>912</v>
      </c>
      <c r="F26" s="85">
        <f>E26/E$27</f>
        <v>0.30883846935320014</v>
      </c>
      <c r="G26" s="82"/>
      <c r="H26" s="141"/>
      <c r="I26" s="141"/>
      <c r="M26" s="83"/>
      <c r="N26" s="82"/>
    </row>
    <row r="27" spans="1:14" ht="15">
      <c r="A27" s="140" t="s">
        <v>47</v>
      </c>
      <c r="B27" s="140"/>
      <c r="C27" s="93">
        <f>C24+C25+C26</f>
        <v>5</v>
      </c>
      <c r="D27" s="93">
        <f>D24+D25+D26</f>
        <v>1210</v>
      </c>
      <c r="E27" s="93">
        <f>E24+E25+E26</f>
        <v>2953</v>
      </c>
      <c r="F27" s="94">
        <f>F24+F25+F26</f>
        <v>1</v>
      </c>
      <c r="G27" s="82"/>
      <c r="H27" s="139" t="s">
        <v>40</v>
      </c>
      <c r="I27" s="139"/>
      <c r="J27" s="83">
        <v>13</v>
      </c>
      <c r="K27" s="83">
        <v>209</v>
      </c>
      <c r="L27" s="83">
        <v>395</v>
      </c>
      <c r="M27" s="85">
        <f>L27/L$30</f>
        <v>0.36607970342910101</v>
      </c>
      <c r="N27" s="82"/>
    </row>
    <row r="28" spans="1:14" ht="15">
      <c r="A28" s="139"/>
      <c r="B28" s="139"/>
      <c r="F28" s="85"/>
      <c r="G28" s="82"/>
      <c r="H28" s="139" t="s">
        <v>41</v>
      </c>
      <c r="I28" s="139"/>
      <c r="J28" s="83">
        <v>9</v>
      </c>
      <c r="K28" s="83">
        <v>372</v>
      </c>
      <c r="L28" s="83">
        <v>668</v>
      </c>
      <c r="M28" s="85">
        <f>L28/L$30</f>
        <v>0.61909175162187213</v>
      </c>
      <c r="N28" s="82"/>
    </row>
    <row r="29" spans="1:14" ht="15">
      <c r="A29" s="139" t="s">
        <v>50</v>
      </c>
      <c r="B29" s="139"/>
      <c r="C29" s="83">
        <v>8</v>
      </c>
      <c r="D29" s="83">
        <v>377</v>
      </c>
      <c r="E29" s="83">
        <v>695</v>
      </c>
      <c r="F29" s="85">
        <f>E29/E$37</f>
        <v>1.8269281320645602E-2</v>
      </c>
      <c r="G29" s="82"/>
      <c r="H29" s="139" t="s">
        <v>43</v>
      </c>
      <c r="I29" s="139"/>
      <c r="J29" s="83">
        <v>1</v>
      </c>
      <c r="K29" s="83">
        <v>8</v>
      </c>
      <c r="L29" s="83">
        <v>16</v>
      </c>
      <c r="M29" s="85">
        <f>L29/L$30</f>
        <v>1.4828544949026877E-2</v>
      </c>
      <c r="N29" s="82"/>
    </row>
    <row r="30" spans="1:14" ht="15">
      <c r="A30" s="139" t="s">
        <v>52</v>
      </c>
      <c r="B30" s="139"/>
      <c r="C30" s="83">
        <v>19</v>
      </c>
      <c r="D30" s="83">
        <v>2833</v>
      </c>
      <c r="E30" s="83">
        <v>5347</v>
      </c>
      <c r="F30" s="85">
        <f t="shared" ref="F30:F36" si="1">E30/E$37</f>
        <v>0.14055517585826191</v>
      </c>
      <c r="G30" s="82"/>
      <c r="H30" s="140" t="s">
        <v>45</v>
      </c>
      <c r="I30" s="140"/>
      <c r="J30" s="93">
        <f>J27+J28+J29</f>
        <v>23</v>
      </c>
      <c r="K30" s="93">
        <f>K27+K28+K29</f>
        <v>589</v>
      </c>
      <c r="L30" s="93">
        <f>L27+L28+L29</f>
        <v>1079</v>
      </c>
      <c r="M30" s="94">
        <f>M27+M28+M29</f>
        <v>1</v>
      </c>
      <c r="N30" s="82"/>
    </row>
    <row r="31" spans="1:14" ht="15">
      <c r="A31" s="139" t="s">
        <v>54</v>
      </c>
      <c r="B31" s="139"/>
      <c r="C31" s="83">
        <v>51</v>
      </c>
      <c r="D31" s="83">
        <v>10277</v>
      </c>
      <c r="E31" s="83">
        <v>19653</v>
      </c>
      <c r="F31" s="85">
        <f t="shared" si="1"/>
        <v>0.5166132169707166</v>
      </c>
      <c r="G31" s="82"/>
      <c r="H31" s="141"/>
      <c r="I31" s="141"/>
      <c r="M31" s="83"/>
      <c r="N31" s="82"/>
    </row>
    <row r="32" spans="1:14" ht="15">
      <c r="A32" s="139" t="s">
        <v>143</v>
      </c>
      <c r="B32" s="139"/>
      <c r="C32" s="83"/>
      <c r="D32" s="83"/>
      <c r="E32" s="83"/>
      <c r="F32" s="85"/>
      <c r="G32" s="82"/>
      <c r="H32" s="139" t="s">
        <v>48</v>
      </c>
      <c r="I32" s="139"/>
      <c r="J32" s="83">
        <v>36</v>
      </c>
      <c r="K32" s="83">
        <v>1009</v>
      </c>
      <c r="L32" s="83">
        <v>1849</v>
      </c>
      <c r="M32" s="85">
        <f>L32/L$35</f>
        <v>0.53178027034800113</v>
      </c>
      <c r="N32" s="82"/>
    </row>
    <row r="33" spans="1:14" ht="15">
      <c r="A33" s="139" t="s">
        <v>91</v>
      </c>
      <c r="B33" s="139"/>
      <c r="C33" s="83">
        <v>24</v>
      </c>
      <c r="D33" s="83">
        <v>4074</v>
      </c>
      <c r="E33" s="83">
        <v>7857</v>
      </c>
      <c r="F33" s="85">
        <f t="shared" si="1"/>
        <v>0.20653488249829136</v>
      </c>
      <c r="G33" s="82"/>
      <c r="H33" s="139" t="s">
        <v>49</v>
      </c>
      <c r="I33" s="139"/>
      <c r="J33" s="83">
        <v>22</v>
      </c>
      <c r="K33" s="83">
        <v>818</v>
      </c>
      <c r="L33" s="83">
        <v>1571</v>
      </c>
      <c r="M33" s="85">
        <f>L33/L$35</f>
        <v>0.45182628702904803</v>
      </c>
      <c r="N33" s="82"/>
    </row>
    <row r="34" spans="1:14" ht="15">
      <c r="A34" s="139" t="s">
        <v>144</v>
      </c>
      <c r="B34" s="139"/>
      <c r="C34" s="83">
        <v>2</v>
      </c>
      <c r="D34" s="83">
        <v>396</v>
      </c>
      <c r="E34" s="83">
        <v>755</v>
      </c>
      <c r="F34" s="85">
        <f t="shared" si="1"/>
        <v>1.9846485463435152E-2</v>
      </c>
      <c r="G34" s="82"/>
      <c r="H34" s="139" t="s">
        <v>51</v>
      </c>
      <c r="I34" s="139"/>
      <c r="J34" s="83">
        <v>1</v>
      </c>
      <c r="K34" s="83">
        <v>30</v>
      </c>
      <c r="L34" s="83">
        <v>57</v>
      </c>
      <c r="M34" s="85">
        <f>L34/L$35</f>
        <v>1.6393442622950821E-2</v>
      </c>
      <c r="N34" s="82"/>
    </row>
    <row r="35" spans="1:14" ht="15">
      <c r="A35" s="139" t="s">
        <v>57</v>
      </c>
      <c r="B35" s="139"/>
      <c r="C35" s="83">
        <v>7</v>
      </c>
      <c r="D35" s="83">
        <v>1696</v>
      </c>
      <c r="E35" s="83">
        <v>3354</v>
      </c>
      <c r="F35" s="85">
        <f t="shared" si="1"/>
        <v>8.8165711581935757E-2</v>
      </c>
      <c r="G35" s="82"/>
      <c r="H35" s="140" t="s">
        <v>53</v>
      </c>
      <c r="I35" s="140"/>
      <c r="J35" s="93">
        <f>J32+J33+J34</f>
        <v>59</v>
      </c>
      <c r="K35" s="93">
        <f>K32+K33+K34</f>
        <v>1857</v>
      </c>
      <c r="L35" s="93">
        <f>L32+L33+L34</f>
        <v>3477</v>
      </c>
      <c r="M35" s="94">
        <f>M32+M33+M34</f>
        <v>1</v>
      </c>
      <c r="N35" s="82"/>
    </row>
    <row r="36" spans="1:14" ht="15">
      <c r="A36" s="139" t="s">
        <v>59</v>
      </c>
      <c r="B36" s="139"/>
      <c r="C36" s="83">
        <v>2</v>
      </c>
      <c r="D36" s="83">
        <v>195</v>
      </c>
      <c r="E36" s="83">
        <v>381</v>
      </c>
      <c r="F36" s="85">
        <f t="shared" si="1"/>
        <v>1.0015246306713632E-2</v>
      </c>
      <c r="G36" s="82"/>
      <c r="H36" s="142"/>
      <c r="I36" s="142"/>
      <c r="J36" s="83"/>
      <c r="K36" s="83"/>
      <c r="L36" s="83"/>
      <c r="M36" s="83"/>
      <c r="N36" s="82"/>
    </row>
    <row r="37" spans="1:14" ht="15">
      <c r="A37" s="140" t="s">
        <v>61</v>
      </c>
      <c r="B37" s="140"/>
      <c r="C37" s="93">
        <f>C29+C30+C31+C32+C33+C34+C35+C36</f>
        <v>113</v>
      </c>
      <c r="D37" s="93">
        <f>D29+D30+D31+D32+D33+D34+D35+D36</f>
        <v>19848</v>
      </c>
      <c r="E37" s="93">
        <f>E29+E30+E31+E32+E33+E34+E35+E36</f>
        <v>38042</v>
      </c>
      <c r="F37" s="94">
        <f>F29+F30+F31+F32+F33+F34+F35+F36</f>
        <v>1</v>
      </c>
      <c r="G37" s="82"/>
      <c r="H37" s="140" t="s">
        <v>56</v>
      </c>
      <c r="I37" s="140"/>
      <c r="J37" s="93">
        <v>25</v>
      </c>
      <c r="K37" s="93">
        <v>260</v>
      </c>
      <c r="L37" s="93">
        <v>466</v>
      </c>
      <c r="M37" s="94">
        <v>1</v>
      </c>
      <c r="N37" s="82"/>
    </row>
    <row r="38" spans="1:14" ht="15">
      <c r="A38" s="141"/>
      <c r="B38" s="141"/>
      <c r="C38" s="83"/>
      <c r="D38" s="83"/>
      <c r="E38" s="83"/>
      <c r="F38" s="85"/>
      <c r="G38" s="82"/>
      <c r="H38" s="140" t="s">
        <v>58</v>
      </c>
      <c r="I38" s="140"/>
      <c r="J38" s="93">
        <v>3</v>
      </c>
      <c r="K38" s="93">
        <v>49</v>
      </c>
      <c r="L38" s="93">
        <v>89</v>
      </c>
      <c r="M38" s="94">
        <v>1</v>
      </c>
      <c r="N38" s="82"/>
    </row>
    <row r="39" spans="1:14" ht="15">
      <c r="A39" s="139" t="s">
        <v>62</v>
      </c>
      <c r="B39" s="139"/>
      <c r="C39" s="83">
        <v>5</v>
      </c>
      <c r="D39" s="83">
        <v>204</v>
      </c>
      <c r="E39" s="83">
        <v>388</v>
      </c>
      <c r="F39" s="85">
        <f>E39/E$44</f>
        <v>0.17979610750695088</v>
      </c>
      <c r="G39" s="82"/>
      <c r="H39" s="140" t="s">
        <v>60</v>
      </c>
      <c r="I39" s="140"/>
      <c r="J39" s="93"/>
      <c r="K39" s="93"/>
      <c r="L39" s="93"/>
      <c r="M39" s="94"/>
      <c r="N39" s="82"/>
    </row>
    <row r="40" spans="1:14" ht="15">
      <c r="A40" s="139" t="s">
        <v>63</v>
      </c>
      <c r="B40" s="139"/>
      <c r="C40" s="83">
        <v>6</v>
      </c>
      <c r="D40" s="83">
        <v>490</v>
      </c>
      <c r="E40" s="83">
        <v>925</v>
      </c>
      <c r="F40" s="85">
        <f>E40/E$44</f>
        <v>0.42863762743280814</v>
      </c>
      <c r="G40" s="82"/>
      <c r="H40" s="140" t="s">
        <v>226</v>
      </c>
      <c r="I40" s="140"/>
      <c r="J40" s="93"/>
      <c r="K40" s="93"/>
      <c r="L40" s="93"/>
      <c r="M40" s="94"/>
      <c r="N40" s="82"/>
    </row>
    <row r="41" spans="1:14" ht="15">
      <c r="A41" s="139" t="s">
        <v>64</v>
      </c>
      <c r="B41" s="139"/>
      <c r="C41" s="83">
        <v>3</v>
      </c>
      <c r="D41" s="83">
        <v>319</v>
      </c>
      <c r="E41" s="83">
        <v>627</v>
      </c>
      <c r="F41" s="85">
        <f>E41/E$44</f>
        <v>0.29054680259499538</v>
      </c>
      <c r="G41" s="82"/>
      <c r="H41" s="84"/>
      <c r="I41" s="84"/>
      <c r="N41" s="82"/>
    </row>
    <row r="42" spans="1:14" ht="15">
      <c r="A42" s="139" t="s">
        <v>93</v>
      </c>
      <c r="B42" s="139"/>
      <c r="C42" s="83">
        <v>2</v>
      </c>
      <c r="D42" s="83">
        <v>126</v>
      </c>
      <c r="E42" s="83">
        <v>218</v>
      </c>
      <c r="F42" s="85">
        <f>E42/E$44</f>
        <v>0.1010194624652456</v>
      </c>
      <c r="G42" s="82"/>
      <c r="H42" s="140" t="s">
        <v>65</v>
      </c>
      <c r="I42" s="140"/>
      <c r="J42" s="93">
        <f>C17+C19+C20+C21+C22+C27+C37+C44+J19+J25+J30+J35+J37+J38+J39</f>
        <v>546</v>
      </c>
      <c r="K42" s="93">
        <f>D17+D19+D20+D21+D22+D27+D37+D44+K19+K25+K30+K35+K37+K38+K39</f>
        <v>35841</v>
      </c>
      <c r="L42" s="93">
        <f>E17+E19+E20+E21+E22+E27+E37+E44+L19+L25+L30+L35+L37+L38+L39</f>
        <v>78891</v>
      </c>
      <c r="M42" s="82"/>
      <c r="N42" s="82"/>
    </row>
    <row r="43" spans="1:14" ht="15">
      <c r="A43" s="139" t="s">
        <v>67</v>
      </c>
      <c r="B43" s="139"/>
      <c r="F43" s="85"/>
      <c r="G43" s="82"/>
      <c r="L43" s="100"/>
      <c r="N43" s="82"/>
    </row>
    <row r="44" spans="1:14" ht="15">
      <c r="A44" s="140" t="s">
        <v>68</v>
      </c>
      <c r="B44" s="140"/>
      <c r="C44" s="93">
        <f>C39+C40+C41+C42+C43</f>
        <v>16</v>
      </c>
      <c r="D44" s="93">
        <f>D39+D40+D41+D42+D43</f>
        <v>1139</v>
      </c>
      <c r="E44" s="93">
        <f>E39+E40+E41+E42+E43</f>
        <v>2158</v>
      </c>
      <c r="F44" s="94">
        <f>F39+F40+F41+F42+F43</f>
        <v>1</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row>
    <row r="54" spans="1:14">
      <c r="A54" s="77"/>
      <c r="B54" s="77"/>
    </row>
    <row r="55" spans="1:14">
      <c r="A55" s="77"/>
      <c r="B55" s="77"/>
    </row>
  </sheetData>
  <sheetProtection algorithmName="SHA-512" hashValue="B6mukcyOZkA6QSLwNNs/GgKIJ4zc2Jzax42CwTcTYqbc8+5zfWQOPh5gn2X9rcLVbgV4vJ1CPGxPK1Cxq4H1Dg==" saltValue="tC7js7ViRp+AIvJeNxjQfQ==" spinCount="100000" sheet="1"/>
  <mergeCells count="79">
    <mergeCell ref="A50:B50"/>
    <mergeCell ref="A51:B51"/>
    <mergeCell ref="A52:B52"/>
    <mergeCell ref="A53:B53"/>
    <mergeCell ref="A44:B44"/>
    <mergeCell ref="A46:B46"/>
    <mergeCell ref="A47:B47"/>
    <mergeCell ref="A48:B48"/>
    <mergeCell ref="A49:B49"/>
    <mergeCell ref="A41:B41"/>
    <mergeCell ref="H40:I40"/>
    <mergeCell ref="A42:B42"/>
    <mergeCell ref="A43:B43"/>
    <mergeCell ref="H42:I42"/>
    <mergeCell ref="A38:B38"/>
    <mergeCell ref="H38:I38"/>
    <mergeCell ref="A39:B39"/>
    <mergeCell ref="H39:I39"/>
    <mergeCell ref="A40:B40"/>
    <mergeCell ref="A35:B35"/>
    <mergeCell ref="H35:I35"/>
    <mergeCell ref="A36:B36"/>
    <mergeCell ref="H36:I36"/>
    <mergeCell ref="A37:B37"/>
    <mergeCell ref="H37:I37"/>
    <mergeCell ref="A32:B32"/>
    <mergeCell ref="H32:I32"/>
    <mergeCell ref="A33:B33"/>
    <mergeCell ref="H33:I33"/>
    <mergeCell ref="A34:B34"/>
    <mergeCell ref="H34:I34"/>
    <mergeCell ref="A29:B29"/>
    <mergeCell ref="H29:I29"/>
    <mergeCell ref="A30:B30"/>
    <mergeCell ref="H30:I30"/>
    <mergeCell ref="A31:B31"/>
    <mergeCell ref="H31:I31"/>
    <mergeCell ref="A26:B26"/>
    <mergeCell ref="H26:I26"/>
    <mergeCell ref="A27:B27"/>
    <mergeCell ref="H27:I27"/>
    <mergeCell ref="A28:B28"/>
    <mergeCell ref="H28:I28"/>
    <mergeCell ref="A23:B23"/>
    <mergeCell ref="H23:I23"/>
    <mergeCell ref="A24:B24"/>
    <mergeCell ref="H24:I24"/>
    <mergeCell ref="A25:B25"/>
    <mergeCell ref="H25:I25"/>
    <mergeCell ref="A20:B20"/>
    <mergeCell ref="H20:I20"/>
    <mergeCell ref="A21:B21"/>
    <mergeCell ref="H21:I21"/>
    <mergeCell ref="A22:B22"/>
    <mergeCell ref="H22:I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Z44"/>
  <sheetViews>
    <sheetView showGridLines="0" zoomScaleNormal="100" zoomScaleSheetLayoutView="100" workbookViewId="0"/>
  </sheetViews>
  <sheetFormatPr baseColWidth="10" defaultColWidth="9.140625" defaultRowHeight="12.75"/>
  <cols>
    <col min="1" max="1" width="80.5703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5" width="8.7109375" style="57" customWidth="1"/>
    <col min="36" max="36" width="9.140625" style="57" customWidth="1"/>
    <col min="37" max="37" width="8.7109375" style="57" customWidth="1"/>
    <col min="38" max="38" width="9.140625" style="57" customWidth="1"/>
    <col min="39" max="39" width="8.28515625" style="57" customWidth="1"/>
    <col min="40" max="40" width="9.140625" style="57" customWidth="1"/>
    <col min="41" max="41" width="8.28515625" style="57" customWidth="1"/>
    <col min="42" max="42" width="9.140625" style="57" customWidth="1"/>
    <col min="43" max="43" width="8.28515625" style="57" customWidth="1"/>
    <col min="44" max="44" width="9.140625" style="57" customWidth="1"/>
    <col min="45" max="45" width="8.28515625" style="57" customWidth="1"/>
    <col min="46" max="46" width="9.5703125" style="57" customWidth="1"/>
    <col min="47" max="47" width="8.28515625" style="57" customWidth="1"/>
    <col min="48" max="48" width="9.140625" style="57" customWidth="1"/>
    <col min="49" max="49" width="8.28515625" style="57" customWidth="1"/>
    <col min="50" max="50" width="9.140625" style="57" customWidth="1"/>
    <col min="51" max="51" width="8.28515625" style="57" customWidth="1"/>
    <col min="52" max="52" width="9.140625" style="57" customWidth="1"/>
    <col min="53" max="53" width="8.28515625" style="57" customWidth="1"/>
    <col min="54" max="54" width="9.140625" style="57" customWidth="1"/>
    <col min="55" max="55" width="8.28515625" style="57" customWidth="1"/>
    <col min="56" max="56" width="8.7109375" style="57" customWidth="1"/>
    <col min="57" max="57" width="8.28515625" style="57" customWidth="1"/>
    <col min="58" max="58" width="8.7109375" style="57" customWidth="1"/>
    <col min="59" max="59" width="8.28515625" style="57" customWidth="1"/>
    <col min="60" max="60" width="8.7109375" style="57" customWidth="1"/>
    <col min="61" max="61" width="8.28515625" style="57" customWidth="1"/>
    <col min="62" max="62" width="9.140625" style="57" customWidth="1"/>
    <col min="63" max="63" width="8.28515625" style="57" customWidth="1"/>
    <col min="64" max="64" width="9.140625" style="57" customWidth="1"/>
    <col min="65" max="65" width="8.28515625" style="57" customWidth="1"/>
    <col min="66" max="66" width="9.140625" style="57" customWidth="1"/>
    <col min="67" max="67" width="8.28515625" style="57" customWidth="1"/>
    <col min="68" max="68" width="9.140625" style="57"/>
    <col min="69" max="69" width="8.28515625" style="57" customWidth="1"/>
    <col min="70" max="70" width="9.140625" style="57" customWidth="1"/>
    <col min="71" max="71" width="8.28515625" style="57" customWidth="1"/>
    <col min="72" max="72" width="12.28515625" style="57" customWidth="1"/>
    <col min="73" max="73" width="8.28515625" style="57" customWidth="1"/>
    <col min="74" max="16384" width="9.140625" style="57"/>
  </cols>
  <sheetData>
    <row r="1" spans="1:130" ht="16.5">
      <c r="A1" s="75"/>
    </row>
    <row r="2" spans="1:130">
      <c r="A2" s="77"/>
    </row>
    <row r="3" spans="1:130" ht="16.5">
      <c r="A3" s="5" t="s">
        <v>223</v>
      </c>
    </row>
    <row r="4" spans="1:130" s="88" customFormat="1" ht="16.5">
      <c r="A4" s="30" t="s">
        <v>224</v>
      </c>
    </row>
    <row r="5" spans="1:130" s="88" customFormat="1" ht="16.5">
      <c r="A5" s="30" t="s">
        <v>225</v>
      </c>
    </row>
    <row r="6" spans="1:130" s="88" customFormat="1"/>
    <row r="7" spans="1:130" s="89" customFormat="1" ht="15" customHeight="1">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91</v>
      </c>
      <c r="AC7" s="143"/>
      <c r="AD7" s="143" t="s">
        <v>144</v>
      </c>
      <c r="AE7" s="143"/>
      <c r="AF7" s="143" t="s">
        <v>162</v>
      </c>
      <c r="AG7" s="143"/>
      <c r="AH7" s="143" t="s">
        <v>198</v>
      </c>
      <c r="AI7" s="143"/>
      <c r="AJ7" s="143" t="s">
        <v>18</v>
      </c>
      <c r="AK7" s="143"/>
      <c r="AL7" s="143" t="s">
        <v>20</v>
      </c>
      <c r="AM7" s="143"/>
      <c r="AN7" s="143" t="s">
        <v>212</v>
      </c>
      <c r="AO7" s="143"/>
      <c r="AP7" s="143" t="s">
        <v>22</v>
      </c>
      <c r="AQ7" s="143"/>
      <c r="AR7" s="143" t="s">
        <v>92</v>
      </c>
      <c r="AS7" s="143"/>
      <c r="AT7" s="143" t="s">
        <v>63</v>
      </c>
      <c r="AU7" s="143"/>
      <c r="AV7" s="143" t="s">
        <v>64</v>
      </c>
      <c r="AW7" s="143"/>
      <c r="AX7" s="143" t="s">
        <v>93</v>
      </c>
      <c r="AY7" s="143"/>
      <c r="AZ7" s="143" t="s">
        <v>26</v>
      </c>
      <c r="BA7" s="143"/>
      <c r="BB7" s="143" t="s">
        <v>40</v>
      </c>
      <c r="BC7" s="143"/>
      <c r="BD7" s="143" t="s">
        <v>41</v>
      </c>
      <c r="BE7" s="143"/>
      <c r="BF7" s="143" t="s">
        <v>43</v>
      </c>
      <c r="BG7" s="143"/>
      <c r="BH7" s="143" t="s">
        <v>48</v>
      </c>
      <c r="BI7" s="143"/>
      <c r="BJ7" s="143" t="s">
        <v>49</v>
      </c>
      <c r="BK7" s="143"/>
      <c r="BL7" s="143" t="s">
        <v>51</v>
      </c>
      <c r="BM7" s="143"/>
      <c r="BN7" s="143" t="s">
        <v>28</v>
      </c>
      <c r="BO7" s="143"/>
      <c r="BP7" s="143" t="s">
        <v>33</v>
      </c>
      <c r="BQ7" s="143"/>
      <c r="BR7" s="143" t="s">
        <v>29</v>
      </c>
      <c r="BS7" s="143"/>
      <c r="BT7" s="143" t="s">
        <v>65</v>
      </c>
      <c r="BU7" s="143"/>
    </row>
    <row r="8" spans="1:130" s="89" customFormat="1" ht="15" customHeight="1">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row>
    <row r="9" spans="1:130"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row>
    <row r="10" spans="1:130" ht="15">
      <c r="A10" s="37" t="s">
        <v>217</v>
      </c>
      <c r="B10" s="12">
        <v>27</v>
      </c>
      <c r="C10" s="12">
        <v>1712</v>
      </c>
      <c r="D10" s="12">
        <v>9</v>
      </c>
      <c r="E10" s="12">
        <v>781</v>
      </c>
      <c r="F10" s="12">
        <v>6</v>
      </c>
      <c r="G10" s="12">
        <v>1517</v>
      </c>
      <c r="H10" s="12">
        <v>1</v>
      </c>
      <c r="I10" s="12">
        <v>22</v>
      </c>
      <c r="J10" s="12"/>
      <c r="K10" s="12"/>
      <c r="L10" s="12">
        <v>13</v>
      </c>
      <c r="M10" s="12">
        <v>222</v>
      </c>
      <c r="N10" s="12"/>
      <c r="O10" s="12"/>
      <c r="P10" s="12"/>
      <c r="Q10" s="12"/>
      <c r="R10" s="12"/>
      <c r="S10" s="12"/>
      <c r="T10" s="12"/>
      <c r="U10" s="12"/>
      <c r="V10" s="12">
        <v>4</v>
      </c>
      <c r="W10" s="12">
        <v>337</v>
      </c>
      <c r="X10" s="12">
        <v>5</v>
      </c>
      <c r="Y10" s="12">
        <v>1727</v>
      </c>
      <c r="Z10" s="12">
        <v>7</v>
      </c>
      <c r="AA10" s="12">
        <v>2024</v>
      </c>
      <c r="AB10" s="12">
        <v>7</v>
      </c>
      <c r="AC10" s="12">
        <v>2050</v>
      </c>
      <c r="AD10" s="12">
        <v>2</v>
      </c>
      <c r="AE10" s="12">
        <v>755</v>
      </c>
      <c r="AF10" s="12">
        <v>1</v>
      </c>
      <c r="AG10" s="12">
        <v>23</v>
      </c>
      <c r="AH10" s="12">
        <v>2</v>
      </c>
      <c r="AI10" s="12">
        <v>381</v>
      </c>
      <c r="AJ10" s="12">
        <v>1</v>
      </c>
      <c r="AK10" s="12">
        <v>213</v>
      </c>
      <c r="AL10" s="12"/>
      <c r="AM10" s="12"/>
      <c r="AN10" s="12">
        <v>1</v>
      </c>
      <c r="AO10" s="12">
        <v>517</v>
      </c>
      <c r="AP10" s="12"/>
      <c r="AQ10" s="12"/>
      <c r="AR10" s="12">
        <v>1</v>
      </c>
      <c r="AS10" s="12">
        <v>85</v>
      </c>
      <c r="AT10" s="12">
        <v>3</v>
      </c>
      <c r="AU10" s="12">
        <v>411</v>
      </c>
      <c r="AV10" s="12"/>
      <c r="AW10" s="12"/>
      <c r="AX10" s="12">
        <v>1</v>
      </c>
      <c r="AY10" s="12">
        <v>199</v>
      </c>
      <c r="AZ10" s="12">
        <v>1</v>
      </c>
      <c r="BA10" s="12">
        <v>20</v>
      </c>
      <c r="BB10" s="12">
        <v>2</v>
      </c>
      <c r="BC10" s="12">
        <v>101</v>
      </c>
      <c r="BD10" s="12">
        <v>1</v>
      </c>
      <c r="BE10" s="12">
        <v>75</v>
      </c>
      <c r="BF10" s="12"/>
      <c r="BG10" s="12"/>
      <c r="BH10" s="12">
        <v>10</v>
      </c>
      <c r="BI10" s="96">
        <v>437</v>
      </c>
      <c r="BJ10" s="12">
        <v>3</v>
      </c>
      <c r="BK10" s="12">
        <v>85</v>
      </c>
      <c r="BL10" s="12">
        <v>1</v>
      </c>
      <c r="BM10" s="12">
        <v>57</v>
      </c>
      <c r="BN10" s="12"/>
      <c r="BO10" s="12"/>
      <c r="BP10" s="12"/>
      <c r="BQ10" s="12"/>
      <c r="BR10" s="12"/>
      <c r="BS10" s="12"/>
      <c r="BT10" s="15">
        <f t="shared" ref="BT10:BU15" si="0">B10+D10+F10+H10+J10+L10+N10+P10++R10+T10+V10+X10+Z10+AB10+AD10+AF10+AH10+AJ10+AL10+AN10+AP10+AR10+AT10+AV10+AX10+AZ10+BB10+BD10+BF10+BH10+BJ10+BL10+BN10+BP10+BR10</f>
        <v>109</v>
      </c>
      <c r="BU10" s="15">
        <f t="shared" si="0"/>
        <v>13751</v>
      </c>
      <c r="BV10" s="90"/>
      <c r="CU10" s="89"/>
      <c r="CV10" s="89"/>
      <c r="DZ10" s="91"/>
    </row>
    <row r="11" spans="1:130" ht="15">
      <c r="A11" s="69" t="s">
        <v>84</v>
      </c>
      <c r="B11" s="12">
        <v>34</v>
      </c>
      <c r="C11" s="12">
        <v>2384</v>
      </c>
      <c r="D11" s="12">
        <v>14</v>
      </c>
      <c r="E11" s="12">
        <v>1793</v>
      </c>
      <c r="F11" s="12">
        <v>2</v>
      </c>
      <c r="G11" s="12">
        <v>60</v>
      </c>
      <c r="H11" s="12"/>
      <c r="I11" s="12"/>
      <c r="J11" s="12">
        <v>5</v>
      </c>
      <c r="K11" s="12">
        <v>98</v>
      </c>
      <c r="L11" s="12">
        <v>9</v>
      </c>
      <c r="M11" s="12">
        <v>206</v>
      </c>
      <c r="N11" s="12">
        <v>1</v>
      </c>
      <c r="O11" s="12">
        <v>274</v>
      </c>
      <c r="P11" s="12"/>
      <c r="Q11" s="12"/>
      <c r="R11" s="12"/>
      <c r="S11" s="12"/>
      <c r="T11" s="12"/>
      <c r="U11" s="12"/>
      <c r="V11" s="12">
        <v>4</v>
      </c>
      <c r="W11" s="12">
        <v>358</v>
      </c>
      <c r="X11" s="12">
        <v>5</v>
      </c>
      <c r="Y11" s="12">
        <v>1808</v>
      </c>
      <c r="Z11" s="12">
        <v>11</v>
      </c>
      <c r="AA11" s="12">
        <v>2993</v>
      </c>
      <c r="AB11" s="12">
        <v>3</v>
      </c>
      <c r="AC11" s="12">
        <v>1021</v>
      </c>
      <c r="AD11" s="12"/>
      <c r="AE11" s="12"/>
      <c r="AF11" s="12"/>
      <c r="AG11" s="12"/>
      <c r="AH11" s="12"/>
      <c r="AI11" s="12"/>
      <c r="AJ11" s="12">
        <v>3</v>
      </c>
      <c r="AK11" s="12">
        <v>367</v>
      </c>
      <c r="AL11" s="12">
        <v>3</v>
      </c>
      <c r="AM11" s="12">
        <v>1107</v>
      </c>
      <c r="AN11" s="12"/>
      <c r="AO11" s="12"/>
      <c r="AP11" s="12">
        <v>2</v>
      </c>
      <c r="AQ11" s="12">
        <v>338</v>
      </c>
      <c r="AR11" s="12">
        <v>4</v>
      </c>
      <c r="AS11" s="12">
        <v>303</v>
      </c>
      <c r="AT11" s="12">
        <v>2</v>
      </c>
      <c r="AU11" s="12">
        <v>430</v>
      </c>
      <c r="AV11" s="12"/>
      <c r="AW11" s="12"/>
      <c r="AX11" s="12"/>
      <c r="AY11" s="12"/>
      <c r="AZ11" s="12">
        <v>2</v>
      </c>
      <c r="BA11" s="12">
        <v>46</v>
      </c>
      <c r="BB11" s="12">
        <v>2</v>
      </c>
      <c r="BC11" s="12">
        <v>76</v>
      </c>
      <c r="BD11" s="12">
        <v>3</v>
      </c>
      <c r="BE11" s="12">
        <v>310</v>
      </c>
      <c r="BF11" s="12"/>
      <c r="BG11" s="12"/>
      <c r="BH11" s="12">
        <v>17</v>
      </c>
      <c r="BI11" s="12">
        <v>1084</v>
      </c>
      <c r="BJ11" s="12">
        <v>11</v>
      </c>
      <c r="BK11" s="12">
        <v>981</v>
      </c>
      <c r="BL11" s="12"/>
      <c r="BM11" s="12"/>
      <c r="BN11" s="12"/>
      <c r="BO11" s="12"/>
      <c r="BP11" s="12"/>
      <c r="BQ11" s="12"/>
      <c r="BR11" s="12">
        <v>1</v>
      </c>
      <c r="BS11" s="12">
        <v>10</v>
      </c>
      <c r="BT11" s="15">
        <f t="shared" si="0"/>
        <v>138</v>
      </c>
      <c r="BU11" s="15">
        <f t="shared" si="0"/>
        <v>16047</v>
      </c>
      <c r="CU11" s="89"/>
      <c r="CV11" s="89"/>
    </row>
    <row r="12" spans="1:130" ht="15">
      <c r="A12" s="37" t="s">
        <v>85</v>
      </c>
      <c r="B12" s="12">
        <v>6</v>
      </c>
      <c r="C12" s="12">
        <v>514</v>
      </c>
      <c r="D12" s="12">
        <v>6</v>
      </c>
      <c r="E12" s="12">
        <v>513</v>
      </c>
      <c r="F12" s="12">
        <v>4</v>
      </c>
      <c r="G12" s="12">
        <v>298</v>
      </c>
      <c r="H12" s="12">
        <v>1</v>
      </c>
      <c r="I12" s="12">
        <v>29</v>
      </c>
      <c r="J12" s="12">
        <v>10</v>
      </c>
      <c r="K12" s="12">
        <v>159</v>
      </c>
      <c r="L12" s="12">
        <v>1</v>
      </c>
      <c r="M12" s="12">
        <v>8</v>
      </c>
      <c r="N12" s="12"/>
      <c r="O12" s="12"/>
      <c r="P12" s="12"/>
      <c r="Q12" s="12"/>
      <c r="R12" s="12">
        <v>2</v>
      </c>
      <c r="S12" s="12">
        <v>912</v>
      </c>
      <c r="T12" s="12"/>
      <c r="U12" s="12"/>
      <c r="V12" s="12"/>
      <c r="W12" s="12"/>
      <c r="X12" s="12"/>
      <c r="Y12" s="12"/>
      <c r="Z12" s="12">
        <v>5</v>
      </c>
      <c r="AA12" s="12">
        <v>1522</v>
      </c>
      <c r="AB12" s="12">
        <v>3</v>
      </c>
      <c r="AC12" s="12">
        <v>1104</v>
      </c>
      <c r="AD12" s="12"/>
      <c r="AE12" s="12"/>
      <c r="AF12" s="12">
        <v>1</v>
      </c>
      <c r="AG12" s="12">
        <v>116</v>
      </c>
      <c r="AH12" s="12"/>
      <c r="AI12" s="12"/>
      <c r="AJ12" s="12"/>
      <c r="AK12" s="12"/>
      <c r="AL12" s="12"/>
      <c r="AM12" s="12"/>
      <c r="AN12" s="12"/>
      <c r="AO12" s="12"/>
      <c r="AP12" s="12"/>
      <c r="AQ12" s="12"/>
      <c r="AR12" s="12"/>
      <c r="AS12" s="12"/>
      <c r="AT12" s="12"/>
      <c r="AU12" s="12"/>
      <c r="AV12" s="12"/>
      <c r="AW12" s="12"/>
      <c r="AX12" s="12"/>
      <c r="AY12" s="12"/>
      <c r="AZ12" s="12">
        <v>3</v>
      </c>
      <c r="BA12" s="12">
        <v>88</v>
      </c>
      <c r="BB12" s="12">
        <v>1</v>
      </c>
      <c r="BC12" s="12">
        <v>20</v>
      </c>
      <c r="BD12" s="12">
        <v>1</v>
      </c>
      <c r="BE12" s="12">
        <v>21</v>
      </c>
      <c r="BF12" s="12"/>
      <c r="BG12" s="12"/>
      <c r="BH12" s="12">
        <v>3</v>
      </c>
      <c r="BI12" s="12">
        <v>118</v>
      </c>
      <c r="BJ12" s="12">
        <v>1</v>
      </c>
      <c r="BK12" s="12">
        <v>222</v>
      </c>
      <c r="BL12" s="12"/>
      <c r="BM12" s="12"/>
      <c r="BN12" s="12"/>
      <c r="BO12" s="12"/>
      <c r="BP12" s="12"/>
      <c r="BQ12" s="12"/>
      <c r="BR12" s="12">
        <v>2</v>
      </c>
      <c r="BS12" s="12">
        <v>20</v>
      </c>
      <c r="BT12" s="15">
        <f t="shared" si="0"/>
        <v>50</v>
      </c>
      <c r="BU12" s="15">
        <f t="shared" si="0"/>
        <v>5664</v>
      </c>
      <c r="CU12" s="89"/>
      <c r="CV12" s="89"/>
    </row>
    <row r="13" spans="1:130" ht="15">
      <c r="A13" s="37" t="s">
        <v>86</v>
      </c>
      <c r="B13" s="12">
        <v>24</v>
      </c>
      <c r="C13" s="12">
        <v>1985</v>
      </c>
      <c r="D13" s="12">
        <v>11</v>
      </c>
      <c r="E13" s="12">
        <v>1648</v>
      </c>
      <c r="F13" s="12">
        <v>19</v>
      </c>
      <c r="G13" s="12">
        <v>2191</v>
      </c>
      <c r="H13" s="12">
        <v>2</v>
      </c>
      <c r="I13" s="12">
        <v>394</v>
      </c>
      <c r="J13" s="12">
        <v>2</v>
      </c>
      <c r="K13" s="12">
        <v>32</v>
      </c>
      <c r="L13" s="12">
        <v>1</v>
      </c>
      <c r="M13" s="12">
        <v>12</v>
      </c>
      <c r="N13" s="12">
        <v>1</v>
      </c>
      <c r="O13" s="12">
        <v>400</v>
      </c>
      <c r="P13" s="12"/>
      <c r="Q13" s="12"/>
      <c r="R13" s="12"/>
      <c r="S13" s="12"/>
      <c r="T13" s="12"/>
      <c r="U13" s="12"/>
      <c r="V13" s="12"/>
      <c r="W13" s="12"/>
      <c r="X13" s="12">
        <v>5</v>
      </c>
      <c r="Y13" s="12">
        <v>1111</v>
      </c>
      <c r="Z13" s="12">
        <v>13</v>
      </c>
      <c r="AA13" s="12">
        <v>6207</v>
      </c>
      <c r="AB13" s="12">
        <v>4</v>
      </c>
      <c r="AC13" s="12">
        <v>1210</v>
      </c>
      <c r="AD13" s="12"/>
      <c r="AE13" s="12"/>
      <c r="AF13" s="12">
        <v>3</v>
      </c>
      <c r="AG13" s="12">
        <v>2647</v>
      </c>
      <c r="AH13" s="12"/>
      <c r="AI13" s="12"/>
      <c r="AJ13" s="12">
        <v>2</v>
      </c>
      <c r="AK13" s="12">
        <v>450</v>
      </c>
      <c r="AL13" s="12">
        <v>4</v>
      </c>
      <c r="AM13" s="12">
        <v>761</v>
      </c>
      <c r="AN13" s="12"/>
      <c r="AO13" s="12"/>
      <c r="AP13" s="12">
        <v>4</v>
      </c>
      <c r="AQ13" s="12">
        <v>1908</v>
      </c>
      <c r="AR13" s="12"/>
      <c r="AS13" s="12"/>
      <c r="AT13" s="12">
        <v>1</v>
      </c>
      <c r="AU13" s="12">
        <v>84</v>
      </c>
      <c r="AV13" s="12">
        <v>2</v>
      </c>
      <c r="AW13" s="12">
        <v>343</v>
      </c>
      <c r="AX13" s="12">
        <v>1</v>
      </c>
      <c r="AY13" s="12">
        <v>19</v>
      </c>
      <c r="AZ13" s="12"/>
      <c r="BA13" s="12"/>
      <c r="BB13" s="12">
        <v>3</v>
      </c>
      <c r="BC13" s="12">
        <v>44</v>
      </c>
      <c r="BD13" s="12"/>
      <c r="BE13" s="12"/>
      <c r="BF13" s="12">
        <v>1</v>
      </c>
      <c r="BG13" s="12">
        <v>16</v>
      </c>
      <c r="BH13" s="12">
        <v>1</v>
      </c>
      <c r="BI13" s="12">
        <v>13</v>
      </c>
      <c r="BJ13" s="12"/>
      <c r="BK13" s="12"/>
      <c r="BL13" s="12"/>
      <c r="BM13" s="12"/>
      <c r="BN13" s="12">
        <v>1</v>
      </c>
      <c r="BO13" s="12">
        <v>48</v>
      </c>
      <c r="BP13" s="12">
        <v>1</v>
      </c>
      <c r="BQ13" s="12">
        <v>56</v>
      </c>
      <c r="BR13" s="12"/>
      <c r="BS13" s="12"/>
      <c r="BT13" s="15">
        <f t="shared" si="0"/>
        <v>106</v>
      </c>
      <c r="BU13" s="15">
        <f t="shared" si="0"/>
        <v>21579</v>
      </c>
      <c r="CU13" s="89"/>
      <c r="CV13" s="89"/>
    </row>
    <row r="14" spans="1:130" ht="15">
      <c r="A14" s="37" t="s">
        <v>87</v>
      </c>
      <c r="B14" s="12">
        <v>37</v>
      </c>
      <c r="C14" s="12">
        <v>2115</v>
      </c>
      <c r="D14" s="12">
        <v>16</v>
      </c>
      <c r="E14" s="12">
        <v>1868</v>
      </c>
      <c r="F14" s="12">
        <v>8</v>
      </c>
      <c r="G14" s="12">
        <v>1214</v>
      </c>
      <c r="H14" s="12"/>
      <c r="I14" s="12"/>
      <c r="J14" s="12">
        <v>14</v>
      </c>
      <c r="K14" s="12">
        <v>253</v>
      </c>
      <c r="L14" s="12">
        <v>1</v>
      </c>
      <c r="M14" s="12">
        <v>18</v>
      </c>
      <c r="N14" s="12">
        <v>3</v>
      </c>
      <c r="O14" s="12">
        <v>924</v>
      </c>
      <c r="P14" s="12">
        <v>3</v>
      </c>
      <c r="Q14" s="12">
        <v>2041</v>
      </c>
      <c r="R14" s="12"/>
      <c r="S14" s="12"/>
      <c r="T14" s="12">
        <v>3</v>
      </c>
      <c r="U14" s="12">
        <v>89</v>
      </c>
      <c r="V14" s="12"/>
      <c r="W14" s="12"/>
      <c r="X14" s="12">
        <v>4</v>
      </c>
      <c r="Y14" s="12">
        <v>701</v>
      </c>
      <c r="Z14" s="12">
        <v>15</v>
      </c>
      <c r="AA14" s="12">
        <v>6907</v>
      </c>
      <c r="AB14" s="12">
        <v>7</v>
      </c>
      <c r="AC14" s="12">
        <v>2472</v>
      </c>
      <c r="AD14" s="12"/>
      <c r="AE14" s="12"/>
      <c r="AF14" s="12">
        <v>2</v>
      </c>
      <c r="AG14" s="12">
        <v>568</v>
      </c>
      <c r="AH14" s="12"/>
      <c r="AI14" s="12"/>
      <c r="AJ14" s="12"/>
      <c r="AK14" s="12"/>
      <c r="AL14" s="12">
        <v>4</v>
      </c>
      <c r="AM14" s="12">
        <v>1049</v>
      </c>
      <c r="AN14" s="12"/>
      <c r="AO14" s="12"/>
      <c r="AP14" s="12">
        <v>3</v>
      </c>
      <c r="AQ14" s="12">
        <v>422</v>
      </c>
      <c r="AR14" s="12"/>
      <c r="AS14" s="12"/>
      <c r="AT14" s="12"/>
      <c r="AU14" s="12"/>
      <c r="AV14" s="12">
        <v>1</v>
      </c>
      <c r="AW14" s="12">
        <v>284</v>
      </c>
      <c r="AX14" s="12"/>
      <c r="AY14" s="12"/>
      <c r="AZ14" s="12">
        <v>1</v>
      </c>
      <c r="BA14" s="12">
        <v>29</v>
      </c>
      <c r="BB14" s="12">
        <v>5</v>
      </c>
      <c r="BC14" s="12">
        <v>154</v>
      </c>
      <c r="BD14" s="12">
        <v>4</v>
      </c>
      <c r="BE14" s="12">
        <v>262</v>
      </c>
      <c r="BF14" s="12"/>
      <c r="BG14" s="12"/>
      <c r="BH14" s="12">
        <v>5</v>
      </c>
      <c r="BI14" s="12">
        <v>197</v>
      </c>
      <c r="BJ14" s="12">
        <v>7</v>
      </c>
      <c r="BK14" s="12">
        <v>283</v>
      </c>
      <c r="BL14" s="12"/>
      <c r="BM14" s="12"/>
      <c r="BN14" s="12"/>
      <c r="BO14" s="12"/>
      <c r="BP14" s="12"/>
      <c r="BQ14" s="12"/>
      <c r="BR14" s="12"/>
      <c r="BS14" s="12"/>
      <c r="BT14" s="15">
        <f t="shared" si="0"/>
        <v>143</v>
      </c>
      <c r="BU14" s="15">
        <f t="shared" si="0"/>
        <v>21850</v>
      </c>
      <c r="CU14" s="89"/>
      <c r="CV14" s="89"/>
    </row>
    <row r="15" spans="1:130" s="89" customFormat="1" ht="15">
      <c r="A15" s="73" t="s">
        <v>218</v>
      </c>
      <c r="B15" s="39">
        <f>SUM(B10:B14)</f>
        <v>128</v>
      </c>
      <c r="C15" s="39">
        <f t="shared" ref="C15:BH15" si="1">SUM(C10:C14)</f>
        <v>8710</v>
      </c>
      <c r="D15" s="39">
        <f t="shared" si="1"/>
        <v>56</v>
      </c>
      <c r="E15" s="39">
        <f t="shared" si="1"/>
        <v>6603</v>
      </c>
      <c r="F15" s="39">
        <f t="shared" si="1"/>
        <v>39</v>
      </c>
      <c r="G15" s="39">
        <f t="shared" si="1"/>
        <v>5280</v>
      </c>
      <c r="H15" s="39">
        <f t="shared" si="1"/>
        <v>4</v>
      </c>
      <c r="I15" s="39">
        <f t="shared" si="1"/>
        <v>445</v>
      </c>
      <c r="J15" s="39">
        <f t="shared" si="1"/>
        <v>31</v>
      </c>
      <c r="K15" s="39">
        <f t="shared" si="1"/>
        <v>542</v>
      </c>
      <c r="L15" s="39">
        <f t="shared" si="1"/>
        <v>25</v>
      </c>
      <c r="M15" s="39">
        <f t="shared" si="1"/>
        <v>466</v>
      </c>
      <c r="N15" s="39">
        <f t="shared" si="1"/>
        <v>5</v>
      </c>
      <c r="O15" s="39">
        <f t="shared" si="1"/>
        <v>1598</v>
      </c>
      <c r="P15" s="39">
        <f t="shared" si="1"/>
        <v>3</v>
      </c>
      <c r="Q15" s="39">
        <f t="shared" si="1"/>
        <v>2041</v>
      </c>
      <c r="R15" s="39">
        <f t="shared" si="1"/>
        <v>2</v>
      </c>
      <c r="S15" s="39">
        <f t="shared" si="1"/>
        <v>912</v>
      </c>
      <c r="T15" s="39">
        <f t="shared" si="1"/>
        <v>3</v>
      </c>
      <c r="U15" s="39">
        <f t="shared" si="1"/>
        <v>89</v>
      </c>
      <c r="V15" s="39">
        <f t="shared" si="1"/>
        <v>8</v>
      </c>
      <c r="W15" s="39">
        <f t="shared" si="1"/>
        <v>695</v>
      </c>
      <c r="X15" s="39">
        <f t="shared" si="1"/>
        <v>19</v>
      </c>
      <c r="Y15" s="39">
        <f t="shared" si="1"/>
        <v>5347</v>
      </c>
      <c r="Z15" s="39">
        <f t="shared" si="1"/>
        <v>51</v>
      </c>
      <c r="AA15" s="39">
        <f t="shared" si="1"/>
        <v>19653</v>
      </c>
      <c r="AB15" s="39">
        <f t="shared" si="1"/>
        <v>24</v>
      </c>
      <c r="AC15" s="39">
        <f t="shared" si="1"/>
        <v>7857</v>
      </c>
      <c r="AD15" s="39">
        <f t="shared" si="1"/>
        <v>2</v>
      </c>
      <c r="AE15" s="39">
        <f t="shared" si="1"/>
        <v>755</v>
      </c>
      <c r="AF15" s="39">
        <f t="shared" si="1"/>
        <v>7</v>
      </c>
      <c r="AG15" s="39">
        <f t="shared" si="1"/>
        <v>3354</v>
      </c>
      <c r="AH15" s="39">
        <f t="shared" si="1"/>
        <v>2</v>
      </c>
      <c r="AI15" s="39">
        <f t="shared" si="1"/>
        <v>381</v>
      </c>
      <c r="AJ15" s="39">
        <f t="shared" si="1"/>
        <v>6</v>
      </c>
      <c r="AK15" s="39">
        <f t="shared" si="1"/>
        <v>1030</v>
      </c>
      <c r="AL15" s="39">
        <f t="shared" si="1"/>
        <v>11</v>
      </c>
      <c r="AM15" s="39">
        <f t="shared" si="1"/>
        <v>2917</v>
      </c>
      <c r="AN15" s="39">
        <f t="shared" si="1"/>
        <v>1</v>
      </c>
      <c r="AO15" s="39">
        <f t="shared" si="1"/>
        <v>517</v>
      </c>
      <c r="AP15" s="39">
        <f t="shared" si="1"/>
        <v>9</v>
      </c>
      <c r="AQ15" s="39">
        <f t="shared" si="1"/>
        <v>2668</v>
      </c>
      <c r="AR15" s="39">
        <f t="shared" si="1"/>
        <v>5</v>
      </c>
      <c r="AS15" s="39">
        <f t="shared" si="1"/>
        <v>388</v>
      </c>
      <c r="AT15" s="39">
        <f t="shared" si="1"/>
        <v>6</v>
      </c>
      <c r="AU15" s="39">
        <f t="shared" si="1"/>
        <v>925</v>
      </c>
      <c r="AV15" s="39">
        <f t="shared" si="1"/>
        <v>3</v>
      </c>
      <c r="AW15" s="39">
        <f t="shared" si="1"/>
        <v>627</v>
      </c>
      <c r="AX15" s="39">
        <f t="shared" si="1"/>
        <v>2</v>
      </c>
      <c r="AY15" s="39">
        <f t="shared" si="1"/>
        <v>218</v>
      </c>
      <c r="AZ15" s="39">
        <f t="shared" si="1"/>
        <v>7</v>
      </c>
      <c r="BA15" s="39">
        <f t="shared" si="1"/>
        <v>183</v>
      </c>
      <c r="BB15" s="39">
        <f t="shared" si="1"/>
        <v>13</v>
      </c>
      <c r="BC15" s="39">
        <f t="shared" si="1"/>
        <v>395</v>
      </c>
      <c r="BD15" s="39">
        <f t="shared" si="1"/>
        <v>9</v>
      </c>
      <c r="BE15" s="39">
        <f t="shared" si="1"/>
        <v>668</v>
      </c>
      <c r="BF15" s="39">
        <f t="shared" si="1"/>
        <v>1</v>
      </c>
      <c r="BG15" s="39">
        <f t="shared" si="1"/>
        <v>16</v>
      </c>
      <c r="BH15" s="39">
        <f t="shared" si="1"/>
        <v>36</v>
      </c>
      <c r="BI15" s="39">
        <f t="shared" ref="BI15:BS15" si="2">SUM(BI10:BI14)</f>
        <v>1849</v>
      </c>
      <c r="BJ15" s="39">
        <f t="shared" si="2"/>
        <v>22</v>
      </c>
      <c r="BK15" s="39">
        <f t="shared" si="2"/>
        <v>1571</v>
      </c>
      <c r="BL15" s="39">
        <f t="shared" si="2"/>
        <v>1</v>
      </c>
      <c r="BM15" s="39">
        <f t="shared" si="2"/>
        <v>57</v>
      </c>
      <c r="BN15" s="39">
        <f t="shared" si="2"/>
        <v>1</v>
      </c>
      <c r="BO15" s="39">
        <f t="shared" si="2"/>
        <v>48</v>
      </c>
      <c r="BP15" s="39">
        <f t="shared" si="2"/>
        <v>1</v>
      </c>
      <c r="BQ15" s="39">
        <f t="shared" si="2"/>
        <v>56</v>
      </c>
      <c r="BR15" s="39">
        <f t="shared" si="2"/>
        <v>3</v>
      </c>
      <c r="BS15" s="39">
        <f t="shared" si="2"/>
        <v>30</v>
      </c>
      <c r="BT15" s="39">
        <f t="shared" si="0"/>
        <v>546</v>
      </c>
      <c r="BU15" s="39">
        <f t="shared" si="0"/>
        <v>78891</v>
      </c>
    </row>
    <row r="16" spans="1:130">
      <c r="A16" s="62" t="s">
        <v>134</v>
      </c>
    </row>
    <row r="17" spans="1:3">
      <c r="A17" s="63" t="s">
        <v>135</v>
      </c>
    </row>
    <row r="18" spans="1:3">
      <c r="A18" s="63" t="s">
        <v>136</v>
      </c>
      <c r="C18" s="90"/>
    </row>
    <row r="21" spans="1:3">
      <c r="A21" s="92"/>
    </row>
    <row r="22" spans="1:3">
      <c r="A22" s="92"/>
      <c r="B22" s="92"/>
    </row>
    <row r="23" spans="1:3">
      <c r="A23" s="92"/>
      <c r="B23" s="92"/>
    </row>
    <row r="24" spans="1:3">
      <c r="A24" s="92"/>
      <c r="B24" s="92"/>
    </row>
    <row r="25" spans="1:3">
      <c r="A25" s="92"/>
      <c r="B25" s="92"/>
    </row>
    <row r="26" spans="1:3">
      <c r="A26" s="92"/>
      <c r="B26" s="92"/>
    </row>
    <row r="27" spans="1:3">
      <c r="A27" s="92"/>
      <c r="B27" s="92"/>
    </row>
    <row r="28" spans="1:3">
      <c r="A28" s="92"/>
      <c r="B28" s="92"/>
    </row>
    <row r="29" spans="1:3">
      <c r="A29" s="92"/>
      <c r="B29" s="92"/>
    </row>
    <row r="30" spans="1:3">
      <c r="A30" s="92"/>
      <c r="B30" s="92"/>
    </row>
    <row r="31" spans="1:3">
      <c r="A31" s="92"/>
      <c r="B31" s="92"/>
    </row>
    <row r="32" spans="1:3">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7">
    <mergeCell ref="BH7:BI7"/>
    <mergeCell ref="BJ7:BK7"/>
    <mergeCell ref="BT7:BU7"/>
    <mergeCell ref="BL7:BM7"/>
    <mergeCell ref="BN7:BO7"/>
    <mergeCell ref="BP7:BQ7"/>
    <mergeCell ref="BR7:BS7"/>
    <mergeCell ref="AX7:AY7"/>
    <mergeCell ref="AZ7:BA7"/>
    <mergeCell ref="BB7:BC7"/>
    <mergeCell ref="BD7:BE7"/>
    <mergeCell ref="BF7:BG7"/>
    <mergeCell ref="AN7:AO7"/>
    <mergeCell ref="AP7:AQ7"/>
    <mergeCell ref="AR7:AS7"/>
    <mergeCell ref="AT7:AU7"/>
    <mergeCell ref="AV7:AW7"/>
    <mergeCell ref="AD7:AE7"/>
    <mergeCell ref="AF7:AG7"/>
    <mergeCell ref="AH7:AI7"/>
    <mergeCell ref="AJ7:AK7"/>
    <mergeCell ref="AL7:AM7"/>
    <mergeCell ref="T7:U7"/>
    <mergeCell ref="V7:W7"/>
    <mergeCell ref="X7:Y7"/>
    <mergeCell ref="Z7:AA7"/>
    <mergeCell ref="AB7:AC7"/>
    <mergeCell ref="J7:K7"/>
    <mergeCell ref="L7:M7"/>
    <mergeCell ref="N7:O7"/>
    <mergeCell ref="P7:Q7"/>
    <mergeCell ref="R7:S7"/>
    <mergeCell ref="A7:A8"/>
    <mergeCell ref="B7:C7"/>
    <mergeCell ref="D7:E7"/>
    <mergeCell ref="F7:G7"/>
    <mergeCell ref="H7:I7"/>
  </mergeCells>
  <conditionalFormatting sqref="A10:BS14 BT10:BU15">
    <cfRule type="expression" dxfId="14" priority="1" stopIfTrue="1">
      <formula>MOD(ROW(),2)=0</formula>
    </cfRule>
  </conditionalFormatting>
  <conditionalFormatting sqref="A1:BU1048576 BV1:IV6 CX7:IV15 BV16:IV65536">
    <cfRule type="expression" priority="3">
      <formula>SI(0," ")</formula>
    </cfRule>
  </conditionalFormatting>
  <conditionalFormatting sqref="L3">
    <cfRule type="expression" priority="2">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3" manualBreakCount="3">
    <brk id="19" max="1048575" man="1"/>
    <brk id="37" max="1048575" man="1"/>
    <brk id="55"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N55"/>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140625" style="77" bestFit="1" customWidth="1"/>
    <col min="5" max="5" width="14"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208</v>
      </c>
    </row>
    <row r="4" spans="1:14" s="78" customFormat="1" ht="16.5">
      <c r="A4" s="79" t="s">
        <v>209</v>
      </c>
      <c r="B4" s="80"/>
      <c r="H4" s="80"/>
      <c r="I4" s="80"/>
      <c r="L4" s="81"/>
    </row>
    <row r="5" spans="1:14" s="78" customFormat="1" ht="16.5">
      <c r="A5" s="79" t="s">
        <v>210</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120</v>
      </c>
      <c r="D11" s="83">
        <v>2578</v>
      </c>
      <c r="E11" s="83">
        <v>7790</v>
      </c>
      <c r="F11" s="85">
        <f>E11/E17</f>
        <v>0.3722463802742868</v>
      </c>
      <c r="G11" s="82"/>
      <c r="H11" s="139" t="s">
        <v>16</v>
      </c>
      <c r="I11" s="139"/>
      <c r="J11" s="83">
        <v>1</v>
      </c>
      <c r="K11" s="83">
        <v>54</v>
      </c>
      <c r="L11" s="83">
        <v>104</v>
      </c>
      <c r="M11" s="85">
        <f>L11/L$19</f>
        <v>1.4929658340511054E-2</v>
      </c>
      <c r="N11" s="82"/>
    </row>
    <row r="12" spans="1:14" ht="15">
      <c r="A12" s="139" t="s">
        <v>17</v>
      </c>
      <c r="B12" s="139"/>
      <c r="C12" s="83">
        <v>49</v>
      </c>
      <c r="D12" s="83">
        <v>1990</v>
      </c>
      <c r="E12" s="83">
        <v>5520</v>
      </c>
      <c r="F12" s="85">
        <f>E12/E17</f>
        <v>0.26377407177330719</v>
      </c>
      <c r="G12" s="82"/>
      <c r="H12" s="139" t="s">
        <v>18</v>
      </c>
      <c r="I12" s="139"/>
      <c r="J12" s="83">
        <v>5</v>
      </c>
      <c r="K12" s="83">
        <v>366</v>
      </c>
      <c r="L12" s="83">
        <v>781</v>
      </c>
      <c r="M12" s="85">
        <f t="shared" ref="M12:M19" si="0">L12/L$19</f>
        <v>0.1121159919609532</v>
      </c>
      <c r="N12" s="82"/>
    </row>
    <row r="13" spans="1:14" ht="15">
      <c r="A13" s="139" t="s">
        <v>19</v>
      </c>
      <c r="B13" s="139"/>
      <c r="C13" s="83">
        <v>44</v>
      </c>
      <c r="D13" s="83">
        <v>1933</v>
      </c>
      <c r="E13" s="83">
        <v>5723</v>
      </c>
      <c r="F13" s="85">
        <f>E13/E17</f>
        <v>0.27347445883308646</v>
      </c>
      <c r="G13" s="82"/>
      <c r="H13" s="139" t="s">
        <v>20</v>
      </c>
      <c r="I13" s="139"/>
      <c r="J13" s="83">
        <v>9</v>
      </c>
      <c r="K13" s="83">
        <v>1132</v>
      </c>
      <c r="L13" s="83">
        <v>2397</v>
      </c>
      <c r="M13" s="85">
        <f t="shared" si="0"/>
        <v>0.34409991386735572</v>
      </c>
      <c r="N13" s="82"/>
    </row>
    <row r="14" spans="1:14" ht="15">
      <c r="A14" s="139" t="s">
        <v>197</v>
      </c>
      <c r="B14" s="139"/>
      <c r="C14" s="83"/>
      <c r="D14" s="83"/>
      <c r="E14" s="83"/>
      <c r="F14" s="85"/>
      <c r="G14" s="82"/>
      <c r="H14" s="139" t="s">
        <v>145</v>
      </c>
      <c r="I14" s="139"/>
      <c r="J14" s="83">
        <v>1</v>
      </c>
      <c r="K14" s="83">
        <v>159</v>
      </c>
      <c r="L14" s="83">
        <v>517</v>
      </c>
      <c r="M14" s="85">
        <f t="shared" si="0"/>
        <v>7.421762848119437E-2</v>
      </c>
      <c r="N14" s="82"/>
    </row>
    <row r="15" spans="1:14" ht="15">
      <c r="A15" s="139" t="s">
        <v>21</v>
      </c>
      <c r="B15" s="139"/>
      <c r="C15" s="83">
        <v>12</v>
      </c>
      <c r="D15" s="83">
        <v>595</v>
      </c>
      <c r="E15" s="83">
        <v>1754</v>
      </c>
      <c r="F15" s="85">
        <f>E15/E17</f>
        <v>8.3815167009126959E-2</v>
      </c>
      <c r="G15" s="82"/>
      <c r="H15" s="139" t="s">
        <v>22</v>
      </c>
      <c r="I15" s="139"/>
      <c r="J15" s="83">
        <v>9</v>
      </c>
      <c r="K15" s="83">
        <v>946</v>
      </c>
      <c r="L15" s="83">
        <v>2060</v>
      </c>
      <c r="M15" s="85">
        <f t="shared" si="0"/>
        <v>0.29572207866781508</v>
      </c>
      <c r="N15" s="82"/>
    </row>
    <row r="16" spans="1:14" ht="15">
      <c r="A16" s="139" t="s">
        <v>211</v>
      </c>
      <c r="B16" s="139"/>
      <c r="C16" s="83">
        <v>1</v>
      </c>
      <c r="D16" s="83">
        <v>45</v>
      </c>
      <c r="E16" s="83">
        <v>140</v>
      </c>
      <c r="F16" s="85">
        <f>E16/E17</f>
        <v>6.6899221101925739E-3</v>
      </c>
      <c r="G16" s="82"/>
      <c r="H16" s="139" t="s">
        <v>146</v>
      </c>
      <c r="I16" s="139"/>
      <c r="J16" s="83">
        <v>1</v>
      </c>
      <c r="K16" s="83">
        <v>191</v>
      </c>
      <c r="L16" s="83">
        <v>303</v>
      </c>
      <c r="M16" s="85">
        <f t="shared" si="0"/>
        <v>4.3496985357450474E-2</v>
      </c>
      <c r="N16" s="82"/>
    </row>
    <row r="17" spans="1:14" ht="15">
      <c r="A17" s="140" t="s">
        <v>23</v>
      </c>
      <c r="B17" s="140"/>
      <c r="C17" s="93">
        <f>SUM(C11:C16)</f>
        <v>226</v>
      </c>
      <c r="D17" s="93">
        <f>SUM(D11:D16)</f>
        <v>7141</v>
      </c>
      <c r="E17" s="93">
        <f>SUM(E11:E16)</f>
        <v>20927</v>
      </c>
      <c r="F17" s="23">
        <f>SUM(F11:F16)</f>
        <v>1</v>
      </c>
      <c r="G17" s="82"/>
      <c r="H17" s="139" t="s">
        <v>24</v>
      </c>
      <c r="I17" s="139"/>
      <c r="J17" s="83">
        <v>1</v>
      </c>
      <c r="K17" s="83">
        <v>406</v>
      </c>
      <c r="L17" s="83">
        <v>804</v>
      </c>
      <c r="M17" s="85">
        <f t="shared" si="0"/>
        <v>0.11541774332472007</v>
      </c>
      <c r="N17" s="82"/>
    </row>
    <row r="18" spans="1:14" ht="15">
      <c r="A18" s="139"/>
      <c r="B18" s="139"/>
      <c r="F18" s="85"/>
      <c r="G18" s="82"/>
      <c r="H18" s="139" t="s">
        <v>147</v>
      </c>
      <c r="I18" s="139"/>
      <c r="J18" s="83"/>
      <c r="K18" s="83"/>
      <c r="L18" s="83"/>
      <c r="M18" s="85"/>
      <c r="N18" s="82"/>
    </row>
    <row r="19" spans="1:14" ht="15">
      <c r="A19" s="140" t="s">
        <v>26</v>
      </c>
      <c r="B19" s="140"/>
      <c r="C19" s="93">
        <v>7</v>
      </c>
      <c r="D19" s="93">
        <v>93</v>
      </c>
      <c r="E19" s="93">
        <v>183</v>
      </c>
      <c r="F19" s="94">
        <v>1</v>
      </c>
      <c r="G19" s="82"/>
      <c r="H19" s="140" t="s">
        <v>25</v>
      </c>
      <c r="I19" s="140"/>
      <c r="J19" s="93">
        <f>J11+J12+J13+J14+J15+J16+J17+J18</f>
        <v>27</v>
      </c>
      <c r="K19" s="93">
        <f>K11+K12+K13+K14+K15+K16+K17+K18</f>
        <v>3254</v>
      </c>
      <c r="L19" s="93">
        <f>L11+L12+L13+L14+L15+L16+L17+L18</f>
        <v>6966</v>
      </c>
      <c r="M19" s="94">
        <f t="shared" si="0"/>
        <v>1</v>
      </c>
      <c r="N19" s="82"/>
    </row>
    <row r="20" spans="1:14" ht="15">
      <c r="A20" s="140" t="s">
        <v>27</v>
      </c>
      <c r="B20" s="140"/>
      <c r="C20" s="93">
        <v>29</v>
      </c>
      <c r="D20" s="93">
        <v>243</v>
      </c>
      <c r="E20" s="93">
        <v>494</v>
      </c>
      <c r="F20" s="94">
        <v>1</v>
      </c>
      <c r="G20" s="82"/>
      <c r="H20" s="139"/>
      <c r="I20" s="139"/>
      <c r="J20" s="83"/>
      <c r="K20" s="83"/>
      <c r="L20" s="83"/>
      <c r="M20" s="85"/>
      <c r="N20" s="82"/>
    </row>
    <row r="21" spans="1:14" ht="15">
      <c r="A21" s="140" t="s">
        <v>29</v>
      </c>
      <c r="B21" s="140"/>
      <c r="C21" s="93">
        <v>3</v>
      </c>
      <c r="D21" s="93">
        <v>16</v>
      </c>
      <c r="E21" s="93">
        <v>30</v>
      </c>
      <c r="F21" s="94">
        <v>1</v>
      </c>
      <c r="G21" s="82"/>
      <c r="H21" s="139" t="s">
        <v>28</v>
      </c>
      <c r="I21" s="139"/>
      <c r="J21" s="83">
        <v>1</v>
      </c>
      <c r="K21" s="83">
        <v>20</v>
      </c>
      <c r="L21" s="83">
        <v>40</v>
      </c>
      <c r="M21" s="85">
        <f>L21/L$25</f>
        <v>0.11594202898550725</v>
      </c>
      <c r="N21" s="82"/>
    </row>
    <row r="22" spans="1:14" ht="15">
      <c r="A22" s="140" t="s">
        <v>94</v>
      </c>
      <c r="B22" s="140"/>
      <c r="C22" s="93">
        <v>5</v>
      </c>
      <c r="D22" s="93"/>
      <c r="E22" s="93">
        <v>1598</v>
      </c>
      <c r="F22" s="94">
        <v>1</v>
      </c>
      <c r="G22" s="82"/>
      <c r="H22" s="139" t="s">
        <v>30</v>
      </c>
      <c r="I22" s="139"/>
      <c r="J22" s="83">
        <v>1</v>
      </c>
      <c r="K22" s="83">
        <v>99</v>
      </c>
      <c r="L22" s="83">
        <v>193</v>
      </c>
      <c r="M22" s="85">
        <f>L22/L$25</f>
        <v>0.55942028985507242</v>
      </c>
      <c r="N22" s="82"/>
    </row>
    <row r="23" spans="1:14" ht="15">
      <c r="A23" s="139"/>
      <c r="B23" s="139"/>
      <c r="C23" s="83"/>
      <c r="D23" s="83"/>
      <c r="E23" s="83"/>
      <c r="F23" s="85"/>
      <c r="G23" s="82"/>
      <c r="H23" s="139" t="s">
        <v>31</v>
      </c>
      <c r="I23" s="139"/>
      <c r="J23" s="83">
        <v>1</v>
      </c>
      <c r="K23" s="83">
        <v>25</v>
      </c>
      <c r="L23" s="83">
        <v>56</v>
      </c>
      <c r="M23" s="85">
        <f>L23/L$25</f>
        <v>0.16231884057971013</v>
      </c>
      <c r="N23" s="82"/>
    </row>
    <row r="24" spans="1:14" ht="15">
      <c r="A24" s="139" t="s">
        <v>42</v>
      </c>
      <c r="B24" s="139"/>
      <c r="F24" s="85"/>
      <c r="G24" s="82"/>
      <c r="H24" s="139" t="s">
        <v>33</v>
      </c>
      <c r="I24" s="139"/>
      <c r="J24" s="83">
        <v>1</v>
      </c>
      <c r="K24" s="83">
        <v>28</v>
      </c>
      <c r="L24" s="83">
        <v>56</v>
      </c>
      <c r="M24" s="85">
        <f>L24/L$25</f>
        <v>0.16231884057971013</v>
      </c>
      <c r="N24" s="82"/>
    </row>
    <row r="25" spans="1:14" ht="15">
      <c r="A25" s="139" t="s">
        <v>44</v>
      </c>
      <c r="B25" s="139"/>
      <c r="C25" s="83">
        <v>2</v>
      </c>
      <c r="D25" s="83">
        <v>706</v>
      </c>
      <c r="E25" s="83">
        <v>1719</v>
      </c>
      <c r="F25" s="85">
        <f>E25/E$27</f>
        <v>0.65336374002280506</v>
      </c>
      <c r="G25" s="82"/>
      <c r="H25" s="140" t="s">
        <v>37</v>
      </c>
      <c r="I25" s="140"/>
      <c r="J25" s="93">
        <f>SUM(J21:J24)</f>
        <v>4</v>
      </c>
      <c r="K25" s="93">
        <f>SUM(K21:K24)</f>
        <v>172</v>
      </c>
      <c r="L25" s="93">
        <f>SUM(L21:L24)</f>
        <v>345</v>
      </c>
      <c r="M25" s="94">
        <f>SUM(M21:M24)</f>
        <v>0.99999999999999989</v>
      </c>
      <c r="N25" s="82"/>
    </row>
    <row r="26" spans="1:14" ht="15">
      <c r="A26" s="139" t="s">
        <v>46</v>
      </c>
      <c r="B26" s="139"/>
      <c r="C26" s="83">
        <v>2</v>
      </c>
      <c r="D26" s="83">
        <v>418</v>
      </c>
      <c r="E26" s="83">
        <v>912</v>
      </c>
      <c r="F26" s="85">
        <f>E26/E$27</f>
        <v>0.34663625997719499</v>
      </c>
      <c r="G26" s="82"/>
      <c r="H26" s="141"/>
      <c r="I26" s="141"/>
      <c r="M26" s="83"/>
      <c r="N26" s="82"/>
    </row>
    <row r="27" spans="1:14" ht="15">
      <c r="A27" s="140" t="s">
        <v>47</v>
      </c>
      <c r="B27" s="140"/>
      <c r="C27" s="93">
        <f>C24+C25+C26</f>
        <v>4</v>
      </c>
      <c r="D27" s="93">
        <f>D24+D25+D26</f>
        <v>1124</v>
      </c>
      <c r="E27" s="93">
        <f>E24+E25+E26</f>
        <v>2631</v>
      </c>
      <c r="F27" s="94">
        <f>F24+F25+F26</f>
        <v>1</v>
      </c>
      <c r="G27" s="82"/>
      <c r="H27" s="139" t="s">
        <v>40</v>
      </c>
      <c r="I27" s="139"/>
      <c r="J27" s="83">
        <v>13</v>
      </c>
      <c r="K27" s="83">
        <v>209</v>
      </c>
      <c r="L27" s="83">
        <v>395</v>
      </c>
      <c r="M27" s="85">
        <f>L27/L$30</f>
        <v>0.36607970342910101</v>
      </c>
      <c r="N27" s="82"/>
    </row>
    <row r="28" spans="1:14" ht="15">
      <c r="A28" s="139"/>
      <c r="B28" s="139"/>
      <c r="F28" s="85"/>
      <c r="G28" s="82"/>
      <c r="H28" s="139" t="s">
        <v>41</v>
      </c>
      <c r="I28" s="139"/>
      <c r="J28" s="83">
        <v>9</v>
      </c>
      <c r="K28" s="83">
        <v>372</v>
      </c>
      <c r="L28" s="83">
        <v>668</v>
      </c>
      <c r="M28" s="85">
        <f>L28/L$30</f>
        <v>0.61909175162187213</v>
      </c>
      <c r="N28" s="82"/>
    </row>
    <row r="29" spans="1:14" ht="15">
      <c r="A29" s="139" t="s">
        <v>50</v>
      </c>
      <c r="B29" s="139"/>
      <c r="C29" s="83">
        <v>6</v>
      </c>
      <c r="D29" s="83">
        <v>304</v>
      </c>
      <c r="E29" s="83">
        <v>553</v>
      </c>
      <c r="F29" s="85">
        <f>E29/E$37</f>
        <v>1.3903205531112508E-2</v>
      </c>
      <c r="G29" s="82"/>
      <c r="H29" s="139" t="s">
        <v>43</v>
      </c>
      <c r="I29" s="139"/>
      <c r="J29" s="83">
        <v>1</v>
      </c>
      <c r="K29" s="83">
        <v>8</v>
      </c>
      <c r="L29" s="83">
        <v>16</v>
      </c>
      <c r="M29" s="85">
        <f>L29/L$30</f>
        <v>1.4828544949026877E-2</v>
      </c>
      <c r="N29" s="82"/>
    </row>
    <row r="30" spans="1:14" ht="15">
      <c r="A30" s="139" t="s">
        <v>52</v>
      </c>
      <c r="B30" s="139"/>
      <c r="C30" s="83">
        <v>15</v>
      </c>
      <c r="D30" s="83">
        <v>1742</v>
      </c>
      <c r="E30" s="83">
        <v>3264</v>
      </c>
      <c r="F30" s="85">
        <f t="shared" ref="F30:F36" si="1">E30/E$37</f>
        <v>8.2061596480201129E-2</v>
      </c>
      <c r="G30" s="82"/>
      <c r="H30" s="140" t="s">
        <v>45</v>
      </c>
      <c r="I30" s="140"/>
      <c r="J30" s="93">
        <f>J27+J28+J29</f>
        <v>23</v>
      </c>
      <c r="K30" s="93">
        <f>K27+K28+K29</f>
        <v>589</v>
      </c>
      <c r="L30" s="93">
        <f>L27+L28+L29</f>
        <v>1079</v>
      </c>
      <c r="M30" s="94">
        <f>M27+M28+M29</f>
        <v>1</v>
      </c>
      <c r="N30" s="82"/>
    </row>
    <row r="31" spans="1:14" ht="15">
      <c r="A31" s="139" t="s">
        <v>54</v>
      </c>
      <c r="B31" s="139"/>
      <c r="C31" s="83">
        <v>50</v>
      </c>
      <c r="D31" s="83">
        <v>9234</v>
      </c>
      <c r="E31" s="83">
        <v>17751</v>
      </c>
      <c r="F31" s="85">
        <f t="shared" si="1"/>
        <v>0.4462853551225644</v>
      </c>
      <c r="G31" s="82"/>
      <c r="H31" s="141"/>
      <c r="I31" s="141"/>
      <c r="M31" s="83"/>
      <c r="N31" s="82"/>
    </row>
    <row r="32" spans="1:14" ht="15">
      <c r="A32" s="139" t="s">
        <v>143</v>
      </c>
      <c r="B32" s="139"/>
      <c r="C32" s="83"/>
      <c r="D32" s="83"/>
      <c r="E32" s="83"/>
      <c r="F32" s="85"/>
      <c r="G32" s="82"/>
      <c r="H32" s="139" t="s">
        <v>48</v>
      </c>
      <c r="I32" s="139"/>
      <c r="J32" s="83">
        <v>34</v>
      </c>
      <c r="K32" s="83">
        <v>957</v>
      </c>
      <c r="L32" s="83">
        <v>1745</v>
      </c>
      <c r="M32" s="85">
        <f>L32/L$35</f>
        <v>0.50609048723897909</v>
      </c>
      <c r="N32" s="82"/>
    </row>
    <row r="33" spans="1:14" ht="15">
      <c r="A33" s="139" t="s">
        <v>91</v>
      </c>
      <c r="B33" s="139"/>
      <c r="C33" s="83">
        <v>30</v>
      </c>
      <c r="D33" s="83">
        <v>5306</v>
      </c>
      <c r="E33" s="83">
        <v>10378</v>
      </c>
      <c r="F33" s="85">
        <f t="shared" si="1"/>
        <v>0.26091766184789439</v>
      </c>
      <c r="G33" s="82"/>
      <c r="H33" s="139" t="s">
        <v>49</v>
      </c>
      <c r="I33" s="139"/>
      <c r="J33" s="83">
        <v>23</v>
      </c>
      <c r="K33" s="83">
        <v>856</v>
      </c>
      <c r="L33" s="83">
        <v>1646</v>
      </c>
      <c r="M33" s="85">
        <f>L33/L$35</f>
        <v>0.47737819025522044</v>
      </c>
      <c r="N33" s="82"/>
    </row>
    <row r="34" spans="1:14" ht="15">
      <c r="A34" s="139" t="s">
        <v>144</v>
      </c>
      <c r="B34" s="139"/>
      <c r="C34" s="83">
        <v>4</v>
      </c>
      <c r="D34" s="83">
        <v>831</v>
      </c>
      <c r="E34" s="83">
        <v>1540</v>
      </c>
      <c r="F34" s="85">
        <f t="shared" si="1"/>
        <v>3.8717787554996858E-2</v>
      </c>
      <c r="G34" s="82"/>
      <c r="H34" s="139" t="s">
        <v>51</v>
      </c>
      <c r="I34" s="139"/>
      <c r="J34" s="83">
        <v>1</v>
      </c>
      <c r="K34" s="83">
        <v>30</v>
      </c>
      <c r="L34" s="83">
        <v>57</v>
      </c>
      <c r="M34" s="85">
        <f>L34/L$35</f>
        <v>1.6531322505800465E-2</v>
      </c>
      <c r="N34" s="82"/>
    </row>
    <row r="35" spans="1:14" ht="15">
      <c r="A35" s="139" t="s">
        <v>57</v>
      </c>
      <c r="B35" s="139"/>
      <c r="C35" s="83">
        <v>12</v>
      </c>
      <c r="D35" s="83">
        <v>2851</v>
      </c>
      <c r="E35" s="83">
        <v>5586</v>
      </c>
      <c r="F35" s="85">
        <f t="shared" si="1"/>
        <v>0.14043997485857951</v>
      </c>
      <c r="G35" s="82"/>
      <c r="H35" s="140" t="s">
        <v>53</v>
      </c>
      <c r="I35" s="140"/>
      <c r="J35" s="93">
        <f>J32+J33+J34</f>
        <v>58</v>
      </c>
      <c r="K35" s="93">
        <f>K32+K33+K34</f>
        <v>1843</v>
      </c>
      <c r="L35" s="93">
        <f>L32+L33+L34</f>
        <v>3448</v>
      </c>
      <c r="M35" s="94">
        <f>M32+M33+M34</f>
        <v>1</v>
      </c>
      <c r="N35" s="82"/>
    </row>
    <row r="36" spans="1:14" ht="15">
      <c r="A36" s="139" t="s">
        <v>59</v>
      </c>
      <c r="B36" s="139"/>
      <c r="C36" s="83">
        <v>3</v>
      </c>
      <c r="D36" s="83">
        <v>356</v>
      </c>
      <c r="E36" s="83">
        <v>703</v>
      </c>
      <c r="F36" s="85">
        <f t="shared" si="1"/>
        <v>1.7674418604651163E-2</v>
      </c>
      <c r="G36" s="82"/>
      <c r="H36" s="142"/>
      <c r="I36" s="142"/>
      <c r="J36" s="83"/>
      <c r="K36" s="83"/>
      <c r="L36" s="83"/>
      <c r="M36" s="83"/>
      <c r="N36" s="82"/>
    </row>
    <row r="37" spans="1:14" ht="15">
      <c r="A37" s="140" t="s">
        <v>61</v>
      </c>
      <c r="B37" s="140"/>
      <c r="C37" s="93">
        <f>C29+C30+C31+C32+C33+C34+C35+C36</f>
        <v>120</v>
      </c>
      <c r="D37" s="93">
        <f>D29+D30+D31+D32+D33+D34+D35+D36</f>
        <v>20624</v>
      </c>
      <c r="E37" s="93">
        <f>E29+E30+E31+E32+E33+E34+E35+E36</f>
        <v>39775</v>
      </c>
      <c r="F37" s="94">
        <f>F29+F30+F31+F32+F33+F34+F35+F36</f>
        <v>0.99999999999999989</v>
      </c>
      <c r="G37" s="82"/>
      <c r="H37" s="140" t="s">
        <v>56</v>
      </c>
      <c r="I37" s="140"/>
      <c r="J37" s="93">
        <v>25</v>
      </c>
      <c r="K37" s="93">
        <v>255</v>
      </c>
      <c r="L37" s="93">
        <v>459</v>
      </c>
      <c r="M37" s="94">
        <v>1</v>
      </c>
      <c r="N37" s="82"/>
    </row>
    <row r="38" spans="1:14" ht="15">
      <c r="A38" s="141"/>
      <c r="B38" s="141"/>
      <c r="C38" s="83"/>
      <c r="D38" s="83"/>
      <c r="E38" s="83"/>
      <c r="F38" s="85"/>
      <c r="G38" s="82"/>
      <c r="H38" s="140" t="s">
        <v>58</v>
      </c>
      <c r="I38" s="140"/>
      <c r="J38" s="93">
        <v>3</v>
      </c>
      <c r="K38" s="93">
        <v>49</v>
      </c>
      <c r="L38" s="93">
        <v>89</v>
      </c>
      <c r="M38" s="94">
        <v>1</v>
      </c>
      <c r="N38" s="82"/>
    </row>
    <row r="39" spans="1:14" ht="15">
      <c r="A39" s="139" t="s">
        <v>62</v>
      </c>
      <c r="B39" s="139"/>
      <c r="C39" s="83">
        <v>4</v>
      </c>
      <c r="D39" s="83">
        <v>174</v>
      </c>
      <c r="E39" s="83">
        <v>331</v>
      </c>
      <c r="F39" s="85">
        <f>E39/E$44</f>
        <v>0.15679772619611559</v>
      </c>
      <c r="G39" s="82"/>
      <c r="H39" s="140" t="s">
        <v>60</v>
      </c>
      <c r="I39" s="140"/>
      <c r="J39" s="93"/>
      <c r="K39" s="93"/>
      <c r="L39" s="93"/>
      <c r="M39" s="94"/>
      <c r="N39" s="82"/>
    </row>
    <row r="40" spans="1:14" ht="15">
      <c r="A40" s="139" t="s">
        <v>63</v>
      </c>
      <c r="B40" s="139"/>
      <c r="C40" s="83">
        <v>6</v>
      </c>
      <c r="D40" s="83">
        <v>490</v>
      </c>
      <c r="E40" s="83">
        <v>925</v>
      </c>
      <c r="F40" s="85">
        <f>E40/E$44</f>
        <v>0.438180956892468</v>
      </c>
      <c r="G40" s="82"/>
      <c r="H40" s="140" t="s">
        <v>226</v>
      </c>
      <c r="I40" s="140"/>
      <c r="J40" s="93"/>
      <c r="K40" s="93"/>
      <c r="L40" s="93"/>
      <c r="M40" s="94"/>
      <c r="N40" s="82"/>
    </row>
    <row r="41" spans="1:14" ht="15">
      <c r="A41" s="139" t="s">
        <v>64</v>
      </c>
      <c r="B41" s="139"/>
      <c r="C41" s="83">
        <v>4</v>
      </c>
      <c r="D41" s="83">
        <v>349</v>
      </c>
      <c r="E41" s="83">
        <v>637</v>
      </c>
      <c r="F41" s="85">
        <f>E41/E$44</f>
        <v>0.30175272382756985</v>
      </c>
      <c r="G41" s="82"/>
      <c r="H41" s="84"/>
      <c r="I41" s="84"/>
      <c r="N41" s="82"/>
    </row>
    <row r="42" spans="1:14" ht="15">
      <c r="A42" s="139" t="s">
        <v>93</v>
      </c>
      <c r="B42" s="139"/>
      <c r="C42" s="83">
        <v>2</v>
      </c>
      <c r="D42" s="83">
        <v>126</v>
      </c>
      <c r="E42" s="83">
        <v>218</v>
      </c>
      <c r="F42" s="85">
        <f>E42/E$44</f>
        <v>0.10326859308384652</v>
      </c>
      <c r="G42" s="82"/>
      <c r="H42" s="140" t="s">
        <v>65</v>
      </c>
      <c r="I42" s="140"/>
      <c r="J42" s="93">
        <f>C17+C19+C20+C21+C22+C27+C37+C44+J19+J25+J30+J35+J37+J38+J39</f>
        <v>550</v>
      </c>
      <c r="K42" s="93">
        <f>D17+D19+D20+D21+D22+D27+D37+D44+K19+K25+K30+K35+K37+K38+K39</f>
        <v>36542</v>
      </c>
      <c r="L42" s="93">
        <f>E17+E19+E20+E21+E22+E27+E37+E44+L19+L25+L30+L35+L37+L38+L39</f>
        <v>80135</v>
      </c>
      <c r="M42" s="82"/>
      <c r="N42" s="82"/>
    </row>
    <row r="43" spans="1:14" ht="15">
      <c r="A43" s="139" t="s">
        <v>67</v>
      </c>
      <c r="B43" s="139"/>
      <c r="F43" s="85"/>
      <c r="G43" s="82"/>
      <c r="L43" s="100"/>
      <c r="N43" s="82"/>
    </row>
    <row r="44" spans="1:14" ht="15">
      <c r="A44" s="140" t="s">
        <v>68</v>
      </c>
      <c r="B44" s="140"/>
      <c r="C44" s="93">
        <f>C39+C40+C41+C42+C43</f>
        <v>16</v>
      </c>
      <c r="D44" s="93">
        <f>D39+D40+D41+D42+D43</f>
        <v>1139</v>
      </c>
      <c r="E44" s="93">
        <f>E39+E40+E41+E42+E43</f>
        <v>2111</v>
      </c>
      <c r="F44" s="94">
        <f>F39+F40+F41+F42+F43</f>
        <v>0.99999999999999989</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row>
    <row r="54" spans="1:14">
      <c r="A54" s="77"/>
      <c r="B54" s="77"/>
    </row>
    <row r="55" spans="1:14">
      <c r="A55" s="77"/>
      <c r="B55" s="77"/>
    </row>
  </sheetData>
  <sheetProtection algorithmName="SHA-512" hashValue="ux2/pdatAsYdrAAb/hCoBU+wUyy5bMR8PhbN6HBs6WU2JAh+8bJVE9jgN77RlHfrsBLD5B4F3E84d0+Z5ZCbaw==" saltValue="07sNOphmcnGm+hbYSWUHhw==" spinCount="100000" sheet="1"/>
  <mergeCells count="79">
    <mergeCell ref="A14:B14"/>
    <mergeCell ref="A15:B15"/>
    <mergeCell ref="H42:I42"/>
    <mergeCell ref="A38:B38"/>
    <mergeCell ref="A33:B33"/>
    <mergeCell ref="A34:B34"/>
    <mergeCell ref="H36:I36"/>
    <mergeCell ref="H32:I32"/>
    <mergeCell ref="A25:B25"/>
    <mergeCell ref="H33:I33"/>
    <mergeCell ref="A26:B26"/>
    <mergeCell ref="H34:I34"/>
    <mergeCell ref="A30:B30"/>
    <mergeCell ref="A31:B31"/>
    <mergeCell ref="A41:B41"/>
    <mergeCell ref="H39:I39"/>
    <mergeCell ref="A36:B36"/>
    <mergeCell ref="A37:B37"/>
    <mergeCell ref="H15:I15"/>
    <mergeCell ref="H16:I16"/>
    <mergeCell ref="H40:I40"/>
    <mergeCell ref="H18:I18"/>
    <mergeCell ref="A39:B39"/>
    <mergeCell ref="H37:I37"/>
    <mergeCell ref="A40:B40"/>
    <mergeCell ref="H38:I38"/>
    <mergeCell ref="A35:B35"/>
    <mergeCell ref="H35:I35"/>
    <mergeCell ref="A28:B28"/>
    <mergeCell ref="A29:B29"/>
    <mergeCell ref="A32:B32"/>
    <mergeCell ref="A27:B27"/>
    <mergeCell ref="A52:B52"/>
    <mergeCell ref="A53:B53"/>
    <mergeCell ref="A42:B42"/>
    <mergeCell ref="A43:B43"/>
    <mergeCell ref="A44:B44"/>
    <mergeCell ref="A48:B48"/>
    <mergeCell ref="A49:B49"/>
    <mergeCell ref="A50:B50"/>
    <mergeCell ref="A51:B51"/>
    <mergeCell ref="A46:B46"/>
    <mergeCell ref="A47:B47"/>
    <mergeCell ref="H29:I29"/>
    <mergeCell ref="H30:I30"/>
    <mergeCell ref="H31:I31"/>
    <mergeCell ref="H27:I27"/>
    <mergeCell ref="A20:B20"/>
    <mergeCell ref="H28:I28"/>
    <mergeCell ref="H26:I26"/>
    <mergeCell ref="H19:I19"/>
    <mergeCell ref="H20:I20"/>
    <mergeCell ref="H24:I24"/>
    <mergeCell ref="A21:B21"/>
    <mergeCell ref="A22:B22"/>
    <mergeCell ref="A23:B23"/>
    <mergeCell ref="A24:B24"/>
    <mergeCell ref="A17:B17"/>
    <mergeCell ref="H25:I25"/>
    <mergeCell ref="A11:B11"/>
    <mergeCell ref="H21:I21"/>
    <mergeCell ref="A12:B12"/>
    <mergeCell ref="H22:I22"/>
    <mergeCell ref="A13:B13"/>
    <mergeCell ref="H23:I23"/>
    <mergeCell ref="A18:B18"/>
    <mergeCell ref="H17:I17"/>
    <mergeCell ref="A19:B19"/>
    <mergeCell ref="A16:B16"/>
    <mergeCell ref="H11:I11"/>
    <mergeCell ref="H12:I12"/>
    <mergeCell ref="H13:I13"/>
    <mergeCell ref="H14:I14"/>
    <mergeCell ref="A8:B8"/>
    <mergeCell ref="H8:I8"/>
    <mergeCell ref="A9:B9"/>
    <mergeCell ref="H9:I9"/>
    <mergeCell ref="A10:B10"/>
    <mergeCell ref="H10:I10"/>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L44"/>
  <sheetViews>
    <sheetView showGridLines="0" zoomScaleNormal="100" zoomScaleSheetLayoutView="100" workbookViewId="0"/>
  </sheetViews>
  <sheetFormatPr baseColWidth="10" defaultColWidth="9.140625" defaultRowHeight="12.75"/>
  <cols>
    <col min="1" max="1" width="80.5703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3" width="8.7109375" style="57" customWidth="1"/>
    <col min="14" max="14" width="9.140625" style="57" customWidth="1"/>
    <col min="15" max="23" width="8.7109375" style="57" customWidth="1"/>
    <col min="24" max="24" width="9.140625" style="57" customWidth="1"/>
    <col min="25" max="25" width="8.7109375" style="57" customWidth="1"/>
    <col min="26" max="26" width="9.140625" style="57" customWidth="1"/>
    <col min="27" max="27" width="8.7109375" style="57" customWidth="1"/>
    <col min="28" max="28" width="9.140625" style="57" customWidth="1"/>
    <col min="29" max="31" width="8.7109375" style="57" customWidth="1"/>
    <col min="32" max="32" width="9.140625" style="57" customWidth="1"/>
    <col min="33" max="37" width="8.7109375" style="57" customWidth="1"/>
    <col min="38" max="38" width="9.140625" style="57" customWidth="1"/>
    <col min="39" max="39" width="8.7109375" style="57" customWidth="1"/>
    <col min="40" max="40" width="9.140625" style="57" customWidth="1"/>
    <col min="41" max="41" width="8.7109375" style="57" customWidth="1"/>
    <col min="42" max="42" width="9.140625" style="57" customWidth="1"/>
    <col min="43" max="43" width="8.7109375" style="57" customWidth="1"/>
    <col min="44" max="44" width="9.140625" style="57" customWidth="1"/>
    <col min="45" max="45" width="8.7109375" style="57" customWidth="1"/>
    <col min="46" max="46" width="9.140625" style="57" customWidth="1"/>
    <col min="47" max="51" width="8.7109375" style="57" customWidth="1"/>
    <col min="52" max="52" width="9.140625" style="57" customWidth="1"/>
    <col min="53" max="53" width="8.7109375" style="57" customWidth="1"/>
    <col min="54" max="54" width="9.5703125" style="57" customWidth="1"/>
    <col min="55" max="55" width="8.7109375" style="57" customWidth="1"/>
    <col min="56" max="56" width="9.140625" style="57" customWidth="1"/>
    <col min="57" max="57" width="8.7109375" style="57" customWidth="1"/>
    <col min="58" max="58" width="9.140625" style="57" customWidth="1"/>
    <col min="59" max="59" width="8.7109375" style="57" customWidth="1"/>
    <col min="60" max="60" width="9.140625" style="57" customWidth="1"/>
    <col min="61" max="61" width="8.7109375" style="57" customWidth="1"/>
    <col min="62" max="62" width="9.140625" style="57" customWidth="1"/>
    <col min="63" max="69" width="8.7109375" style="57" customWidth="1"/>
    <col min="70" max="79" width="9.140625" style="57" customWidth="1"/>
    <col min="80" max="81" width="9.140625" style="57"/>
    <col min="82" max="82" width="9.140625" style="57" customWidth="1"/>
    <col min="83" max="85" width="12.28515625" style="57" customWidth="1"/>
    <col min="86" max="16384" width="9.140625" style="57"/>
  </cols>
  <sheetData>
    <row r="1" spans="1:142" ht="16.5">
      <c r="A1" s="75"/>
    </row>
    <row r="2" spans="1:142">
      <c r="A2" s="77"/>
    </row>
    <row r="3" spans="1:142" ht="16.5">
      <c r="A3" s="5" t="s">
        <v>205</v>
      </c>
    </row>
    <row r="4" spans="1:142" s="88" customFormat="1" ht="16.5">
      <c r="A4" s="30" t="s">
        <v>206</v>
      </c>
    </row>
    <row r="5" spans="1:142" s="88" customFormat="1" ht="16.5">
      <c r="A5" s="30" t="s">
        <v>207</v>
      </c>
    </row>
    <row r="6" spans="1:142" s="88" customFormat="1"/>
    <row r="7" spans="1:142" s="89" customFormat="1" ht="15" customHeight="1">
      <c r="A7" s="144" t="s">
        <v>130</v>
      </c>
      <c r="B7" s="143" t="s">
        <v>15</v>
      </c>
      <c r="C7" s="143"/>
      <c r="D7" s="143" t="s">
        <v>17</v>
      </c>
      <c r="E7" s="143"/>
      <c r="F7" s="143" t="s">
        <v>19</v>
      </c>
      <c r="G7" s="143"/>
      <c r="H7" s="143" t="s">
        <v>21</v>
      </c>
      <c r="I7" s="143"/>
      <c r="J7" s="143" t="s">
        <v>216</v>
      </c>
      <c r="K7" s="143"/>
      <c r="L7" s="143" t="s">
        <v>27</v>
      </c>
      <c r="M7" s="143"/>
      <c r="N7" s="143" t="s">
        <v>56</v>
      </c>
      <c r="O7" s="143"/>
      <c r="P7" s="143" t="s">
        <v>94</v>
      </c>
      <c r="Q7" s="143"/>
      <c r="R7" s="143" t="s">
        <v>44</v>
      </c>
      <c r="S7" s="143"/>
      <c r="T7" s="143" t="s">
        <v>46</v>
      </c>
      <c r="U7" s="143"/>
      <c r="V7" s="143" t="s">
        <v>58</v>
      </c>
      <c r="W7" s="143"/>
      <c r="X7" s="143" t="s">
        <v>50</v>
      </c>
      <c r="Y7" s="143"/>
      <c r="Z7" s="143" t="s">
        <v>52</v>
      </c>
      <c r="AA7" s="143"/>
      <c r="AB7" s="143" t="s">
        <v>54</v>
      </c>
      <c r="AC7" s="143"/>
      <c r="AD7" s="143" t="s">
        <v>91</v>
      </c>
      <c r="AE7" s="143"/>
      <c r="AF7" s="143" t="s">
        <v>144</v>
      </c>
      <c r="AG7" s="143"/>
      <c r="AH7" s="143" t="s">
        <v>162</v>
      </c>
      <c r="AI7" s="143"/>
      <c r="AJ7" s="143" t="s">
        <v>198</v>
      </c>
      <c r="AK7" s="143"/>
      <c r="AL7" s="143" t="s">
        <v>16</v>
      </c>
      <c r="AM7" s="143"/>
      <c r="AN7" s="143" t="s">
        <v>18</v>
      </c>
      <c r="AO7" s="143"/>
      <c r="AP7" s="143" t="s">
        <v>20</v>
      </c>
      <c r="AQ7" s="143"/>
      <c r="AR7" s="143" t="s">
        <v>212</v>
      </c>
      <c r="AS7" s="143"/>
      <c r="AT7" s="143" t="s">
        <v>22</v>
      </c>
      <c r="AU7" s="143"/>
      <c r="AV7" s="143" t="s">
        <v>213</v>
      </c>
      <c r="AW7" s="143"/>
      <c r="AX7" s="143" t="s">
        <v>24</v>
      </c>
      <c r="AY7" s="143"/>
      <c r="AZ7" s="143" t="s">
        <v>92</v>
      </c>
      <c r="BA7" s="143"/>
      <c r="BB7" s="143" t="s">
        <v>63</v>
      </c>
      <c r="BC7" s="143"/>
      <c r="BD7" s="143" t="s">
        <v>64</v>
      </c>
      <c r="BE7" s="143"/>
      <c r="BF7" s="143" t="s">
        <v>93</v>
      </c>
      <c r="BG7" s="143"/>
      <c r="BH7" s="143" t="s">
        <v>26</v>
      </c>
      <c r="BI7" s="143"/>
      <c r="BJ7" s="143" t="s">
        <v>40</v>
      </c>
      <c r="BK7" s="143"/>
      <c r="BL7" s="143" t="s">
        <v>41</v>
      </c>
      <c r="BM7" s="143"/>
      <c r="BN7" s="143" t="s">
        <v>43</v>
      </c>
      <c r="BO7" s="143"/>
      <c r="BP7" s="143" t="s">
        <v>48</v>
      </c>
      <c r="BQ7" s="143"/>
      <c r="BR7" s="143" t="s">
        <v>49</v>
      </c>
      <c r="BS7" s="143"/>
      <c r="BT7" s="143" t="s">
        <v>51</v>
      </c>
      <c r="BU7" s="143"/>
      <c r="BV7" s="143" t="s">
        <v>28</v>
      </c>
      <c r="BW7" s="143"/>
      <c r="BX7" s="143" t="s">
        <v>30</v>
      </c>
      <c r="BY7" s="143"/>
      <c r="BZ7" s="143" t="s">
        <v>31</v>
      </c>
      <c r="CA7" s="143"/>
      <c r="CB7" s="143" t="s">
        <v>33</v>
      </c>
      <c r="CC7" s="143"/>
      <c r="CD7" s="143" t="s">
        <v>29</v>
      </c>
      <c r="CE7" s="143"/>
      <c r="CF7" s="143" t="s">
        <v>65</v>
      </c>
      <c r="CG7" s="143"/>
    </row>
    <row r="8" spans="1:142" s="89" customFormat="1" ht="15" customHeight="1">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t="s">
        <v>80</v>
      </c>
      <c r="BX8" s="38"/>
      <c r="BY8" s="38" t="s">
        <v>80</v>
      </c>
      <c r="BZ8" s="38"/>
      <c r="CA8" s="38" t="s">
        <v>80</v>
      </c>
      <c r="CB8" s="38"/>
      <c r="CC8" s="38" t="s">
        <v>80</v>
      </c>
      <c r="CD8" s="38"/>
      <c r="CE8" s="38" t="s">
        <v>80</v>
      </c>
      <c r="CF8" s="38"/>
      <c r="CG8" s="38"/>
    </row>
    <row r="9" spans="1:142"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c r="BX9" s="38" t="s">
        <v>82</v>
      </c>
      <c r="BY9" s="38" t="s">
        <v>83</v>
      </c>
      <c r="BZ9" s="38" t="s">
        <v>82</v>
      </c>
      <c r="CA9" s="38" t="s">
        <v>83</v>
      </c>
      <c r="CB9" s="38" t="s">
        <v>82</v>
      </c>
      <c r="CC9" s="38" t="s">
        <v>83</v>
      </c>
      <c r="CD9" s="38" t="s">
        <v>82</v>
      </c>
      <c r="CE9" s="38" t="s">
        <v>83</v>
      </c>
      <c r="CF9" s="38" t="s">
        <v>82</v>
      </c>
      <c r="CG9" s="38" t="s">
        <v>83</v>
      </c>
    </row>
    <row r="10" spans="1:142" ht="15">
      <c r="A10" s="37" t="s">
        <v>217</v>
      </c>
      <c r="B10" s="12">
        <v>21</v>
      </c>
      <c r="C10" s="12">
        <v>1046</v>
      </c>
      <c r="D10" s="12">
        <v>11</v>
      </c>
      <c r="E10" s="12">
        <v>1043</v>
      </c>
      <c r="F10" s="12">
        <v>6</v>
      </c>
      <c r="G10" s="12">
        <v>1317</v>
      </c>
      <c r="H10" s="12">
        <v>3</v>
      </c>
      <c r="I10" s="12">
        <v>464</v>
      </c>
      <c r="J10" s="12">
        <v>1</v>
      </c>
      <c r="K10" s="12">
        <v>140</v>
      </c>
      <c r="L10" s="12"/>
      <c r="M10" s="12"/>
      <c r="N10" s="12">
        <v>13</v>
      </c>
      <c r="O10" s="12">
        <v>222</v>
      </c>
      <c r="P10" s="12"/>
      <c r="Q10" s="12"/>
      <c r="R10" s="12"/>
      <c r="S10" s="12"/>
      <c r="T10" s="12"/>
      <c r="U10" s="12"/>
      <c r="V10" s="12"/>
      <c r="W10" s="12"/>
      <c r="X10" s="12">
        <v>3</v>
      </c>
      <c r="Y10" s="12">
        <v>253</v>
      </c>
      <c r="Z10" s="12">
        <v>2</v>
      </c>
      <c r="AA10" s="12">
        <v>351</v>
      </c>
      <c r="AB10" s="12">
        <v>8</v>
      </c>
      <c r="AC10" s="12">
        <v>2724</v>
      </c>
      <c r="AD10" s="12">
        <v>8</v>
      </c>
      <c r="AE10" s="12">
        <v>2790</v>
      </c>
      <c r="AF10" s="12">
        <v>2</v>
      </c>
      <c r="AG10" s="12">
        <v>755</v>
      </c>
      <c r="AH10" s="12">
        <v>3</v>
      </c>
      <c r="AI10" s="12">
        <v>367</v>
      </c>
      <c r="AJ10" s="12">
        <v>3</v>
      </c>
      <c r="AK10" s="12">
        <v>703</v>
      </c>
      <c r="AL10" s="12"/>
      <c r="AM10" s="12"/>
      <c r="AN10" s="12">
        <v>1</v>
      </c>
      <c r="AO10" s="12">
        <v>213</v>
      </c>
      <c r="AP10" s="12"/>
      <c r="AQ10" s="12"/>
      <c r="AR10" s="12">
        <v>1</v>
      </c>
      <c r="AS10" s="12">
        <v>517</v>
      </c>
      <c r="AT10" s="12"/>
      <c r="AU10" s="12"/>
      <c r="AV10" s="12"/>
      <c r="AW10" s="12"/>
      <c r="AX10" s="12"/>
      <c r="AY10" s="12"/>
      <c r="AZ10" s="12">
        <v>1</v>
      </c>
      <c r="BA10" s="12">
        <v>85</v>
      </c>
      <c r="BB10" s="12">
        <v>3</v>
      </c>
      <c r="BC10" s="12">
        <v>411</v>
      </c>
      <c r="BD10" s="12"/>
      <c r="BE10" s="12"/>
      <c r="BF10" s="12">
        <v>1</v>
      </c>
      <c r="BG10" s="12">
        <v>199</v>
      </c>
      <c r="BH10" s="12">
        <v>1</v>
      </c>
      <c r="BI10" s="12">
        <v>20</v>
      </c>
      <c r="BJ10" s="12">
        <v>2</v>
      </c>
      <c r="BK10" s="12">
        <v>101</v>
      </c>
      <c r="BL10" s="12">
        <v>1</v>
      </c>
      <c r="BM10" s="12">
        <v>75</v>
      </c>
      <c r="BN10" s="12"/>
      <c r="BO10" s="12"/>
      <c r="BP10" s="12">
        <v>10</v>
      </c>
      <c r="BQ10" s="96">
        <v>437</v>
      </c>
      <c r="BR10" s="12">
        <v>3</v>
      </c>
      <c r="BS10" s="12">
        <v>85</v>
      </c>
      <c r="BT10" s="12">
        <v>1</v>
      </c>
      <c r="BU10" s="12">
        <v>57</v>
      </c>
      <c r="BV10" s="12"/>
      <c r="BW10" s="12"/>
      <c r="BX10" s="12"/>
      <c r="BY10" s="12"/>
      <c r="BZ10" s="12"/>
      <c r="CA10" s="12"/>
      <c r="CB10" s="12"/>
      <c r="CC10" s="12"/>
      <c r="CD10" s="12"/>
      <c r="CE10" s="12"/>
      <c r="CF10" s="15">
        <f t="shared" ref="CF10:CG15" si="0">B10+D10+F10+H10+J10+L10+N10+P10+R10+T10+V10+X10+Z10+AB10+AD10+AF10+AH10+AJ10+AL10+AN10+AP10+AR10+AT10+AV10+AX10+AZ10+BB10+BD10+BF10+BH10+BJ10+BL10+BN10+BP10+BR10+BT10+BV10+BX10+BZ10+CB10+CD10</f>
        <v>109</v>
      </c>
      <c r="CG10" s="15">
        <f t="shared" si="0"/>
        <v>14375</v>
      </c>
      <c r="CH10" s="90"/>
      <c r="DG10" s="89"/>
      <c r="DH10" s="89"/>
      <c r="EL10" s="91"/>
    </row>
    <row r="11" spans="1:142" ht="15">
      <c r="A11" s="69" t="s">
        <v>84</v>
      </c>
      <c r="B11" s="12">
        <v>33</v>
      </c>
      <c r="C11" s="12">
        <v>2352</v>
      </c>
      <c r="D11" s="12">
        <v>11</v>
      </c>
      <c r="E11" s="12">
        <v>1348</v>
      </c>
      <c r="F11" s="12">
        <v>6</v>
      </c>
      <c r="G11" s="12">
        <v>557</v>
      </c>
      <c r="H11" s="12"/>
      <c r="I11" s="12"/>
      <c r="J11" s="12"/>
      <c r="K11" s="12"/>
      <c r="L11" s="12">
        <v>5</v>
      </c>
      <c r="M11" s="12">
        <v>98</v>
      </c>
      <c r="N11" s="12">
        <v>9</v>
      </c>
      <c r="O11" s="12">
        <v>199</v>
      </c>
      <c r="P11" s="12">
        <v>1</v>
      </c>
      <c r="Q11" s="12">
        <v>274</v>
      </c>
      <c r="R11" s="12"/>
      <c r="S11" s="12"/>
      <c r="T11" s="12"/>
      <c r="U11" s="12"/>
      <c r="V11" s="12"/>
      <c r="W11" s="12"/>
      <c r="X11" s="12">
        <v>3</v>
      </c>
      <c r="Y11" s="12">
        <v>300</v>
      </c>
      <c r="Z11" s="12">
        <v>5</v>
      </c>
      <c r="AA11" s="12">
        <v>1307</v>
      </c>
      <c r="AB11" s="12">
        <v>13</v>
      </c>
      <c r="AC11" s="12">
        <v>3393</v>
      </c>
      <c r="AD11" s="12">
        <v>3</v>
      </c>
      <c r="AE11" s="12">
        <v>1103</v>
      </c>
      <c r="AF11" s="12">
        <v>1</v>
      </c>
      <c r="AG11" s="12">
        <v>297</v>
      </c>
      <c r="AH11" s="12"/>
      <c r="AI11" s="12"/>
      <c r="AJ11" s="12"/>
      <c r="AK11" s="12"/>
      <c r="AL11" s="12">
        <v>1</v>
      </c>
      <c r="AM11" s="12">
        <v>104</v>
      </c>
      <c r="AN11" s="12">
        <v>1</v>
      </c>
      <c r="AO11" s="12">
        <v>70</v>
      </c>
      <c r="AP11" s="12">
        <v>2</v>
      </c>
      <c r="AQ11" s="12">
        <v>911</v>
      </c>
      <c r="AR11" s="12"/>
      <c r="AS11" s="12"/>
      <c r="AT11" s="12">
        <v>3</v>
      </c>
      <c r="AU11" s="12">
        <v>534</v>
      </c>
      <c r="AV11" s="12"/>
      <c r="AW11" s="12"/>
      <c r="AX11" s="12"/>
      <c r="AY11" s="12"/>
      <c r="AZ11" s="12">
        <v>3</v>
      </c>
      <c r="BA11" s="12">
        <v>246</v>
      </c>
      <c r="BB11" s="12">
        <v>2</v>
      </c>
      <c r="BC11" s="12">
        <v>430</v>
      </c>
      <c r="BD11" s="12">
        <v>1</v>
      </c>
      <c r="BE11" s="12">
        <v>57</v>
      </c>
      <c r="BF11" s="12"/>
      <c r="BG11" s="12"/>
      <c r="BH11" s="12">
        <v>2</v>
      </c>
      <c r="BI11" s="12">
        <v>46</v>
      </c>
      <c r="BJ11" s="12">
        <v>2</v>
      </c>
      <c r="BK11" s="12">
        <v>76</v>
      </c>
      <c r="BL11" s="12">
        <v>3</v>
      </c>
      <c r="BM11" s="12">
        <v>310</v>
      </c>
      <c r="BN11" s="12"/>
      <c r="BO11" s="12"/>
      <c r="BP11" s="12">
        <v>16</v>
      </c>
      <c r="BQ11" s="12">
        <v>1028</v>
      </c>
      <c r="BR11" s="12">
        <v>12</v>
      </c>
      <c r="BS11" s="12">
        <v>1056</v>
      </c>
      <c r="BT11" s="12"/>
      <c r="BU11" s="12"/>
      <c r="BV11" s="12"/>
      <c r="BW11" s="12"/>
      <c r="BX11" s="12">
        <v>1</v>
      </c>
      <c r="BY11" s="12">
        <v>193</v>
      </c>
      <c r="BZ11" s="12"/>
      <c r="CA11" s="12"/>
      <c r="CB11" s="12"/>
      <c r="CC11" s="12"/>
      <c r="CD11" s="12">
        <v>1</v>
      </c>
      <c r="CE11" s="12">
        <v>10</v>
      </c>
      <c r="CF11" s="15">
        <f t="shared" si="0"/>
        <v>140</v>
      </c>
      <c r="CG11" s="15">
        <f t="shared" si="0"/>
        <v>16299</v>
      </c>
      <c r="DG11" s="89"/>
      <c r="DH11" s="89"/>
    </row>
    <row r="12" spans="1:142" ht="15">
      <c r="A12" s="37" t="s">
        <v>85</v>
      </c>
      <c r="B12" s="12">
        <v>6</v>
      </c>
      <c r="C12" s="12">
        <v>514</v>
      </c>
      <c r="D12" s="12">
        <v>4</v>
      </c>
      <c r="E12" s="12">
        <v>339</v>
      </c>
      <c r="F12" s="12">
        <v>4</v>
      </c>
      <c r="G12" s="12">
        <v>298</v>
      </c>
      <c r="H12" s="12">
        <v>3</v>
      </c>
      <c r="I12" s="12">
        <v>203</v>
      </c>
      <c r="J12" s="12"/>
      <c r="K12" s="12"/>
      <c r="L12" s="12">
        <v>9</v>
      </c>
      <c r="M12" s="12">
        <v>135</v>
      </c>
      <c r="N12" s="12">
        <v>1</v>
      </c>
      <c r="O12" s="12">
        <v>8</v>
      </c>
      <c r="P12" s="12"/>
      <c r="Q12" s="12"/>
      <c r="R12" s="12"/>
      <c r="S12" s="12"/>
      <c r="T12" s="12">
        <v>2</v>
      </c>
      <c r="U12" s="12">
        <v>912</v>
      </c>
      <c r="V12" s="12"/>
      <c r="W12" s="12"/>
      <c r="X12" s="12"/>
      <c r="Y12" s="12"/>
      <c r="Z12" s="12"/>
      <c r="AA12" s="12"/>
      <c r="AB12" s="12">
        <v>5</v>
      </c>
      <c r="AC12" s="12">
        <v>1522</v>
      </c>
      <c r="AD12" s="12">
        <v>3</v>
      </c>
      <c r="AE12" s="12">
        <v>1104</v>
      </c>
      <c r="AF12" s="12"/>
      <c r="AG12" s="12"/>
      <c r="AH12" s="12">
        <v>1</v>
      </c>
      <c r="AI12" s="12">
        <v>116</v>
      </c>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v>3</v>
      </c>
      <c r="BI12" s="12">
        <v>88</v>
      </c>
      <c r="BJ12" s="12">
        <v>1</v>
      </c>
      <c r="BK12" s="12">
        <v>20</v>
      </c>
      <c r="BL12" s="12">
        <v>1</v>
      </c>
      <c r="BM12" s="12">
        <v>21</v>
      </c>
      <c r="BN12" s="12"/>
      <c r="BO12" s="12"/>
      <c r="BP12" s="12">
        <v>3</v>
      </c>
      <c r="BQ12" s="12">
        <v>118</v>
      </c>
      <c r="BR12" s="12">
        <v>1</v>
      </c>
      <c r="BS12" s="12">
        <v>222</v>
      </c>
      <c r="BT12" s="12"/>
      <c r="BU12" s="12"/>
      <c r="BV12" s="12"/>
      <c r="BW12" s="12"/>
      <c r="BX12" s="12"/>
      <c r="BY12" s="12"/>
      <c r="BZ12" s="12"/>
      <c r="CA12" s="12"/>
      <c r="CB12" s="12"/>
      <c r="CC12" s="12"/>
      <c r="CD12" s="12">
        <v>2</v>
      </c>
      <c r="CE12" s="12">
        <v>20</v>
      </c>
      <c r="CF12" s="15">
        <f t="shared" si="0"/>
        <v>49</v>
      </c>
      <c r="CG12" s="15">
        <f t="shared" si="0"/>
        <v>5640</v>
      </c>
      <c r="DG12" s="89"/>
      <c r="DH12" s="89"/>
    </row>
    <row r="13" spans="1:142" ht="15">
      <c r="A13" s="37" t="s">
        <v>86</v>
      </c>
      <c r="B13" s="12">
        <v>24</v>
      </c>
      <c r="C13" s="12">
        <v>1901</v>
      </c>
      <c r="D13" s="12">
        <v>7</v>
      </c>
      <c r="E13" s="12">
        <v>938</v>
      </c>
      <c r="F13" s="12">
        <v>20</v>
      </c>
      <c r="G13" s="12">
        <v>2337</v>
      </c>
      <c r="H13" s="12">
        <v>5</v>
      </c>
      <c r="I13" s="12">
        <v>949</v>
      </c>
      <c r="J13" s="12"/>
      <c r="K13" s="12"/>
      <c r="L13" s="12">
        <v>1</v>
      </c>
      <c r="M13" s="12">
        <v>8</v>
      </c>
      <c r="N13" s="12">
        <v>1</v>
      </c>
      <c r="O13" s="12">
        <v>12</v>
      </c>
      <c r="P13" s="12">
        <v>1</v>
      </c>
      <c r="Q13" s="12">
        <v>400</v>
      </c>
      <c r="R13" s="12"/>
      <c r="S13" s="12"/>
      <c r="T13" s="12"/>
      <c r="U13" s="12"/>
      <c r="V13" s="12"/>
      <c r="W13" s="12"/>
      <c r="X13" s="12"/>
      <c r="Y13" s="12"/>
      <c r="Z13" s="12">
        <v>5</v>
      </c>
      <c r="AA13" s="12">
        <v>1111</v>
      </c>
      <c r="AB13" s="12">
        <v>13</v>
      </c>
      <c r="AC13" s="12">
        <v>5280</v>
      </c>
      <c r="AD13" s="12">
        <v>4</v>
      </c>
      <c r="AE13" s="12">
        <v>1364</v>
      </c>
      <c r="AF13" s="12"/>
      <c r="AG13" s="12"/>
      <c r="AH13" s="12">
        <v>5</v>
      </c>
      <c r="AI13" s="12">
        <v>4133</v>
      </c>
      <c r="AJ13" s="12"/>
      <c r="AK13" s="12"/>
      <c r="AL13" s="12"/>
      <c r="AM13" s="12"/>
      <c r="AN13" s="12">
        <v>2</v>
      </c>
      <c r="AO13" s="12">
        <v>450</v>
      </c>
      <c r="AP13" s="12">
        <v>4</v>
      </c>
      <c r="AQ13" s="12">
        <v>761</v>
      </c>
      <c r="AR13" s="12"/>
      <c r="AS13" s="12"/>
      <c r="AT13" s="12">
        <v>3</v>
      </c>
      <c r="AU13" s="12">
        <v>1104</v>
      </c>
      <c r="AV13" s="12"/>
      <c r="AW13" s="12"/>
      <c r="AX13" s="12">
        <v>1</v>
      </c>
      <c r="AY13" s="12">
        <v>804</v>
      </c>
      <c r="AZ13" s="12"/>
      <c r="BA13" s="12"/>
      <c r="BB13" s="12">
        <v>1</v>
      </c>
      <c r="BC13" s="12">
        <v>84</v>
      </c>
      <c r="BD13" s="12">
        <v>2</v>
      </c>
      <c r="BE13" s="12">
        <v>296</v>
      </c>
      <c r="BF13" s="12">
        <v>1</v>
      </c>
      <c r="BG13" s="12">
        <v>19</v>
      </c>
      <c r="BH13" s="12"/>
      <c r="BI13" s="12"/>
      <c r="BJ13" s="12">
        <v>3</v>
      </c>
      <c r="BK13" s="12">
        <v>44</v>
      </c>
      <c r="BL13" s="12"/>
      <c r="BM13" s="12"/>
      <c r="BN13" s="12">
        <v>1</v>
      </c>
      <c r="BO13" s="12">
        <v>16</v>
      </c>
      <c r="BP13" s="12">
        <v>1</v>
      </c>
      <c r="BQ13" s="12">
        <v>13</v>
      </c>
      <c r="BR13" s="12"/>
      <c r="BS13" s="12"/>
      <c r="BT13" s="12"/>
      <c r="BU13" s="12"/>
      <c r="BV13" s="12">
        <v>1</v>
      </c>
      <c r="BW13" s="12">
        <v>40</v>
      </c>
      <c r="BX13" s="12"/>
      <c r="BY13" s="12"/>
      <c r="BZ13" s="12">
        <v>1</v>
      </c>
      <c r="CA13" s="12">
        <v>56</v>
      </c>
      <c r="CB13" s="12">
        <v>1</v>
      </c>
      <c r="CC13" s="12">
        <v>56</v>
      </c>
      <c r="CD13" s="12"/>
      <c r="CE13" s="12"/>
      <c r="CF13" s="15">
        <f t="shared" si="0"/>
        <v>108</v>
      </c>
      <c r="CG13" s="15">
        <f t="shared" si="0"/>
        <v>22176</v>
      </c>
      <c r="DG13" s="89"/>
      <c r="DH13" s="89"/>
    </row>
    <row r="14" spans="1:142" ht="15">
      <c r="A14" s="37" t="s">
        <v>87</v>
      </c>
      <c r="B14" s="12">
        <v>36</v>
      </c>
      <c r="C14" s="12">
        <v>1977</v>
      </c>
      <c r="D14" s="12">
        <v>16</v>
      </c>
      <c r="E14" s="12">
        <v>1852</v>
      </c>
      <c r="F14" s="12">
        <v>8</v>
      </c>
      <c r="G14" s="12">
        <v>1214</v>
      </c>
      <c r="H14" s="12">
        <v>1</v>
      </c>
      <c r="I14" s="12">
        <v>138</v>
      </c>
      <c r="J14" s="12"/>
      <c r="K14" s="12"/>
      <c r="L14" s="12">
        <v>14</v>
      </c>
      <c r="M14" s="12">
        <v>253</v>
      </c>
      <c r="N14" s="12">
        <v>1</v>
      </c>
      <c r="O14" s="12">
        <v>18</v>
      </c>
      <c r="P14" s="12">
        <v>3</v>
      </c>
      <c r="Q14" s="12">
        <v>924</v>
      </c>
      <c r="R14" s="12">
        <v>2</v>
      </c>
      <c r="S14" s="12">
        <v>1719</v>
      </c>
      <c r="T14" s="12"/>
      <c r="U14" s="12"/>
      <c r="V14" s="12">
        <v>3</v>
      </c>
      <c r="W14" s="12">
        <v>89</v>
      </c>
      <c r="X14" s="12"/>
      <c r="Y14" s="12"/>
      <c r="Z14" s="12">
        <v>3</v>
      </c>
      <c r="AA14" s="12">
        <v>495</v>
      </c>
      <c r="AB14" s="12">
        <v>11</v>
      </c>
      <c r="AC14" s="12">
        <v>4832</v>
      </c>
      <c r="AD14" s="12">
        <v>12</v>
      </c>
      <c r="AE14" s="12">
        <v>4017</v>
      </c>
      <c r="AF14" s="12">
        <v>1</v>
      </c>
      <c r="AG14" s="12">
        <v>488</v>
      </c>
      <c r="AH14" s="12">
        <v>3</v>
      </c>
      <c r="AI14" s="12">
        <v>970</v>
      </c>
      <c r="AJ14" s="12"/>
      <c r="AK14" s="12"/>
      <c r="AL14" s="12"/>
      <c r="AM14" s="12"/>
      <c r="AN14" s="12">
        <v>1</v>
      </c>
      <c r="AO14" s="12">
        <v>48</v>
      </c>
      <c r="AP14" s="12">
        <v>3</v>
      </c>
      <c r="AQ14" s="12">
        <v>725</v>
      </c>
      <c r="AR14" s="12"/>
      <c r="AS14" s="12"/>
      <c r="AT14" s="12">
        <v>3</v>
      </c>
      <c r="AU14" s="12">
        <v>422</v>
      </c>
      <c r="AV14" s="12">
        <v>1</v>
      </c>
      <c r="AW14" s="12">
        <v>303</v>
      </c>
      <c r="AX14" s="12"/>
      <c r="AY14" s="12"/>
      <c r="AZ14" s="12"/>
      <c r="BA14" s="12"/>
      <c r="BB14" s="12"/>
      <c r="BC14" s="12"/>
      <c r="BD14" s="12">
        <v>1</v>
      </c>
      <c r="BE14" s="12">
        <v>284</v>
      </c>
      <c r="BF14" s="12"/>
      <c r="BG14" s="12"/>
      <c r="BH14" s="12">
        <v>1</v>
      </c>
      <c r="BI14" s="12">
        <v>29</v>
      </c>
      <c r="BJ14" s="12">
        <v>5</v>
      </c>
      <c r="BK14" s="12">
        <v>154</v>
      </c>
      <c r="BL14" s="12">
        <v>4</v>
      </c>
      <c r="BM14" s="12">
        <v>262</v>
      </c>
      <c r="BN14" s="12"/>
      <c r="BO14" s="12"/>
      <c r="BP14" s="12">
        <v>4</v>
      </c>
      <c r="BQ14" s="12">
        <v>149</v>
      </c>
      <c r="BR14" s="12">
        <v>7</v>
      </c>
      <c r="BS14" s="12">
        <v>283</v>
      </c>
      <c r="BT14" s="12"/>
      <c r="BU14" s="12"/>
      <c r="BV14" s="12"/>
      <c r="BW14" s="12"/>
      <c r="BX14" s="12"/>
      <c r="BY14" s="12"/>
      <c r="BZ14" s="12"/>
      <c r="CA14" s="12"/>
      <c r="CB14" s="12"/>
      <c r="CC14" s="12"/>
      <c r="CD14" s="12"/>
      <c r="CE14" s="12"/>
      <c r="CF14" s="15">
        <f t="shared" si="0"/>
        <v>144</v>
      </c>
      <c r="CG14" s="15">
        <f t="shared" si="0"/>
        <v>21645</v>
      </c>
      <c r="DG14" s="89"/>
      <c r="DH14" s="89"/>
    </row>
    <row r="15" spans="1:142" s="89" customFormat="1" ht="15">
      <c r="A15" s="73" t="s">
        <v>218</v>
      </c>
      <c r="B15" s="39">
        <f>SUM(B10:B14)</f>
        <v>120</v>
      </c>
      <c r="C15" s="39">
        <f t="shared" ref="C15:BP15" si="1">SUM(C10:C14)</f>
        <v>7790</v>
      </c>
      <c r="D15" s="39">
        <f t="shared" si="1"/>
        <v>49</v>
      </c>
      <c r="E15" s="39">
        <f t="shared" si="1"/>
        <v>5520</v>
      </c>
      <c r="F15" s="39">
        <f t="shared" si="1"/>
        <v>44</v>
      </c>
      <c r="G15" s="39">
        <f t="shared" si="1"/>
        <v>5723</v>
      </c>
      <c r="H15" s="39">
        <f t="shared" si="1"/>
        <v>12</v>
      </c>
      <c r="I15" s="39">
        <f t="shared" si="1"/>
        <v>1754</v>
      </c>
      <c r="J15" s="39">
        <f>SUM(J10:J14)</f>
        <v>1</v>
      </c>
      <c r="K15" s="39">
        <f>SUM(K10:K14)</f>
        <v>140</v>
      </c>
      <c r="L15" s="39">
        <f t="shared" si="1"/>
        <v>29</v>
      </c>
      <c r="M15" s="39">
        <f t="shared" si="1"/>
        <v>494</v>
      </c>
      <c r="N15" s="39">
        <f t="shared" si="1"/>
        <v>25</v>
      </c>
      <c r="O15" s="39">
        <f t="shared" si="1"/>
        <v>459</v>
      </c>
      <c r="P15" s="39">
        <f t="shared" si="1"/>
        <v>5</v>
      </c>
      <c r="Q15" s="39">
        <f t="shared" si="1"/>
        <v>1598</v>
      </c>
      <c r="R15" s="39">
        <f t="shared" si="1"/>
        <v>2</v>
      </c>
      <c r="S15" s="39">
        <f t="shared" si="1"/>
        <v>1719</v>
      </c>
      <c r="T15" s="39">
        <f t="shared" si="1"/>
        <v>2</v>
      </c>
      <c r="U15" s="39">
        <f t="shared" si="1"/>
        <v>912</v>
      </c>
      <c r="V15" s="39">
        <f t="shared" si="1"/>
        <v>3</v>
      </c>
      <c r="W15" s="39">
        <f t="shared" si="1"/>
        <v>89</v>
      </c>
      <c r="X15" s="39">
        <f t="shared" si="1"/>
        <v>6</v>
      </c>
      <c r="Y15" s="39">
        <f t="shared" si="1"/>
        <v>553</v>
      </c>
      <c r="Z15" s="39">
        <f t="shared" si="1"/>
        <v>15</v>
      </c>
      <c r="AA15" s="39">
        <f t="shared" si="1"/>
        <v>3264</v>
      </c>
      <c r="AB15" s="39">
        <f t="shared" si="1"/>
        <v>50</v>
      </c>
      <c r="AC15" s="39">
        <f t="shared" si="1"/>
        <v>17751</v>
      </c>
      <c r="AD15" s="39">
        <f t="shared" si="1"/>
        <v>30</v>
      </c>
      <c r="AE15" s="39">
        <f t="shared" si="1"/>
        <v>10378</v>
      </c>
      <c r="AF15" s="39">
        <f t="shared" si="1"/>
        <v>4</v>
      </c>
      <c r="AG15" s="39">
        <f t="shared" si="1"/>
        <v>1540</v>
      </c>
      <c r="AH15" s="39">
        <f t="shared" si="1"/>
        <v>12</v>
      </c>
      <c r="AI15" s="39">
        <f t="shared" si="1"/>
        <v>5586</v>
      </c>
      <c r="AJ15" s="39">
        <f t="shared" si="1"/>
        <v>3</v>
      </c>
      <c r="AK15" s="39">
        <f t="shared" si="1"/>
        <v>703</v>
      </c>
      <c r="AL15" s="39">
        <f t="shared" si="1"/>
        <v>1</v>
      </c>
      <c r="AM15" s="39">
        <f t="shared" si="1"/>
        <v>104</v>
      </c>
      <c r="AN15" s="39">
        <f t="shared" si="1"/>
        <v>5</v>
      </c>
      <c r="AO15" s="39">
        <f t="shared" si="1"/>
        <v>781</v>
      </c>
      <c r="AP15" s="39">
        <f t="shared" si="1"/>
        <v>9</v>
      </c>
      <c r="AQ15" s="39">
        <f t="shared" si="1"/>
        <v>2397</v>
      </c>
      <c r="AR15" s="39">
        <f t="shared" si="1"/>
        <v>1</v>
      </c>
      <c r="AS15" s="39">
        <f t="shared" si="1"/>
        <v>517</v>
      </c>
      <c r="AT15" s="39">
        <f t="shared" si="1"/>
        <v>9</v>
      </c>
      <c r="AU15" s="39">
        <f t="shared" si="1"/>
        <v>2060</v>
      </c>
      <c r="AV15" s="39">
        <f t="shared" si="1"/>
        <v>1</v>
      </c>
      <c r="AW15" s="39">
        <f t="shared" si="1"/>
        <v>303</v>
      </c>
      <c r="AX15" s="39">
        <f t="shared" si="1"/>
        <v>1</v>
      </c>
      <c r="AY15" s="39">
        <f t="shared" si="1"/>
        <v>804</v>
      </c>
      <c r="AZ15" s="39">
        <f t="shared" si="1"/>
        <v>4</v>
      </c>
      <c r="BA15" s="39">
        <f t="shared" si="1"/>
        <v>331</v>
      </c>
      <c r="BB15" s="39">
        <f t="shared" si="1"/>
        <v>6</v>
      </c>
      <c r="BC15" s="39">
        <f t="shared" si="1"/>
        <v>925</v>
      </c>
      <c r="BD15" s="39">
        <f t="shared" si="1"/>
        <v>4</v>
      </c>
      <c r="BE15" s="39">
        <f t="shared" si="1"/>
        <v>637</v>
      </c>
      <c r="BF15" s="39">
        <f t="shared" si="1"/>
        <v>2</v>
      </c>
      <c r="BG15" s="39">
        <f t="shared" si="1"/>
        <v>218</v>
      </c>
      <c r="BH15" s="39">
        <f t="shared" si="1"/>
        <v>7</v>
      </c>
      <c r="BI15" s="39">
        <f t="shared" si="1"/>
        <v>183</v>
      </c>
      <c r="BJ15" s="39">
        <f t="shared" si="1"/>
        <v>13</v>
      </c>
      <c r="BK15" s="39">
        <f t="shared" si="1"/>
        <v>395</v>
      </c>
      <c r="BL15" s="39">
        <f t="shared" si="1"/>
        <v>9</v>
      </c>
      <c r="BM15" s="39">
        <f t="shared" si="1"/>
        <v>668</v>
      </c>
      <c r="BN15" s="39">
        <f t="shared" si="1"/>
        <v>1</v>
      </c>
      <c r="BO15" s="39">
        <f t="shared" si="1"/>
        <v>16</v>
      </c>
      <c r="BP15" s="39">
        <f t="shared" si="1"/>
        <v>34</v>
      </c>
      <c r="BQ15" s="39">
        <f t="shared" ref="BQ15:CE15" si="2">SUM(BQ10:BQ14)</f>
        <v>1745</v>
      </c>
      <c r="BR15" s="39">
        <f t="shared" si="2"/>
        <v>23</v>
      </c>
      <c r="BS15" s="39">
        <f t="shared" si="2"/>
        <v>1646</v>
      </c>
      <c r="BT15" s="39">
        <f t="shared" si="2"/>
        <v>1</v>
      </c>
      <c r="BU15" s="39">
        <f t="shared" si="2"/>
        <v>57</v>
      </c>
      <c r="BV15" s="39">
        <f t="shared" si="2"/>
        <v>1</v>
      </c>
      <c r="BW15" s="39">
        <f t="shared" si="2"/>
        <v>40</v>
      </c>
      <c r="BX15" s="39">
        <f t="shared" si="2"/>
        <v>1</v>
      </c>
      <c r="BY15" s="39">
        <f t="shared" si="2"/>
        <v>193</v>
      </c>
      <c r="BZ15" s="39">
        <f t="shared" si="2"/>
        <v>1</v>
      </c>
      <c r="CA15" s="39">
        <f t="shared" si="2"/>
        <v>56</v>
      </c>
      <c r="CB15" s="39">
        <f t="shared" si="2"/>
        <v>1</v>
      </c>
      <c r="CC15" s="39">
        <f t="shared" si="2"/>
        <v>56</v>
      </c>
      <c r="CD15" s="39">
        <f t="shared" si="2"/>
        <v>3</v>
      </c>
      <c r="CE15" s="39">
        <f t="shared" si="2"/>
        <v>30</v>
      </c>
      <c r="CF15" s="39">
        <f t="shared" si="0"/>
        <v>550</v>
      </c>
      <c r="CG15" s="39">
        <f t="shared" si="0"/>
        <v>80135</v>
      </c>
    </row>
    <row r="16" spans="1:142">
      <c r="A16" s="62" t="s">
        <v>134</v>
      </c>
    </row>
    <row r="17" spans="1:3">
      <c r="A17" s="63" t="s">
        <v>135</v>
      </c>
    </row>
    <row r="18" spans="1:3">
      <c r="A18" s="63" t="s">
        <v>136</v>
      </c>
      <c r="C18" s="90"/>
    </row>
    <row r="21" spans="1:3">
      <c r="A21" s="92"/>
    </row>
    <row r="22" spans="1:3">
      <c r="A22" s="92"/>
      <c r="B22" s="92"/>
    </row>
    <row r="23" spans="1:3">
      <c r="A23" s="92"/>
      <c r="B23" s="92"/>
    </row>
    <row r="24" spans="1:3">
      <c r="A24" s="92"/>
      <c r="B24" s="92"/>
    </row>
    <row r="25" spans="1:3">
      <c r="A25" s="92"/>
      <c r="B25" s="92"/>
    </row>
    <row r="26" spans="1:3">
      <c r="A26" s="92"/>
      <c r="B26" s="92"/>
    </row>
    <row r="27" spans="1:3">
      <c r="A27" s="92"/>
      <c r="B27" s="92"/>
    </row>
    <row r="28" spans="1:3">
      <c r="A28" s="92"/>
      <c r="B28" s="92"/>
    </row>
    <row r="29" spans="1:3">
      <c r="A29" s="92"/>
      <c r="B29" s="92"/>
    </row>
    <row r="30" spans="1:3">
      <c r="A30" s="92"/>
      <c r="B30" s="92"/>
    </row>
    <row r="31" spans="1:3">
      <c r="A31" s="92"/>
      <c r="B31" s="92"/>
    </row>
    <row r="32" spans="1:3">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43">
    <mergeCell ref="BX7:BY7"/>
    <mergeCell ref="CB7:CC7"/>
    <mergeCell ref="CD7:CE7"/>
    <mergeCell ref="CF7:CG7"/>
    <mergeCell ref="AR7:AS7"/>
    <mergeCell ref="AV7:AW7"/>
    <mergeCell ref="AX7:AY7"/>
    <mergeCell ref="BZ7:CA7"/>
    <mergeCell ref="BL7:BM7"/>
    <mergeCell ref="BN7:BO7"/>
    <mergeCell ref="BP7:BQ7"/>
    <mergeCell ref="BR7:BS7"/>
    <mergeCell ref="BT7:BU7"/>
    <mergeCell ref="BV7:BW7"/>
    <mergeCell ref="AZ7:BA7"/>
    <mergeCell ref="BB7:BC7"/>
    <mergeCell ref="BD7:BE7"/>
    <mergeCell ref="BF7:BG7"/>
    <mergeCell ref="BH7:BI7"/>
    <mergeCell ref="BJ7:BK7"/>
    <mergeCell ref="AP7:AQ7"/>
    <mergeCell ref="AT7:AU7"/>
    <mergeCell ref="AN7:AO7"/>
    <mergeCell ref="L7:M7"/>
    <mergeCell ref="J7:K7"/>
    <mergeCell ref="N7:O7"/>
    <mergeCell ref="P7:Q7"/>
    <mergeCell ref="R7:S7"/>
    <mergeCell ref="AJ7:AK7"/>
    <mergeCell ref="T7:U7"/>
    <mergeCell ref="V7:W7"/>
    <mergeCell ref="X7:Y7"/>
    <mergeCell ref="AL7:AM7"/>
    <mergeCell ref="Z7:AA7"/>
    <mergeCell ref="AB7:AC7"/>
    <mergeCell ref="AD7:AE7"/>
    <mergeCell ref="AF7:AG7"/>
    <mergeCell ref="AH7:AI7"/>
    <mergeCell ref="A7:A8"/>
    <mergeCell ref="B7:C7"/>
    <mergeCell ref="D7:E7"/>
    <mergeCell ref="F7:G7"/>
    <mergeCell ref="H7:I7"/>
  </mergeCells>
  <conditionalFormatting sqref="A10:CE14 CF10:CG15">
    <cfRule type="expression" dxfId="13" priority="8" stopIfTrue="1">
      <formula>MOD(ROW(),2)=0</formula>
    </cfRule>
  </conditionalFormatting>
  <conditionalFormatting sqref="A1:CG1048576 CH1:IV6 DJ7:IV15 CH16:IV65536">
    <cfRule type="expression" priority="11">
      <formula>SI(0," ")</formula>
    </cfRule>
  </conditionalFormatting>
  <conditionalFormatting sqref="N3">
    <cfRule type="expression" priority="10">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1" manualBreakCount="1">
    <brk id="73"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55"/>
  <sheetViews>
    <sheetView showGridLines="0" zoomScaleNormal="100" workbookViewId="0"/>
  </sheetViews>
  <sheetFormatPr baseColWidth="10" defaultColWidth="9.140625" defaultRowHeight="12.75"/>
  <cols>
    <col min="1" max="1" width="9.140625" style="76"/>
    <col min="2" max="2" width="20" style="76" customWidth="1"/>
    <col min="3" max="3" width="17" style="77" bestFit="1" customWidth="1"/>
    <col min="4" max="4" width="15.28515625" style="77" bestFit="1" customWidth="1"/>
    <col min="5" max="5" width="14.140625"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202</v>
      </c>
    </row>
    <row r="4" spans="1:14" s="78" customFormat="1" ht="16.5">
      <c r="A4" s="79" t="s">
        <v>203</v>
      </c>
      <c r="B4" s="80"/>
      <c r="H4" s="80"/>
      <c r="I4" s="80"/>
      <c r="L4" s="81"/>
    </row>
    <row r="5" spans="1:14" s="78" customFormat="1" ht="16.5">
      <c r="A5" s="79" t="s">
        <v>204</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129</v>
      </c>
      <c r="D11" s="83">
        <v>2846</v>
      </c>
      <c r="E11" s="83">
        <v>8678</v>
      </c>
      <c r="F11" s="85">
        <f>E11/E17</f>
        <v>0.41061796157849911</v>
      </c>
      <c r="G11" s="82"/>
      <c r="H11" s="139" t="s">
        <v>16</v>
      </c>
      <c r="I11" s="139"/>
      <c r="J11" s="83">
        <v>1</v>
      </c>
      <c r="K11" s="83">
        <v>54</v>
      </c>
      <c r="L11" s="83">
        <v>104</v>
      </c>
      <c r="M11" s="85">
        <f>L11/L$19</f>
        <v>1.5200233849751535E-2</v>
      </c>
      <c r="N11" s="82"/>
    </row>
    <row r="12" spans="1:14" ht="15">
      <c r="A12" s="139" t="s">
        <v>17</v>
      </c>
      <c r="B12" s="139"/>
      <c r="C12" s="83">
        <v>56</v>
      </c>
      <c r="D12" s="83">
        <v>2370</v>
      </c>
      <c r="E12" s="83">
        <v>6423</v>
      </c>
      <c r="F12" s="85">
        <f>E12/E17</f>
        <v>0.30391785748083655</v>
      </c>
      <c r="G12" s="82"/>
      <c r="H12" s="139" t="s">
        <v>18</v>
      </c>
      <c r="I12" s="139"/>
      <c r="J12" s="83">
        <v>3</v>
      </c>
      <c r="K12" s="83">
        <v>307</v>
      </c>
      <c r="L12" s="83">
        <v>663</v>
      </c>
      <c r="M12" s="85">
        <f>L12/L$19</f>
        <v>9.6901490792166034E-2</v>
      </c>
      <c r="N12" s="82"/>
    </row>
    <row r="13" spans="1:14" ht="15">
      <c r="A13" s="139" t="s">
        <v>19</v>
      </c>
      <c r="B13" s="139"/>
      <c r="C13" s="83">
        <v>38</v>
      </c>
      <c r="D13" s="83">
        <v>1724</v>
      </c>
      <c r="E13" s="83">
        <v>5143</v>
      </c>
      <c r="F13" s="85">
        <f>E13/E17</f>
        <v>0.24335194473360461</v>
      </c>
      <c r="G13" s="82"/>
      <c r="H13" s="139" t="s">
        <v>20</v>
      </c>
      <c r="I13" s="139"/>
      <c r="J13" s="83">
        <v>12</v>
      </c>
      <c r="K13" s="83">
        <v>1591</v>
      </c>
      <c r="L13" s="83">
        <v>3407</v>
      </c>
      <c r="M13" s="85">
        <f>L13/L$19</f>
        <v>0.4979538146740719</v>
      </c>
      <c r="N13" s="82"/>
    </row>
    <row r="14" spans="1:14" ht="15">
      <c r="A14" s="139" t="s">
        <v>197</v>
      </c>
      <c r="B14" s="139"/>
      <c r="C14" s="83"/>
      <c r="D14" s="83"/>
      <c r="E14" s="83"/>
      <c r="F14" s="85"/>
      <c r="G14" s="82"/>
      <c r="H14" s="139" t="s">
        <v>145</v>
      </c>
      <c r="I14" s="139"/>
      <c r="J14" s="83"/>
      <c r="K14" s="83"/>
      <c r="L14" s="83"/>
      <c r="M14" s="85"/>
      <c r="N14" s="82"/>
    </row>
    <row r="15" spans="1:14" ht="15">
      <c r="A15" s="139" t="s">
        <v>21</v>
      </c>
      <c r="B15" s="139"/>
      <c r="C15" s="83">
        <v>5</v>
      </c>
      <c r="D15" s="83">
        <v>309</v>
      </c>
      <c r="E15" s="83">
        <v>890</v>
      </c>
      <c r="F15" s="85">
        <f>E15/E17</f>
        <v>4.2112236207059714E-2</v>
      </c>
      <c r="G15" s="82"/>
      <c r="H15" s="139" t="s">
        <v>22</v>
      </c>
      <c r="I15" s="139"/>
      <c r="J15" s="83">
        <v>9</v>
      </c>
      <c r="K15" s="83">
        <v>1247</v>
      </c>
      <c r="L15" s="83">
        <v>2668</v>
      </c>
      <c r="M15" s="85">
        <f>L15/L$19</f>
        <v>0.38994446068401051</v>
      </c>
      <c r="N15" s="82"/>
    </row>
    <row r="16" spans="1:14" ht="15">
      <c r="A16" s="84"/>
      <c r="B16" s="84"/>
      <c r="C16" s="83"/>
      <c r="D16" s="83"/>
      <c r="E16" s="83"/>
      <c r="F16" s="85"/>
      <c r="G16" s="82"/>
      <c r="H16" s="139" t="s">
        <v>146</v>
      </c>
      <c r="I16" s="139"/>
      <c r="M16" s="85"/>
      <c r="N16" s="82"/>
    </row>
    <row r="17" spans="1:14" ht="15">
      <c r="A17" s="140" t="s">
        <v>23</v>
      </c>
      <c r="B17" s="140"/>
      <c r="C17" s="93">
        <f>C11+C12+C13+C15</f>
        <v>228</v>
      </c>
      <c r="D17" s="93">
        <f>D11+D12+D13+D15</f>
        <v>7249</v>
      </c>
      <c r="E17" s="93">
        <f>E11+E12+E13+E15</f>
        <v>21134</v>
      </c>
      <c r="F17" s="94">
        <f>F11+F12+F13+F15</f>
        <v>0.99999999999999989</v>
      </c>
      <c r="G17" s="82"/>
      <c r="H17" s="139" t="s">
        <v>24</v>
      </c>
      <c r="I17" s="139"/>
      <c r="M17" s="85"/>
      <c r="N17" s="82"/>
    </row>
    <row r="18" spans="1:14" ht="15">
      <c r="A18" s="139"/>
      <c r="B18" s="139"/>
      <c r="F18" s="85"/>
      <c r="G18" s="82"/>
      <c r="H18" s="139" t="s">
        <v>147</v>
      </c>
      <c r="I18" s="139"/>
      <c r="J18" s="83"/>
      <c r="K18" s="83"/>
      <c r="L18" s="83"/>
      <c r="M18" s="85"/>
      <c r="N18" s="82"/>
    </row>
    <row r="19" spans="1:14" ht="15">
      <c r="A19" s="140" t="s">
        <v>26</v>
      </c>
      <c r="B19" s="140"/>
      <c r="C19" s="93">
        <v>7</v>
      </c>
      <c r="D19" s="93">
        <v>79</v>
      </c>
      <c r="E19" s="93">
        <v>154</v>
      </c>
      <c r="F19" s="94">
        <v>1</v>
      </c>
      <c r="G19" s="82"/>
      <c r="H19" s="140" t="s">
        <v>25</v>
      </c>
      <c r="I19" s="140"/>
      <c r="J19" s="93">
        <f>J11+J12+J13+J14+J15+J16+J17+J18</f>
        <v>25</v>
      </c>
      <c r="K19" s="93">
        <f>K11+K12+K13+K14+K15+K16+K17+K18</f>
        <v>3199</v>
      </c>
      <c r="L19" s="93">
        <f>L11+L12+L13+L14+L15+L16+L17+L18</f>
        <v>6842</v>
      </c>
      <c r="M19" s="94">
        <f>M11+M12+M13+M14+M15+M16+M17+M18</f>
        <v>1</v>
      </c>
      <c r="N19" s="82"/>
    </row>
    <row r="20" spans="1:14" ht="15">
      <c r="A20" s="140" t="s">
        <v>27</v>
      </c>
      <c r="B20" s="140"/>
      <c r="C20" s="93">
        <v>29</v>
      </c>
      <c r="D20" s="93">
        <v>238</v>
      </c>
      <c r="E20" s="93">
        <v>486</v>
      </c>
      <c r="F20" s="94">
        <v>1</v>
      </c>
      <c r="G20" s="82"/>
      <c r="H20" s="83"/>
      <c r="I20" s="83"/>
      <c r="J20" s="83"/>
      <c r="K20" s="83"/>
      <c r="L20" s="83"/>
      <c r="M20" s="83"/>
      <c r="N20" s="82"/>
    </row>
    <row r="21" spans="1:14" ht="15">
      <c r="A21" s="140" t="s">
        <v>29</v>
      </c>
      <c r="B21" s="140"/>
      <c r="C21" s="93">
        <v>3</v>
      </c>
      <c r="D21" s="93">
        <v>16</v>
      </c>
      <c r="E21" s="93">
        <v>30</v>
      </c>
      <c r="F21" s="94">
        <v>1</v>
      </c>
      <c r="G21" s="82"/>
      <c r="H21" s="139" t="s">
        <v>28</v>
      </c>
      <c r="I21" s="139"/>
      <c r="J21" s="83">
        <v>2</v>
      </c>
      <c r="K21" s="83">
        <v>50</v>
      </c>
      <c r="L21" s="83">
        <v>100</v>
      </c>
      <c r="M21" s="85">
        <f>L21/L$25</f>
        <v>0.29411764705882354</v>
      </c>
      <c r="N21" s="82"/>
    </row>
    <row r="22" spans="1:14" ht="15">
      <c r="A22" s="140" t="s">
        <v>94</v>
      </c>
      <c r="B22" s="140"/>
      <c r="C22" s="93">
        <v>5</v>
      </c>
      <c r="D22" s="93"/>
      <c r="E22" s="93">
        <v>1598</v>
      </c>
      <c r="F22" s="94">
        <v>1</v>
      </c>
      <c r="G22" s="82"/>
      <c r="H22" s="139" t="s">
        <v>30</v>
      </c>
      <c r="I22" s="139"/>
      <c r="J22" s="83">
        <v>1</v>
      </c>
      <c r="K22" s="83">
        <v>92</v>
      </c>
      <c r="L22" s="83">
        <v>184</v>
      </c>
      <c r="M22" s="85">
        <f>L22/L$25</f>
        <v>0.54117647058823526</v>
      </c>
      <c r="N22" s="82"/>
    </row>
    <row r="23" spans="1:14" ht="15">
      <c r="A23" s="139"/>
      <c r="B23" s="139"/>
      <c r="C23" s="83"/>
      <c r="D23" s="83"/>
      <c r="E23" s="83"/>
      <c r="F23" s="85"/>
      <c r="G23" s="82"/>
      <c r="H23" s="139" t="s">
        <v>31</v>
      </c>
      <c r="I23" s="139"/>
      <c r="J23" s="83"/>
      <c r="K23" s="83"/>
      <c r="L23" s="83"/>
      <c r="M23" s="85"/>
      <c r="N23" s="82"/>
    </row>
    <row r="24" spans="1:14" ht="15">
      <c r="A24" s="139" t="s">
        <v>42</v>
      </c>
      <c r="B24" s="139"/>
      <c r="F24" s="85"/>
      <c r="G24" s="82"/>
      <c r="H24" s="139" t="s">
        <v>33</v>
      </c>
      <c r="I24" s="139"/>
      <c r="J24" s="83">
        <v>1</v>
      </c>
      <c r="K24" s="83">
        <v>28</v>
      </c>
      <c r="L24" s="83">
        <v>56</v>
      </c>
      <c r="M24" s="85">
        <f>L24/L$25</f>
        <v>0.16470588235294117</v>
      </c>
      <c r="N24" s="82"/>
    </row>
    <row r="25" spans="1:14" ht="15">
      <c r="A25" s="139" t="s">
        <v>44</v>
      </c>
      <c r="B25" s="139"/>
      <c r="C25" s="83">
        <v>3</v>
      </c>
      <c r="D25" s="83">
        <v>792</v>
      </c>
      <c r="E25" s="83">
        <v>2041</v>
      </c>
      <c r="F25" s="85">
        <f>E25/E$27</f>
        <v>0.69116153064679986</v>
      </c>
      <c r="G25" s="82"/>
      <c r="H25" s="140" t="s">
        <v>37</v>
      </c>
      <c r="I25" s="140"/>
      <c r="J25" s="93">
        <f>J21+J22+J23+J24</f>
        <v>4</v>
      </c>
      <c r="K25" s="93">
        <f>K21+K22+K23+K24</f>
        <v>170</v>
      </c>
      <c r="L25" s="93">
        <f>L21+L22+L23+L24</f>
        <v>340</v>
      </c>
      <c r="M25" s="94">
        <f>M21+M22+M23+M24</f>
        <v>0.99999999999999989</v>
      </c>
      <c r="N25" s="82"/>
    </row>
    <row r="26" spans="1:14" ht="15">
      <c r="A26" s="139" t="s">
        <v>46</v>
      </c>
      <c r="B26" s="139"/>
      <c r="C26" s="83">
        <v>2</v>
      </c>
      <c r="D26" s="83">
        <v>418</v>
      </c>
      <c r="E26" s="83">
        <v>912</v>
      </c>
      <c r="F26" s="85">
        <f>E26/E$27</f>
        <v>0.30883846935320014</v>
      </c>
      <c r="G26" s="82"/>
      <c r="H26" s="141"/>
      <c r="I26" s="141"/>
      <c r="M26" s="83"/>
      <c r="N26" s="82"/>
    </row>
    <row r="27" spans="1:14" ht="15">
      <c r="A27" s="140" t="s">
        <v>47</v>
      </c>
      <c r="B27" s="140"/>
      <c r="C27" s="93">
        <f>C24+C25+C26</f>
        <v>5</v>
      </c>
      <c r="D27" s="93">
        <f>D24+D25+D26</f>
        <v>1210</v>
      </c>
      <c r="E27" s="93">
        <f>E24+E25+E26</f>
        <v>2953</v>
      </c>
      <c r="F27" s="94">
        <f>F24+F25+F26</f>
        <v>1</v>
      </c>
      <c r="G27" s="82"/>
      <c r="H27" s="139" t="s">
        <v>40</v>
      </c>
      <c r="I27" s="139"/>
      <c r="J27" s="83">
        <v>13</v>
      </c>
      <c r="K27" s="83">
        <v>209</v>
      </c>
      <c r="L27" s="83">
        <v>395</v>
      </c>
      <c r="M27" s="85">
        <f>L27/L$30</f>
        <v>0.3701968134957826</v>
      </c>
      <c r="N27" s="82"/>
    </row>
    <row r="28" spans="1:14" ht="15">
      <c r="A28" s="139"/>
      <c r="B28" s="139"/>
      <c r="F28" s="85"/>
      <c r="G28" s="82"/>
      <c r="H28" s="139" t="s">
        <v>41</v>
      </c>
      <c r="I28" s="139"/>
      <c r="J28" s="83">
        <v>9</v>
      </c>
      <c r="K28" s="83">
        <v>357</v>
      </c>
      <c r="L28" s="83">
        <v>656</v>
      </c>
      <c r="M28" s="85">
        <f>L28/L$30</f>
        <v>0.61480787253983127</v>
      </c>
      <c r="N28" s="82"/>
    </row>
    <row r="29" spans="1:14" ht="15">
      <c r="A29" s="139" t="s">
        <v>50</v>
      </c>
      <c r="B29" s="139"/>
      <c r="C29" s="83">
        <v>7</v>
      </c>
      <c r="D29" s="83">
        <v>322</v>
      </c>
      <c r="E29" s="83">
        <v>586</v>
      </c>
      <c r="F29" s="85">
        <f>E29/E$37</f>
        <v>1.5794296803406823E-2</v>
      </c>
      <c r="G29" s="82"/>
      <c r="H29" s="139" t="s">
        <v>43</v>
      </c>
      <c r="I29" s="139"/>
      <c r="J29" s="83">
        <v>1</v>
      </c>
      <c r="K29" s="83">
        <v>8</v>
      </c>
      <c r="L29" s="83">
        <v>16</v>
      </c>
      <c r="M29" s="85">
        <f>L29/L$30</f>
        <v>1.499531396438613E-2</v>
      </c>
      <c r="N29" s="82"/>
    </row>
    <row r="30" spans="1:14" ht="15">
      <c r="A30" s="139" t="s">
        <v>52</v>
      </c>
      <c r="B30" s="139"/>
      <c r="C30" s="83">
        <v>21</v>
      </c>
      <c r="D30" s="83">
        <v>3003</v>
      </c>
      <c r="E30" s="83">
        <v>5659</v>
      </c>
      <c r="F30" s="85">
        <f t="shared" ref="F30:F36" si="0">E30/E$37</f>
        <v>0.15252547032504987</v>
      </c>
      <c r="G30" s="82"/>
      <c r="H30" s="140" t="s">
        <v>45</v>
      </c>
      <c r="I30" s="140"/>
      <c r="J30" s="93">
        <f>J27+J28+J29</f>
        <v>23</v>
      </c>
      <c r="K30" s="93">
        <f>K27+K28+K29</f>
        <v>574</v>
      </c>
      <c r="L30" s="93">
        <f>L27+L28+L29</f>
        <v>1067</v>
      </c>
      <c r="M30" s="94">
        <f>M27+M28+M29</f>
        <v>1</v>
      </c>
      <c r="N30" s="82"/>
    </row>
    <row r="31" spans="1:14" ht="15">
      <c r="A31" s="139" t="s">
        <v>54</v>
      </c>
      <c r="B31" s="139"/>
      <c r="C31" s="83">
        <v>48</v>
      </c>
      <c r="D31" s="83">
        <v>9920</v>
      </c>
      <c r="E31" s="83">
        <v>18897</v>
      </c>
      <c r="F31" s="85">
        <f t="shared" si="0"/>
        <v>0.50932564282248938</v>
      </c>
      <c r="G31" s="82"/>
      <c r="H31" s="141"/>
      <c r="I31" s="141"/>
      <c r="M31" s="83"/>
      <c r="N31" s="82"/>
    </row>
    <row r="32" spans="1:14" ht="15">
      <c r="A32" s="139" t="s">
        <v>143</v>
      </c>
      <c r="B32" s="139"/>
      <c r="C32" s="83"/>
      <c r="D32" s="83"/>
      <c r="E32" s="83"/>
      <c r="F32" s="85"/>
      <c r="G32" s="82"/>
      <c r="H32" s="139" t="s">
        <v>48</v>
      </c>
      <c r="I32" s="139"/>
      <c r="J32" s="83">
        <v>36</v>
      </c>
      <c r="K32" s="83">
        <v>1009</v>
      </c>
      <c r="L32" s="83">
        <v>1849</v>
      </c>
      <c r="M32" s="85">
        <f>L32/L$35</f>
        <v>0.51147994467496538</v>
      </c>
      <c r="N32" s="82"/>
    </row>
    <row r="33" spans="1:14" ht="15">
      <c r="A33" s="139" t="s">
        <v>91</v>
      </c>
      <c r="B33" s="139"/>
      <c r="C33" s="83">
        <v>24</v>
      </c>
      <c r="D33" s="83">
        <v>4051</v>
      </c>
      <c r="E33" s="83">
        <v>7812</v>
      </c>
      <c r="F33" s="85">
        <f t="shared" si="0"/>
        <v>0.21055468707886368</v>
      </c>
      <c r="G33" s="82"/>
      <c r="H33" s="139" t="s">
        <v>49</v>
      </c>
      <c r="I33" s="139"/>
      <c r="J33" s="83">
        <v>24</v>
      </c>
      <c r="K33" s="83">
        <v>894</v>
      </c>
      <c r="L33" s="83">
        <v>1709</v>
      </c>
      <c r="M33" s="85">
        <f>L33/L$35</f>
        <v>0.47275242047026278</v>
      </c>
      <c r="N33" s="82"/>
    </row>
    <row r="34" spans="1:14" ht="15">
      <c r="A34" s="139" t="s">
        <v>144</v>
      </c>
      <c r="B34" s="139"/>
      <c r="C34" s="83">
        <v>1</v>
      </c>
      <c r="D34" s="83">
        <v>217</v>
      </c>
      <c r="E34" s="83">
        <v>413</v>
      </c>
      <c r="F34" s="85">
        <f t="shared" si="0"/>
        <v>1.1131475392162148E-2</v>
      </c>
      <c r="G34" s="82"/>
      <c r="H34" s="139" t="s">
        <v>51</v>
      </c>
      <c r="I34" s="139"/>
      <c r="J34" s="83">
        <v>1</v>
      </c>
      <c r="K34" s="83">
        <v>30</v>
      </c>
      <c r="L34" s="83">
        <v>57</v>
      </c>
      <c r="M34" s="85">
        <f>L34/L$35</f>
        <v>1.5767634854771784E-2</v>
      </c>
      <c r="N34" s="82"/>
    </row>
    <row r="35" spans="1:14" ht="15">
      <c r="A35" s="139" t="s">
        <v>57</v>
      </c>
      <c r="B35" s="139"/>
      <c r="C35" s="83">
        <v>7</v>
      </c>
      <c r="D35" s="83">
        <v>1696</v>
      </c>
      <c r="E35" s="83">
        <v>3354</v>
      </c>
      <c r="F35" s="85">
        <f t="shared" si="0"/>
        <v>9.039943938332165E-2</v>
      </c>
      <c r="G35" s="82"/>
      <c r="H35" s="140" t="s">
        <v>53</v>
      </c>
      <c r="I35" s="140"/>
      <c r="J35" s="93">
        <f>J32+J33+J34</f>
        <v>61</v>
      </c>
      <c r="K35" s="93">
        <f>K32+K33+K34</f>
        <v>1933</v>
      </c>
      <c r="L35" s="93">
        <f>L32+L33+L34</f>
        <v>3615</v>
      </c>
      <c r="M35" s="94">
        <f>M32+M33+M34</f>
        <v>1</v>
      </c>
      <c r="N35" s="82"/>
    </row>
    <row r="36" spans="1:14" ht="15">
      <c r="A36" s="139" t="s">
        <v>59</v>
      </c>
      <c r="B36" s="139"/>
      <c r="C36" s="83">
        <v>2</v>
      </c>
      <c r="D36" s="83">
        <v>195</v>
      </c>
      <c r="E36" s="83">
        <v>381</v>
      </c>
      <c r="F36" s="85">
        <f t="shared" si="0"/>
        <v>1.0268988194706485E-2</v>
      </c>
      <c r="G36" s="82"/>
      <c r="H36" s="142"/>
      <c r="I36" s="142"/>
      <c r="J36" s="83"/>
      <c r="K36" s="83"/>
      <c r="L36" s="83"/>
      <c r="M36" s="83"/>
      <c r="N36" s="82"/>
    </row>
    <row r="37" spans="1:14" ht="15">
      <c r="A37" s="140" t="s">
        <v>61</v>
      </c>
      <c r="B37" s="140"/>
      <c r="C37" s="93">
        <f>C29+C30+C31+C32+C33+C34+C35+C36</f>
        <v>110</v>
      </c>
      <c r="D37" s="93">
        <f>D29+D30+D31+D32+D33+D34+D35+D36</f>
        <v>19404</v>
      </c>
      <c r="E37" s="93">
        <f>E29+E30+E31+E32+E33+E34+E35+E36</f>
        <v>37102</v>
      </c>
      <c r="F37" s="94">
        <f>F29+F30+F31+F32+F33+F34+F35+F36</f>
        <v>1.0000000000000002</v>
      </c>
      <c r="G37" s="82"/>
      <c r="H37" s="140" t="s">
        <v>56</v>
      </c>
      <c r="I37" s="140"/>
      <c r="J37" s="93">
        <v>25</v>
      </c>
      <c r="K37" s="93">
        <v>255</v>
      </c>
      <c r="L37" s="93">
        <v>459</v>
      </c>
      <c r="M37" s="94">
        <v>1</v>
      </c>
      <c r="N37" s="82"/>
    </row>
    <row r="38" spans="1:14" ht="15">
      <c r="A38" s="141"/>
      <c r="B38" s="141"/>
      <c r="C38" s="83"/>
      <c r="D38" s="83"/>
      <c r="E38" s="83"/>
      <c r="F38" s="85"/>
      <c r="G38" s="82"/>
      <c r="H38" s="140" t="s">
        <v>58</v>
      </c>
      <c r="I38" s="140"/>
      <c r="J38" s="93">
        <v>3</v>
      </c>
      <c r="K38" s="93">
        <v>49</v>
      </c>
      <c r="L38" s="93">
        <v>89</v>
      </c>
      <c r="M38" s="94">
        <v>1</v>
      </c>
      <c r="N38" s="82"/>
    </row>
    <row r="39" spans="1:14" ht="15">
      <c r="A39" s="139" t="s">
        <v>62</v>
      </c>
      <c r="B39" s="139"/>
      <c r="C39" s="83">
        <v>6</v>
      </c>
      <c r="D39" s="83">
        <v>259</v>
      </c>
      <c r="E39" s="83">
        <v>472</v>
      </c>
      <c r="F39" s="85">
        <f>E39/E$44</f>
        <v>0.21033868092691621</v>
      </c>
      <c r="G39" s="82"/>
      <c r="H39" s="140" t="s">
        <v>60</v>
      </c>
      <c r="I39" s="140"/>
      <c r="J39" s="93"/>
      <c r="K39" s="93"/>
      <c r="L39" s="93"/>
      <c r="M39" s="94"/>
      <c r="N39" s="82"/>
    </row>
    <row r="40" spans="1:14" ht="15">
      <c r="A40" s="139" t="s">
        <v>63</v>
      </c>
      <c r="B40" s="139"/>
      <c r="C40" s="83">
        <v>7</v>
      </c>
      <c r="D40" s="83">
        <v>521</v>
      </c>
      <c r="E40" s="83">
        <v>974</v>
      </c>
      <c r="F40" s="85">
        <f>E40/E$44</f>
        <v>0.43404634581105167</v>
      </c>
      <c r="G40" s="82"/>
      <c r="H40" s="140" t="s">
        <v>226</v>
      </c>
      <c r="I40" s="140"/>
      <c r="J40" s="93"/>
      <c r="K40" s="93"/>
      <c r="L40" s="93"/>
      <c r="M40" s="94"/>
      <c r="N40" s="82"/>
    </row>
    <row r="41" spans="1:14" ht="15">
      <c r="A41" s="139" t="s">
        <v>64</v>
      </c>
      <c r="B41" s="139"/>
      <c r="C41" s="83">
        <v>3</v>
      </c>
      <c r="D41" s="83">
        <v>319</v>
      </c>
      <c r="E41" s="83">
        <v>580</v>
      </c>
      <c r="F41" s="85">
        <f>E41/E$44</f>
        <v>0.25846702317290554</v>
      </c>
      <c r="G41" s="82"/>
      <c r="H41" s="84"/>
      <c r="I41" s="84"/>
      <c r="N41" s="82"/>
    </row>
    <row r="42" spans="1:14" ht="15">
      <c r="A42" s="139" t="s">
        <v>93</v>
      </c>
      <c r="B42" s="139"/>
      <c r="C42" s="83">
        <v>2</v>
      </c>
      <c r="D42" s="83">
        <v>126</v>
      </c>
      <c r="E42" s="83">
        <v>218</v>
      </c>
      <c r="F42" s="85">
        <f>E42/E$44</f>
        <v>9.7147950089126564E-2</v>
      </c>
      <c r="G42" s="82"/>
      <c r="H42" s="140" t="s">
        <v>65</v>
      </c>
      <c r="I42" s="140"/>
      <c r="J42" s="93">
        <f>C17+C19+C20+C21+C22+C27+C37+C44+J19+J25+J30+J35+J37+J38</f>
        <v>546</v>
      </c>
      <c r="K42" s="93">
        <f>D17+D19+D20+D21+D22+D27+D37+D44+K19+K25+K30+K35+K37+K38</f>
        <v>35601</v>
      </c>
      <c r="L42" s="93">
        <f>E17+E19+E20+E21+E22+E27+E37+E44+L19+L25+L30+L35+L37+L38</f>
        <v>78113</v>
      </c>
      <c r="M42" s="82"/>
      <c r="N42" s="82"/>
    </row>
    <row r="43" spans="1:14" ht="15">
      <c r="A43" s="139" t="s">
        <v>67</v>
      </c>
      <c r="B43" s="139"/>
      <c r="F43" s="85"/>
      <c r="G43" s="82"/>
      <c r="L43" s="100"/>
      <c r="N43" s="82"/>
    </row>
    <row r="44" spans="1:14" ht="15">
      <c r="A44" s="140" t="s">
        <v>68</v>
      </c>
      <c r="B44" s="140"/>
      <c r="C44" s="93">
        <f>C39+C40+C41+C42+C43</f>
        <v>18</v>
      </c>
      <c r="D44" s="93">
        <f>D39+D40+D41+D42+D43</f>
        <v>1225</v>
      </c>
      <c r="E44" s="93">
        <f>E39+E40+E41+E42+E43</f>
        <v>2244</v>
      </c>
      <c r="F44" s="94">
        <f>F39+F40+F41+F42+F43</f>
        <v>1</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row>
    <row r="54" spans="1:14">
      <c r="A54" s="77"/>
      <c r="B54" s="77"/>
    </row>
    <row r="55" spans="1:14">
      <c r="A55" s="77"/>
      <c r="B55" s="77"/>
    </row>
  </sheetData>
  <sheetProtection algorithmName="SHA-512" hashValue="CIAPt0n4KuemVhTNEieGJLoqh182uMDIcLBwD8sARRX2VHqvkQ3wlN5ofm+0nSrMGLlsiwX9wclOGVtxDM0keg==" saltValue="y3i7lUZIenZh09ryHXbs2Q==" spinCount="100000" sheet="1"/>
  <mergeCells count="77">
    <mergeCell ref="A11:B11"/>
    <mergeCell ref="A12:B12"/>
    <mergeCell ref="A13:B13"/>
    <mergeCell ref="H10:I10"/>
    <mergeCell ref="H11:I11"/>
    <mergeCell ref="H12:I12"/>
    <mergeCell ref="H13:I13"/>
    <mergeCell ref="A8:B8"/>
    <mergeCell ref="H8:I8"/>
    <mergeCell ref="A9:B9"/>
    <mergeCell ref="H9:I9"/>
    <mergeCell ref="A10:B10"/>
    <mergeCell ref="A28:B28"/>
    <mergeCell ref="H34:I34"/>
    <mergeCell ref="A14:B14"/>
    <mergeCell ref="H24:I24"/>
    <mergeCell ref="A15:B15"/>
    <mergeCell ref="A17:B17"/>
    <mergeCell ref="H15:I15"/>
    <mergeCell ref="H16:I16"/>
    <mergeCell ref="H17:I17"/>
    <mergeCell ref="A22:B22"/>
    <mergeCell ref="H23:I23"/>
    <mergeCell ref="A18:B18"/>
    <mergeCell ref="H18:I18"/>
    <mergeCell ref="H14:I14"/>
    <mergeCell ref="H21:I21"/>
    <mergeCell ref="H22:I22"/>
    <mergeCell ref="H26:I26"/>
    <mergeCell ref="A19:B19"/>
    <mergeCell ref="H27:I27"/>
    <mergeCell ref="A20:B20"/>
    <mergeCell ref="A25:B25"/>
    <mergeCell ref="A21:B21"/>
    <mergeCell ref="H25:I25"/>
    <mergeCell ref="A23:B23"/>
    <mergeCell ref="A24:B24"/>
    <mergeCell ref="A26:B26"/>
    <mergeCell ref="A27:B27"/>
    <mergeCell ref="H19:I19"/>
    <mergeCell ref="A36:B36"/>
    <mergeCell ref="H29:I29"/>
    <mergeCell ref="H28:I28"/>
    <mergeCell ref="A29:B29"/>
    <mergeCell ref="A30:B30"/>
    <mergeCell ref="H30:I30"/>
    <mergeCell ref="H31:I31"/>
    <mergeCell ref="H32:I32"/>
    <mergeCell ref="A31:B31"/>
    <mergeCell ref="A32:B32"/>
    <mergeCell ref="A33:B33"/>
    <mergeCell ref="A34:B34"/>
    <mergeCell ref="H33:I33"/>
    <mergeCell ref="H35:I35"/>
    <mergeCell ref="H36:I36"/>
    <mergeCell ref="A35:B35"/>
    <mergeCell ref="A39:B39"/>
    <mergeCell ref="H37:I37"/>
    <mergeCell ref="A40:B40"/>
    <mergeCell ref="H38:I38"/>
    <mergeCell ref="A41:B41"/>
    <mergeCell ref="H39:I39"/>
    <mergeCell ref="A37:B37"/>
    <mergeCell ref="A38:B38"/>
    <mergeCell ref="A42:B42"/>
    <mergeCell ref="A43:B43"/>
    <mergeCell ref="A44:B44"/>
    <mergeCell ref="H42:I42"/>
    <mergeCell ref="H40:I40"/>
    <mergeCell ref="A52:B52"/>
    <mergeCell ref="A53:B53"/>
    <mergeCell ref="A46:B46"/>
    <mergeCell ref="A47:B47"/>
    <mergeCell ref="A48:B48"/>
    <mergeCell ref="A49:B49"/>
    <mergeCell ref="A50:B50"/>
    <mergeCell ref="A51:B51"/>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B44"/>
  <sheetViews>
    <sheetView showGridLines="0" zoomScaleNormal="100" zoomScaleSheetLayoutView="100" workbookViewId="0"/>
  </sheetViews>
  <sheetFormatPr baseColWidth="10" defaultColWidth="9.140625" defaultRowHeight="12.75"/>
  <cols>
    <col min="1" max="1" width="80.42578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5" width="8.7109375" style="57" customWidth="1"/>
    <col min="36" max="36" width="9.140625" style="57" customWidth="1"/>
    <col min="37" max="37" width="8.7109375" style="57" customWidth="1"/>
    <col min="38" max="38" width="9.140625" style="57" customWidth="1"/>
    <col min="39" max="39" width="8.7109375" style="57" customWidth="1"/>
    <col min="40" max="40" width="9.140625" style="57" customWidth="1"/>
    <col min="41" max="41" width="8.7109375" style="57" customWidth="1"/>
    <col min="42" max="42" width="9.140625" style="57" customWidth="1"/>
    <col min="43" max="45" width="8.7109375" style="57" customWidth="1"/>
    <col min="46" max="46" width="9.140625" style="57" customWidth="1"/>
    <col min="47" max="47" width="8.7109375" style="57" customWidth="1"/>
    <col min="48" max="48" width="9.5703125" style="57" customWidth="1"/>
    <col min="49" max="49" width="8.7109375" style="57" customWidth="1"/>
    <col min="50" max="50" width="9.140625" style="57" customWidth="1"/>
    <col min="51" max="51" width="8.7109375" style="57" customWidth="1"/>
    <col min="52" max="52" width="9.140625" style="57" customWidth="1"/>
    <col min="53" max="53" width="8.7109375" style="57" customWidth="1"/>
    <col min="54" max="54" width="9.140625" style="57" customWidth="1"/>
    <col min="55" max="55" width="8.7109375" style="57" customWidth="1"/>
    <col min="56" max="56" width="9.140625" style="57" customWidth="1"/>
    <col min="57" max="63" width="8.7109375" style="57" customWidth="1"/>
    <col min="64" max="70" width="9.140625" style="57" customWidth="1"/>
    <col min="71" max="71" width="8.7109375" style="57" customWidth="1"/>
    <col min="72" max="72" width="9.140625" style="57" customWidth="1"/>
    <col min="73" max="73" width="8.7109375" style="57" customWidth="1"/>
    <col min="74" max="75" width="9.140625" style="57"/>
    <col min="76" max="78" width="12.28515625" style="57" customWidth="1"/>
    <col min="79" max="79" width="42.85546875" style="57" customWidth="1"/>
    <col min="80" max="16384" width="9.140625" style="57"/>
  </cols>
  <sheetData>
    <row r="1" spans="1:132" ht="16.5">
      <c r="A1" s="75"/>
    </row>
    <row r="2" spans="1:132">
      <c r="A2" s="77"/>
    </row>
    <row r="3" spans="1:132" ht="16.5">
      <c r="A3" s="5" t="s">
        <v>199</v>
      </c>
    </row>
    <row r="4" spans="1:132" s="88" customFormat="1" ht="16.5">
      <c r="A4" s="30" t="s">
        <v>200</v>
      </c>
    </row>
    <row r="5" spans="1:132" s="88" customFormat="1" ht="16.5">
      <c r="A5" s="30" t="s">
        <v>201</v>
      </c>
    </row>
    <row r="6" spans="1:132" s="88" customFormat="1"/>
    <row r="7" spans="1:132" s="89" customFormat="1" ht="15" customHeight="1">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91</v>
      </c>
      <c r="AC7" s="143"/>
      <c r="AD7" s="143" t="s">
        <v>144</v>
      </c>
      <c r="AE7" s="143"/>
      <c r="AF7" s="143" t="s">
        <v>162</v>
      </c>
      <c r="AG7" s="143"/>
      <c r="AH7" s="143" t="s">
        <v>198</v>
      </c>
      <c r="AI7" s="143"/>
      <c r="AJ7" s="143" t="s">
        <v>16</v>
      </c>
      <c r="AK7" s="143"/>
      <c r="AL7" s="143" t="s">
        <v>18</v>
      </c>
      <c r="AM7" s="143"/>
      <c r="AN7" s="143" t="s">
        <v>20</v>
      </c>
      <c r="AO7" s="143"/>
      <c r="AP7" s="143" t="s">
        <v>22</v>
      </c>
      <c r="AQ7" s="143"/>
      <c r="AR7" s="143" t="s">
        <v>92</v>
      </c>
      <c r="AS7" s="143"/>
      <c r="AT7" s="143" t="s">
        <v>63</v>
      </c>
      <c r="AU7" s="143"/>
      <c r="AV7" s="143" t="s">
        <v>64</v>
      </c>
      <c r="AW7" s="143"/>
      <c r="AX7" s="143" t="s">
        <v>93</v>
      </c>
      <c r="AY7" s="143"/>
      <c r="AZ7" s="143" t="s">
        <v>26</v>
      </c>
      <c r="BA7" s="143"/>
      <c r="BB7" s="143" t="s">
        <v>40</v>
      </c>
      <c r="BC7" s="143"/>
      <c r="BD7" s="143" t="s">
        <v>41</v>
      </c>
      <c r="BE7" s="143"/>
      <c r="BF7" s="143" t="s">
        <v>43</v>
      </c>
      <c r="BG7" s="143"/>
      <c r="BH7" s="143" t="s">
        <v>48</v>
      </c>
      <c r="BI7" s="143"/>
      <c r="BJ7" s="143" t="s">
        <v>49</v>
      </c>
      <c r="BK7" s="143"/>
      <c r="BL7" s="143" t="s">
        <v>51</v>
      </c>
      <c r="BM7" s="143"/>
      <c r="BN7" s="143" t="s">
        <v>28</v>
      </c>
      <c r="BO7" s="143"/>
      <c r="BP7" s="143" t="s">
        <v>30</v>
      </c>
      <c r="BQ7" s="143"/>
      <c r="BR7" s="143" t="s">
        <v>33</v>
      </c>
      <c r="BS7" s="143"/>
      <c r="BT7" s="143" t="s">
        <v>29</v>
      </c>
      <c r="BU7" s="143"/>
      <c r="BV7" s="143" t="s">
        <v>65</v>
      </c>
      <c r="BW7" s="143"/>
    </row>
    <row r="8" spans="1:132" s="89" customFormat="1" ht="15" customHeight="1">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row>
    <row r="9" spans="1:132"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row>
    <row r="10" spans="1:132" ht="15">
      <c r="A10" s="37" t="s">
        <v>217</v>
      </c>
      <c r="B10" s="12">
        <v>27</v>
      </c>
      <c r="C10" s="12">
        <v>1712</v>
      </c>
      <c r="D10" s="12">
        <v>9</v>
      </c>
      <c r="E10" s="12">
        <v>781</v>
      </c>
      <c r="F10" s="12">
        <v>6</v>
      </c>
      <c r="G10" s="12">
        <v>1517</v>
      </c>
      <c r="H10" s="12"/>
      <c r="I10" s="12"/>
      <c r="J10" s="12"/>
      <c r="K10" s="12"/>
      <c r="L10" s="12">
        <v>13</v>
      </c>
      <c r="M10" s="12">
        <v>222</v>
      </c>
      <c r="N10" s="12"/>
      <c r="O10" s="12"/>
      <c r="P10" s="12"/>
      <c r="Q10" s="12"/>
      <c r="R10" s="12"/>
      <c r="S10" s="12"/>
      <c r="T10" s="12"/>
      <c r="U10" s="12"/>
      <c r="V10" s="12">
        <v>3</v>
      </c>
      <c r="W10" s="12">
        <v>253</v>
      </c>
      <c r="X10" s="12">
        <v>5</v>
      </c>
      <c r="Y10" s="12">
        <v>1727</v>
      </c>
      <c r="Z10" s="12">
        <v>6</v>
      </c>
      <c r="AA10" s="12">
        <v>1945</v>
      </c>
      <c r="AB10" s="12">
        <v>8</v>
      </c>
      <c r="AC10" s="12">
        <v>2392</v>
      </c>
      <c r="AD10" s="12">
        <v>1</v>
      </c>
      <c r="AE10" s="12">
        <v>413</v>
      </c>
      <c r="AF10" s="12">
        <v>1</v>
      </c>
      <c r="AG10" s="12">
        <v>23</v>
      </c>
      <c r="AH10" s="12">
        <v>2</v>
      </c>
      <c r="AI10" s="12">
        <v>381</v>
      </c>
      <c r="AJ10" s="12"/>
      <c r="AK10" s="12"/>
      <c r="AL10" s="12">
        <v>1</v>
      </c>
      <c r="AM10" s="12">
        <v>213</v>
      </c>
      <c r="AN10" s="12">
        <v>1</v>
      </c>
      <c r="AO10" s="12">
        <v>517</v>
      </c>
      <c r="AP10" s="12"/>
      <c r="AQ10" s="12"/>
      <c r="AR10" s="12">
        <v>2</v>
      </c>
      <c r="AS10" s="12">
        <v>169</v>
      </c>
      <c r="AT10" s="12">
        <v>3</v>
      </c>
      <c r="AU10" s="12">
        <v>411</v>
      </c>
      <c r="AV10" s="12"/>
      <c r="AW10" s="12"/>
      <c r="AX10" s="12">
        <v>1</v>
      </c>
      <c r="AY10" s="12">
        <v>199</v>
      </c>
      <c r="AZ10" s="12">
        <v>1</v>
      </c>
      <c r="BA10" s="12">
        <v>20</v>
      </c>
      <c r="BB10" s="12">
        <v>2</v>
      </c>
      <c r="BC10" s="12">
        <v>101</v>
      </c>
      <c r="BD10" s="12">
        <v>1</v>
      </c>
      <c r="BE10" s="12">
        <v>75</v>
      </c>
      <c r="BF10" s="12"/>
      <c r="BG10" s="12"/>
      <c r="BH10" s="12">
        <v>10</v>
      </c>
      <c r="BI10" s="96">
        <v>437</v>
      </c>
      <c r="BJ10" s="12">
        <v>4</v>
      </c>
      <c r="BK10" s="12">
        <v>148</v>
      </c>
      <c r="BL10" s="12">
        <v>1</v>
      </c>
      <c r="BM10" s="12">
        <v>57</v>
      </c>
      <c r="BN10" s="12"/>
      <c r="BO10" s="12"/>
      <c r="BP10" s="12"/>
      <c r="BQ10" s="12"/>
      <c r="BR10" s="12"/>
      <c r="BS10" s="12"/>
      <c r="BT10" s="12"/>
      <c r="BU10" s="12"/>
      <c r="BV10" s="15">
        <f t="shared" ref="BV10:BW15" si="0">B10+D10+F10+H10+J10+L10+N10+P10+R10+T10+V10+X10+Z10+AB10+AD10+AF10+AH10+AJ10+AL10+AN10+AP10+AR10+AT10+AV10+AX10+AZ10+BB10+BD10+BF10+BH10+BJ10+BL10+BN10+BP10+BR10+BT10</f>
        <v>108</v>
      </c>
      <c r="BW10" s="15">
        <f t="shared" si="0"/>
        <v>13713</v>
      </c>
      <c r="BX10" s="90"/>
      <c r="CW10" s="89"/>
      <c r="CX10" s="89"/>
      <c r="EB10" s="91"/>
    </row>
    <row r="11" spans="1:132" ht="15">
      <c r="A11" s="69" t="s">
        <v>84</v>
      </c>
      <c r="B11" s="12">
        <v>34</v>
      </c>
      <c r="C11" s="12">
        <v>2371</v>
      </c>
      <c r="D11" s="12">
        <v>14</v>
      </c>
      <c r="E11" s="12">
        <v>1793</v>
      </c>
      <c r="F11" s="12">
        <v>2</v>
      </c>
      <c r="G11" s="12">
        <v>60</v>
      </c>
      <c r="H11" s="12"/>
      <c r="I11" s="12"/>
      <c r="J11" s="12">
        <v>5</v>
      </c>
      <c r="K11" s="12">
        <v>98</v>
      </c>
      <c r="L11" s="12">
        <v>9</v>
      </c>
      <c r="M11" s="12">
        <v>199</v>
      </c>
      <c r="N11" s="12">
        <v>1</v>
      </c>
      <c r="O11" s="12">
        <v>274</v>
      </c>
      <c r="P11" s="12"/>
      <c r="Q11" s="12"/>
      <c r="R11" s="12"/>
      <c r="S11" s="12"/>
      <c r="T11" s="12"/>
      <c r="U11" s="12"/>
      <c r="V11" s="12">
        <v>4</v>
      </c>
      <c r="W11" s="12">
        <v>333</v>
      </c>
      <c r="X11" s="12">
        <v>6</v>
      </c>
      <c r="Y11" s="12">
        <v>1972</v>
      </c>
      <c r="Z11" s="12">
        <v>10</v>
      </c>
      <c r="AA11" s="12">
        <v>2825</v>
      </c>
      <c r="AB11" s="12">
        <v>3</v>
      </c>
      <c r="AC11" s="12">
        <v>997</v>
      </c>
      <c r="AD11" s="12"/>
      <c r="AE11" s="12"/>
      <c r="AF11" s="12"/>
      <c r="AG11" s="12"/>
      <c r="AH11" s="12"/>
      <c r="AI11" s="12"/>
      <c r="AJ11" s="12">
        <v>1</v>
      </c>
      <c r="AK11" s="12">
        <v>104</v>
      </c>
      <c r="AL11" s="12"/>
      <c r="AM11" s="12"/>
      <c r="AN11" s="12">
        <v>3</v>
      </c>
      <c r="AO11" s="12">
        <v>1107</v>
      </c>
      <c r="AP11" s="12">
        <v>2</v>
      </c>
      <c r="AQ11" s="12">
        <v>338</v>
      </c>
      <c r="AR11" s="12">
        <v>4</v>
      </c>
      <c r="AS11" s="12">
        <v>303</v>
      </c>
      <c r="AT11" s="12">
        <v>3</v>
      </c>
      <c r="AU11" s="12">
        <v>479</v>
      </c>
      <c r="AV11" s="12"/>
      <c r="AW11" s="12"/>
      <c r="AX11" s="12"/>
      <c r="AY11" s="12"/>
      <c r="AZ11" s="12">
        <v>2</v>
      </c>
      <c r="BA11" s="12">
        <v>46</v>
      </c>
      <c r="BB11" s="12">
        <v>2</v>
      </c>
      <c r="BC11" s="12">
        <v>76</v>
      </c>
      <c r="BD11" s="12">
        <v>3</v>
      </c>
      <c r="BE11" s="12">
        <v>298</v>
      </c>
      <c r="BF11" s="12"/>
      <c r="BG11" s="12"/>
      <c r="BH11" s="12">
        <v>17</v>
      </c>
      <c r="BI11" s="12">
        <v>1084</v>
      </c>
      <c r="BJ11" s="12">
        <v>12</v>
      </c>
      <c r="BK11" s="12">
        <v>1056</v>
      </c>
      <c r="BL11" s="12"/>
      <c r="BM11" s="12"/>
      <c r="BN11" s="12"/>
      <c r="BO11" s="12"/>
      <c r="BP11" s="12">
        <v>1</v>
      </c>
      <c r="BQ11" s="12">
        <v>184</v>
      </c>
      <c r="BR11" s="12"/>
      <c r="BS11" s="12"/>
      <c r="BT11" s="12">
        <v>1</v>
      </c>
      <c r="BU11" s="12">
        <v>10</v>
      </c>
      <c r="BV11" s="15">
        <f t="shared" si="0"/>
        <v>139</v>
      </c>
      <c r="BW11" s="15">
        <f t="shared" si="0"/>
        <v>16007</v>
      </c>
      <c r="CW11" s="89"/>
      <c r="CX11" s="89"/>
    </row>
    <row r="12" spans="1:132" ht="15">
      <c r="A12" s="37" t="s">
        <v>85</v>
      </c>
      <c r="B12" s="12">
        <v>6</v>
      </c>
      <c r="C12" s="12">
        <v>514</v>
      </c>
      <c r="D12" s="12">
        <v>6</v>
      </c>
      <c r="E12" s="12">
        <v>513</v>
      </c>
      <c r="F12" s="12">
        <v>4</v>
      </c>
      <c r="G12" s="12">
        <v>298</v>
      </c>
      <c r="H12" s="12">
        <v>1</v>
      </c>
      <c r="I12" s="12">
        <v>29</v>
      </c>
      <c r="J12" s="12">
        <v>9</v>
      </c>
      <c r="K12" s="12">
        <v>135</v>
      </c>
      <c r="L12" s="12">
        <v>1</v>
      </c>
      <c r="M12" s="12">
        <v>8</v>
      </c>
      <c r="N12" s="12"/>
      <c r="O12" s="12"/>
      <c r="P12" s="12"/>
      <c r="Q12" s="12"/>
      <c r="R12" s="12">
        <v>2</v>
      </c>
      <c r="S12" s="12">
        <v>912</v>
      </c>
      <c r="T12" s="12"/>
      <c r="U12" s="12"/>
      <c r="V12" s="12"/>
      <c r="W12" s="12"/>
      <c r="X12" s="12"/>
      <c r="Y12" s="12"/>
      <c r="Z12" s="12">
        <v>5</v>
      </c>
      <c r="AA12" s="12">
        <v>1522</v>
      </c>
      <c r="AB12" s="12">
        <v>3</v>
      </c>
      <c r="AC12" s="12">
        <v>1104</v>
      </c>
      <c r="AD12" s="12"/>
      <c r="AE12" s="12"/>
      <c r="AF12" s="12">
        <v>1</v>
      </c>
      <c r="AG12" s="12">
        <v>116</v>
      </c>
      <c r="AH12" s="12"/>
      <c r="AI12" s="12"/>
      <c r="AJ12" s="12"/>
      <c r="AK12" s="12"/>
      <c r="AL12" s="12"/>
      <c r="AM12" s="12"/>
      <c r="AN12" s="12"/>
      <c r="AO12" s="12"/>
      <c r="AP12" s="12"/>
      <c r="AQ12" s="12"/>
      <c r="AR12" s="12"/>
      <c r="AS12" s="12"/>
      <c r="AT12" s="12"/>
      <c r="AU12" s="12"/>
      <c r="AV12" s="12"/>
      <c r="AW12" s="12"/>
      <c r="AX12" s="12"/>
      <c r="AY12" s="12"/>
      <c r="AZ12" s="12">
        <v>3</v>
      </c>
      <c r="BA12" s="12">
        <v>59</v>
      </c>
      <c r="BB12" s="12">
        <v>1</v>
      </c>
      <c r="BC12" s="12">
        <v>20</v>
      </c>
      <c r="BD12" s="12">
        <v>1</v>
      </c>
      <c r="BE12" s="12">
        <v>21</v>
      </c>
      <c r="BF12" s="12"/>
      <c r="BG12" s="12"/>
      <c r="BH12" s="12">
        <v>3</v>
      </c>
      <c r="BI12" s="12">
        <v>118</v>
      </c>
      <c r="BJ12" s="12">
        <v>1</v>
      </c>
      <c r="BK12" s="12">
        <v>222</v>
      </c>
      <c r="BL12" s="12"/>
      <c r="BM12" s="12"/>
      <c r="BN12" s="12"/>
      <c r="BO12" s="12"/>
      <c r="BP12" s="12"/>
      <c r="BQ12" s="12"/>
      <c r="BR12" s="12"/>
      <c r="BS12" s="12"/>
      <c r="BT12" s="12">
        <v>2</v>
      </c>
      <c r="BU12" s="12">
        <v>20</v>
      </c>
      <c r="BV12" s="15">
        <f t="shared" si="0"/>
        <v>49</v>
      </c>
      <c r="BW12" s="15">
        <f t="shared" si="0"/>
        <v>5611</v>
      </c>
      <c r="CW12" s="89"/>
      <c r="CX12" s="89"/>
    </row>
    <row r="13" spans="1:132" ht="15">
      <c r="A13" s="37" t="s">
        <v>86</v>
      </c>
      <c r="B13" s="12">
        <v>25</v>
      </c>
      <c r="C13" s="12">
        <v>1966</v>
      </c>
      <c r="D13" s="12">
        <v>11</v>
      </c>
      <c r="E13" s="12">
        <v>1484</v>
      </c>
      <c r="F13" s="12">
        <v>18</v>
      </c>
      <c r="G13" s="12">
        <v>2054</v>
      </c>
      <c r="H13" s="12">
        <v>4</v>
      </c>
      <c r="I13" s="12">
        <v>861</v>
      </c>
      <c r="J13" s="12">
        <v>1</v>
      </c>
      <c r="K13" s="12">
        <v>8</v>
      </c>
      <c r="L13" s="12">
        <v>1</v>
      </c>
      <c r="M13" s="12">
        <v>12</v>
      </c>
      <c r="N13" s="12">
        <v>1</v>
      </c>
      <c r="O13" s="12">
        <v>400</v>
      </c>
      <c r="P13" s="12"/>
      <c r="Q13" s="12"/>
      <c r="R13" s="12"/>
      <c r="S13" s="12"/>
      <c r="T13" s="12"/>
      <c r="U13" s="12"/>
      <c r="V13" s="12"/>
      <c r="W13" s="12"/>
      <c r="X13" s="12">
        <v>6</v>
      </c>
      <c r="Y13" s="12">
        <v>1265</v>
      </c>
      <c r="Z13" s="12">
        <v>13</v>
      </c>
      <c r="AA13" s="12">
        <v>6109</v>
      </c>
      <c r="AB13" s="12">
        <v>3</v>
      </c>
      <c r="AC13" s="12">
        <v>1024</v>
      </c>
      <c r="AD13" s="12"/>
      <c r="AE13" s="12"/>
      <c r="AF13" s="12">
        <v>3</v>
      </c>
      <c r="AG13" s="12">
        <v>2647</v>
      </c>
      <c r="AH13" s="12"/>
      <c r="AI13" s="12"/>
      <c r="AJ13" s="12"/>
      <c r="AK13" s="12"/>
      <c r="AL13" s="12">
        <v>2</v>
      </c>
      <c r="AM13" s="12">
        <v>450</v>
      </c>
      <c r="AN13" s="12">
        <v>4</v>
      </c>
      <c r="AO13" s="12">
        <v>755</v>
      </c>
      <c r="AP13" s="12">
        <v>4</v>
      </c>
      <c r="AQ13" s="12">
        <v>1908</v>
      </c>
      <c r="AR13" s="12"/>
      <c r="AS13" s="12"/>
      <c r="AT13" s="12">
        <v>1</v>
      </c>
      <c r="AU13" s="12">
        <v>84</v>
      </c>
      <c r="AV13" s="12">
        <v>2</v>
      </c>
      <c r="AW13" s="12">
        <v>296</v>
      </c>
      <c r="AX13" s="12">
        <v>1</v>
      </c>
      <c r="AY13" s="12">
        <v>19</v>
      </c>
      <c r="AZ13" s="12"/>
      <c r="BA13" s="12"/>
      <c r="BB13" s="12">
        <v>3</v>
      </c>
      <c r="BC13" s="12">
        <v>44</v>
      </c>
      <c r="BD13" s="12"/>
      <c r="BE13" s="12"/>
      <c r="BF13" s="12">
        <v>1</v>
      </c>
      <c r="BG13" s="12">
        <v>16</v>
      </c>
      <c r="BH13" s="12">
        <v>1</v>
      </c>
      <c r="BI13" s="12">
        <v>13</v>
      </c>
      <c r="BJ13" s="12"/>
      <c r="BK13" s="12"/>
      <c r="BL13" s="12"/>
      <c r="BM13" s="12"/>
      <c r="BN13" s="12">
        <v>2</v>
      </c>
      <c r="BO13" s="12">
        <v>100</v>
      </c>
      <c r="BP13" s="12"/>
      <c r="BQ13" s="12"/>
      <c r="BR13" s="12">
        <v>1</v>
      </c>
      <c r="BS13" s="12">
        <v>56</v>
      </c>
      <c r="BT13" s="12"/>
      <c r="BU13" s="12"/>
      <c r="BV13" s="15">
        <f t="shared" si="0"/>
        <v>108</v>
      </c>
      <c r="BW13" s="15">
        <f t="shared" si="0"/>
        <v>21571</v>
      </c>
      <c r="CW13" s="89"/>
      <c r="CX13" s="89"/>
    </row>
    <row r="14" spans="1:132" ht="15">
      <c r="A14" s="37" t="s">
        <v>87</v>
      </c>
      <c r="B14" s="12">
        <v>37</v>
      </c>
      <c r="C14" s="12">
        <v>2115</v>
      </c>
      <c r="D14" s="12">
        <v>16</v>
      </c>
      <c r="E14" s="12">
        <v>1852</v>
      </c>
      <c r="F14" s="12">
        <v>8</v>
      </c>
      <c r="G14" s="12">
        <v>1214</v>
      </c>
      <c r="H14" s="12"/>
      <c r="I14" s="12"/>
      <c r="J14" s="12">
        <v>14</v>
      </c>
      <c r="K14" s="12">
        <v>245</v>
      </c>
      <c r="L14" s="12">
        <v>1</v>
      </c>
      <c r="M14" s="12">
        <v>18</v>
      </c>
      <c r="N14" s="12">
        <v>3</v>
      </c>
      <c r="O14" s="12">
        <v>924</v>
      </c>
      <c r="P14" s="12">
        <v>3</v>
      </c>
      <c r="Q14" s="12">
        <v>2041</v>
      </c>
      <c r="R14" s="12"/>
      <c r="S14" s="12"/>
      <c r="T14" s="12">
        <v>3</v>
      </c>
      <c r="U14" s="12">
        <v>89</v>
      </c>
      <c r="V14" s="12"/>
      <c r="W14" s="12"/>
      <c r="X14" s="12">
        <v>4</v>
      </c>
      <c r="Y14" s="12">
        <v>695</v>
      </c>
      <c r="Z14" s="12">
        <v>14</v>
      </c>
      <c r="AA14" s="12">
        <v>6496</v>
      </c>
      <c r="AB14" s="12">
        <v>7</v>
      </c>
      <c r="AC14" s="12">
        <v>2295</v>
      </c>
      <c r="AD14" s="12"/>
      <c r="AE14" s="12"/>
      <c r="AF14" s="12">
        <v>2</v>
      </c>
      <c r="AG14" s="12">
        <v>568</v>
      </c>
      <c r="AH14" s="12"/>
      <c r="AI14" s="12"/>
      <c r="AJ14" s="12"/>
      <c r="AK14" s="12"/>
      <c r="AL14" s="12"/>
      <c r="AM14" s="12"/>
      <c r="AN14" s="12">
        <v>4</v>
      </c>
      <c r="AO14" s="12">
        <v>1028</v>
      </c>
      <c r="AP14" s="12">
        <v>3</v>
      </c>
      <c r="AQ14" s="12">
        <v>422</v>
      </c>
      <c r="AR14" s="12"/>
      <c r="AS14" s="12"/>
      <c r="AT14" s="12"/>
      <c r="AU14" s="12"/>
      <c r="AV14" s="12">
        <v>1</v>
      </c>
      <c r="AW14" s="12">
        <v>284</v>
      </c>
      <c r="AX14" s="12"/>
      <c r="AY14" s="12"/>
      <c r="AZ14" s="12">
        <v>1</v>
      </c>
      <c r="BA14" s="12">
        <v>29</v>
      </c>
      <c r="BB14" s="12">
        <v>5</v>
      </c>
      <c r="BC14" s="12">
        <v>154</v>
      </c>
      <c r="BD14" s="12">
        <v>4</v>
      </c>
      <c r="BE14" s="12">
        <v>262</v>
      </c>
      <c r="BF14" s="12"/>
      <c r="BG14" s="12"/>
      <c r="BH14" s="12">
        <v>5</v>
      </c>
      <c r="BI14" s="12">
        <v>197</v>
      </c>
      <c r="BJ14" s="12">
        <v>7</v>
      </c>
      <c r="BK14" s="12">
        <v>283</v>
      </c>
      <c r="BL14" s="12"/>
      <c r="BM14" s="12"/>
      <c r="BN14" s="12"/>
      <c r="BO14" s="12"/>
      <c r="BP14" s="12"/>
      <c r="BQ14" s="12"/>
      <c r="BR14" s="12"/>
      <c r="BS14" s="12"/>
      <c r="BT14" s="12"/>
      <c r="BU14" s="12"/>
      <c r="BV14" s="15">
        <f t="shared" si="0"/>
        <v>142</v>
      </c>
      <c r="BW14" s="15">
        <f t="shared" si="0"/>
        <v>21211</v>
      </c>
      <c r="CW14" s="89"/>
      <c r="CX14" s="89"/>
    </row>
    <row r="15" spans="1:132" s="89" customFormat="1" ht="15">
      <c r="A15" s="73" t="s">
        <v>218</v>
      </c>
      <c r="B15" s="39">
        <f>SUM(B10:B14)</f>
        <v>129</v>
      </c>
      <c r="C15" s="39">
        <f t="shared" ref="C15:BN15" si="1">SUM(C10:C14)</f>
        <v>8678</v>
      </c>
      <c r="D15" s="39">
        <f t="shared" si="1"/>
        <v>56</v>
      </c>
      <c r="E15" s="39">
        <f t="shared" si="1"/>
        <v>6423</v>
      </c>
      <c r="F15" s="39">
        <f t="shared" si="1"/>
        <v>38</v>
      </c>
      <c r="G15" s="39">
        <f t="shared" si="1"/>
        <v>5143</v>
      </c>
      <c r="H15" s="39">
        <f t="shared" si="1"/>
        <v>5</v>
      </c>
      <c r="I15" s="39">
        <f t="shared" si="1"/>
        <v>890</v>
      </c>
      <c r="J15" s="39">
        <f t="shared" si="1"/>
        <v>29</v>
      </c>
      <c r="K15" s="39">
        <f t="shared" si="1"/>
        <v>486</v>
      </c>
      <c r="L15" s="39">
        <f t="shared" si="1"/>
        <v>25</v>
      </c>
      <c r="M15" s="39">
        <f t="shared" si="1"/>
        <v>459</v>
      </c>
      <c r="N15" s="39">
        <f t="shared" si="1"/>
        <v>5</v>
      </c>
      <c r="O15" s="39">
        <f t="shared" si="1"/>
        <v>1598</v>
      </c>
      <c r="P15" s="39">
        <f t="shared" si="1"/>
        <v>3</v>
      </c>
      <c r="Q15" s="39">
        <f t="shared" si="1"/>
        <v>2041</v>
      </c>
      <c r="R15" s="39">
        <f t="shared" si="1"/>
        <v>2</v>
      </c>
      <c r="S15" s="39">
        <f t="shared" si="1"/>
        <v>912</v>
      </c>
      <c r="T15" s="39">
        <f t="shared" si="1"/>
        <v>3</v>
      </c>
      <c r="U15" s="39">
        <f t="shared" si="1"/>
        <v>89</v>
      </c>
      <c r="V15" s="39">
        <f t="shared" si="1"/>
        <v>7</v>
      </c>
      <c r="W15" s="39">
        <f t="shared" si="1"/>
        <v>586</v>
      </c>
      <c r="X15" s="39">
        <f t="shared" si="1"/>
        <v>21</v>
      </c>
      <c r="Y15" s="39">
        <f t="shared" si="1"/>
        <v>5659</v>
      </c>
      <c r="Z15" s="39">
        <f t="shared" si="1"/>
        <v>48</v>
      </c>
      <c r="AA15" s="39">
        <f t="shared" si="1"/>
        <v>18897</v>
      </c>
      <c r="AB15" s="39">
        <f t="shared" si="1"/>
        <v>24</v>
      </c>
      <c r="AC15" s="39">
        <f t="shared" si="1"/>
        <v>7812</v>
      </c>
      <c r="AD15" s="39">
        <f t="shared" si="1"/>
        <v>1</v>
      </c>
      <c r="AE15" s="39">
        <f t="shared" si="1"/>
        <v>413</v>
      </c>
      <c r="AF15" s="39">
        <f t="shared" si="1"/>
        <v>7</v>
      </c>
      <c r="AG15" s="39">
        <f t="shared" si="1"/>
        <v>3354</v>
      </c>
      <c r="AH15" s="39">
        <f t="shared" si="1"/>
        <v>2</v>
      </c>
      <c r="AI15" s="39">
        <f t="shared" si="1"/>
        <v>381</v>
      </c>
      <c r="AJ15" s="39">
        <f t="shared" si="1"/>
        <v>1</v>
      </c>
      <c r="AK15" s="39">
        <f t="shared" si="1"/>
        <v>104</v>
      </c>
      <c r="AL15" s="39">
        <f t="shared" si="1"/>
        <v>3</v>
      </c>
      <c r="AM15" s="39">
        <f t="shared" si="1"/>
        <v>663</v>
      </c>
      <c r="AN15" s="39">
        <f t="shared" si="1"/>
        <v>12</v>
      </c>
      <c r="AO15" s="39">
        <f t="shared" si="1"/>
        <v>3407</v>
      </c>
      <c r="AP15" s="39">
        <f t="shared" si="1"/>
        <v>9</v>
      </c>
      <c r="AQ15" s="39">
        <f t="shared" si="1"/>
        <v>2668</v>
      </c>
      <c r="AR15" s="39">
        <f t="shared" si="1"/>
        <v>6</v>
      </c>
      <c r="AS15" s="39">
        <f t="shared" si="1"/>
        <v>472</v>
      </c>
      <c r="AT15" s="39">
        <f t="shared" si="1"/>
        <v>7</v>
      </c>
      <c r="AU15" s="39">
        <f t="shared" si="1"/>
        <v>974</v>
      </c>
      <c r="AV15" s="39">
        <f t="shared" si="1"/>
        <v>3</v>
      </c>
      <c r="AW15" s="39">
        <f t="shared" si="1"/>
        <v>580</v>
      </c>
      <c r="AX15" s="39">
        <f t="shared" si="1"/>
        <v>2</v>
      </c>
      <c r="AY15" s="39">
        <f t="shared" si="1"/>
        <v>218</v>
      </c>
      <c r="AZ15" s="39">
        <f t="shared" si="1"/>
        <v>7</v>
      </c>
      <c r="BA15" s="39">
        <f t="shared" si="1"/>
        <v>154</v>
      </c>
      <c r="BB15" s="39">
        <f t="shared" si="1"/>
        <v>13</v>
      </c>
      <c r="BC15" s="39">
        <f t="shared" si="1"/>
        <v>395</v>
      </c>
      <c r="BD15" s="39">
        <f t="shared" si="1"/>
        <v>9</v>
      </c>
      <c r="BE15" s="39">
        <f t="shared" si="1"/>
        <v>656</v>
      </c>
      <c r="BF15" s="39">
        <f t="shared" si="1"/>
        <v>1</v>
      </c>
      <c r="BG15" s="39">
        <f t="shared" si="1"/>
        <v>16</v>
      </c>
      <c r="BH15" s="39">
        <f t="shared" si="1"/>
        <v>36</v>
      </c>
      <c r="BI15" s="39">
        <f t="shared" si="1"/>
        <v>1849</v>
      </c>
      <c r="BJ15" s="39">
        <f t="shared" si="1"/>
        <v>24</v>
      </c>
      <c r="BK15" s="39">
        <f t="shared" si="1"/>
        <v>1709</v>
      </c>
      <c r="BL15" s="39">
        <f t="shared" si="1"/>
        <v>1</v>
      </c>
      <c r="BM15" s="39">
        <f t="shared" si="1"/>
        <v>57</v>
      </c>
      <c r="BN15" s="39">
        <f t="shared" si="1"/>
        <v>2</v>
      </c>
      <c r="BO15" s="39">
        <f t="shared" ref="BO15:BU15" si="2">SUM(BO10:BO14)</f>
        <v>100</v>
      </c>
      <c r="BP15" s="39">
        <f t="shared" si="2"/>
        <v>1</v>
      </c>
      <c r="BQ15" s="39">
        <f t="shared" si="2"/>
        <v>184</v>
      </c>
      <c r="BR15" s="39">
        <f t="shared" si="2"/>
        <v>1</v>
      </c>
      <c r="BS15" s="39">
        <f t="shared" si="2"/>
        <v>56</v>
      </c>
      <c r="BT15" s="39">
        <f t="shared" si="2"/>
        <v>3</v>
      </c>
      <c r="BU15" s="39">
        <f t="shared" si="2"/>
        <v>30</v>
      </c>
      <c r="BV15" s="39">
        <f t="shared" si="0"/>
        <v>546</v>
      </c>
      <c r="BW15" s="39">
        <f t="shared" si="0"/>
        <v>78113</v>
      </c>
    </row>
    <row r="16" spans="1:132">
      <c r="A16" s="62" t="s">
        <v>134</v>
      </c>
    </row>
    <row r="17" spans="1:2">
      <c r="A17" s="63" t="s">
        <v>135</v>
      </c>
    </row>
    <row r="18" spans="1:2">
      <c r="A18" s="63" t="s">
        <v>136</v>
      </c>
    </row>
    <row r="21" spans="1:2">
      <c r="A21" s="92"/>
    </row>
    <row r="22" spans="1:2">
      <c r="A22" s="92"/>
      <c r="B22" s="92"/>
    </row>
    <row r="23" spans="1:2">
      <c r="A23" s="92"/>
      <c r="B23" s="92"/>
    </row>
    <row r="24" spans="1:2">
      <c r="A24" s="92"/>
      <c r="B24" s="92"/>
    </row>
    <row r="25" spans="1:2">
      <c r="A25" s="92"/>
      <c r="B25" s="92"/>
    </row>
    <row r="26" spans="1:2">
      <c r="A26" s="92"/>
      <c r="B26" s="92"/>
    </row>
    <row r="27" spans="1:2">
      <c r="A27" s="92"/>
      <c r="B27" s="92"/>
    </row>
    <row r="28" spans="1:2">
      <c r="A28" s="92"/>
      <c r="B28" s="92"/>
    </row>
    <row r="29" spans="1:2">
      <c r="A29" s="92"/>
      <c r="B29" s="92"/>
    </row>
    <row r="30" spans="1:2">
      <c r="A30" s="92"/>
      <c r="B30" s="92"/>
    </row>
    <row r="31" spans="1:2">
      <c r="A31" s="92"/>
      <c r="B31" s="92"/>
    </row>
    <row r="32" spans="1:2">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8">
    <mergeCell ref="V7:W7"/>
    <mergeCell ref="A7:A8"/>
    <mergeCell ref="B7:C7"/>
    <mergeCell ref="D7:E7"/>
    <mergeCell ref="F7:G7"/>
    <mergeCell ref="H7:I7"/>
    <mergeCell ref="J7:K7"/>
    <mergeCell ref="L7:M7"/>
    <mergeCell ref="N7:O7"/>
    <mergeCell ref="P7:Q7"/>
    <mergeCell ref="R7:S7"/>
    <mergeCell ref="T7:U7"/>
    <mergeCell ref="AP7:AQ7"/>
    <mergeCell ref="AR7:AS7"/>
    <mergeCell ref="AT7:AU7"/>
    <mergeCell ref="AV7:AW7"/>
    <mergeCell ref="X7:Y7"/>
    <mergeCell ref="Z7:AA7"/>
    <mergeCell ref="AB7:AC7"/>
    <mergeCell ref="AD7:AE7"/>
    <mergeCell ref="AF7:AG7"/>
    <mergeCell ref="AJ7:AK7"/>
    <mergeCell ref="BV7:BW7"/>
    <mergeCell ref="AH7:AI7"/>
    <mergeCell ref="BF7:BG7"/>
    <mergeCell ref="BH7:BI7"/>
    <mergeCell ref="BJ7:BK7"/>
    <mergeCell ref="BL7:BM7"/>
    <mergeCell ref="BN7:BO7"/>
    <mergeCell ref="BP7:BQ7"/>
    <mergeCell ref="AX7:AY7"/>
    <mergeCell ref="AZ7:BA7"/>
    <mergeCell ref="BB7:BC7"/>
    <mergeCell ref="BD7:BE7"/>
    <mergeCell ref="BR7:BS7"/>
    <mergeCell ref="BT7:BU7"/>
    <mergeCell ref="AL7:AM7"/>
    <mergeCell ref="AN7:AO7"/>
  </mergeCells>
  <conditionalFormatting sqref="A10:BU14 BV10:BW15">
    <cfRule type="expression" dxfId="12" priority="8" stopIfTrue="1">
      <formula>MOD(ROW(),2)=0</formula>
    </cfRule>
  </conditionalFormatting>
  <conditionalFormatting sqref="A1:BW1048576 BX1:IV6 A6:XFD6 CZ7:IV15 BX16:IV65536">
    <cfRule type="expression" priority="11">
      <formula>SI(0," ")</formula>
    </cfRule>
  </conditionalFormatting>
  <conditionalFormatting sqref="L3">
    <cfRule type="expression" priority="10">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4" manualBreakCount="4">
    <brk id="17" max="1048575" man="1"/>
    <brk id="33" max="1048575" man="1"/>
    <brk id="49" max="1048575" man="1"/>
    <brk id="65"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N54"/>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28515625" style="77" bestFit="1" customWidth="1"/>
    <col min="5" max="5" width="14.140625"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194</v>
      </c>
    </row>
    <row r="4" spans="1:14" s="78" customFormat="1" ht="16.5">
      <c r="A4" s="79" t="s">
        <v>195</v>
      </c>
      <c r="B4" s="80"/>
      <c r="H4" s="80"/>
      <c r="I4" s="80"/>
      <c r="L4" s="81"/>
    </row>
    <row r="5" spans="1:14" s="78" customFormat="1" ht="16.5">
      <c r="A5" s="79" t="s">
        <v>196</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129</v>
      </c>
      <c r="D11" s="83">
        <v>2846</v>
      </c>
      <c r="E11" s="83">
        <v>8678</v>
      </c>
      <c r="F11" s="85">
        <f>E11/E17</f>
        <v>0.4102297437836816</v>
      </c>
      <c r="G11" s="82"/>
      <c r="H11" s="139" t="s">
        <v>16</v>
      </c>
      <c r="I11" s="139"/>
      <c r="J11" s="83">
        <v>1</v>
      </c>
      <c r="K11" s="83">
        <v>54</v>
      </c>
      <c r="L11" s="83">
        <v>104</v>
      </c>
      <c r="M11" s="85">
        <f>L11/L$19</f>
        <v>1.5200233849751535E-2</v>
      </c>
      <c r="N11" s="82"/>
    </row>
    <row r="12" spans="1:14" ht="15">
      <c r="A12" s="139" t="s">
        <v>17</v>
      </c>
      <c r="B12" s="139"/>
      <c r="C12" s="83">
        <v>57</v>
      </c>
      <c r="D12" s="83">
        <v>2429</v>
      </c>
      <c r="E12" s="83">
        <v>6717</v>
      </c>
      <c r="F12" s="85">
        <f>E12/E17</f>
        <v>0.31752859979200149</v>
      </c>
      <c r="G12" s="82"/>
      <c r="H12" s="139" t="s">
        <v>18</v>
      </c>
      <c r="I12" s="139"/>
      <c r="J12" s="83">
        <v>3</v>
      </c>
      <c r="K12" s="83">
        <v>307</v>
      </c>
      <c r="L12" s="83">
        <v>663</v>
      </c>
      <c r="M12" s="85">
        <f>L12/L$19</f>
        <v>9.6901490792166034E-2</v>
      </c>
      <c r="N12" s="82"/>
    </row>
    <row r="13" spans="1:14" ht="15">
      <c r="A13" s="139" t="s">
        <v>19</v>
      </c>
      <c r="B13" s="139"/>
      <c r="C13" s="83">
        <v>39</v>
      </c>
      <c r="D13" s="83">
        <v>1724</v>
      </c>
      <c r="E13" s="83">
        <v>5172</v>
      </c>
      <c r="F13" s="85">
        <f>E13/E17</f>
        <v>0.24449276732532854</v>
      </c>
      <c r="G13" s="82"/>
      <c r="H13" s="139" t="s">
        <v>20</v>
      </c>
      <c r="I13" s="139"/>
      <c r="J13" s="83">
        <v>12</v>
      </c>
      <c r="K13" s="83">
        <v>1591</v>
      </c>
      <c r="L13" s="83">
        <v>3407</v>
      </c>
      <c r="M13" s="85">
        <f>L13/L$19</f>
        <v>0.4979538146740719</v>
      </c>
      <c r="N13" s="82"/>
    </row>
    <row r="14" spans="1:14" ht="15">
      <c r="A14" s="139" t="s">
        <v>197</v>
      </c>
      <c r="B14" s="139"/>
      <c r="C14" s="83"/>
      <c r="D14" s="83"/>
      <c r="E14" s="83"/>
      <c r="F14" s="85"/>
      <c r="G14" s="82"/>
      <c r="H14" s="139" t="s">
        <v>145</v>
      </c>
      <c r="I14" s="139"/>
      <c r="J14" s="83"/>
      <c r="K14" s="83"/>
      <c r="L14" s="83"/>
      <c r="M14" s="85"/>
      <c r="N14" s="82"/>
    </row>
    <row r="15" spans="1:14" ht="15">
      <c r="A15" s="139" t="s">
        <v>21</v>
      </c>
      <c r="B15" s="139"/>
      <c r="C15" s="83">
        <v>4</v>
      </c>
      <c r="D15" s="83">
        <v>220</v>
      </c>
      <c r="E15" s="83">
        <v>587</v>
      </c>
      <c r="F15" s="85">
        <f>E15/E17</f>
        <v>2.7748889098988372E-2</v>
      </c>
      <c r="G15" s="82"/>
      <c r="H15" s="139" t="s">
        <v>22</v>
      </c>
      <c r="I15" s="139"/>
      <c r="J15" s="83">
        <v>9</v>
      </c>
      <c r="K15" s="83">
        <v>1247</v>
      </c>
      <c r="L15" s="83">
        <v>2668</v>
      </c>
      <c r="M15" s="85">
        <f>L15/L$19</f>
        <v>0.38994446068401051</v>
      </c>
      <c r="N15" s="82"/>
    </row>
    <row r="16" spans="1:14" ht="15">
      <c r="A16" s="84"/>
      <c r="B16" s="84"/>
      <c r="C16" s="83"/>
      <c r="D16" s="83"/>
      <c r="E16" s="83"/>
      <c r="F16" s="85"/>
      <c r="G16" s="82"/>
      <c r="H16" s="139" t="s">
        <v>146</v>
      </c>
      <c r="I16" s="139"/>
      <c r="M16" s="85"/>
      <c r="N16" s="82"/>
    </row>
    <row r="17" spans="1:14" ht="15">
      <c r="A17" s="140" t="s">
        <v>23</v>
      </c>
      <c r="B17" s="140"/>
      <c r="C17" s="93">
        <f>C11+C12+C13+C15</f>
        <v>229</v>
      </c>
      <c r="D17" s="93">
        <f>D11+D12+D13+D15</f>
        <v>7219</v>
      </c>
      <c r="E17" s="93">
        <f>E11+E12+E13+E15</f>
        <v>21154</v>
      </c>
      <c r="F17" s="94">
        <f>F11+F12+F13+F15</f>
        <v>1</v>
      </c>
      <c r="G17" s="82"/>
      <c r="H17" s="139" t="s">
        <v>24</v>
      </c>
      <c r="I17" s="139"/>
      <c r="M17" s="85"/>
      <c r="N17" s="82"/>
    </row>
    <row r="18" spans="1:14" ht="15">
      <c r="A18" s="139"/>
      <c r="B18" s="139"/>
      <c r="F18" s="85"/>
      <c r="G18" s="82"/>
      <c r="H18" s="139" t="s">
        <v>147</v>
      </c>
      <c r="I18" s="139"/>
      <c r="J18" s="83"/>
      <c r="K18" s="83"/>
      <c r="L18" s="83"/>
      <c r="M18" s="85"/>
      <c r="N18" s="82"/>
    </row>
    <row r="19" spans="1:14" ht="15">
      <c r="A19" s="140" t="s">
        <v>26</v>
      </c>
      <c r="B19" s="140"/>
      <c r="C19" s="93">
        <v>7</v>
      </c>
      <c r="D19" s="93">
        <v>79</v>
      </c>
      <c r="E19" s="93">
        <v>154</v>
      </c>
      <c r="F19" s="94">
        <v>1</v>
      </c>
      <c r="G19" s="82"/>
      <c r="H19" s="140" t="s">
        <v>25</v>
      </c>
      <c r="I19" s="140"/>
      <c r="J19" s="93">
        <f>J11+J12+J13+J14+J15+J16+J17+J18</f>
        <v>25</v>
      </c>
      <c r="K19" s="93">
        <f>K11+K12+K13+K14+K15+K16+K17+K18</f>
        <v>3199</v>
      </c>
      <c r="L19" s="93">
        <f>L11+L12+L13+L14+L15+L16+L17+L18</f>
        <v>6842</v>
      </c>
      <c r="M19" s="94">
        <f>M11+M12+M13+M14+M15+M16+M17+M18</f>
        <v>1</v>
      </c>
      <c r="N19" s="82"/>
    </row>
    <row r="20" spans="1:14" ht="15">
      <c r="A20" s="140" t="s">
        <v>27</v>
      </c>
      <c r="B20" s="140"/>
      <c r="C20" s="93">
        <v>29</v>
      </c>
      <c r="D20" s="93">
        <v>228</v>
      </c>
      <c r="E20" s="93">
        <v>466</v>
      </c>
      <c r="F20" s="94">
        <v>1</v>
      </c>
      <c r="G20" s="82"/>
      <c r="H20" s="83"/>
      <c r="I20" s="83"/>
      <c r="J20" s="83"/>
      <c r="K20" s="83"/>
      <c r="L20" s="83"/>
      <c r="M20" s="83"/>
      <c r="N20" s="82"/>
    </row>
    <row r="21" spans="1:14" ht="15">
      <c r="A21" s="140" t="s">
        <v>29</v>
      </c>
      <c r="B21" s="140"/>
      <c r="C21" s="93">
        <v>3</v>
      </c>
      <c r="D21" s="93">
        <v>16</v>
      </c>
      <c r="E21" s="93">
        <v>30</v>
      </c>
      <c r="F21" s="94">
        <v>1</v>
      </c>
      <c r="G21" s="82"/>
      <c r="H21" s="139" t="s">
        <v>28</v>
      </c>
      <c r="I21" s="139"/>
      <c r="J21" s="83">
        <v>2</v>
      </c>
      <c r="K21" s="83">
        <v>50</v>
      </c>
      <c r="L21" s="83">
        <v>100</v>
      </c>
      <c r="M21" s="85">
        <f>L21/L$25</f>
        <v>0.29411764705882354</v>
      </c>
      <c r="N21" s="82"/>
    </row>
    <row r="22" spans="1:14" ht="15">
      <c r="A22" s="140" t="s">
        <v>94</v>
      </c>
      <c r="B22" s="140"/>
      <c r="C22" s="93">
        <v>5</v>
      </c>
      <c r="D22" s="93"/>
      <c r="E22" s="93">
        <v>1598</v>
      </c>
      <c r="F22" s="94">
        <v>1</v>
      </c>
      <c r="G22" s="82"/>
      <c r="H22" s="139" t="s">
        <v>30</v>
      </c>
      <c r="I22" s="139"/>
      <c r="J22" s="83">
        <v>1</v>
      </c>
      <c r="K22" s="83">
        <v>92</v>
      </c>
      <c r="L22" s="83">
        <v>184</v>
      </c>
      <c r="M22" s="85">
        <f>L22/L$25</f>
        <v>0.54117647058823526</v>
      </c>
      <c r="N22" s="82"/>
    </row>
    <row r="23" spans="1:14" ht="15">
      <c r="A23" s="139"/>
      <c r="B23" s="139"/>
      <c r="C23" s="83"/>
      <c r="D23" s="83"/>
      <c r="E23" s="83"/>
      <c r="F23" s="85"/>
      <c r="G23" s="82"/>
      <c r="H23" s="139" t="s">
        <v>31</v>
      </c>
      <c r="I23" s="139"/>
      <c r="J23" s="83"/>
      <c r="K23" s="83"/>
      <c r="L23" s="83"/>
      <c r="M23" s="85"/>
      <c r="N23" s="82"/>
    </row>
    <row r="24" spans="1:14" ht="15">
      <c r="A24" s="139" t="s">
        <v>42</v>
      </c>
      <c r="B24" s="139"/>
      <c r="F24" s="85"/>
      <c r="G24" s="82"/>
      <c r="H24" s="139" t="s">
        <v>33</v>
      </c>
      <c r="I24" s="139"/>
      <c r="J24" s="83">
        <v>1</v>
      </c>
      <c r="K24" s="83">
        <v>28</v>
      </c>
      <c r="L24" s="83">
        <v>56</v>
      </c>
      <c r="M24" s="85">
        <f>L24/L$25</f>
        <v>0.16470588235294117</v>
      </c>
      <c r="N24" s="82"/>
    </row>
    <row r="25" spans="1:14" ht="15">
      <c r="A25" s="139" t="s">
        <v>44</v>
      </c>
      <c r="B25" s="139"/>
      <c r="C25" s="83">
        <v>3</v>
      </c>
      <c r="D25" s="83">
        <v>792</v>
      </c>
      <c r="E25" s="83">
        <v>2041</v>
      </c>
      <c r="F25" s="85">
        <f>E25/E$27</f>
        <v>0.69116153064679986</v>
      </c>
      <c r="G25" s="82"/>
      <c r="H25" s="140" t="s">
        <v>37</v>
      </c>
      <c r="I25" s="140"/>
      <c r="J25" s="93">
        <f>J21+J22+J23+J24</f>
        <v>4</v>
      </c>
      <c r="K25" s="93">
        <f>K21+K22+K23+K24</f>
        <v>170</v>
      </c>
      <c r="L25" s="93">
        <f>L21+L22+L23+L24</f>
        <v>340</v>
      </c>
      <c r="M25" s="94">
        <f>M21+M22+M23+M24</f>
        <v>0.99999999999999989</v>
      </c>
      <c r="N25" s="82"/>
    </row>
    <row r="26" spans="1:14" ht="15">
      <c r="A26" s="139" t="s">
        <v>46</v>
      </c>
      <c r="B26" s="139"/>
      <c r="C26" s="83">
        <v>2</v>
      </c>
      <c r="D26" s="83">
        <v>418</v>
      </c>
      <c r="E26" s="83">
        <v>912</v>
      </c>
      <c r="F26" s="85">
        <f>E26/E$27</f>
        <v>0.30883846935320014</v>
      </c>
      <c r="G26" s="82"/>
      <c r="H26" s="141"/>
      <c r="I26" s="141"/>
      <c r="M26" s="83"/>
      <c r="N26" s="82"/>
    </row>
    <row r="27" spans="1:14" ht="15">
      <c r="A27" s="140" t="s">
        <v>47</v>
      </c>
      <c r="B27" s="140"/>
      <c r="C27" s="93">
        <f>C24+C25+C26</f>
        <v>5</v>
      </c>
      <c r="D27" s="93">
        <f>D24+D25+D26</f>
        <v>1210</v>
      </c>
      <c r="E27" s="93">
        <f>E24+E25+E26</f>
        <v>2953</v>
      </c>
      <c r="F27" s="94">
        <f>F24+F25+F26</f>
        <v>1</v>
      </c>
      <c r="G27" s="82"/>
      <c r="H27" s="139" t="s">
        <v>40</v>
      </c>
      <c r="I27" s="139"/>
      <c r="J27" s="83">
        <v>13</v>
      </c>
      <c r="K27" s="83">
        <v>209</v>
      </c>
      <c r="L27" s="83">
        <v>395</v>
      </c>
      <c r="M27" s="85">
        <f>L27/L$30</f>
        <v>0.3701968134957826</v>
      </c>
      <c r="N27" s="82"/>
    </row>
    <row r="28" spans="1:14" ht="15">
      <c r="A28" s="139"/>
      <c r="B28" s="139"/>
      <c r="F28" s="85"/>
      <c r="G28" s="82"/>
      <c r="H28" s="139" t="s">
        <v>41</v>
      </c>
      <c r="I28" s="139"/>
      <c r="J28" s="83">
        <v>9</v>
      </c>
      <c r="K28" s="83">
        <v>357</v>
      </c>
      <c r="L28" s="83">
        <v>656</v>
      </c>
      <c r="M28" s="85">
        <f>L28/L$30</f>
        <v>0.61480787253983127</v>
      </c>
      <c r="N28" s="82"/>
    </row>
    <row r="29" spans="1:14" ht="15">
      <c r="A29" s="139" t="s">
        <v>50</v>
      </c>
      <c r="B29" s="139"/>
      <c r="C29" s="83">
        <v>5</v>
      </c>
      <c r="D29" s="83">
        <v>213</v>
      </c>
      <c r="E29" s="83">
        <v>396</v>
      </c>
      <c r="F29" s="85">
        <f>E29/E$37</f>
        <v>1.0932582408481033E-2</v>
      </c>
      <c r="G29" s="82"/>
      <c r="H29" s="139" t="s">
        <v>43</v>
      </c>
      <c r="I29" s="139"/>
      <c r="J29" s="83">
        <v>1</v>
      </c>
      <c r="K29" s="83">
        <v>8</v>
      </c>
      <c r="L29" s="83">
        <v>16</v>
      </c>
      <c r="M29" s="85">
        <f>L29/L$30</f>
        <v>1.499531396438613E-2</v>
      </c>
      <c r="N29" s="82"/>
    </row>
    <row r="30" spans="1:14" ht="15">
      <c r="A30" s="139" t="s">
        <v>52</v>
      </c>
      <c r="B30" s="139"/>
      <c r="C30" s="83">
        <v>22</v>
      </c>
      <c r="D30" s="83">
        <v>3055</v>
      </c>
      <c r="E30" s="83">
        <v>5735</v>
      </c>
      <c r="F30" s="85">
        <f t="shared" ref="F30:F36" si="0">E30/E$37</f>
        <v>0.15832919220363315</v>
      </c>
      <c r="G30" s="82"/>
      <c r="H30" s="140" t="s">
        <v>45</v>
      </c>
      <c r="I30" s="140"/>
      <c r="J30" s="93">
        <f>J27+J28+J29</f>
        <v>23</v>
      </c>
      <c r="K30" s="93">
        <f>K27+K28+K29</f>
        <v>574</v>
      </c>
      <c r="L30" s="93">
        <f>L27+L28+L29</f>
        <v>1067</v>
      </c>
      <c r="M30" s="94">
        <f>M27+M28+M29</f>
        <v>1</v>
      </c>
      <c r="N30" s="82"/>
    </row>
    <row r="31" spans="1:14" ht="15">
      <c r="A31" s="139" t="s">
        <v>54</v>
      </c>
      <c r="B31" s="139"/>
      <c r="C31" s="83">
        <v>45</v>
      </c>
      <c r="D31" s="83">
        <v>8935</v>
      </c>
      <c r="E31" s="83">
        <v>17106</v>
      </c>
      <c r="F31" s="85">
        <f t="shared" si="0"/>
        <v>0.47225443100877917</v>
      </c>
      <c r="G31" s="82"/>
      <c r="H31" s="141"/>
      <c r="I31" s="141"/>
      <c r="M31" s="83"/>
      <c r="N31" s="82"/>
    </row>
    <row r="32" spans="1:14" ht="15">
      <c r="A32" s="139" t="s">
        <v>143</v>
      </c>
      <c r="B32" s="139"/>
      <c r="C32" s="83"/>
      <c r="D32" s="83"/>
      <c r="E32" s="83"/>
      <c r="F32" s="85"/>
      <c r="G32" s="82"/>
      <c r="H32" s="139" t="s">
        <v>48</v>
      </c>
      <c r="I32" s="139"/>
      <c r="J32" s="83">
        <v>35</v>
      </c>
      <c r="K32" s="83">
        <v>981</v>
      </c>
      <c r="L32" s="83">
        <v>1793</v>
      </c>
      <c r="M32" s="85">
        <f>L32/L$35</f>
        <v>0.50379320033717334</v>
      </c>
      <c r="N32" s="82"/>
    </row>
    <row r="33" spans="1:14" ht="15">
      <c r="A33" s="139" t="s">
        <v>91</v>
      </c>
      <c r="B33" s="139"/>
      <c r="C33" s="83">
        <v>27</v>
      </c>
      <c r="D33" s="83">
        <v>4484</v>
      </c>
      <c r="E33" s="83">
        <v>8592</v>
      </c>
      <c r="F33" s="85">
        <f t="shared" si="0"/>
        <v>0.23720390922643697</v>
      </c>
      <c r="G33" s="82"/>
      <c r="H33" s="139" t="s">
        <v>49</v>
      </c>
      <c r="I33" s="139"/>
      <c r="J33" s="83">
        <v>24</v>
      </c>
      <c r="K33" s="83">
        <v>894</v>
      </c>
      <c r="L33" s="83">
        <v>1709</v>
      </c>
      <c r="M33" s="85">
        <f>L33/L$35</f>
        <v>0.48019106490587243</v>
      </c>
      <c r="N33" s="82"/>
    </row>
    <row r="34" spans="1:14" ht="15">
      <c r="A34" s="139" t="s">
        <v>144</v>
      </c>
      <c r="B34" s="139"/>
      <c r="C34" s="83">
        <v>2</v>
      </c>
      <c r="D34" s="83">
        <v>385</v>
      </c>
      <c r="E34" s="83">
        <v>734</v>
      </c>
      <c r="F34" s="85">
        <f t="shared" si="0"/>
        <v>2.0263927999558281E-2</v>
      </c>
      <c r="G34" s="82"/>
      <c r="H34" s="139" t="s">
        <v>51</v>
      </c>
      <c r="I34" s="139"/>
      <c r="J34" s="83">
        <v>1</v>
      </c>
      <c r="K34" s="83">
        <v>30</v>
      </c>
      <c r="L34" s="83">
        <v>57</v>
      </c>
      <c r="M34" s="85">
        <f>L34/L$35</f>
        <v>1.6015734756954201E-2</v>
      </c>
      <c r="N34" s="82"/>
    </row>
    <row r="35" spans="1:14" ht="15">
      <c r="A35" s="139" t="s">
        <v>57</v>
      </c>
      <c r="B35" s="139"/>
      <c r="C35" s="83">
        <v>7</v>
      </c>
      <c r="D35" s="83">
        <v>1696</v>
      </c>
      <c r="E35" s="83">
        <v>3354</v>
      </c>
      <c r="F35" s="85">
        <f t="shared" si="0"/>
        <v>9.2595660096074214E-2</v>
      </c>
      <c r="G35" s="82"/>
      <c r="H35" s="140" t="s">
        <v>53</v>
      </c>
      <c r="I35" s="140"/>
      <c r="J35" s="93">
        <f>J32+J33+J34</f>
        <v>60</v>
      </c>
      <c r="K35" s="93">
        <f>K32+K33+K34</f>
        <v>1905</v>
      </c>
      <c r="L35" s="93">
        <f>L32+L33+L34</f>
        <v>3559</v>
      </c>
      <c r="M35" s="94">
        <f>M32+M33+M34</f>
        <v>0.99999999999999989</v>
      </c>
      <c r="N35" s="82"/>
    </row>
    <row r="36" spans="1:14" ht="15">
      <c r="A36" s="139" t="s">
        <v>59</v>
      </c>
      <c r="B36" s="139"/>
      <c r="C36" s="83">
        <v>1</v>
      </c>
      <c r="D36" s="83">
        <v>157</v>
      </c>
      <c r="E36" s="83">
        <v>305</v>
      </c>
      <c r="F36" s="85">
        <f t="shared" si="0"/>
        <v>8.4202970570371599E-3</v>
      </c>
      <c r="G36" s="82"/>
      <c r="H36" s="141"/>
      <c r="I36" s="141"/>
      <c r="N36" s="82"/>
    </row>
    <row r="37" spans="1:14" ht="15">
      <c r="A37" s="140" t="s">
        <v>61</v>
      </c>
      <c r="B37" s="140"/>
      <c r="C37" s="93">
        <f>C29+C30+C31+C32+C33+C34+C35+C36</f>
        <v>109</v>
      </c>
      <c r="D37" s="93">
        <f>D29+D30+D31+D32+D33+D34+D35+D36</f>
        <v>18925</v>
      </c>
      <c r="E37" s="93">
        <f>E29+E30+E31+E32+E33+E34+E35+E36</f>
        <v>36222</v>
      </c>
      <c r="F37" s="94">
        <f>F29+F30+F31+F32+F33+F34+F35+F36</f>
        <v>1</v>
      </c>
      <c r="G37" s="82"/>
      <c r="H37" s="140" t="s">
        <v>56</v>
      </c>
      <c r="I37" s="140"/>
      <c r="J37" s="93">
        <v>25</v>
      </c>
      <c r="K37" s="93">
        <v>255</v>
      </c>
      <c r="L37" s="93">
        <v>459</v>
      </c>
      <c r="M37" s="94">
        <v>1</v>
      </c>
      <c r="N37" s="82"/>
    </row>
    <row r="38" spans="1:14" ht="15">
      <c r="A38" s="141"/>
      <c r="B38" s="141"/>
      <c r="C38" s="83"/>
      <c r="D38" s="83"/>
      <c r="E38" s="83"/>
      <c r="F38" s="85"/>
      <c r="G38" s="82"/>
      <c r="H38" s="140" t="s">
        <v>58</v>
      </c>
      <c r="I38" s="140"/>
      <c r="J38" s="93">
        <v>3</v>
      </c>
      <c r="K38" s="93">
        <v>49</v>
      </c>
      <c r="L38" s="93">
        <v>89</v>
      </c>
      <c r="M38" s="94">
        <v>1</v>
      </c>
      <c r="N38" s="82"/>
    </row>
    <row r="39" spans="1:14" ht="15">
      <c r="A39" s="139" t="s">
        <v>62</v>
      </c>
      <c r="B39" s="139"/>
      <c r="C39" s="83">
        <v>7</v>
      </c>
      <c r="D39" s="83">
        <v>316</v>
      </c>
      <c r="E39" s="83">
        <v>586</v>
      </c>
      <c r="F39" s="85">
        <f>E39/E$44</f>
        <v>0.24851569126378287</v>
      </c>
      <c r="G39" s="82"/>
      <c r="H39" s="140" t="s">
        <v>60</v>
      </c>
      <c r="I39" s="140"/>
      <c r="J39" s="93"/>
      <c r="K39" s="93"/>
      <c r="L39" s="93"/>
      <c r="M39" s="94"/>
      <c r="N39" s="82"/>
    </row>
    <row r="40" spans="1:14" ht="15">
      <c r="A40" s="139" t="s">
        <v>63</v>
      </c>
      <c r="B40" s="139"/>
      <c r="C40" s="83">
        <v>7</v>
      </c>
      <c r="D40" s="83">
        <v>521</v>
      </c>
      <c r="E40" s="83">
        <v>974</v>
      </c>
      <c r="F40" s="85">
        <f>E40/E$44</f>
        <v>0.41306191687871074</v>
      </c>
      <c r="G40" s="82"/>
      <c r="H40" s="140" t="s">
        <v>226</v>
      </c>
      <c r="I40" s="140"/>
      <c r="J40" s="93"/>
      <c r="K40" s="93"/>
      <c r="L40" s="93"/>
      <c r="M40" s="94"/>
      <c r="N40" s="82"/>
    </row>
    <row r="41" spans="1:14" ht="15">
      <c r="A41" s="139" t="s">
        <v>64</v>
      </c>
      <c r="B41" s="139"/>
      <c r="C41" s="83">
        <v>3</v>
      </c>
      <c r="D41" s="83">
        <v>319</v>
      </c>
      <c r="E41" s="83">
        <v>580</v>
      </c>
      <c r="F41" s="85">
        <f>E41/E$44</f>
        <v>0.24597116200169636</v>
      </c>
      <c r="G41" s="82"/>
      <c r="H41" s="84"/>
      <c r="I41" s="84"/>
      <c r="N41" s="82"/>
    </row>
    <row r="42" spans="1:14" ht="15">
      <c r="A42" s="139" t="s">
        <v>93</v>
      </c>
      <c r="B42" s="139"/>
      <c r="C42" s="83">
        <v>2</v>
      </c>
      <c r="D42" s="83">
        <v>126</v>
      </c>
      <c r="E42" s="83">
        <v>218</v>
      </c>
      <c r="F42" s="85">
        <f>E42/E$44</f>
        <v>9.2451229855810002E-2</v>
      </c>
      <c r="G42" s="82"/>
      <c r="H42" s="140" t="s">
        <v>65</v>
      </c>
      <c r="I42" s="140"/>
      <c r="J42" s="93">
        <f>C17+C19+C20+C21+C22+C27+C37+C44+J25+J30+J35+J19+J37+J38+J39</f>
        <v>546</v>
      </c>
      <c r="K42" s="93">
        <f>D17+D19+D20+D21+D22+D27+D37+D44+K25+K30+K35+K19+K37+K38+K39</f>
        <v>35111</v>
      </c>
      <c r="L42" s="93">
        <f>E17+E19+E20+E21+E22+E27+E37+E44+L25+L30+L35+L19+L37+L38+L39</f>
        <v>77291</v>
      </c>
      <c r="M42" s="82"/>
      <c r="N42" s="82"/>
    </row>
    <row r="43" spans="1:14" ht="15">
      <c r="A43" s="139" t="s">
        <v>67</v>
      </c>
      <c r="B43" s="139"/>
      <c r="F43" s="85"/>
      <c r="G43" s="82"/>
      <c r="N43" s="82"/>
    </row>
    <row r="44" spans="1:14" ht="15">
      <c r="A44" s="140" t="s">
        <v>68</v>
      </c>
      <c r="B44" s="140"/>
      <c r="C44" s="93">
        <f>C39+C40+C41+C42+C43</f>
        <v>19</v>
      </c>
      <c r="D44" s="93">
        <f>D39+D40+D41+D42+D43</f>
        <v>1282</v>
      </c>
      <c r="E44" s="93">
        <f>E39+E40+E41+E42+E43</f>
        <v>2358</v>
      </c>
      <c r="F44" s="94">
        <f>F39+F40+F41+F42+F43</f>
        <v>0.99999999999999989</v>
      </c>
      <c r="G44" s="82"/>
      <c r="N44" s="82"/>
    </row>
    <row r="45" spans="1:14" ht="14.2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C49" s="83"/>
      <c r="D49" s="83"/>
      <c r="E49" s="83"/>
      <c r="F49" s="85"/>
      <c r="G49" s="82"/>
      <c r="H49" s="77"/>
      <c r="I49" s="77"/>
      <c r="N49" s="82"/>
    </row>
    <row r="50" spans="1:14" ht="15">
      <c r="A50" s="139"/>
      <c r="B50" s="139"/>
      <c r="C50" s="83"/>
      <c r="D50" s="83"/>
      <c r="E50" s="83"/>
      <c r="F50" s="85"/>
      <c r="G50" s="82"/>
      <c r="H50" s="77"/>
      <c r="I50" s="77"/>
      <c r="N50" s="82"/>
    </row>
    <row r="51" spans="1:14" ht="15">
      <c r="A51" s="139"/>
      <c r="B51" s="139"/>
      <c r="F51" s="85"/>
      <c r="G51" s="82"/>
    </row>
    <row r="52" spans="1:14" ht="15">
      <c r="A52" s="139"/>
      <c r="B52" s="139"/>
      <c r="F52" s="85"/>
      <c r="G52" s="82"/>
    </row>
    <row r="53" spans="1:14" ht="15">
      <c r="A53" s="139"/>
      <c r="B53" s="139"/>
      <c r="C53" s="83"/>
      <c r="D53" s="83"/>
      <c r="E53" s="83"/>
      <c r="F53" s="85"/>
      <c r="G53" s="76"/>
    </row>
    <row r="54" spans="1:14">
      <c r="C54" s="76"/>
      <c r="D54" s="76"/>
      <c r="E54" s="76"/>
      <c r="F54" s="76"/>
    </row>
  </sheetData>
  <sheetProtection algorithmName="SHA-512" hashValue="RxeVj6A7KsNRYBjdJjQf4napD4Ww7+WpyLJZnj9YOKY/jSPZRerZ/58feKGzgUb84DPNRpAVLh08HUAjNdioRg==" saltValue="1HS648xBxHjyvM/eRBlvbA==" spinCount="100000" sheet="1"/>
  <mergeCells count="77">
    <mergeCell ref="A8:B8"/>
    <mergeCell ref="H8:I8"/>
    <mergeCell ref="A9:B9"/>
    <mergeCell ref="H9:I9"/>
    <mergeCell ref="A10:B10"/>
    <mergeCell ref="H10:I10"/>
    <mergeCell ref="A13:B13"/>
    <mergeCell ref="H23:I23"/>
    <mergeCell ref="H11:I11"/>
    <mergeCell ref="H12:I12"/>
    <mergeCell ref="H13:I13"/>
    <mergeCell ref="H14:I14"/>
    <mergeCell ref="A15:B15"/>
    <mergeCell ref="A11:B11"/>
    <mergeCell ref="H21:I21"/>
    <mergeCell ref="A12:B12"/>
    <mergeCell ref="A17:B17"/>
    <mergeCell ref="A18:B18"/>
    <mergeCell ref="A14:B14"/>
    <mergeCell ref="H15:I15"/>
    <mergeCell ref="H16:I16"/>
    <mergeCell ref="H17:I17"/>
    <mergeCell ref="A19:B19"/>
    <mergeCell ref="A25:B25"/>
    <mergeCell ref="H26:I26"/>
    <mergeCell ref="H18:I18"/>
    <mergeCell ref="H19:I19"/>
    <mergeCell ref="A22:B22"/>
    <mergeCell ref="H24:I24"/>
    <mergeCell ref="A23:B23"/>
    <mergeCell ref="A24:B24"/>
    <mergeCell ref="A26:B26"/>
    <mergeCell ref="H25:I25"/>
    <mergeCell ref="H22:I22"/>
    <mergeCell ref="A20:B20"/>
    <mergeCell ref="A21:B21"/>
    <mergeCell ref="A27:B27"/>
    <mergeCell ref="H27:I27"/>
    <mergeCell ref="H33:I33"/>
    <mergeCell ref="H34:I34"/>
    <mergeCell ref="A28:B28"/>
    <mergeCell ref="H29:I29"/>
    <mergeCell ref="H28:I28"/>
    <mergeCell ref="H35:I35"/>
    <mergeCell ref="A29:B29"/>
    <mergeCell ref="A30:B30"/>
    <mergeCell ref="A31:B31"/>
    <mergeCell ref="H30:I30"/>
    <mergeCell ref="H31:I31"/>
    <mergeCell ref="H32:I32"/>
    <mergeCell ref="A32:B32"/>
    <mergeCell ref="H39:I39"/>
    <mergeCell ref="A37:B37"/>
    <mergeCell ref="A38:B38"/>
    <mergeCell ref="A40:B40"/>
    <mergeCell ref="H40:I40"/>
    <mergeCell ref="H42:I42"/>
    <mergeCell ref="A53:B53"/>
    <mergeCell ref="A33:B33"/>
    <mergeCell ref="A36:B36"/>
    <mergeCell ref="A39:B39"/>
    <mergeCell ref="A47:B47"/>
    <mergeCell ref="A48:B48"/>
    <mergeCell ref="A35:B35"/>
    <mergeCell ref="A34:B34"/>
    <mergeCell ref="A49:B49"/>
    <mergeCell ref="A50:B50"/>
    <mergeCell ref="H37:I37"/>
    <mergeCell ref="A41:B41"/>
    <mergeCell ref="H38:I38"/>
    <mergeCell ref="H36:I36"/>
    <mergeCell ref="A42:B42"/>
    <mergeCell ref="A51:B51"/>
    <mergeCell ref="A52:B52"/>
    <mergeCell ref="A43:B43"/>
    <mergeCell ref="A44:B44"/>
    <mergeCell ref="A46:B46"/>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B44"/>
  <sheetViews>
    <sheetView showGridLines="0" zoomScaleNormal="100" zoomScaleSheetLayoutView="100" workbookViewId="0"/>
  </sheetViews>
  <sheetFormatPr baseColWidth="10" defaultColWidth="9.140625" defaultRowHeight="12.75"/>
  <cols>
    <col min="1" max="1" width="80.5703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5" width="8.7109375" style="57" customWidth="1"/>
    <col min="36" max="36" width="9.140625" style="57" customWidth="1"/>
    <col min="37" max="37" width="8.7109375" style="57" customWidth="1"/>
    <col min="38" max="38" width="9.140625" style="57" customWidth="1"/>
    <col min="39" max="39" width="8.7109375" style="57" customWidth="1"/>
    <col min="40" max="40" width="9.140625" style="57" customWidth="1"/>
    <col min="41" max="41" width="8.7109375" style="57" customWidth="1"/>
    <col min="42" max="42" width="9.140625" style="57" customWidth="1"/>
    <col min="43" max="45" width="8.7109375" style="57" customWidth="1"/>
    <col min="46" max="46" width="9.140625" style="57" customWidth="1"/>
    <col min="47" max="47" width="8.7109375" style="57" customWidth="1"/>
    <col min="48" max="48" width="9.5703125" style="57" customWidth="1"/>
    <col min="49" max="49" width="8.7109375" style="57" customWidth="1"/>
    <col min="50" max="50" width="9.140625" style="57" customWidth="1"/>
    <col min="51" max="51" width="8.7109375" style="57" customWidth="1"/>
    <col min="52" max="52" width="9.140625" style="57" customWidth="1"/>
    <col min="53" max="53" width="8.7109375" style="57" customWidth="1"/>
    <col min="54" max="54" width="9.140625" style="57" customWidth="1"/>
    <col min="55" max="55" width="8.7109375" style="57" customWidth="1"/>
    <col min="56" max="56" width="9.140625" style="57" customWidth="1"/>
    <col min="57" max="63" width="8.7109375" style="57" customWidth="1"/>
    <col min="64" max="70" width="9.140625" style="57" customWidth="1"/>
    <col min="71" max="71" width="8.7109375" style="57" customWidth="1"/>
    <col min="72" max="72" width="9.140625" style="57" customWidth="1"/>
    <col min="73" max="73" width="8.7109375" style="57" customWidth="1"/>
    <col min="74" max="75" width="9.140625" style="57"/>
    <col min="76" max="78" width="12.28515625" style="57" customWidth="1"/>
    <col min="79" max="79" width="42.85546875" style="57" customWidth="1"/>
    <col min="80" max="16384" width="9.140625" style="57"/>
  </cols>
  <sheetData>
    <row r="1" spans="1:132" ht="16.5">
      <c r="A1" s="75"/>
    </row>
    <row r="2" spans="1:132">
      <c r="A2" s="77"/>
    </row>
    <row r="3" spans="1:132" ht="16.5">
      <c r="A3" s="5" t="s">
        <v>191</v>
      </c>
    </row>
    <row r="4" spans="1:132" s="88" customFormat="1" ht="16.5">
      <c r="A4" s="30" t="s">
        <v>192</v>
      </c>
    </row>
    <row r="5" spans="1:132" s="88" customFormat="1" ht="16.5">
      <c r="A5" s="30" t="s">
        <v>193</v>
      </c>
    </row>
    <row r="7" spans="1:132" s="89" customFormat="1" ht="15" customHeight="1">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91</v>
      </c>
      <c r="AC7" s="143"/>
      <c r="AD7" s="143" t="s">
        <v>144</v>
      </c>
      <c r="AE7" s="143"/>
      <c r="AF7" s="143" t="s">
        <v>162</v>
      </c>
      <c r="AG7" s="143"/>
      <c r="AH7" s="143" t="s">
        <v>214</v>
      </c>
      <c r="AI7" s="143"/>
      <c r="AJ7" s="143" t="s">
        <v>16</v>
      </c>
      <c r="AK7" s="143"/>
      <c r="AL7" s="143" t="s">
        <v>18</v>
      </c>
      <c r="AM7" s="143"/>
      <c r="AN7" s="143" t="s">
        <v>20</v>
      </c>
      <c r="AO7" s="143"/>
      <c r="AP7" s="143" t="s">
        <v>22</v>
      </c>
      <c r="AQ7" s="143"/>
      <c r="AR7" s="143" t="s">
        <v>92</v>
      </c>
      <c r="AS7" s="143"/>
      <c r="AT7" s="143" t="s">
        <v>63</v>
      </c>
      <c r="AU7" s="143"/>
      <c r="AV7" s="143" t="s">
        <v>64</v>
      </c>
      <c r="AW7" s="143"/>
      <c r="AX7" s="143" t="s">
        <v>93</v>
      </c>
      <c r="AY7" s="143"/>
      <c r="AZ7" s="143" t="s">
        <v>26</v>
      </c>
      <c r="BA7" s="143"/>
      <c r="BB7" s="143" t="s">
        <v>40</v>
      </c>
      <c r="BC7" s="143"/>
      <c r="BD7" s="143" t="s">
        <v>41</v>
      </c>
      <c r="BE7" s="143"/>
      <c r="BF7" s="143" t="s">
        <v>43</v>
      </c>
      <c r="BG7" s="143"/>
      <c r="BH7" s="143" t="s">
        <v>48</v>
      </c>
      <c r="BI7" s="143"/>
      <c r="BJ7" s="143" t="s">
        <v>49</v>
      </c>
      <c r="BK7" s="143"/>
      <c r="BL7" s="143" t="s">
        <v>51</v>
      </c>
      <c r="BM7" s="143"/>
      <c r="BN7" s="143" t="s">
        <v>28</v>
      </c>
      <c r="BO7" s="143"/>
      <c r="BP7" s="143" t="s">
        <v>30</v>
      </c>
      <c r="BQ7" s="143"/>
      <c r="BR7" s="143" t="s">
        <v>33</v>
      </c>
      <c r="BS7" s="143"/>
      <c r="BT7" s="143" t="s">
        <v>29</v>
      </c>
      <c r="BU7" s="143"/>
      <c r="BV7" s="143" t="s">
        <v>65</v>
      </c>
      <c r="BW7" s="143"/>
    </row>
    <row r="8" spans="1:132" s="89" customFormat="1" ht="15" customHeight="1">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row>
    <row r="9" spans="1:132" s="89" customFormat="1" ht="15" customHeigh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row>
    <row r="10" spans="1:132" ht="15">
      <c r="A10" s="37" t="s">
        <v>219</v>
      </c>
      <c r="B10" s="12">
        <v>27</v>
      </c>
      <c r="C10" s="12">
        <v>1712</v>
      </c>
      <c r="D10" s="12">
        <v>10</v>
      </c>
      <c r="E10" s="12">
        <v>865</v>
      </c>
      <c r="F10" s="12">
        <v>6</v>
      </c>
      <c r="G10" s="12">
        <v>1514</v>
      </c>
      <c r="H10" s="12"/>
      <c r="I10" s="12"/>
      <c r="J10" s="12"/>
      <c r="K10" s="12"/>
      <c r="L10" s="12">
        <v>13</v>
      </c>
      <c r="M10" s="12">
        <v>222</v>
      </c>
      <c r="N10" s="12"/>
      <c r="O10" s="12"/>
      <c r="P10" s="12"/>
      <c r="Q10" s="12"/>
      <c r="R10" s="12"/>
      <c r="S10" s="12"/>
      <c r="T10" s="12"/>
      <c r="U10" s="12"/>
      <c r="V10" s="12">
        <v>3</v>
      </c>
      <c r="W10" s="12">
        <v>253</v>
      </c>
      <c r="X10" s="12">
        <v>5</v>
      </c>
      <c r="Y10" s="12">
        <v>1727</v>
      </c>
      <c r="Z10" s="12">
        <v>6</v>
      </c>
      <c r="AA10" s="12">
        <v>1945</v>
      </c>
      <c r="AB10" s="12">
        <v>8</v>
      </c>
      <c r="AC10" s="12">
        <v>2392</v>
      </c>
      <c r="AD10" s="12">
        <v>1</v>
      </c>
      <c r="AE10" s="12">
        <v>413</v>
      </c>
      <c r="AF10" s="12">
        <v>1</v>
      </c>
      <c r="AG10" s="12">
        <v>23</v>
      </c>
      <c r="AH10" s="12">
        <v>1</v>
      </c>
      <c r="AI10" s="12">
        <v>305</v>
      </c>
      <c r="AJ10" s="12"/>
      <c r="AK10" s="12"/>
      <c r="AL10" s="12">
        <v>1</v>
      </c>
      <c r="AM10" s="12">
        <v>213</v>
      </c>
      <c r="AN10" s="12">
        <v>1</v>
      </c>
      <c r="AO10" s="12">
        <v>517</v>
      </c>
      <c r="AP10" s="12"/>
      <c r="AQ10" s="12"/>
      <c r="AR10" s="12">
        <v>2</v>
      </c>
      <c r="AS10" s="12">
        <v>169</v>
      </c>
      <c r="AT10" s="12">
        <v>3</v>
      </c>
      <c r="AU10" s="12">
        <v>411</v>
      </c>
      <c r="AV10" s="12"/>
      <c r="AW10" s="12"/>
      <c r="AX10" s="12">
        <v>1</v>
      </c>
      <c r="AY10" s="12">
        <v>199</v>
      </c>
      <c r="AZ10" s="12">
        <v>1</v>
      </c>
      <c r="BA10" s="12">
        <v>20</v>
      </c>
      <c r="BB10" s="12">
        <v>2</v>
      </c>
      <c r="BC10" s="12">
        <v>101</v>
      </c>
      <c r="BD10" s="12">
        <v>1</v>
      </c>
      <c r="BE10" s="12">
        <v>75</v>
      </c>
      <c r="BF10" s="12"/>
      <c r="BG10" s="12"/>
      <c r="BH10" s="12">
        <v>10</v>
      </c>
      <c r="BI10" s="96">
        <v>437</v>
      </c>
      <c r="BJ10" s="12">
        <v>4</v>
      </c>
      <c r="BK10" s="12">
        <v>148</v>
      </c>
      <c r="BL10" s="12">
        <v>1</v>
      </c>
      <c r="BM10" s="12">
        <v>57</v>
      </c>
      <c r="BN10" s="12"/>
      <c r="BO10" s="12"/>
      <c r="BP10" s="12"/>
      <c r="BQ10" s="12"/>
      <c r="BR10" s="12"/>
      <c r="BS10" s="12"/>
      <c r="BT10" s="12"/>
      <c r="BU10" s="12"/>
      <c r="BV10" s="15">
        <f t="shared" ref="BV10:BW15" si="0">B10+D10+F10+H10+J10+L10+N10+P10+R10+T10+V10+X10+Z10+AB10+AD10+AF10+AH10+AJ10+AL10+AN10+AP10+AR10+AT10+AV10+AX10+AZ10+BB10+BD10+BF10+BH10+BJ10+BL10+BN10+BP10+BR10+BT10</f>
        <v>108</v>
      </c>
      <c r="BW10" s="15">
        <f t="shared" si="0"/>
        <v>13718</v>
      </c>
      <c r="BX10" s="90"/>
      <c r="CW10" s="89"/>
      <c r="CX10" s="89"/>
      <c r="EB10" s="91"/>
    </row>
    <row r="11" spans="1:132" ht="15">
      <c r="A11" s="69" t="s">
        <v>84</v>
      </c>
      <c r="B11" s="12">
        <v>34</v>
      </c>
      <c r="C11" s="12">
        <v>2371</v>
      </c>
      <c r="D11" s="12">
        <v>14</v>
      </c>
      <c r="E11" s="12">
        <v>1793</v>
      </c>
      <c r="F11" s="12">
        <v>2</v>
      </c>
      <c r="G11" s="12">
        <v>60</v>
      </c>
      <c r="H11" s="12"/>
      <c r="I11" s="12"/>
      <c r="J11" s="12">
        <v>5</v>
      </c>
      <c r="K11" s="12">
        <v>98</v>
      </c>
      <c r="L11" s="12">
        <v>9</v>
      </c>
      <c r="M11" s="12">
        <v>199</v>
      </c>
      <c r="N11" s="12">
        <v>1</v>
      </c>
      <c r="O11" s="12">
        <v>274</v>
      </c>
      <c r="P11" s="12"/>
      <c r="Q11" s="12"/>
      <c r="R11" s="12"/>
      <c r="S11" s="12"/>
      <c r="T11" s="12"/>
      <c r="U11" s="12"/>
      <c r="V11" s="12">
        <v>2</v>
      </c>
      <c r="W11" s="12">
        <v>143</v>
      </c>
      <c r="X11" s="12">
        <v>7</v>
      </c>
      <c r="Y11" s="12">
        <v>2048</v>
      </c>
      <c r="Z11" s="12">
        <v>11</v>
      </c>
      <c r="AA11" s="12">
        <v>2881</v>
      </c>
      <c r="AB11" s="12">
        <v>3</v>
      </c>
      <c r="AC11" s="12">
        <v>997</v>
      </c>
      <c r="AD11" s="12"/>
      <c r="AE11" s="12"/>
      <c r="AF11" s="12"/>
      <c r="AG11" s="12"/>
      <c r="AH11" s="12"/>
      <c r="AI11" s="12"/>
      <c r="AJ11" s="12">
        <v>1</v>
      </c>
      <c r="AK11" s="12">
        <v>104</v>
      </c>
      <c r="AL11" s="12"/>
      <c r="AM11" s="12"/>
      <c r="AN11" s="12">
        <v>3</v>
      </c>
      <c r="AO11" s="12">
        <v>1107</v>
      </c>
      <c r="AP11" s="12">
        <v>2</v>
      </c>
      <c r="AQ11" s="12">
        <v>338</v>
      </c>
      <c r="AR11" s="12">
        <v>5</v>
      </c>
      <c r="AS11" s="12">
        <v>417</v>
      </c>
      <c r="AT11" s="12">
        <v>3</v>
      </c>
      <c r="AU11" s="12">
        <v>479</v>
      </c>
      <c r="AV11" s="12"/>
      <c r="AW11" s="12"/>
      <c r="AX11" s="12"/>
      <c r="AY11" s="12"/>
      <c r="AZ11" s="12">
        <v>2</v>
      </c>
      <c r="BA11" s="12">
        <v>46</v>
      </c>
      <c r="BB11" s="12">
        <v>2</v>
      </c>
      <c r="BC11" s="12">
        <v>76</v>
      </c>
      <c r="BD11" s="12">
        <v>3</v>
      </c>
      <c r="BE11" s="12">
        <v>298</v>
      </c>
      <c r="BF11" s="12"/>
      <c r="BG11" s="12"/>
      <c r="BH11" s="12">
        <v>16</v>
      </c>
      <c r="BI11" s="12">
        <v>1028</v>
      </c>
      <c r="BJ11" s="12">
        <v>12</v>
      </c>
      <c r="BK11" s="12">
        <v>1056</v>
      </c>
      <c r="BL11" s="12"/>
      <c r="BM11" s="12"/>
      <c r="BN11" s="12"/>
      <c r="BO11" s="12"/>
      <c r="BP11" s="12">
        <v>1</v>
      </c>
      <c r="BQ11" s="12">
        <v>184</v>
      </c>
      <c r="BR11" s="12"/>
      <c r="BS11" s="12"/>
      <c r="BT11" s="12">
        <v>1</v>
      </c>
      <c r="BU11" s="12">
        <v>10</v>
      </c>
      <c r="BV11" s="15">
        <f t="shared" si="0"/>
        <v>139</v>
      </c>
      <c r="BW11" s="15">
        <f t="shared" si="0"/>
        <v>16007</v>
      </c>
      <c r="CW11" s="89"/>
      <c r="CX11" s="89"/>
    </row>
    <row r="12" spans="1:132" ht="15">
      <c r="A12" s="37" t="s">
        <v>85</v>
      </c>
      <c r="B12" s="12">
        <v>6</v>
      </c>
      <c r="C12" s="12">
        <v>514</v>
      </c>
      <c r="D12" s="12">
        <v>6</v>
      </c>
      <c r="E12" s="12">
        <v>513</v>
      </c>
      <c r="F12" s="12">
        <v>4</v>
      </c>
      <c r="G12" s="12">
        <v>298</v>
      </c>
      <c r="H12" s="12">
        <v>1</v>
      </c>
      <c r="I12" s="12">
        <v>29</v>
      </c>
      <c r="J12" s="12">
        <v>9</v>
      </c>
      <c r="K12" s="12">
        <v>135</v>
      </c>
      <c r="L12" s="12">
        <v>1</v>
      </c>
      <c r="M12" s="12">
        <v>8</v>
      </c>
      <c r="N12" s="12"/>
      <c r="O12" s="12"/>
      <c r="P12" s="12"/>
      <c r="Q12" s="12"/>
      <c r="R12" s="12">
        <v>2</v>
      </c>
      <c r="S12" s="12">
        <v>912</v>
      </c>
      <c r="T12" s="12"/>
      <c r="U12" s="12"/>
      <c r="V12" s="12"/>
      <c r="W12" s="12"/>
      <c r="X12" s="12"/>
      <c r="Y12" s="12"/>
      <c r="Z12" s="12">
        <v>2</v>
      </c>
      <c r="AA12" s="12">
        <v>909</v>
      </c>
      <c r="AB12" s="12">
        <v>6</v>
      </c>
      <c r="AC12" s="12">
        <v>1717</v>
      </c>
      <c r="AD12" s="12"/>
      <c r="AE12" s="12"/>
      <c r="AF12" s="12">
        <v>1</v>
      </c>
      <c r="AG12" s="12">
        <v>116</v>
      </c>
      <c r="AH12" s="12"/>
      <c r="AI12" s="12"/>
      <c r="AJ12" s="12"/>
      <c r="AK12" s="12"/>
      <c r="AL12" s="12"/>
      <c r="AM12" s="12"/>
      <c r="AN12" s="12"/>
      <c r="AO12" s="12"/>
      <c r="AP12" s="12"/>
      <c r="AQ12" s="12"/>
      <c r="AR12" s="12"/>
      <c r="AS12" s="12"/>
      <c r="AT12" s="12"/>
      <c r="AU12" s="12"/>
      <c r="AV12" s="12"/>
      <c r="AW12" s="12"/>
      <c r="AX12" s="12"/>
      <c r="AY12" s="12"/>
      <c r="AZ12" s="12">
        <v>3</v>
      </c>
      <c r="BA12" s="12">
        <v>59</v>
      </c>
      <c r="BB12" s="12">
        <v>1</v>
      </c>
      <c r="BC12" s="12">
        <v>20</v>
      </c>
      <c r="BD12" s="12">
        <v>1</v>
      </c>
      <c r="BE12" s="12">
        <v>21</v>
      </c>
      <c r="BF12" s="12"/>
      <c r="BG12" s="12"/>
      <c r="BH12" s="12">
        <v>3</v>
      </c>
      <c r="BI12" s="12">
        <v>118</v>
      </c>
      <c r="BJ12" s="12">
        <v>1</v>
      </c>
      <c r="BK12" s="12">
        <v>222</v>
      </c>
      <c r="BL12" s="12"/>
      <c r="BM12" s="12"/>
      <c r="BN12" s="12"/>
      <c r="BO12" s="12"/>
      <c r="BP12" s="12"/>
      <c r="BQ12" s="12"/>
      <c r="BR12" s="12"/>
      <c r="BS12" s="12"/>
      <c r="BT12" s="12">
        <v>2</v>
      </c>
      <c r="BU12" s="12">
        <v>20</v>
      </c>
      <c r="BV12" s="15">
        <f t="shared" si="0"/>
        <v>49</v>
      </c>
      <c r="BW12" s="15">
        <f t="shared" si="0"/>
        <v>5611</v>
      </c>
      <c r="CW12" s="89"/>
      <c r="CX12" s="89"/>
    </row>
    <row r="13" spans="1:132" ht="15">
      <c r="A13" s="37" t="s">
        <v>86</v>
      </c>
      <c r="B13" s="12">
        <v>25</v>
      </c>
      <c r="C13" s="12">
        <v>1966</v>
      </c>
      <c r="D13" s="12">
        <v>11</v>
      </c>
      <c r="E13" s="12">
        <v>1694</v>
      </c>
      <c r="F13" s="12">
        <v>18</v>
      </c>
      <c r="G13" s="12">
        <v>2054</v>
      </c>
      <c r="H13" s="12">
        <v>3</v>
      </c>
      <c r="I13" s="12">
        <v>558</v>
      </c>
      <c r="J13" s="12">
        <v>1</v>
      </c>
      <c r="K13" s="12">
        <v>8</v>
      </c>
      <c r="L13" s="12">
        <v>1</v>
      </c>
      <c r="M13" s="12">
        <v>12</v>
      </c>
      <c r="N13" s="12">
        <v>1</v>
      </c>
      <c r="O13" s="12">
        <v>400</v>
      </c>
      <c r="P13" s="12"/>
      <c r="Q13" s="12"/>
      <c r="R13" s="12"/>
      <c r="S13" s="12"/>
      <c r="T13" s="12"/>
      <c r="U13" s="12"/>
      <c r="V13" s="12"/>
      <c r="W13" s="12"/>
      <c r="X13" s="12">
        <v>6</v>
      </c>
      <c r="Y13" s="12">
        <v>1265</v>
      </c>
      <c r="Z13" s="12">
        <v>13</v>
      </c>
      <c r="AA13" s="12">
        <v>6172</v>
      </c>
      <c r="AB13" s="12">
        <v>3</v>
      </c>
      <c r="AC13" s="12">
        <v>1024</v>
      </c>
      <c r="AD13" s="12"/>
      <c r="AE13" s="12"/>
      <c r="AF13" s="12">
        <v>3</v>
      </c>
      <c r="AG13" s="12">
        <v>2647</v>
      </c>
      <c r="AH13" s="12"/>
      <c r="AI13" s="12"/>
      <c r="AJ13" s="12"/>
      <c r="AK13" s="12"/>
      <c r="AL13" s="12">
        <v>2</v>
      </c>
      <c r="AM13" s="12">
        <v>450</v>
      </c>
      <c r="AN13" s="12">
        <v>4</v>
      </c>
      <c r="AO13" s="12">
        <v>755</v>
      </c>
      <c r="AP13" s="12">
        <v>4</v>
      </c>
      <c r="AQ13" s="12">
        <v>1908</v>
      </c>
      <c r="AR13" s="12"/>
      <c r="AS13" s="12"/>
      <c r="AT13" s="12">
        <v>1</v>
      </c>
      <c r="AU13" s="12">
        <v>84</v>
      </c>
      <c r="AV13" s="12">
        <v>2</v>
      </c>
      <c r="AW13" s="12">
        <v>296</v>
      </c>
      <c r="AX13" s="12">
        <v>1</v>
      </c>
      <c r="AY13" s="12">
        <v>19</v>
      </c>
      <c r="AZ13" s="12"/>
      <c r="BA13" s="12"/>
      <c r="BB13" s="12">
        <v>3</v>
      </c>
      <c r="BC13" s="12">
        <v>44</v>
      </c>
      <c r="BD13" s="12"/>
      <c r="BE13" s="12"/>
      <c r="BF13" s="12">
        <v>1</v>
      </c>
      <c r="BG13" s="12">
        <v>16</v>
      </c>
      <c r="BH13" s="12">
        <v>1</v>
      </c>
      <c r="BI13" s="12">
        <v>13</v>
      </c>
      <c r="BJ13" s="12"/>
      <c r="BK13" s="12"/>
      <c r="BL13" s="12"/>
      <c r="BM13" s="12"/>
      <c r="BN13" s="12">
        <v>2</v>
      </c>
      <c r="BO13" s="12">
        <v>100</v>
      </c>
      <c r="BP13" s="12"/>
      <c r="BQ13" s="12"/>
      <c r="BR13" s="12">
        <v>1</v>
      </c>
      <c r="BS13" s="12">
        <v>56</v>
      </c>
      <c r="BT13" s="12"/>
      <c r="BU13" s="12"/>
      <c r="BV13" s="15">
        <f t="shared" si="0"/>
        <v>107</v>
      </c>
      <c r="BW13" s="15">
        <f t="shared" si="0"/>
        <v>21541</v>
      </c>
      <c r="CW13" s="89"/>
      <c r="CX13" s="89"/>
    </row>
    <row r="14" spans="1:132" ht="15">
      <c r="A14" s="37" t="s">
        <v>87</v>
      </c>
      <c r="B14" s="12">
        <v>37</v>
      </c>
      <c r="C14" s="12">
        <v>2115</v>
      </c>
      <c r="D14" s="12">
        <v>16</v>
      </c>
      <c r="E14" s="12">
        <v>1852</v>
      </c>
      <c r="F14" s="12">
        <v>9</v>
      </c>
      <c r="G14" s="12">
        <v>1246</v>
      </c>
      <c r="H14" s="12"/>
      <c r="I14" s="12"/>
      <c r="J14" s="12">
        <v>14</v>
      </c>
      <c r="K14" s="12">
        <v>225</v>
      </c>
      <c r="L14" s="12">
        <v>1</v>
      </c>
      <c r="M14" s="12">
        <v>18</v>
      </c>
      <c r="N14" s="12">
        <v>3</v>
      </c>
      <c r="O14" s="12">
        <v>924</v>
      </c>
      <c r="P14" s="12">
        <v>3</v>
      </c>
      <c r="Q14" s="12">
        <v>2041</v>
      </c>
      <c r="R14" s="12"/>
      <c r="S14" s="12"/>
      <c r="T14" s="12">
        <v>3</v>
      </c>
      <c r="U14" s="12">
        <v>89</v>
      </c>
      <c r="V14" s="12"/>
      <c r="W14" s="12"/>
      <c r="X14" s="12">
        <v>4</v>
      </c>
      <c r="Y14" s="12">
        <v>695</v>
      </c>
      <c r="Z14" s="12">
        <v>13</v>
      </c>
      <c r="AA14" s="12">
        <v>5199</v>
      </c>
      <c r="AB14" s="12">
        <v>7</v>
      </c>
      <c r="AC14" s="12">
        <v>2462</v>
      </c>
      <c r="AD14" s="12">
        <v>1</v>
      </c>
      <c r="AE14" s="12">
        <v>321</v>
      </c>
      <c r="AF14" s="12">
        <v>2</v>
      </c>
      <c r="AG14" s="12">
        <v>568</v>
      </c>
      <c r="AH14" s="12"/>
      <c r="AI14" s="12"/>
      <c r="AJ14" s="12"/>
      <c r="AK14" s="12"/>
      <c r="AL14" s="12"/>
      <c r="AM14" s="12"/>
      <c r="AN14" s="12">
        <v>4</v>
      </c>
      <c r="AO14" s="12">
        <v>1028</v>
      </c>
      <c r="AP14" s="12">
        <v>3</v>
      </c>
      <c r="AQ14" s="12">
        <v>422</v>
      </c>
      <c r="AR14" s="12"/>
      <c r="AS14" s="12"/>
      <c r="AT14" s="12"/>
      <c r="AU14" s="12"/>
      <c r="AV14" s="12">
        <v>1</v>
      </c>
      <c r="AW14" s="12">
        <v>284</v>
      </c>
      <c r="AX14" s="12"/>
      <c r="AY14" s="12"/>
      <c r="AZ14" s="12">
        <v>1</v>
      </c>
      <c r="BA14" s="12">
        <v>29</v>
      </c>
      <c r="BB14" s="12">
        <v>5</v>
      </c>
      <c r="BC14" s="12">
        <v>154</v>
      </c>
      <c r="BD14" s="12">
        <v>4</v>
      </c>
      <c r="BE14" s="12">
        <v>262</v>
      </c>
      <c r="BF14" s="12"/>
      <c r="BG14" s="12"/>
      <c r="BH14" s="12">
        <v>5</v>
      </c>
      <c r="BI14" s="12">
        <v>197</v>
      </c>
      <c r="BJ14" s="12">
        <v>7</v>
      </c>
      <c r="BK14" s="12">
        <v>283</v>
      </c>
      <c r="BL14" s="12"/>
      <c r="BM14" s="12"/>
      <c r="BN14" s="12"/>
      <c r="BO14" s="12"/>
      <c r="BP14" s="12"/>
      <c r="BQ14" s="12"/>
      <c r="BR14" s="12"/>
      <c r="BS14" s="12"/>
      <c r="BT14" s="12"/>
      <c r="BU14" s="12"/>
      <c r="BV14" s="15">
        <f t="shared" si="0"/>
        <v>143</v>
      </c>
      <c r="BW14" s="15">
        <f t="shared" si="0"/>
        <v>20414</v>
      </c>
      <c r="CW14" s="89"/>
      <c r="CX14" s="89"/>
    </row>
    <row r="15" spans="1:132" s="89" customFormat="1" ht="15">
      <c r="A15" s="73" t="s">
        <v>218</v>
      </c>
      <c r="B15" s="39">
        <f>SUM(B10:B14)</f>
        <v>129</v>
      </c>
      <c r="C15" s="39">
        <f t="shared" ref="C15:BN15" si="1">SUM(C10:C14)</f>
        <v>8678</v>
      </c>
      <c r="D15" s="39">
        <f t="shared" si="1"/>
        <v>57</v>
      </c>
      <c r="E15" s="39">
        <f t="shared" si="1"/>
        <v>6717</v>
      </c>
      <c r="F15" s="39">
        <f t="shared" si="1"/>
        <v>39</v>
      </c>
      <c r="G15" s="39">
        <f t="shared" si="1"/>
        <v>5172</v>
      </c>
      <c r="H15" s="39">
        <f t="shared" si="1"/>
        <v>4</v>
      </c>
      <c r="I15" s="39">
        <f t="shared" si="1"/>
        <v>587</v>
      </c>
      <c r="J15" s="39">
        <f t="shared" si="1"/>
        <v>29</v>
      </c>
      <c r="K15" s="39">
        <f t="shared" si="1"/>
        <v>466</v>
      </c>
      <c r="L15" s="39">
        <f t="shared" si="1"/>
        <v>25</v>
      </c>
      <c r="M15" s="39">
        <f t="shared" si="1"/>
        <v>459</v>
      </c>
      <c r="N15" s="39">
        <f t="shared" si="1"/>
        <v>5</v>
      </c>
      <c r="O15" s="39">
        <f t="shared" si="1"/>
        <v>1598</v>
      </c>
      <c r="P15" s="39">
        <f t="shared" si="1"/>
        <v>3</v>
      </c>
      <c r="Q15" s="39">
        <f t="shared" si="1"/>
        <v>2041</v>
      </c>
      <c r="R15" s="39">
        <f t="shared" si="1"/>
        <v>2</v>
      </c>
      <c r="S15" s="39">
        <f t="shared" si="1"/>
        <v>912</v>
      </c>
      <c r="T15" s="39">
        <f t="shared" si="1"/>
        <v>3</v>
      </c>
      <c r="U15" s="39">
        <f t="shared" si="1"/>
        <v>89</v>
      </c>
      <c r="V15" s="39">
        <f t="shared" si="1"/>
        <v>5</v>
      </c>
      <c r="W15" s="39">
        <f t="shared" si="1"/>
        <v>396</v>
      </c>
      <c r="X15" s="39">
        <f t="shared" si="1"/>
        <v>22</v>
      </c>
      <c r="Y15" s="39">
        <f t="shared" si="1"/>
        <v>5735</v>
      </c>
      <c r="Z15" s="39">
        <f t="shared" si="1"/>
        <v>45</v>
      </c>
      <c r="AA15" s="39">
        <f t="shared" si="1"/>
        <v>17106</v>
      </c>
      <c r="AB15" s="39">
        <f t="shared" si="1"/>
        <v>27</v>
      </c>
      <c r="AC15" s="39">
        <f t="shared" si="1"/>
        <v>8592</v>
      </c>
      <c r="AD15" s="39">
        <f t="shared" si="1"/>
        <v>2</v>
      </c>
      <c r="AE15" s="39">
        <f t="shared" si="1"/>
        <v>734</v>
      </c>
      <c r="AF15" s="39">
        <f t="shared" si="1"/>
        <v>7</v>
      </c>
      <c r="AG15" s="39">
        <f t="shared" si="1"/>
        <v>3354</v>
      </c>
      <c r="AH15" s="39">
        <f>SUM(AH10:AH14)</f>
        <v>1</v>
      </c>
      <c r="AI15" s="39">
        <f>SUM(AI10:AI14)</f>
        <v>305</v>
      </c>
      <c r="AJ15" s="39">
        <f t="shared" si="1"/>
        <v>1</v>
      </c>
      <c r="AK15" s="39">
        <f t="shared" si="1"/>
        <v>104</v>
      </c>
      <c r="AL15" s="39">
        <f t="shared" si="1"/>
        <v>3</v>
      </c>
      <c r="AM15" s="39">
        <f t="shared" si="1"/>
        <v>663</v>
      </c>
      <c r="AN15" s="39">
        <f t="shared" si="1"/>
        <v>12</v>
      </c>
      <c r="AO15" s="39">
        <f t="shared" si="1"/>
        <v>3407</v>
      </c>
      <c r="AP15" s="39">
        <f t="shared" si="1"/>
        <v>9</v>
      </c>
      <c r="AQ15" s="39">
        <f t="shared" si="1"/>
        <v>2668</v>
      </c>
      <c r="AR15" s="39">
        <f t="shared" si="1"/>
        <v>7</v>
      </c>
      <c r="AS15" s="39">
        <f t="shared" si="1"/>
        <v>586</v>
      </c>
      <c r="AT15" s="39">
        <f t="shared" si="1"/>
        <v>7</v>
      </c>
      <c r="AU15" s="39">
        <f t="shared" si="1"/>
        <v>974</v>
      </c>
      <c r="AV15" s="39">
        <f t="shared" si="1"/>
        <v>3</v>
      </c>
      <c r="AW15" s="39">
        <f t="shared" si="1"/>
        <v>580</v>
      </c>
      <c r="AX15" s="39">
        <f t="shared" si="1"/>
        <v>2</v>
      </c>
      <c r="AY15" s="39">
        <f t="shared" si="1"/>
        <v>218</v>
      </c>
      <c r="AZ15" s="39">
        <f t="shared" si="1"/>
        <v>7</v>
      </c>
      <c r="BA15" s="39">
        <f t="shared" si="1"/>
        <v>154</v>
      </c>
      <c r="BB15" s="39">
        <f t="shared" si="1"/>
        <v>13</v>
      </c>
      <c r="BC15" s="39">
        <f t="shared" si="1"/>
        <v>395</v>
      </c>
      <c r="BD15" s="39">
        <f t="shared" si="1"/>
        <v>9</v>
      </c>
      <c r="BE15" s="39">
        <f t="shared" si="1"/>
        <v>656</v>
      </c>
      <c r="BF15" s="39">
        <f t="shared" si="1"/>
        <v>1</v>
      </c>
      <c r="BG15" s="39">
        <f t="shared" si="1"/>
        <v>16</v>
      </c>
      <c r="BH15" s="39">
        <f t="shared" si="1"/>
        <v>35</v>
      </c>
      <c r="BI15" s="39">
        <f t="shared" si="1"/>
        <v>1793</v>
      </c>
      <c r="BJ15" s="39">
        <f t="shared" si="1"/>
        <v>24</v>
      </c>
      <c r="BK15" s="39">
        <f t="shared" si="1"/>
        <v>1709</v>
      </c>
      <c r="BL15" s="39">
        <f t="shared" si="1"/>
        <v>1</v>
      </c>
      <c r="BM15" s="39">
        <f t="shared" si="1"/>
        <v>57</v>
      </c>
      <c r="BN15" s="39">
        <f t="shared" si="1"/>
        <v>2</v>
      </c>
      <c r="BO15" s="39">
        <f t="shared" ref="BO15:BU15" si="2">SUM(BO10:BO14)</f>
        <v>100</v>
      </c>
      <c r="BP15" s="39">
        <f t="shared" si="2"/>
        <v>1</v>
      </c>
      <c r="BQ15" s="39">
        <f t="shared" si="2"/>
        <v>184</v>
      </c>
      <c r="BR15" s="39">
        <f t="shared" si="2"/>
        <v>1</v>
      </c>
      <c r="BS15" s="39">
        <f t="shared" si="2"/>
        <v>56</v>
      </c>
      <c r="BT15" s="39">
        <f t="shared" si="2"/>
        <v>3</v>
      </c>
      <c r="BU15" s="39">
        <f t="shared" si="2"/>
        <v>30</v>
      </c>
      <c r="BV15" s="39">
        <f t="shared" si="0"/>
        <v>546</v>
      </c>
      <c r="BW15" s="39">
        <f t="shared" si="0"/>
        <v>77291</v>
      </c>
    </row>
    <row r="16" spans="1:132">
      <c r="A16" s="62" t="s">
        <v>134</v>
      </c>
    </row>
    <row r="17" spans="1:2">
      <c r="A17" s="63" t="s">
        <v>135</v>
      </c>
    </row>
    <row r="18" spans="1:2">
      <c r="A18" s="63" t="s">
        <v>136</v>
      </c>
    </row>
    <row r="21" spans="1:2">
      <c r="A21" s="92"/>
    </row>
    <row r="22" spans="1:2">
      <c r="A22" s="92"/>
      <c r="B22" s="92"/>
    </row>
    <row r="23" spans="1:2">
      <c r="A23" s="92"/>
      <c r="B23" s="92"/>
    </row>
    <row r="24" spans="1:2">
      <c r="A24" s="92"/>
      <c r="B24" s="92"/>
    </row>
    <row r="25" spans="1:2">
      <c r="A25" s="92"/>
      <c r="B25" s="92"/>
    </row>
    <row r="26" spans="1:2">
      <c r="A26" s="92"/>
      <c r="B26" s="92"/>
    </row>
    <row r="27" spans="1:2">
      <c r="A27" s="92"/>
      <c r="B27" s="92"/>
    </row>
    <row r="28" spans="1:2">
      <c r="A28" s="92"/>
      <c r="B28" s="92"/>
    </row>
    <row r="29" spans="1:2">
      <c r="A29" s="92"/>
      <c r="B29" s="92"/>
    </row>
    <row r="30" spans="1:2">
      <c r="A30" s="92"/>
      <c r="B30" s="92"/>
    </row>
    <row r="31" spans="1:2">
      <c r="A31" s="92"/>
      <c r="B31" s="92"/>
    </row>
    <row r="32" spans="1:2">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8">
    <mergeCell ref="J7:K7"/>
    <mergeCell ref="A7:A8"/>
    <mergeCell ref="B7:C7"/>
    <mergeCell ref="D7:E7"/>
    <mergeCell ref="F7:G7"/>
    <mergeCell ref="H7:I7"/>
    <mergeCell ref="AH7:AI7"/>
    <mergeCell ref="L7:M7"/>
    <mergeCell ref="N7:O7"/>
    <mergeCell ref="P7:Q7"/>
    <mergeCell ref="R7:S7"/>
    <mergeCell ref="T7:U7"/>
    <mergeCell ref="V7:W7"/>
    <mergeCell ref="X7:Y7"/>
    <mergeCell ref="Z7:AA7"/>
    <mergeCell ref="AB7:AC7"/>
    <mergeCell ref="AD7:AE7"/>
    <mergeCell ref="AF7:AG7"/>
    <mergeCell ref="BB7:BC7"/>
    <mergeCell ref="AJ7:AK7"/>
    <mergeCell ref="AL7:AM7"/>
    <mergeCell ref="AN7:AO7"/>
    <mergeCell ref="AP7:AQ7"/>
    <mergeCell ref="AR7:AS7"/>
    <mergeCell ref="AT7:AU7"/>
    <mergeCell ref="AV7:AW7"/>
    <mergeCell ref="AX7:AY7"/>
    <mergeCell ref="AZ7:BA7"/>
    <mergeCell ref="BP7:BQ7"/>
    <mergeCell ref="BR7:BS7"/>
    <mergeCell ref="BT7:BU7"/>
    <mergeCell ref="BV7:BW7"/>
    <mergeCell ref="BD7:BE7"/>
    <mergeCell ref="BF7:BG7"/>
    <mergeCell ref="BH7:BI7"/>
    <mergeCell ref="BJ7:BK7"/>
    <mergeCell ref="BL7:BM7"/>
    <mergeCell ref="BN7:BO7"/>
  </mergeCells>
  <conditionalFormatting sqref="A10:BU14 BV10:BW15">
    <cfRule type="expression" dxfId="11" priority="6" stopIfTrue="1">
      <formula>MOD(ROW(),2)=0</formula>
    </cfRule>
  </conditionalFormatting>
  <conditionalFormatting sqref="A1:BW1048576 BX1:IV6 CZ7:IV15 BX16:IV65536">
    <cfRule type="expression" priority="9">
      <formula>SI(0," ")</formula>
    </cfRule>
  </conditionalFormatting>
  <conditionalFormatting sqref="L3">
    <cfRule type="expression" priority="8">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4" manualBreakCount="4">
    <brk id="17" max="1048575" man="1"/>
    <brk id="33" max="1048575" man="1"/>
    <brk id="49" max="1048575" man="1"/>
    <brk id="65"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N53"/>
  <sheetViews>
    <sheetView showGridLines="0" zoomScaleNormal="100" zoomScaleSheetLayoutView="100" workbookViewId="0"/>
  </sheetViews>
  <sheetFormatPr baseColWidth="10" defaultColWidth="9.140625" defaultRowHeight="12.75"/>
  <cols>
    <col min="1" max="1" width="9.140625" style="76"/>
    <col min="2" max="2" width="20" style="76" customWidth="1"/>
    <col min="3" max="3" width="17" style="77" bestFit="1" customWidth="1"/>
    <col min="4" max="4" width="15.28515625" style="77" bestFit="1" customWidth="1"/>
    <col min="5" max="5" width="14.140625"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4" ht="16.5">
      <c r="A3" s="75" t="s">
        <v>169</v>
      </c>
    </row>
    <row r="4" spans="1:14" s="78" customFormat="1" ht="16.5">
      <c r="A4" s="79" t="s">
        <v>170</v>
      </c>
      <c r="B4" s="80"/>
      <c r="H4" s="80"/>
      <c r="I4" s="80"/>
      <c r="L4" s="81"/>
    </row>
    <row r="5" spans="1:14" s="78" customFormat="1" ht="16.5">
      <c r="A5" s="79" t="s">
        <v>171</v>
      </c>
      <c r="B5" s="80"/>
      <c r="H5" s="80"/>
      <c r="I5" s="80"/>
    </row>
    <row r="6" spans="1:14" s="78" customFormat="1" ht="16.5">
      <c r="A6" s="79"/>
      <c r="B6" s="80"/>
      <c r="H6" s="80"/>
      <c r="I6" s="80"/>
    </row>
    <row r="8" spans="1:14">
      <c r="A8" s="137" t="s">
        <v>0</v>
      </c>
      <c r="B8" s="137"/>
      <c r="C8" s="108" t="s">
        <v>1</v>
      </c>
      <c r="D8" s="108" t="s">
        <v>2</v>
      </c>
      <c r="E8" s="108" t="s">
        <v>3</v>
      </c>
      <c r="F8" s="108" t="s">
        <v>4</v>
      </c>
      <c r="H8" s="137" t="s">
        <v>0</v>
      </c>
      <c r="I8" s="137"/>
      <c r="J8" s="108" t="s">
        <v>1</v>
      </c>
      <c r="K8" s="108" t="s">
        <v>2</v>
      </c>
      <c r="L8" s="108" t="s">
        <v>3</v>
      </c>
      <c r="M8" s="108" t="s">
        <v>4</v>
      </c>
    </row>
    <row r="9" spans="1:14">
      <c r="A9" s="138" t="s">
        <v>5</v>
      </c>
      <c r="B9" s="138"/>
      <c r="C9" s="109" t="s">
        <v>6</v>
      </c>
      <c r="D9" s="109" t="s">
        <v>7</v>
      </c>
      <c r="E9" s="109" t="s">
        <v>8</v>
      </c>
      <c r="F9" s="109" t="s">
        <v>9</v>
      </c>
      <c r="H9" s="138" t="s">
        <v>5</v>
      </c>
      <c r="I9" s="138"/>
      <c r="J9" s="109" t="s">
        <v>6</v>
      </c>
      <c r="K9" s="109" t="s">
        <v>7</v>
      </c>
      <c r="L9" s="109" t="s">
        <v>8</v>
      </c>
      <c r="M9" s="109" t="s">
        <v>9</v>
      </c>
    </row>
    <row r="10" spans="1:14">
      <c r="A10" s="138" t="s">
        <v>10</v>
      </c>
      <c r="B10" s="138"/>
      <c r="C10" s="109" t="s">
        <v>11</v>
      </c>
      <c r="D10" s="109" t="s">
        <v>12</v>
      </c>
      <c r="E10" s="109" t="s">
        <v>13</v>
      </c>
      <c r="F10" s="109" t="s">
        <v>14</v>
      </c>
      <c r="H10" s="138" t="s">
        <v>10</v>
      </c>
      <c r="I10" s="138"/>
      <c r="J10" s="109" t="s">
        <v>11</v>
      </c>
      <c r="K10" s="109" t="s">
        <v>12</v>
      </c>
      <c r="L10" s="109" t="s">
        <v>13</v>
      </c>
      <c r="M10" s="109" t="s">
        <v>14</v>
      </c>
    </row>
    <row r="11" spans="1:14" ht="15">
      <c r="A11" s="139" t="s">
        <v>15</v>
      </c>
      <c r="B11" s="139"/>
      <c r="C11" s="83">
        <v>129</v>
      </c>
      <c r="D11" s="83">
        <v>2844</v>
      </c>
      <c r="E11" s="83">
        <v>8672</v>
      </c>
      <c r="F11" s="85">
        <f>E11/E15</f>
        <v>0.41259872490246458</v>
      </c>
      <c r="G11" s="82"/>
      <c r="H11" s="139" t="s">
        <v>16</v>
      </c>
      <c r="I11" s="139"/>
      <c r="J11" s="83">
        <v>1</v>
      </c>
      <c r="K11" s="83">
        <v>54</v>
      </c>
      <c r="L11" s="83">
        <v>104</v>
      </c>
      <c r="M11" s="85">
        <f>L11/L$19</f>
        <v>1.5200233849751535E-2</v>
      </c>
      <c r="N11" s="82"/>
    </row>
    <row r="12" spans="1:14" ht="15">
      <c r="A12" s="139" t="s">
        <v>17</v>
      </c>
      <c r="B12" s="139"/>
      <c r="C12" s="83">
        <v>58</v>
      </c>
      <c r="D12" s="83">
        <v>2507</v>
      </c>
      <c r="E12" s="83">
        <v>6873</v>
      </c>
      <c r="F12" s="85">
        <f>E12/E15</f>
        <v>0.32700542392235227</v>
      </c>
      <c r="G12" s="82"/>
      <c r="H12" s="139" t="s">
        <v>18</v>
      </c>
      <c r="I12" s="139"/>
      <c r="J12" s="83">
        <v>3</v>
      </c>
      <c r="K12" s="83">
        <v>307</v>
      </c>
      <c r="L12" s="83">
        <v>663</v>
      </c>
      <c r="M12" s="85">
        <f>L12/L$19</f>
        <v>9.6901490792166034E-2</v>
      </c>
      <c r="N12" s="82"/>
    </row>
    <row r="13" spans="1:14" ht="15">
      <c r="A13" s="139" t="s">
        <v>19</v>
      </c>
      <c r="B13" s="139"/>
      <c r="C13" s="83">
        <v>39</v>
      </c>
      <c r="D13" s="83">
        <v>1727</v>
      </c>
      <c r="E13" s="83">
        <v>5050</v>
      </c>
      <c r="F13" s="85">
        <f>E13/E15</f>
        <v>0.24027024455228851</v>
      </c>
      <c r="G13" s="82"/>
      <c r="H13" s="139" t="s">
        <v>20</v>
      </c>
      <c r="I13" s="139"/>
      <c r="J13" s="83">
        <v>12</v>
      </c>
      <c r="K13" s="83">
        <v>1591</v>
      </c>
      <c r="L13" s="83">
        <v>3407</v>
      </c>
      <c r="M13" s="85">
        <f>L13/L$19</f>
        <v>0.4979538146740719</v>
      </c>
      <c r="N13" s="82"/>
    </row>
    <row r="14" spans="1:14" ht="15">
      <c r="A14" s="139" t="s">
        <v>21</v>
      </c>
      <c r="B14" s="139"/>
      <c r="C14" s="83">
        <v>3</v>
      </c>
      <c r="D14" s="83">
        <v>138</v>
      </c>
      <c r="E14" s="83">
        <v>423</v>
      </c>
      <c r="F14" s="85">
        <f>E14/E15</f>
        <v>2.012560662289466E-2</v>
      </c>
      <c r="G14" s="82"/>
      <c r="H14" s="139" t="s">
        <v>145</v>
      </c>
      <c r="I14" s="139"/>
      <c r="J14" s="83"/>
      <c r="K14" s="83"/>
      <c r="L14" s="83"/>
      <c r="M14" s="85"/>
      <c r="N14" s="82"/>
    </row>
    <row r="15" spans="1:14" ht="15">
      <c r="A15" s="140" t="s">
        <v>23</v>
      </c>
      <c r="B15" s="140"/>
      <c r="C15" s="93">
        <f>C11+C12+C13+C14</f>
        <v>229</v>
      </c>
      <c r="D15" s="93">
        <f>D11+D12+D13+D14</f>
        <v>7216</v>
      </c>
      <c r="E15" s="93">
        <f>E11+E12+E13+E14</f>
        <v>21018</v>
      </c>
      <c r="F15" s="94">
        <f>F11+F12+F13+F14</f>
        <v>1</v>
      </c>
      <c r="G15" s="82"/>
      <c r="H15" s="139" t="s">
        <v>22</v>
      </c>
      <c r="I15" s="139"/>
      <c r="J15" s="83">
        <v>9</v>
      </c>
      <c r="K15" s="83">
        <v>1247</v>
      </c>
      <c r="L15" s="83">
        <v>2668</v>
      </c>
      <c r="M15" s="85">
        <f>L15/L$19</f>
        <v>0.38994446068401051</v>
      </c>
      <c r="N15" s="82"/>
    </row>
    <row r="16" spans="1:14" ht="15">
      <c r="A16" s="139"/>
      <c r="B16" s="139"/>
      <c r="F16" s="85"/>
      <c r="G16" s="82"/>
      <c r="H16" s="139" t="s">
        <v>146</v>
      </c>
      <c r="I16" s="139"/>
      <c r="M16" s="85"/>
      <c r="N16" s="82"/>
    </row>
    <row r="17" spans="1:14" ht="15">
      <c r="A17" s="140" t="s">
        <v>26</v>
      </c>
      <c r="B17" s="140"/>
      <c r="C17" s="93">
        <v>7</v>
      </c>
      <c r="D17" s="93">
        <v>79</v>
      </c>
      <c r="E17" s="93">
        <v>154</v>
      </c>
      <c r="F17" s="94">
        <v>1</v>
      </c>
      <c r="G17" s="82"/>
      <c r="H17" s="139" t="s">
        <v>24</v>
      </c>
      <c r="I17" s="139"/>
      <c r="M17" s="85"/>
      <c r="N17" s="82"/>
    </row>
    <row r="18" spans="1:14" ht="15">
      <c r="A18" s="140" t="s">
        <v>27</v>
      </c>
      <c r="B18" s="140"/>
      <c r="C18" s="93">
        <v>29</v>
      </c>
      <c r="D18" s="93">
        <v>228</v>
      </c>
      <c r="E18" s="93">
        <v>466</v>
      </c>
      <c r="F18" s="94">
        <v>1</v>
      </c>
      <c r="G18" s="82"/>
      <c r="H18" s="139" t="s">
        <v>147</v>
      </c>
      <c r="I18" s="139"/>
      <c r="J18" s="83"/>
      <c r="K18" s="83"/>
      <c r="L18" s="83"/>
      <c r="M18" s="85"/>
      <c r="N18" s="82"/>
    </row>
    <row r="19" spans="1:14" ht="15">
      <c r="A19" s="140" t="s">
        <v>29</v>
      </c>
      <c r="B19" s="140"/>
      <c r="C19" s="93">
        <v>3</v>
      </c>
      <c r="D19" s="93">
        <v>16</v>
      </c>
      <c r="E19" s="93">
        <v>30</v>
      </c>
      <c r="F19" s="94">
        <v>1</v>
      </c>
      <c r="G19" s="82"/>
      <c r="H19" s="140" t="s">
        <v>25</v>
      </c>
      <c r="I19" s="140"/>
      <c r="J19" s="93">
        <f>J11+J12+J13+J14+J15+J16+J17+J18</f>
        <v>25</v>
      </c>
      <c r="K19" s="93">
        <f>K11+K12+K13+K14+K15+K16+K17+K18</f>
        <v>3199</v>
      </c>
      <c r="L19" s="93">
        <f>L11+L12+L13+L14+L15+L16+L17+L18</f>
        <v>6842</v>
      </c>
      <c r="M19" s="94">
        <f>M11+M12+M13+M14+M15+M16+M17+M18</f>
        <v>1</v>
      </c>
      <c r="N19" s="82"/>
    </row>
    <row r="20" spans="1:14" ht="15">
      <c r="A20" s="140" t="s">
        <v>94</v>
      </c>
      <c r="B20" s="140"/>
      <c r="C20" s="93">
        <v>5</v>
      </c>
      <c r="D20" s="93"/>
      <c r="E20" s="93">
        <v>1598</v>
      </c>
      <c r="F20" s="94">
        <v>1</v>
      </c>
      <c r="G20" s="82"/>
      <c r="H20" s="83"/>
      <c r="I20" s="83"/>
      <c r="J20" s="83"/>
      <c r="K20" s="83"/>
      <c r="L20" s="83"/>
      <c r="M20" s="83"/>
      <c r="N20" s="82"/>
    </row>
    <row r="21" spans="1:14" ht="15">
      <c r="A21" s="139"/>
      <c r="B21" s="139"/>
      <c r="C21" s="83"/>
      <c r="D21" s="83"/>
      <c r="E21" s="83"/>
      <c r="F21" s="85"/>
      <c r="G21" s="82"/>
      <c r="H21" s="139" t="s">
        <v>28</v>
      </c>
      <c r="I21" s="139"/>
      <c r="J21" s="83">
        <v>2</v>
      </c>
      <c r="K21" s="83">
        <v>50</v>
      </c>
      <c r="L21" s="83">
        <v>100</v>
      </c>
      <c r="M21" s="85">
        <f>L21/L$25</f>
        <v>0.29411764705882354</v>
      </c>
      <c r="N21" s="82"/>
    </row>
    <row r="22" spans="1:14" ht="15">
      <c r="A22" s="139" t="s">
        <v>42</v>
      </c>
      <c r="B22" s="139"/>
      <c r="F22" s="85"/>
      <c r="G22" s="82"/>
      <c r="H22" s="139" t="s">
        <v>30</v>
      </c>
      <c r="I22" s="139"/>
      <c r="J22" s="83">
        <v>1</v>
      </c>
      <c r="K22" s="83">
        <v>92</v>
      </c>
      <c r="L22" s="83">
        <v>184</v>
      </c>
      <c r="M22" s="85">
        <f>L22/L$25</f>
        <v>0.54117647058823526</v>
      </c>
      <c r="N22" s="82"/>
    </row>
    <row r="23" spans="1:14" ht="15">
      <c r="A23" s="139" t="s">
        <v>44</v>
      </c>
      <c r="B23" s="139"/>
      <c r="C23" s="83">
        <v>3</v>
      </c>
      <c r="D23" s="83">
        <v>792</v>
      </c>
      <c r="E23" s="83">
        <v>2041</v>
      </c>
      <c r="F23" s="85">
        <f>E23/E$25</f>
        <v>0.69116153064679986</v>
      </c>
      <c r="G23" s="82"/>
      <c r="H23" s="139" t="s">
        <v>31</v>
      </c>
      <c r="I23" s="139"/>
      <c r="J23" s="83"/>
      <c r="K23" s="83"/>
      <c r="L23" s="83"/>
      <c r="M23" s="85"/>
      <c r="N23" s="82"/>
    </row>
    <row r="24" spans="1:14" ht="15">
      <c r="A24" s="139" t="s">
        <v>46</v>
      </c>
      <c r="B24" s="139"/>
      <c r="C24" s="83">
        <v>2</v>
      </c>
      <c r="D24" s="83">
        <v>418</v>
      </c>
      <c r="E24" s="83">
        <v>912</v>
      </c>
      <c r="F24" s="85">
        <f>E24/E$25</f>
        <v>0.30883846935320014</v>
      </c>
      <c r="G24" s="82"/>
      <c r="H24" s="139" t="s">
        <v>33</v>
      </c>
      <c r="I24" s="139"/>
      <c r="J24" s="83">
        <v>1</v>
      </c>
      <c r="K24" s="83">
        <v>28</v>
      </c>
      <c r="L24" s="83">
        <v>56</v>
      </c>
      <c r="M24" s="85">
        <f>L24/L$25</f>
        <v>0.16470588235294117</v>
      </c>
      <c r="N24" s="82"/>
    </row>
    <row r="25" spans="1:14" ht="15">
      <c r="A25" s="140" t="s">
        <v>47</v>
      </c>
      <c r="B25" s="140"/>
      <c r="C25" s="93">
        <f>C22+C23+C24</f>
        <v>5</v>
      </c>
      <c r="D25" s="93">
        <f>D22+D23+D24</f>
        <v>1210</v>
      </c>
      <c r="E25" s="93">
        <f>E22+E23+E24</f>
        <v>2953</v>
      </c>
      <c r="F25" s="94">
        <f>F22+F23+F24</f>
        <v>1</v>
      </c>
      <c r="G25" s="82"/>
      <c r="H25" s="140" t="s">
        <v>37</v>
      </c>
      <c r="I25" s="140"/>
      <c r="J25" s="93">
        <f>J21+J22+J23+J24</f>
        <v>4</v>
      </c>
      <c r="K25" s="93">
        <f>K21+K22+K23+K24</f>
        <v>170</v>
      </c>
      <c r="L25" s="93">
        <f>L21+L22+L23+L24</f>
        <v>340</v>
      </c>
      <c r="M25" s="94">
        <f>M21+M22+M23+M24</f>
        <v>0.99999999999999989</v>
      </c>
      <c r="N25" s="82"/>
    </row>
    <row r="26" spans="1:14" ht="15">
      <c r="A26" s="139"/>
      <c r="B26" s="139"/>
      <c r="F26" s="85"/>
      <c r="G26" s="82"/>
      <c r="H26" s="141"/>
      <c r="I26" s="141"/>
      <c r="M26" s="83"/>
      <c r="N26" s="82"/>
    </row>
    <row r="27" spans="1:14" ht="15">
      <c r="A27" s="139" t="s">
        <v>50</v>
      </c>
      <c r="B27" s="139"/>
      <c r="C27" s="83">
        <v>5</v>
      </c>
      <c r="D27" s="83">
        <v>213</v>
      </c>
      <c r="E27" s="83">
        <v>396</v>
      </c>
      <c r="F27" s="85">
        <f>E27/E$35</f>
        <v>1.0722699087487476E-2</v>
      </c>
      <c r="G27" s="82"/>
      <c r="H27" s="139" t="s">
        <v>40</v>
      </c>
      <c r="I27" s="139"/>
      <c r="J27" s="83">
        <v>13</v>
      </c>
      <c r="K27" s="83">
        <v>209</v>
      </c>
      <c r="L27" s="83">
        <v>395</v>
      </c>
      <c r="M27" s="85">
        <f>L27/L$30</f>
        <v>0.3701968134957826</v>
      </c>
      <c r="N27" s="82"/>
    </row>
    <row r="28" spans="1:14" ht="15">
      <c r="A28" s="139" t="s">
        <v>52</v>
      </c>
      <c r="B28" s="139"/>
      <c r="C28" s="83">
        <v>20</v>
      </c>
      <c r="D28" s="83">
        <v>2819</v>
      </c>
      <c r="E28" s="83">
        <v>5289</v>
      </c>
      <c r="F28" s="85">
        <f t="shared" ref="F28:F34" si="0">E28/E$35</f>
        <v>0.1432130188730335</v>
      </c>
      <c r="G28" s="82"/>
      <c r="H28" s="139" t="s">
        <v>41</v>
      </c>
      <c r="I28" s="139"/>
      <c r="J28" s="83">
        <v>9</v>
      </c>
      <c r="K28" s="83">
        <v>357</v>
      </c>
      <c r="L28" s="83">
        <v>656</v>
      </c>
      <c r="M28" s="85">
        <f>L28/L$30</f>
        <v>0.61480787253983127</v>
      </c>
      <c r="N28" s="82"/>
    </row>
    <row r="29" spans="1:14" ht="15">
      <c r="A29" s="139" t="s">
        <v>54</v>
      </c>
      <c r="B29" s="139"/>
      <c r="C29" s="83">
        <v>44</v>
      </c>
      <c r="D29" s="83">
        <v>8653</v>
      </c>
      <c r="E29" s="83">
        <v>16492</v>
      </c>
      <c r="F29" s="85">
        <f t="shared" si="0"/>
        <v>0.4465625084617259</v>
      </c>
      <c r="G29" s="82"/>
      <c r="H29" s="139" t="s">
        <v>43</v>
      </c>
      <c r="I29" s="139"/>
      <c r="J29" s="83">
        <v>1</v>
      </c>
      <c r="K29" s="83">
        <v>8</v>
      </c>
      <c r="L29" s="83">
        <v>16</v>
      </c>
      <c r="M29" s="85">
        <f>L29/L$30</f>
        <v>1.499531396438613E-2</v>
      </c>
      <c r="N29" s="82"/>
    </row>
    <row r="30" spans="1:14" ht="15">
      <c r="A30" s="139" t="s">
        <v>143</v>
      </c>
      <c r="B30" s="139"/>
      <c r="C30" s="83">
        <v>1</v>
      </c>
      <c r="D30" s="83">
        <v>465</v>
      </c>
      <c r="E30" s="83">
        <v>931</v>
      </c>
      <c r="F30" s="85">
        <f t="shared" si="0"/>
        <v>2.520917386477485E-2</v>
      </c>
      <c r="G30" s="82"/>
      <c r="H30" s="140" t="s">
        <v>45</v>
      </c>
      <c r="I30" s="140"/>
      <c r="J30" s="93">
        <f>J27+J28+J29</f>
        <v>23</v>
      </c>
      <c r="K30" s="93">
        <f>K27+K28+K29</f>
        <v>574</v>
      </c>
      <c r="L30" s="93">
        <f>L27+L28+L29</f>
        <v>1067</v>
      </c>
      <c r="M30" s="94">
        <f>M27+M28+M29</f>
        <v>1</v>
      </c>
      <c r="N30" s="82"/>
    </row>
    <row r="31" spans="1:14" ht="15">
      <c r="A31" s="139" t="s">
        <v>91</v>
      </c>
      <c r="B31" s="139"/>
      <c r="C31" s="83">
        <v>27</v>
      </c>
      <c r="D31" s="83">
        <v>4484</v>
      </c>
      <c r="E31" s="83">
        <v>8592</v>
      </c>
      <c r="F31" s="85">
        <f t="shared" si="0"/>
        <v>0.23265007717094041</v>
      </c>
      <c r="G31" s="82"/>
      <c r="H31" s="141"/>
      <c r="I31" s="141"/>
      <c r="M31" s="83"/>
      <c r="N31" s="82"/>
    </row>
    <row r="32" spans="1:14" ht="15">
      <c r="A32" s="139" t="s">
        <v>144</v>
      </c>
      <c r="B32" s="139"/>
      <c r="C32" s="83">
        <v>2</v>
      </c>
      <c r="D32" s="83">
        <v>385</v>
      </c>
      <c r="E32" s="83">
        <v>734</v>
      </c>
      <c r="F32" s="85">
        <f t="shared" si="0"/>
        <v>1.9874901843979314E-2</v>
      </c>
      <c r="G32" s="82"/>
      <c r="H32" s="139" t="s">
        <v>48</v>
      </c>
      <c r="I32" s="139"/>
      <c r="J32" s="83">
        <v>36</v>
      </c>
      <c r="K32" s="83">
        <v>1006</v>
      </c>
      <c r="L32" s="83">
        <v>1842</v>
      </c>
      <c r="M32" s="85">
        <f>L32/L$35</f>
        <v>0.54400472533963373</v>
      </c>
      <c r="N32" s="82"/>
    </row>
    <row r="33" spans="1:14" ht="15">
      <c r="A33" s="139" t="s">
        <v>57</v>
      </c>
      <c r="B33" s="139"/>
      <c r="C33" s="83">
        <v>8</v>
      </c>
      <c r="D33" s="83">
        <v>2113</v>
      </c>
      <c r="E33" s="83">
        <v>4192</v>
      </c>
      <c r="F33" s="85">
        <f t="shared" si="0"/>
        <v>0.11350897619885733</v>
      </c>
      <c r="G33" s="82"/>
      <c r="H33" s="139" t="s">
        <v>49</v>
      </c>
      <c r="I33" s="139"/>
      <c r="J33" s="83">
        <v>23</v>
      </c>
      <c r="K33" s="83">
        <v>783</v>
      </c>
      <c r="L33" s="83">
        <v>1487</v>
      </c>
      <c r="M33" s="85">
        <f>L33/L$35</f>
        <v>0.43916125221500296</v>
      </c>
      <c r="N33" s="82"/>
    </row>
    <row r="34" spans="1:14" ht="15">
      <c r="A34" s="139" t="s">
        <v>59</v>
      </c>
      <c r="B34" s="139"/>
      <c r="C34" s="83">
        <v>1</v>
      </c>
      <c r="D34" s="83">
        <v>157</v>
      </c>
      <c r="E34" s="83">
        <v>305</v>
      </c>
      <c r="F34" s="85">
        <f t="shared" si="0"/>
        <v>8.2586444992012124E-3</v>
      </c>
      <c r="G34" s="82"/>
      <c r="H34" s="139" t="s">
        <v>51</v>
      </c>
      <c r="I34" s="139"/>
      <c r="J34" s="83">
        <v>1</v>
      </c>
      <c r="K34" s="83">
        <v>30</v>
      </c>
      <c r="L34" s="83">
        <v>57</v>
      </c>
      <c r="M34" s="85">
        <f>L34/L$35</f>
        <v>1.6834022445363261E-2</v>
      </c>
      <c r="N34" s="82"/>
    </row>
    <row r="35" spans="1:14" ht="15">
      <c r="A35" s="140" t="s">
        <v>61</v>
      </c>
      <c r="B35" s="140"/>
      <c r="C35" s="93">
        <f>C27+C28+C29+C30+C31+C32+C33+C34</f>
        <v>108</v>
      </c>
      <c r="D35" s="93">
        <f>D27+D28+D29+D30+D31+D32+D33+D34</f>
        <v>19289</v>
      </c>
      <c r="E35" s="93">
        <f>E27+E28+E29+E30+E31+E32+E33+E34</f>
        <v>36931</v>
      </c>
      <c r="F35" s="94">
        <f>F27+F28+F29+F30+F31+F32+F33+F34</f>
        <v>1</v>
      </c>
      <c r="G35" s="82"/>
      <c r="H35" s="140" t="s">
        <v>53</v>
      </c>
      <c r="I35" s="140"/>
      <c r="J35" s="93">
        <f>J32+J33+J34</f>
        <v>60</v>
      </c>
      <c r="K35" s="93">
        <f>K32+K33+K34</f>
        <v>1819</v>
      </c>
      <c r="L35" s="93">
        <f>L32+L33+L34</f>
        <v>3386</v>
      </c>
      <c r="M35" s="94">
        <f>M32+M33+M34</f>
        <v>0.99999999999999989</v>
      </c>
      <c r="N35" s="82"/>
    </row>
    <row r="36" spans="1:14" ht="15">
      <c r="A36" s="141"/>
      <c r="B36" s="141"/>
      <c r="C36" s="83"/>
      <c r="D36" s="83"/>
      <c r="E36" s="83"/>
      <c r="F36" s="85"/>
      <c r="G36" s="82"/>
      <c r="H36" s="142"/>
      <c r="I36" s="142"/>
      <c r="J36" s="83"/>
      <c r="K36" s="83"/>
      <c r="L36" s="83"/>
      <c r="M36" s="83"/>
      <c r="N36" s="82"/>
    </row>
    <row r="37" spans="1:14" ht="15">
      <c r="A37" s="139" t="s">
        <v>62</v>
      </c>
      <c r="B37" s="139"/>
      <c r="C37" s="83">
        <v>7</v>
      </c>
      <c r="D37" s="83">
        <v>316</v>
      </c>
      <c r="E37" s="83">
        <v>581</v>
      </c>
      <c r="F37" s="85">
        <f>E37/E$42</f>
        <v>0.22784313725490196</v>
      </c>
      <c r="G37" s="82"/>
      <c r="H37" s="140" t="s">
        <v>56</v>
      </c>
      <c r="I37" s="140"/>
      <c r="J37" s="93">
        <v>25</v>
      </c>
      <c r="K37" s="93">
        <v>255</v>
      </c>
      <c r="L37" s="93">
        <v>459</v>
      </c>
      <c r="M37" s="94">
        <v>1</v>
      </c>
      <c r="N37" s="82"/>
    </row>
    <row r="38" spans="1:14" ht="15">
      <c r="A38" s="139" t="s">
        <v>63</v>
      </c>
      <c r="B38" s="139"/>
      <c r="C38" s="83">
        <v>8</v>
      </c>
      <c r="D38" s="83">
        <v>633</v>
      </c>
      <c r="E38" s="83">
        <v>1171</v>
      </c>
      <c r="F38" s="85">
        <f>E38/E$42</f>
        <v>0.45921568627450982</v>
      </c>
      <c r="G38" s="82"/>
      <c r="H38" s="140" t="s">
        <v>58</v>
      </c>
      <c r="I38" s="140"/>
      <c r="J38" s="93">
        <v>3</v>
      </c>
      <c r="K38" s="93">
        <v>49</v>
      </c>
      <c r="L38" s="93">
        <v>89</v>
      </c>
      <c r="M38" s="94">
        <v>1</v>
      </c>
      <c r="N38" s="82"/>
    </row>
    <row r="39" spans="1:14" ht="15">
      <c r="A39" s="139" t="s">
        <v>64</v>
      </c>
      <c r="B39" s="139"/>
      <c r="C39" s="83">
        <v>3</v>
      </c>
      <c r="D39" s="83">
        <v>319</v>
      </c>
      <c r="E39" s="83">
        <v>580</v>
      </c>
      <c r="F39" s="85">
        <f>E39/E$42</f>
        <v>0.22745098039215686</v>
      </c>
      <c r="G39" s="82"/>
      <c r="H39" s="140" t="s">
        <v>60</v>
      </c>
      <c r="I39" s="140"/>
      <c r="J39" s="93"/>
      <c r="K39" s="93"/>
      <c r="L39" s="93"/>
      <c r="M39" s="94"/>
      <c r="N39" s="82"/>
    </row>
    <row r="40" spans="1:14" ht="15">
      <c r="A40" s="139" t="s">
        <v>93</v>
      </c>
      <c r="B40" s="139"/>
      <c r="C40" s="83">
        <v>2</v>
      </c>
      <c r="D40" s="83">
        <v>126</v>
      </c>
      <c r="E40" s="83">
        <v>218</v>
      </c>
      <c r="F40" s="85">
        <f>E40/E$42</f>
        <v>8.5490196078431377E-2</v>
      </c>
      <c r="G40" s="82"/>
      <c r="H40" s="140" t="s">
        <v>226</v>
      </c>
      <c r="I40" s="140"/>
      <c r="J40" s="93"/>
      <c r="K40" s="93"/>
      <c r="L40" s="93"/>
      <c r="M40" s="94"/>
      <c r="N40" s="82"/>
    </row>
    <row r="41" spans="1:14" ht="15">
      <c r="A41" s="139" t="s">
        <v>67</v>
      </c>
      <c r="B41" s="139"/>
      <c r="F41" s="85"/>
      <c r="G41" s="82"/>
      <c r="H41" s="84"/>
      <c r="I41" s="84"/>
      <c r="J41" s="83"/>
      <c r="K41" s="83"/>
      <c r="L41" s="83"/>
      <c r="M41" s="87"/>
      <c r="N41" s="82"/>
    </row>
    <row r="42" spans="1:14" ht="15">
      <c r="A42" s="140" t="s">
        <v>68</v>
      </c>
      <c r="B42" s="140"/>
      <c r="C42" s="93">
        <f>C37+C38+C39+C40+C41</f>
        <v>20</v>
      </c>
      <c r="D42" s="93">
        <f>D37+D38+D39+D40+D41</f>
        <v>1394</v>
      </c>
      <c r="E42" s="93">
        <f>E37+E38+E39+E40+E41</f>
        <v>2550</v>
      </c>
      <c r="F42" s="94">
        <f>F37+F38+F39+F40+F41</f>
        <v>0.99999999999999989</v>
      </c>
      <c r="G42" s="82"/>
      <c r="H42" s="140" t="s">
        <v>65</v>
      </c>
      <c r="I42" s="140"/>
      <c r="J42" s="93">
        <f>C15+C17+C18+C19+C20+C25+C35+C42+J19+J25+J30+J35+J37+J38</f>
        <v>546</v>
      </c>
      <c r="K42" s="93">
        <f>D15+D17+D18+D19+D20+D25+D35+D42+K19+K25+K30+K35+K37+K38</f>
        <v>35498</v>
      </c>
      <c r="L42" s="93">
        <f>E15+E17+E18+E19+E20+E25+E35+E42+L19+L25+L30+L35+L37+L38</f>
        <v>77883</v>
      </c>
      <c r="M42" s="82"/>
      <c r="N42" s="82"/>
    </row>
    <row r="43" spans="1:14" ht="14.25">
      <c r="G43" s="82"/>
      <c r="N43" s="82"/>
    </row>
    <row r="44" spans="1:14" ht="15">
      <c r="A44" s="139"/>
      <c r="B44" s="139"/>
      <c r="C44" s="83"/>
      <c r="D44" s="83"/>
      <c r="E44" s="83"/>
      <c r="F44" s="85"/>
      <c r="G44" s="82"/>
      <c r="N44" s="82"/>
    </row>
    <row r="45" spans="1:14" ht="15">
      <c r="A45" s="139"/>
      <c r="B45" s="139"/>
      <c r="C45" s="83"/>
      <c r="D45" s="83"/>
      <c r="E45" s="83"/>
      <c r="F45" s="85"/>
      <c r="G45" s="82"/>
      <c r="N45" s="82"/>
    </row>
    <row r="46" spans="1:14" ht="15">
      <c r="A46" s="139"/>
      <c r="B46" s="139"/>
      <c r="C46" s="83"/>
      <c r="D46" s="83"/>
      <c r="E46" s="83"/>
      <c r="F46" s="85"/>
      <c r="G46" s="82"/>
      <c r="N46" s="82"/>
    </row>
    <row r="47" spans="1:14" ht="15">
      <c r="A47" s="139"/>
      <c r="B47" s="139"/>
      <c r="C47" s="83"/>
      <c r="D47" s="83"/>
      <c r="E47" s="83"/>
      <c r="F47" s="85"/>
      <c r="G47" s="82"/>
      <c r="N47" s="82"/>
    </row>
    <row r="48" spans="1:14" ht="15">
      <c r="A48" s="139"/>
      <c r="B48" s="139"/>
      <c r="C48" s="83"/>
      <c r="D48" s="83"/>
      <c r="E48" s="83"/>
      <c r="F48" s="85"/>
      <c r="G48" s="82"/>
      <c r="H48" s="77"/>
      <c r="I48" s="77"/>
      <c r="N48" s="82"/>
    </row>
    <row r="49" spans="1:14" ht="15">
      <c r="A49" s="139"/>
      <c r="B49" s="139"/>
      <c r="F49" s="85"/>
      <c r="G49" s="82"/>
      <c r="H49" s="77"/>
      <c r="I49" s="77"/>
      <c r="N49" s="82"/>
    </row>
    <row r="50" spans="1:14" ht="15">
      <c r="A50" s="139"/>
      <c r="B50" s="139"/>
      <c r="F50" s="85"/>
      <c r="G50" s="82"/>
      <c r="H50" s="77"/>
      <c r="I50" s="77"/>
      <c r="N50" s="82"/>
    </row>
    <row r="51" spans="1:14" ht="15">
      <c r="A51" s="139"/>
      <c r="B51" s="139"/>
      <c r="C51" s="83"/>
      <c r="D51" s="83"/>
      <c r="E51" s="83"/>
      <c r="F51" s="85"/>
      <c r="G51" s="82"/>
    </row>
    <row r="52" spans="1:14">
      <c r="C52" s="76"/>
      <c r="D52" s="76"/>
      <c r="E52" s="76"/>
      <c r="F52" s="76"/>
      <c r="G52" s="76"/>
    </row>
    <row r="53" spans="1:14">
      <c r="C53" s="76"/>
      <c r="D53" s="76"/>
      <c r="E53" s="76"/>
      <c r="F53" s="76"/>
      <c r="G53" s="76"/>
    </row>
  </sheetData>
  <sheetProtection algorithmName="SHA-512" hashValue="axBDjzKCt6qChYL0yuYes5mcv3ld0EYl7SHL1b9w8FNmf3XvffVbCHB9MhBD58ZwN8JBm4y3lQwvwigMRGZvkw==" saltValue="kLtCmME4fMmV4Xl/YjCFNQ==" spinCount="100000" sheet="1"/>
  <mergeCells count="76">
    <mergeCell ref="A51:B51"/>
    <mergeCell ref="A8:B8"/>
    <mergeCell ref="H8:I8"/>
    <mergeCell ref="A9:B9"/>
    <mergeCell ref="H9:I9"/>
    <mergeCell ref="A10:B10"/>
    <mergeCell ref="H10:I10"/>
    <mergeCell ref="A19:B19"/>
    <mergeCell ref="H21:I21"/>
    <mergeCell ref="A20:B20"/>
    <mergeCell ref="A13:B13"/>
    <mergeCell ref="H11:I11"/>
    <mergeCell ref="H12:I12"/>
    <mergeCell ref="H13:I13"/>
    <mergeCell ref="H14:I14"/>
    <mergeCell ref="A11:B11"/>
    <mergeCell ref="A15:B15"/>
    <mergeCell ref="A12:B12"/>
    <mergeCell ref="H15:I15"/>
    <mergeCell ref="A14:B14"/>
    <mergeCell ref="A23:B23"/>
    <mergeCell ref="A16:B16"/>
    <mergeCell ref="H16:I16"/>
    <mergeCell ref="H17:I17"/>
    <mergeCell ref="H18:I18"/>
    <mergeCell ref="A17:B17"/>
    <mergeCell ref="H22:I22"/>
    <mergeCell ref="A18:B18"/>
    <mergeCell ref="H19:I19"/>
    <mergeCell ref="A27:B27"/>
    <mergeCell ref="H24:I24"/>
    <mergeCell ref="A21:B21"/>
    <mergeCell ref="H25:I25"/>
    <mergeCell ref="A22:B22"/>
    <mergeCell ref="A26:B26"/>
    <mergeCell ref="H26:I26"/>
    <mergeCell ref="A24:B24"/>
    <mergeCell ref="H27:I27"/>
    <mergeCell ref="H23:I23"/>
    <mergeCell ref="A25:B25"/>
    <mergeCell ref="A29:B29"/>
    <mergeCell ref="A30:B30"/>
    <mergeCell ref="H28:I28"/>
    <mergeCell ref="H31:I31"/>
    <mergeCell ref="H42:I42"/>
    <mergeCell ref="A34:B34"/>
    <mergeCell ref="H32:I32"/>
    <mergeCell ref="A35:B35"/>
    <mergeCell ref="H29:I29"/>
    <mergeCell ref="H33:I33"/>
    <mergeCell ref="H34:I34"/>
    <mergeCell ref="H30:I30"/>
    <mergeCell ref="A31:B31"/>
    <mergeCell ref="A32:B32"/>
    <mergeCell ref="A33:B33"/>
    <mergeCell ref="A28:B28"/>
    <mergeCell ref="A39:B39"/>
    <mergeCell ref="H38:I38"/>
    <mergeCell ref="H35:I35"/>
    <mergeCell ref="H36:I36"/>
    <mergeCell ref="A40:B40"/>
    <mergeCell ref="H39:I39"/>
    <mergeCell ref="A37:B37"/>
    <mergeCell ref="A38:B38"/>
    <mergeCell ref="H37:I37"/>
    <mergeCell ref="A36:B36"/>
    <mergeCell ref="H40:I40"/>
    <mergeCell ref="A47:B47"/>
    <mergeCell ref="A48:B48"/>
    <mergeCell ref="A49:B49"/>
    <mergeCell ref="A50:B50"/>
    <mergeCell ref="A41:B41"/>
    <mergeCell ref="A42:B42"/>
    <mergeCell ref="A44:B44"/>
    <mergeCell ref="A45:B45"/>
    <mergeCell ref="A46:B46"/>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D44"/>
  <sheetViews>
    <sheetView showGridLines="0" zoomScaleNormal="100" zoomScaleSheetLayoutView="100" workbookViewId="0"/>
  </sheetViews>
  <sheetFormatPr baseColWidth="10" defaultColWidth="9.140625" defaultRowHeight="12.75"/>
  <cols>
    <col min="1" max="1" width="80.285156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9" width="8.7109375" style="57" customWidth="1"/>
    <col min="30" max="30" width="9.140625" style="57" customWidth="1"/>
    <col min="31" max="33" width="8.7109375" style="57" customWidth="1"/>
    <col min="34" max="34" width="9.140625" style="57" customWidth="1"/>
    <col min="35" max="37" width="8.7109375" style="57" customWidth="1"/>
    <col min="38" max="38" width="9.140625" style="57" customWidth="1"/>
    <col min="39" max="39" width="8.7109375" style="57" customWidth="1"/>
    <col min="40" max="40" width="9.140625" style="57" customWidth="1"/>
    <col min="41" max="41" width="8.7109375" style="57" customWidth="1"/>
    <col min="42" max="42" width="9.140625" style="57" customWidth="1"/>
    <col min="43" max="43" width="8.7109375" style="57" customWidth="1"/>
    <col min="44" max="44" width="9.140625" style="57" customWidth="1"/>
    <col min="45" max="45" width="8.7109375" style="57" customWidth="1"/>
    <col min="46" max="46" width="9.140625" style="57" customWidth="1"/>
    <col min="47" max="47" width="8.7109375" style="57" customWidth="1"/>
    <col min="48" max="48" width="9.5703125" style="57" customWidth="1"/>
    <col min="49" max="49" width="8.7109375" style="57" customWidth="1"/>
    <col min="50" max="50" width="9.140625" style="57" customWidth="1"/>
    <col min="51" max="51" width="8.7109375" style="57" customWidth="1"/>
    <col min="52" max="52" width="9.140625" style="57" customWidth="1"/>
    <col min="53" max="53" width="8.7109375" style="57" customWidth="1"/>
    <col min="54" max="54" width="9.140625" style="57" customWidth="1"/>
    <col min="55" max="55" width="8.7109375" style="57" customWidth="1"/>
    <col min="56" max="56" width="9.140625" style="57" customWidth="1"/>
    <col min="57" max="63" width="8.7109375" style="57" customWidth="1"/>
    <col min="64" max="70" width="9.140625" style="57" customWidth="1"/>
    <col min="71" max="71" width="8.7109375" style="57" customWidth="1"/>
    <col min="72" max="72" width="9.140625" style="57" customWidth="1"/>
    <col min="73" max="73" width="8.7109375" style="57" customWidth="1"/>
    <col min="74" max="75" width="9.140625" style="57"/>
    <col min="76" max="77" width="12.28515625" style="57" customWidth="1"/>
    <col min="78" max="16384" width="9.140625" style="57"/>
  </cols>
  <sheetData>
    <row r="1" spans="1:134" ht="16.5">
      <c r="A1" s="75"/>
    </row>
    <row r="2" spans="1:134">
      <c r="A2" s="77"/>
    </row>
    <row r="3" spans="1:134" ht="16.5">
      <c r="A3" s="5" t="s">
        <v>172</v>
      </c>
    </row>
    <row r="4" spans="1:134" s="88" customFormat="1" ht="16.5">
      <c r="A4" s="30" t="s">
        <v>173</v>
      </c>
    </row>
    <row r="5" spans="1:134" s="88" customFormat="1" ht="16.5">
      <c r="A5" s="30" t="s">
        <v>174</v>
      </c>
    </row>
    <row r="7" spans="1:134" s="89" customFormat="1" ht="15">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143</v>
      </c>
      <c r="AC7" s="143"/>
      <c r="AD7" s="143" t="s">
        <v>91</v>
      </c>
      <c r="AE7" s="143"/>
      <c r="AF7" s="143" t="s">
        <v>144</v>
      </c>
      <c r="AG7" s="143"/>
      <c r="AH7" s="143" t="s">
        <v>162</v>
      </c>
      <c r="AI7" s="143"/>
      <c r="AJ7" s="143" t="s">
        <v>214</v>
      </c>
      <c r="AK7" s="143"/>
      <c r="AL7" s="143" t="s">
        <v>16</v>
      </c>
      <c r="AM7" s="143"/>
      <c r="AN7" s="143" t="s">
        <v>18</v>
      </c>
      <c r="AO7" s="143"/>
      <c r="AP7" s="143" t="s">
        <v>20</v>
      </c>
      <c r="AQ7" s="143"/>
      <c r="AR7" s="143" t="s">
        <v>22</v>
      </c>
      <c r="AS7" s="143"/>
      <c r="AT7" s="143" t="s">
        <v>92</v>
      </c>
      <c r="AU7" s="143"/>
      <c r="AV7" s="143" t="s">
        <v>63</v>
      </c>
      <c r="AW7" s="143"/>
      <c r="AX7" s="143" t="s">
        <v>64</v>
      </c>
      <c r="AY7" s="143"/>
      <c r="AZ7" s="143" t="s">
        <v>93</v>
      </c>
      <c r="BA7" s="143"/>
      <c r="BB7" s="143" t="s">
        <v>26</v>
      </c>
      <c r="BC7" s="143"/>
      <c r="BD7" s="143" t="s">
        <v>40</v>
      </c>
      <c r="BE7" s="143"/>
      <c r="BF7" s="143" t="s">
        <v>41</v>
      </c>
      <c r="BG7" s="143"/>
      <c r="BH7" s="143" t="s">
        <v>43</v>
      </c>
      <c r="BI7" s="143"/>
      <c r="BJ7" s="143" t="s">
        <v>48</v>
      </c>
      <c r="BK7" s="143"/>
      <c r="BL7" s="143" t="s">
        <v>49</v>
      </c>
      <c r="BM7" s="143"/>
      <c r="BN7" s="143" t="s">
        <v>51</v>
      </c>
      <c r="BO7" s="143"/>
      <c r="BP7" s="143" t="s">
        <v>28</v>
      </c>
      <c r="BQ7" s="143"/>
      <c r="BR7" s="143" t="s">
        <v>30</v>
      </c>
      <c r="BS7" s="143"/>
      <c r="BT7" s="143" t="s">
        <v>33</v>
      </c>
      <c r="BU7" s="143"/>
      <c r="BV7" s="143" t="s">
        <v>29</v>
      </c>
      <c r="BW7" s="143"/>
      <c r="BX7" s="143" t="s">
        <v>65</v>
      </c>
      <c r="BY7" s="143"/>
    </row>
    <row r="8" spans="1:134" s="89" customFormat="1" ht="15">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t="s">
        <v>80</v>
      </c>
      <c r="BX8" s="38"/>
      <c r="BY8" s="38"/>
    </row>
    <row r="9" spans="1:134" s="89" customFormat="1" ht="15">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c r="BX9" s="38" t="s">
        <v>82</v>
      </c>
      <c r="BY9" s="38" t="s">
        <v>83</v>
      </c>
    </row>
    <row r="10" spans="1:134" ht="15">
      <c r="A10" s="37" t="s">
        <v>217</v>
      </c>
      <c r="B10" s="12">
        <v>27</v>
      </c>
      <c r="C10" s="12">
        <v>1706</v>
      </c>
      <c r="D10" s="12">
        <v>10</v>
      </c>
      <c r="E10" s="12">
        <v>857</v>
      </c>
      <c r="F10" s="12">
        <v>6</v>
      </c>
      <c r="G10" s="12">
        <v>1514</v>
      </c>
      <c r="H10" s="12"/>
      <c r="I10" s="12"/>
      <c r="J10" s="12"/>
      <c r="K10" s="12"/>
      <c r="L10" s="12">
        <v>13</v>
      </c>
      <c r="M10" s="12">
        <v>222</v>
      </c>
      <c r="N10" s="12"/>
      <c r="O10" s="12"/>
      <c r="P10" s="12"/>
      <c r="Q10" s="12"/>
      <c r="R10" s="12"/>
      <c r="S10" s="12"/>
      <c r="T10" s="12"/>
      <c r="U10" s="12"/>
      <c r="V10" s="12">
        <v>3</v>
      </c>
      <c r="W10" s="12">
        <v>253</v>
      </c>
      <c r="X10" s="12">
        <v>5</v>
      </c>
      <c r="Y10" s="12">
        <v>1727</v>
      </c>
      <c r="Z10" s="12">
        <v>6</v>
      </c>
      <c r="AA10" s="12">
        <v>1938</v>
      </c>
      <c r="AB10" s="12"/>
      <c r="AC10" s="12"/>
      <c r="AD10" s="12">
        <v>8</v>
      </c>
      <c r="AE10" s="12">
        <v>2392</v>
      </c>
      <c r="AF10" s="12">
        <v>1</v>
      </c>
      <c r="AG10" s="12">
        <v>413</v>
      </c>
      <c r="AH10" s="12">
        <v>1</v>
      </c>
      <c r="AI10" s="12">
        <v>23</v>
      </c>
      <c r="AJ10" s="12">
        <v>1</v>
      </c>
      <c r="AK10" s="12">
        <v>305</v>
      </c>
      <c r="AL10" s="12"/>
      <c r="AM10" s="12"/>
      <c r="AN10" s="12">
        <v>1</v>
      </c>
      <c r="AO10" s="12">
        <v>213</v>
      </c>
      <c r="AP10" s="12">
        <v>1</v>
      </c>
      <c r="AQ10" s="12">
        <v>517</v>
      </c>
      <c r="AR10" s="12"/>
      <c r="AS10" s="12"/>
      <c r="AT10" s="12">
        <v>2</v>
      </c>
      <c r="AU10" s="12">
        <v>169</v>
      </c>
      <c r="AV10" s="12">
        <v>3</v>
      </c>
      <c r="AW10" s="12">
        <v>411</v>
      </c>
      <c r="AX10" s="12"/>
      <c r="AY10" s="12"/>
      <c r="AZ10" s="12">
        <v>1</v>
      </c>
      <c r="BA10" s="12">
        <v>199</v>
      </c>
      <c r="BB10" s="12">
        <v>1</v>
      </c>
      <c r="BC10" s="12">
        <v>20</v>
      </c>
      <c r="BD10" s="12">
        <v>2</v>
      </c>
      <c r="BE10" s="12">
        <v>101</v>
      </c>
      <c r="BF10" s="12">
        <v>1</v>
      </c>
      <c r="BG10" s="12">
        <v>75</v>
      </c>
      <c r="BH10" s="12"/>
      <c r="BI10" s="12"/>
      <c r="BJ10" s="12">
        <v>10</v>
      </c>
      <c r="BK10" s="96">
        <v>437</v>
      </c>
      <c r="BL10" s="12">
        <v>4</v>
      </c>
      <c r="BM10" s="12">
        <v>148</v>
      </c>
      <c r="BN10" s="12">
        <v>1</v>
      </c>
      <c r="BO10" s="12">
        <v>57</v>
      </c>
      <c r="BP10" s="12"/>
      <c r="BQ10" s="12"/>
      <c r="BR10" s="12"/>
      <c r="BS10" s="12"/>
      <c r="BT10" s="12"/>
      <c r="BU10" s="12"/>
      <c r="BV10" s="12"/>
      <c r="BW10" s="12"/>
      <c r="BX10" s="15">
        <f t="shared" ref="BX10:BY15" si="0">B10+D10+F10+H10+J10+L10+N10+P10+R10+T10+V10+X10+Z10+AB10+AD10+AF10+AH10+AJ10+AL10+AN10+AP10+AR10+AT10+AV10+AX10+AZ10+BB10+BD10+BF10+BH10+BJ10+BL10+BN10+BP10+BR10+BT10+BV10</f>
        <v>108</v>
      </c>
      <c r="BY10" s="15">
        <f t="shared" si="0"/>
        <v>13697</v>
      </c>
      <c r="BZ10" s="90"/>
      <c r="CY10" s="89"/>
      <c r="CZ10" s="89"/>
      <c r="ED10" s="91"/>
    </row>
    <row r="11" spans="1:134" ht="15">
      <c r="A11" s="69" t="s">
        <v>84</v>
      </c>
      <c r="B11" s="12">
        <v>34</v>
      </c>
      <c r="C11" s="12">
        <v>2371</v>
      </c>
      <c r="D11" s="12">
        <v>14</v>
      </c>
      <c r="E11" s="12">
        <v>1793</v>
      </c>
      <c r="F11" s="12">
        <v>2</v>
      </c>
      <c r="G11" s="12">
        <v>60</v>
      </c>
      <c r="H11" s="12"/>
      <c r="I11" s="12"/>
      <c r="J11" s="12">
        <v>5</v>
      </c>
      <c r="K11" s="12">
        <v>98</v>
      </c>
      <c r="L11" s="12">
        <v>9</v>
      </c>
      <c r="M11" s="12">
        <v>199</v>
      </c>
      <c r="N11" s="12">
        <v>1</v>
      </c>
      <c r="O11" s="12">
        <v>274</v>
      </c>
      <c r="P11" s="12"/>
      <c r="Q11" s="12"/>
      <c r="R11" s="12"/>
      <c r="S11" s="12"/>
      <c r="T11" s="12"/>
      <c r="U11" s="12"/>
      <c r="V11" s="12">
        <v>2</v>
      </c>
      <c r="W11" s="12">
        <v>143</v>
      </c>
      <c r="X11" s="12">
        <v>6</v>
      </c>
      <c r="Y11" s="12">
        <v>1835</v>
      </c>
      <c r="Z11" s="12">
        <v>10</v>
      </c>
      <c r="AA11" s="12">
        <v>2825</v>
      </c>
      <c r="AB11" s="12"/>
      <c r="AC11" s="12"/>
      <c r="AD11" s="12">
        <v>3</v>
      </c>
      <c r="AE11" s="12">
        <v>997</v>
      </c>
      <c r="AF11" s="12"/>
      <c r="AG11" s="12"/>
      <c r="AH11" s="12"/>
      <c r="AI11" s="12"/>
      <c r="AJ11" s="12"/>
      <c r="AK11" s="12"/>
      <c r="AL11" s="12">
        <v>1</v>
      </c>
      <c r="AM11" s="12">
        <v>104</v>
      </c>
      <c r="AN11" s="12"/>
      <c r="AO11" s="12"/>
      <c r="AP11" s="12">
        <v>3</v>
      </c>
      <c r="AQ11" s="12">
        <v>1107</v>
      </c>
      <c r="AR11" s="12">
        <v>2</v>
      </c>
      <c r="AS11" s="12">
        <v>338</v>
      </c>
      <c r="AT11" s="12">
        <v>5</v>
      </c>
      <c r="AU11" s="12">
        <v>412</v>
      </c>
      <c r="AV11" s="12">
        <v>4</v>
      </c>
      <c r="AW11" s="12">
        <v>676</v>
      </c>
      <c r="AX11" s="12"/>
      <c r="AY11" s="12"/>
      <c r="AZ11" s="12"/>
      <c r="BA11" s="12"/>
      <c r="BB11" s="12">
        <v>2</v>
      </c>
      <c r="BC11" s="12">
        <v>46</v>
      </c>
      <c r="BD11" s="12">
        <v>2</v>
      </c>
      <c r="BE11" s="12">
        <v>76</v>
      </c>
      <c r="BF11" s="12">
        <v>3</v>
      </c>
      <c r="BG11" s="12">
        <v>298</v>
      </c>
      <c r="BH11" s="12"/>
      <c r="BI11" s="12"/>
      <c r="BJ11" s="12">
        <v>17</v>
      </c>
      <c r="BK11" s="12">
        <v>1077</v>
      </c>
      <c r="BL11" s="12">
        <v>12</v>
      </c>
      <c r="BM11" s="12">
        <v>1056</v>
      </c>
      <c r="BN11" s="12"/>
      <c r="BO11" s="12"/>
      <c r="BP11" s="12"/>
      <c r="BQ11" s="12"/>
      <c r="BR11" s="12">
        <v>1</v>
      </c>
      <c r="BS11" s="12">
        <v>184</v>
      </c>
      <c r="BT11" s="12"/>
      <c r="BU11" s="12"/>
      <c r="BV11" s="12">
        <v>1</v>
      </c>
      <c r="BW11" s="12">
        <v>10</v>
      </c>
      <c r="BX11" s="15">
        <f t="shared" si="0"/>
        <v>139</v>
      </c>
      <c r="BY11" s="15">
        <f t="shared" si="0"/>
        <v>15979</v>
      </c>
      <c r="CY11" s="89"/>
      <c r="CZ11" s="89"/>
    </row>
    <row r="12" spans="1:134" ht="15">
      <c r="A12" s="37" t="s">
        <v>85</v>
      </c>
      <c r="B12" s="12">
        <v>6</v>
      </c>
      <c r="C12" s="12">
        <v>514</v>
      </c>
      <c r="D12" s="12">
        <v>6</v>
      </c>
      <c r="E12" s="12">
        <v>513</v>
      </c>
      <c r="F12" s="12">
        <v>4</v>
      </c>
      <c r="G12" s="12">
        <v>298</v>
      </c>
      <c r="H12" s="12">
        <v>1</v>
      </c>
      <c r="I12" s="12">
        <v>29</v>
      </c>
      <c r="J12" s="12">
        <v>9</v>
      </c>
      <c r="K12" s="12">
        <v>135</v>
      </c>
      <c r="L12" s="12">
        <v>1</v>
      </c>
      <c r="M12" s="12">
        <v>8</v>
      </c>
      <c r="N12" s="12"/>
      <c r="O12" s="12"/>
      <c r="P12" s="12"/>
      <c r="Q12" s="12"/>
      <c r="R12" s="12">
        <v>2</v>
      </c>
      <c r="S12" s="12">
        <v>912</v>
      </c>
      <c r="T12" s="12"/>
      <c r="U12" s="12"/>
      <c r="V12" s="12"/>
      <c r="W12" s="12"/>
      <c r="X12" s="12"/>
      <c r="Y12" s="12"/>
      <c r="Z12" s="12">
        <v>3</v>
      </c>
      <c r="AA12" s="12">
        <v>1108</v>
      </c>
      <c r="AB12" s="12"/>
      <c r="AC12" s="12"/>
      <c r="AD12" s="12">
        <v>6</v>
      </c>
      <c r="AE12" s="12">
        <v>1717</v>
      </c>
      <c r="AF12" s="12"/>
      <c r="AG12" s="12"/>
      <c r="AH12" s="12">
        <v>1</v>
      </c>
      <c r="AI12" s="12">
        <v>116</v>
      </c>
      <c r="AJ12" s="12"/>
      <c r="AK12" s="12"/>
      <c r="AL12" s="12"/>
      <c r="AM12" s="12"/>
      <c r="AN12" s="12"/>
      <c r="AO12" s="12"/>
      <c r="AP12" s="12"/>
      <c r="AQ12" s="12"/>
      <c r="AR12" s="12"/>
      <c r="AS12" s="12"/>
      <c r="AT12" s="12"/>
      <c r="AU12" s="12"/>
      <c r="AV12" s="12"/>
      <c r="AW12" s="12"/>
      <c r="AX12" s="12"/>
      <c r="AY12" s="12"/>
      <c r="AZ12" s="12"/>
      <c r="BA12" s="12"/>
      <c r="BB12" s="12">
        <v>3</v>
      </c>
      <c r="BC12" s="12">
        <v>59</v>
      </c>
      <c r="BD12" s="12">
        <v>1</v>
      </c>
      <c r="BE12" s="12">
        <v>20</v>
      </c>
      <c r="BF12" s="12">
        <v>1</v>
      </c>
      <c r="BG12" s="12">
        <v>21</v>
      </c>
      <c r="BH12" s="12"/>
      <c r="BI12" s="12"/>
      <c r="BJ12" s="12">
        <v>3</v>
      </c>
      <c r="BK12" s="12">
        <v>118</v>
      </c>
      <c r="BL12" s="12"/>
      <c r="BM12" s="12"/>
      <c r="BN12" s="12"/>
      <c r="BO12" s="12"/>
      <c r="BP12" s="12"/>
      <c r="BQ12" s="12"/>
      <c r="BR12" s="12"/>
      <c r="BS12" s="12"/>
      <c r="BT12" s="12"/>
      <c r="BU12" s="12"/>
      <c r="BV12" s="12">
        <v>2</v>
      </c>
      <c r="BW12" s="12">
        <v>20</v>
      </c>
      <c r="BX12" s="15">
        <f t="shared" si="0"/>
        <v>49</v>
      </c>
      <c r="BY12" s="15">
        <f t="shared" si="0"/>
        <v>5588</v>
      </c>
      <c r="CY12" s="89"/>
      <c r="CZ12" s="89"/>
    </row>
    <row r="13" spans="1:134" ht="15">
      <c r="A13" s="37" t="s">
        <v>86</v>
      </c>
      <c r="B13" s="12">
        <v>25</v>
      </c>
      <c r="C13" s="12">
        <v>1966</v>
      </c>
      <c r="D13" s="12">
        <v>12</v>
      </c>
      <c r="E13" s="12">
        <v>1858</v>
      </c>
      <c r="F13" s="12">
        <v>18</v>
      </c>
      <c r="G13" s="12">
        <v>1932</v>
      </c>
      <c r="H13" s="12">
        <v>2</v>
      </c>
      <c r="I13" s="12">
        <v>394</v>
      </c>
      <c r="J13" s="12">
        <v>1</v>
      </c>
      <c r="K13" s="12">
        <v>8</v>
      </c>
      <c r="L13" s="12">
        <v>1</v>
      </c>
      <c r="M13" s="12">
        <v>12</v>
      </c>
      <c r="N13" s="12">
        <v>1</v>
      </c>
      <c r="O13" s="12">
        <v>400</v>
      </c>
      <c r="P13" s="12"/>
      <c r="Q13" s="12"/>
      <c r="R13" s="12"/>
      <c r="S13" s="12"/>
      <c r="T13" s="12"/>
      <c r="U13" s="12"/>
      <c r="V13" s="12"/>
      <c r="W13" s="12"/>
      <c r="X13" s="12">
        <v>6</v>
      </c>
      <c r="Y13" s="12">
        <v>1238</v>
      </c>
      <c r="Z13" s="12">
        <v>12</v>
      </c>
      <c r="AA13" s="12">
        <v>5076</v>
      </c>
      <c r="AB13" s="12"/>
      <c r="AC13" s="12"/>
      <c r="AD13" s="12">
        <v>3</v>
      </c>
      <c r="AE13" s="12">
        <v>1024</v>
      </c>
      <c r="AF13" s="12"/>
      <c r="AG13" s="12"/>
      <c r="AH13" s="12">
        <v>4</v>
      </c>
      <c r="AI13" s="12">
        <v>3485</v>
      </c>
      <c r="AJ13" s="12"/>
      <c r="AK13" s="12"/>
      <c r="AL13" s="12"/>
      <c r="AM13" s="12"/>
      <c r="AN13" s="12">
        <v>2</v>
      </c>
      <c r="AO13" s="12">
        <v>450</v>
      </c>
      <c r="AP13" s="12">
        <v>4</v>
      </c>
      <c r="AQ13" s="12">
        <v>755</v>
      </c>
      <c r="AR13" s="12">
        <v>4</v>
      </c>
      <c r="AS13" s="12">
        <v>1908</v>
      </c>
      <c r="AT13" s="12"/>
      <c r="AU13" s="12"/>
      <c r="AV13" s="12">
        <v>1</v>
      </c>
      <c r="AW13" s="12">
        <v>84</v>
      </c>
      <c r="AX13" s="12">
        <v>2</v>
      </c>
      <c r="AY13" s="12">
        <v>296</v>
      </c>
      <c r="AZ13" s="12">
        <v>1</v>
      </c>
      <c r="BA13" s="12">
        <v>19</v>
      </c>
      <c r="BB13" s="12"/>
      <c r="BC13" s="12"/>
      <c r="BD13" s="12">
        <v>3</v>
      </c>
      <c r="BE13" s="12">
        <v>44</v>
      </c>
      <c r="BF13" s="12"/>
      <c r="BG13" s="12"/>
      <c r="BH13" s="12">
        <v>1</v>
      </c>
      <c r="BI13" s="12">
        <v>16</v>
      </c>
      <c r="BJ13" s="12">
        <v>1</v>
      </c>
      <c r="BK13" s="12">
        <v>13</v>
      </c>
      <c r="BL13" s="12"/>
      <c r="BM13" s="12"/>
      <c r="BN13" s="12"/>
      <c r="BO13" s="12"/>
      <c r="BP13" s="12">
        <v>2</v>
      </c>
      <c r="BQ13" s="12">
        <v>100</v>
      </c>
      <c r="BR13" s="12"/>
      <c r="BS13" s="12"/>
      <c r="BT13" s="12">
        <v>1</v>
      </c>
      <c r="BU13" s="12">
        <v>56</v>
      </c>
      <c r="BV13" s="12"/>
      <c r="BW13" s="12"/>
      <c r="BX13" s="15">
        <f t="shared" si="0"/>
        <v>107</v>
      </c>
      <c r="BY13" s="15">
        <f t="shared" si="0"/>
        <v>21134</v>
      </c>
      <c r="CY13" s="89"/>
      <c r="CZ13" s="89"/>
    </row>
    <row r="14" spans="1:134" ht="15">
      <c r="A14" s="37" t="s">
        <v>87</v>
      </c>
      <c r="B14" s="12">
        <v>37</v>
      </c>
      <c r="C14" s="12">
        <v>2115</v>
      </c>
      <c r="D14" s="12">
        <v>16</v>
      </c>
      <c r="E14" s="12">
        <v>1852</v>
      </c>
      <c r="F14" s="12">
        <v>9</v>
      </c>
      <c r="G14" s="12">
        <v>1246</v>
      </c>
      <c r="H14" s="12"/>
      <c r="I14" s="12"/>
      <c r="J14" s="12">
        <v>14</v>
      </c>
      <c r="K14" s="12">
        <v>225</v>
      </c>
      <c r="L14" s="12">
        <v>1</v>
      </c>
      <c r="M14" s="12">
        <v>18</v>
      </c>
      <c r="N14" s="12">
        <v>3</v>
      </c>
      <c r="O14" s="12">
        <v>924</v>
      </c>
      <c r="P14" s="12">
        <v>3</v>
      </c>
      <c r="Q14" s="12">
        <v>2041</v>
      </c>
      <c r="R14" s="12"/>
      <c r="S14" s="12"/>
      <c r="T14" s="12">
        <v>3</v>
      </c>
      <c r="U14" s="12">
        <v>89</v>
      </c>
      <c r="V14" s="12"/>
      <c r="W14" s="12"/>
      <c r="X14" s="12">
        <v>3</v>
      </c>
      <c r="Y14" s="12">
        <v>489</v>
      </c>
      <c r="Z14" s="12">
        <v>13</v>
      </c>
      <c r="AA14" s="12">
        <v>5545</v>
      </c>
      <c r="AB14" s="12">
        <v>1</v>
      </c>
      <c r="AC14" s="12">
        <v>931</v>
      </c>
      <c r="AD14" s="12">
        <v>7</v>
      </c>
      <c r="AE14" s="12">
        <v>2462</v>
      </c>
      <c r="AF14" s="12">
        <v>1</v>
      </c>
      <c r="AG14" s="12">
        <v>321</v>
      </c>
      <c r="AH14" s="12">
        <v>2</v>
      </c>
      <c r="AI14" s="12">
        <v>568</v>
      </c>
      <c r="AJ14" s="12"/>
      <c r="AK14" s="12"/>
      <c r="AL14" s="12"/>
      <c r="AM14" s="12"/>
      <c r="AN14" s="12"/>
      <c r="AO14" s="12"/>
      <c r="AP14" s="12">
        <v>4</v>
      </c>
      <c r="AQ14" s="12">
        <v>1028</v>
      </c>
      <c r="AR14" s="12">
        <v>3</v>
      </c>
      <c r="AS14" s="12">
        <v>422</v>
      </c>
      <c r="AT14" s="12"/>
      <c r="AU14" s="12"/>
      <c r="AV14" s="12"/>
      <c r="AW14" s="12"/>
      <c r="AX14" s="12">
        <v>1</v>
      </c>
      <c r="AY14" s="12">
        <v>284</v>
      </c>
      <c r="AZ14" s="12"/>
      <c r="BA14" s="12"/>
      <c r="BB14" s="12">
        <v>1</v>
      </c>
      <c r="BC14" s="12">
        <v>29</v>
      </c>
      <c r="BD14" s="12">
        <v>5</v>
      </c>
      <c r="BE14" s="12">
        <v>154</v>
      </c>
      <c r="BF14" s="12">
        <v>4</v>
      </c>
      <c r="BG14" s="12">
        <v>262</v>
      </c>
      <c r="BH14" s="12"/>
      <c r="BI14" s="12"/>
      <c r="BJ14" s="12">
        <v>5</v>
      </c>
      <c r="BK14" s="12">
        <v>197</v>
      </c>
      <c r="BL14" s="12">
        <v>7</v>
      </c>
      <c r="BM14" s="12">
        <v>283</v>
      </c>
      <c r="BN14" s="12"/>
      <c r="BO14" s="12"/>
      <c r="BP14" s="12"/>
      <c r="BQ14" s="12"/>
      <c r="BR14" s="12"/>
      <c r="BS14" s="12"/>
      <c r="BT14" s="12"/>
      <c r="BU14" s="12"/>
      <c r="BV14" s="12"/>
      <c r="BW14" s="12"/>
      <c r="BX14" s="15">
        <f t="shared" si="0"/>
        <v>143</v>
      </c>
      <c r="BY14" s="15">
        <f t="shared" si="0"/>
        <v>21485</v>
      </c>
      <c r="CY14" s="89"/>
      <c r="CZ14" s="89"/>
    </row>
    <row r="15" spans="1:134" s="89" customFormat="1" ht="15">
      <c r="A15" s="73" t="s">
        <v>218</v>
      </c>
      <c r="B15" s="39">
        <f>SUM(B10:B14)</f>
        <v>129</v>
      </c>
      <c r="C15" s="39">
        <f t="shared" ref="C15:BP15" si="1">SUM(C10:C14)</f>
        <v>8672</v>
      </c>
      <c r="D15" s="39">
        <f t="shared" si="1"/>
        <v>58</v>
      </c>
      <c r="E15" s="39">
        <f t="shared" si="1"/>
        <v>6873</v>
      </c>
      <c r="F15" s="39">
        <f t="shared" si="1"/>
        <v>39</v>
      </c>
      <c r="G15" s="39">
        <f t="shared" si="1"/>
        <v>5050</v>
      </c>
      <c r="H15" s="39">
        <f t="shared" si="1"/>
        <v>3</v>
      </c>
      <c r="I15" s="39">
        <f t="shared" si="1"/>
        <v>423</v>
      </c>
      <c r="J15" s="39">
        <f t="shared" si="1"/>
        <v>29</v>
      </c>
      <c r="K15" s="39">
        <f t="shared" si="1"/>
        <v>466</v>
      </c>
      <c r="L15" s="39">
        <f t="shared" si="1"/>
        <v>25</v>
      </c>
      <c r="M15" s="39">
        <f t="shared" si="1"/>
        <v>459</v>
      </c>
      <c r="N15" s="39">
        <f t="shared" si="1"/>
        <v>5</v>
      </c>
      <c r="O15" s="39">
        <f t="shared" si="1"/>
        <v>1598</v>
      </c>
      <c r="P15" s="39">
        <f t="shared" si="1"/>
        <v>3</v>
      </c>
      <c r="Q15" s="39">
        <f t="shared" si="1"/>
        <v>2041</v>
      </c>
      <c r="R15" s="39">
        <f t="shared" si="1"/>
        <v>2</v>
      </c>
      <c r="S15" s="39">
        <f t="shared" si="1"/>
        <v>912</v>
      </c>
      <c r="T15" s="39">
        <f t="shared" si="1"/>
        <v>3</v>
      </c>
      <c r="U15" s="39">
        <f t="shared" si="1"/>
        <v>89</v>
      </c>
      <c r="V15" s="39">
        <f t="shared" si="1"/>
        <v>5</v>
      </c>
      <c r="W15" s="39">
        <f t="shared" si="1"/>
        <v>396</v>
      </c>
      <c r="X15" s="39">
        <f t="shared" si="1"/>
        <v>20</v>
      </c>
      <c r="Y15" s="39">
        <f t="shared" si="1"/>
        <v>5289</v>
      </c>
      <c r="Z15" s="39">
        <f t="shared" si="1"/>
        <v>44</v>
      </c>
      <c r="AA15" s="39">
        <f t="shared" si="1"/>
        <v>16492</v>
      </c>
      <c r="AB15" s="39">
        <f>SUM(AB10:AB14)</f>
        <v>1</v>
      </c>
      <c r="AC15" s="39">
        <f>SUM(AC10:AC14)</f>
        <v>931</v>
      </c>
      <c r="AD15" s="39">
        <f t="shared" si="1"/>
        <v>27</v>
      </c>
      <c r="AE15" s="39">
        <f t="shared" si="1"/>
        <v>8592</v>
      </c>
      <c r="AF15" s="39">
        <f t="shared" si="1"/>
        <v>2</v>
      </c>
      <c r="AG15" s="39">
        <f t="shared" si="1"/>
        <v>734</v>
      </c>
      <c r="AH15" s="39">
        <f t="shared" si="1"/>
        <v>8</v>
      </c>
      <c r="AI15" s="39">
        <f t="shared" si="1"/>
        <v>4192</v>
      </c>
      <c r="AJ15" s="39">
        <f>SUM(AJ10:AJ14)</f>
        <v>1</v>
      </c>
      <c r="AK15" s="39">
        <f>SUM(AK10:AK14)</f>
        <v>305</v>
      </c>
      <c r="AL15" s="39">
        <f t="shared" si="1"/>
        <v>1</v>
      </c>
      <c r="AM15" s="39">
        <f t="shared" si="1"/>
        <v>104</v>
      </c>
      <c r="AN15" s="39">
        <f t="shared" si="1"/>
        <v>3</v>
      </c>
      <c r="AO15" s="39">
        <f t="shared" si="1"/>
        <v>663</v>
      </c>
      <c r="AP15" s="39">
        <f t="shared" si="1"/>
        <v>12</v>
      </c>
      <c r="AQ15" s="39">
        <f t="shared" si="1"/>
        <v>3407</v>
      </c>
      <c r="AR15" s="39">
        <f t="shared" si="1"/>
        <v>9</v>
      </c>
      <c r="AS15" s="39">
        <f t="shared" si="1"/>
        <v>2668</v>
      </c>
      <c r="AT15" s="39">
        <f t="shared" si="1"/>
        <v>7</v>
      </c>
      <c r="AU15" s="39">
        <f t="shared" si="1"/>
        <v>581</v>
      </c>
      <c r="AV15" s="39">
        <f t="shared" si="1"/>
        <v>8</v>
      </c>
      <c r="AW15" s="39">
        <f t="shared" si="1"/>
        <v>1171</v>
      </c>
      <c r="AX15" s="39">
        <f t="shared" si="1"/>
        <v>3</v>
      </c>
      <c r="AY15" s="39">
        <f t="shared" si="1"/>
        <v>580</v>
      </c>
      <c r="AZ15" s="39">
        <f t="shared" si="1"/>
        <v>2</v>
      </c>
      <c r="BA15" s="39">
        <f t="shared" si="1"/>
        <v>218</v>
      </c>
      <c r="BB15" s="39">
        <f t="shared" si="1"/>
        <v>7</v>
      </c>
      <c r="BC15" s="39">
        <f t="shared" si="1"/>
        <v>154</v>
      </c>
      <c r="BD15" s="39">
        <f t="shared" si="1"/>
        <v>13</v>
      </c>
      <c r="BE15" s="39">
        <f t="shared" si="1"/>
        <v>395</v>
      </c>
      <c r="BF15" s="39">
        <f t="shared" si="1"/>
        <v>9</v>
      </c>
      <c r="BG15" s="39">
        <f t="shared" si="1"/>
        <v>656</v>
      </c>
      <c r="BH15" s="39">
        <f t="shared" si="1"/>
        <v>1</v>
      </c>
      <c r="BI15" s="39">
        <f t="shared" si="1"/>
        <v>16</v>
      </c>
      <c r="BJ15" s="39">
        <f t="shared" si="1"/>
        <v>36</v>
      </c>
      <c r="BK15" s="39">
        <f t="shared" si="1"/>
        <v>1842</v>
      </c>
      <c r="BL15" s="39">
        <f t="shared" si="1"/>
        <v>23</v>
      </c>
      <c r="BM15" s="39">
        <f t="shared" si="1"/>
        <v>1487</v>
      </c>
      <c r="BN15" s="39">
        <f t="shared" si="1"/>
        <v>1</v>
      </c>
      <c r="BO15" s="39">
        <f t="shared" si="1"/>
        <v>57</v>
      </c>
      <c r="BP15" s="39">
        <f t="shared" si="1"/>
        <v>2</v>
      </c>
      <c r="BQ15" s="39">
        <f t="shared" ref="BQ15:BW15" si="2">SUM(BQ10:BQ14)</f>
        <v>100</v>
      </c>
      <c r="BR15" s="39">
        <f t="shared" si="2"/>
        <v>1</v>
      </c>
      <c r="BS15" s="39">
        <f t="shared" si="2"/>
        <v>184</v>
      </c>
      <c r="BT15" s="39">
        <f t="shared" si="2"/>
        <v>1</v>
      </c>
      <c r="BU15" s="39">
        <f t="shared" si="2"/>
        <v>56</v>
      </c>
      <c r="BV15" s="39">
        <f t="shared" si="2"/>
        <v>3</v>
      </c>
      <c r="BW15" s="39">
        <f t="shared" si="2"/>
        <v>30</v>
      </c>
      <c r="BX15" s="39">
        <f t="shared" si="0"/>
        <v>546</v>
      </c>
      <c r="BY15" s="39">
        <f t="shared" si="0"/>
        <v>77883</v>
      </c>
    </row>
    <row r="16" spans="1:134">
      <c r="A16" s="62" t="s">
        <v>134</v>
      </c>
    </row>
    <row r="17" spans="1:2">
      <c r="A17" s="63" t="s">
        <v>135</v>
      </c>
    </row>
    <row r="18" spans="1:2">
      <c r="A18" s="63" t="s">
        <v>136</v>
      </c>
    </row>
    <row r="21" spans="1:2">
      <c r="A21" s="92"/>
    </row>
    <row r="22" spans="1:2">
      <c r="A22" s="92"/>
      <c r="B22" s="92"/>
    </row>
    <row r="23" spans="1:2">
      <c r="A23" s="92"/>
      <c r="B23" s="92"/>
    </row>
    <row r="24" spans="1:2">
      <c r="A24" s="92"/>
      <c r="B24" s="92"/>
    </row>
    <row r="25" spans="1:2">
      <c r="A25" s="92"/>
      <c r="B25" s="92"/>
    </row>
    <row r="26" spans="1:2">
      <c r="A26" s="92"/>
      <c r="B26" s="92"/>
    </row>
    <row r="27" spans="1:2">
      <c r="A27" s="92"/>
      <c r="B27" s="92"/>
    </row>
    <row r="28" spans="1:2">
      <c r="A28" s="92"/>
      <c r="B28" s="92"/>
    </row>
    <row r="29" spans="1:2">
      <c r="A29" s="92"/>
      <c r="B29" s="92"/>
    </row>
    <row r="30" spans="1:2">
      <c r="A30" s="92"/>
      <c r="B30" s="92"/>
    </row>
    <row r="31" spans="1:2">
      <c r="A31" s="92"/>
      <c r="B31" s="92"/>
    </row>
    <row r="32" spans="1:2">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9">
    <mergeCell ref="X7:Y7"/>
    <mergeCell ref="Z7:AA7"/>
    <mergeCell ref="AD7:AE7"/>
    <mergeCell ref="L7:M7"/>
    <mergeCell ref="A7:A8"/>
    <mergeCell ref="B7:C7"/>
    <mergeCell ref="D7:E7"/>
    <mergeCell ref="F7:G7"/>
    <mergeCell ref="H7:I7"/>
    <mergeCell ref="J7:K7"/>
    <mergeCell ref="N7:O7"/>
    <mergeCell ref="P7:Q7"/>
    <mergeCell ref="R7:S7"/>
    <mergeCell ref="T7:U7"/>
    <mergeCell ref="V7:W7"/>
    <mergeCell ref="AH7:AI7"/>
    <mergeCell ref="AB7:AC7"/>
    <mergeCell ref="BB7:BC7"/>
    <mergeCell ref="BD7:BE7"/>
    <mergeCell ref="BF7:BG7"/>
    <mergeCell ref="AJ7:AK7"/>
    <mergeCell ref="AF7:AG7"/>
    <mergeCell ref="BH7:BI7"/>
    <mergeCell ref="AL7:AM7"/>
    <mergeCell ref="AN7:AO7"/>
    <mergeCell ref="AP7:AQ7"/>
    <mergeCell ref="AR7:AS7"/>
    <mergeCell ref="AT7:AU7"/>
    <mergeCell ref="AV7:AW7"/>
    <mergeCell ref="AX7:AY7"/>
    <mergeCell ref="AZ7:BA7"/>
    <mergeCell ref="BV7:BW7"/>
    <mergeCell ref="BX7:BY7"/>
    <mergeCell ref="BJ7:BK7"/>
    <mergeCell ref="BL7:BM7"/>
    <mergeCell ref="BN7:BO7"/>
    <mergeCell ref="BP7:BQ7"/>
    <mergeCell ref="BR7:BS7"/>
    <mergeCell ref="BT7:BU7"/>
  </mergeCells>
  <conditionalFormatting sqref="A10:BW14 BX10:BY15">
    <cfRule type="expression" dxfId="10" priority="6" stopIfTrue="1">
      <formula>MOD(ROW(),2)=0</formula>
    </cfRule>
  </conditionalFormatting>
  <conditionalFormatting sqref="A1:BY1048576 BZ1:IV6 DB7:IV15 BZ16:IV65536">
    <cfRule type="expression" priority="9">
      <formula>SI(0," ")</formula>
    </cfRule>
  </conditionalFormatting>
  <conditionalFormatting sqref="L3">
    <cfRule type="expression" priority="8">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4" manualBreakCount="4">
    <brk id="19" max="17" man="1"/>
    <brk id="37" max="17" man="1"/>
    <brk id="53" max="1048575" man="1"/>
    <brk id="69"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52"/>
  <sheetViews>
    <sheetView showGridLines="0" zoomScaleNormal="100" workbookViewId="0"/>
  </sheetViews>
  <sheetFormatPr baseColWidth="10" defaultColWidth="9.140625" defaultRowHeight="12.75"/>
  <cols>
    <col min="1" max="1" width="9.140625" style="76"/>
    <col min="2" max="2" width="20" style="76" customWidth="1"/>
    <col min="3" max="3" width="17" style="77" bestFit="1" customWidth="1"/>
    <col min="4" max="4" width="15.28515625" style="77" bestFit="1" customWidth="1"/>
    <col min="5" max="5" width="14.140625"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3" ht="16.5">
      <c r="A3" s="75" t="s">
        <v>166</v>
      </c>
    </row>
    <row r="4" spans="1:13" s="78" customFormat="1" ht="16.5">
      <c r="A4" s="79" t="s">
        <v>167</v>
      </c>
      <c r="B4" s="80"/>
      <c r="H4" s="80"/>
      <c r="I4" s="80"/>
      <c r="L4" s="81"/>
    </row>
    <row r="5" spans="1:13" s="78" customFormat="1" ht="16.5">
      <c r="A5" s="79" t="s">
        <v>168</v>
      </c>
      <c r="B5" s="80"/>
      <c r="H5" s="80"/>
      <c r="I5" s="80"/>
    </row>
    <row r="6" spans="1:13" s="78" customFormat="1" ht="16.5">
      <c r="A6" s="79"/>
      <c r="B6" s="80"/>
      <c r="H6" s="80"/>
      <c r="I6" s="80"/>
    </row>
    <row r="8" spans="1:13">
      <c r="A8" s="137" t="s">
        <v>0</v>
      </c>
      <c r="B8" s="137"/>
      <c r="C8" s="108" t="s">
        <v>1</v>
      </c>
      <c r="D8" s="108" t="s">
        <v>2</v>
      </c>
      <c r="E8" s="108" t="s">
        <v>3</v>
      </c>
      <c r="F8" s="108" t="s">
        <v>4</v>
      </c>
      <c r="H8" s="137" t="s">
        <v>0</v>
      </c>
      <c r="I8" s="137"/>
      <c r="J8" s="108" t="s">
        <v>1</v>
      </c>
      <c r="K8" s="108" t="s">
        <v>2</v>
      </c>
      <c r="L8" s="108" t="s">
        <v>3</v>
      </c>
      <c r="M8" s="108" t="s">
        <v>4</v>
      </c>
    </row>
    <row r="9" spans="1:13">
      <c r="A9" s="138" t="s">
        <v>5</v>
      </c>
      <c r="B9" s="138"/>
      <c r="C9" s="109" t="s">
        <v>6</v>
      </c>
      <c r="D9" s="109" t="s">
        <v>7</v>
      </c>
      <c r="E9" s="109" t="s">
        <v>8</v>
      </c>
      <c r="F9" s="109" t="s">
        <v>9</v>
      </c>
      <c r="H9" s="138" t="s">
        <v>5</v>
      </c>
      <c r="I9" s="138"/>
      <c r="J9" s="109" t="s">
        <v>6</v>
      </c>
      <c r="K9" s="109" t="s">
        <v>7</v>
      </c>
      <c r="L9" s="109" t="s">
        <v>8</v>
      </c>
      <c r="M9" s="109" t="s">
        <v>9</v>
      </c>
    </row>
    <row r="10" spans="1:13">
      <c r="A10" s="138" t="s">
        <v>10</v>
      </c>
      <c r="B10" s="138"/>
      <c r="C10" s="109" t="s">
        <v>11</v>
      </c>
      <c r="D10" s="109" t="s">
        <v>12</v>
      </c>
      <c r="E10" s="109" t="s">
        <v>13</v>
      </c>
      <c r="F10" s="109" t="s">
        <v>14</v>
      </c>
      <c r="H10" s="138" t="s">
        <v>10</v>
      </c>
      <c r="I10" s="138"/>
      <c r="J10" s="109" t="s">
        <v>11</v>
      </c>
      <c r="K10" s="109" t="s">
        <v>12</v>
      </c>
      <c r="L10" s="109" t="s">
        <v>13</v>
      </c>
      <c r="M10" s="109" t="s">
        <v>14</v>
      </c>
    </row>
    <row r="11" spans="1:13" ht="15">
      <c r="A11" s="139" t="s">
        <v>15</v>
      </c>
      <c r="B11" s="139"/>
      <c r="C11" s="83">
        <v>131</v>
      </c>
      <c r="D11" s="83">
        <v>2863</v>
      </c>
      <c r="E11" s="83">
        <v>8717</v>
      </c>
      <c r="F11" s="85">
        <f>E11/E15</f>
        <v>0.41346108238865437</v>
      </c>
      <c r="G11" s="82"/>
      <c r="H11" s="139" t="s">
        <v>16</v>
      </c>
      <c r="I11" s="139"/>
      <c r="J11" s="83">
        <v>1</v>
      </c>
      <c r="K11" s="83">
        <v>54</v>
      </c>
      <c r="L11" s="83">
        <v>104</v>
      </c>
      <c r="M11" s="85">
        <v>1.5200233849751535E-2</v>
      </c>
    </row>
    <row r="12" spans="1:13" ht="15">
      <c r="A12" s="139" t="s">
        <v>17</v>
      </c>
      <c r="B12" s="139"/>
      <c r="C12" s="83">
        <v>58</v>
      </c>
      <c r="D12" s="83">
        <v>2509</v>
      </c>
      <c r="E12" s="83">
        <v>6897</v>
      </c>
      <c r="F12" s="85">
        <f>E12/E15</f>
        <v>0.32713560688706539</v>
      </c>
      <c r="G12" s="82"/>
      <c r="H12" s="139" t="s">
        <v>18</v>
      </c>
      <c r="I12" s="139"/>
      <c r="J12" s="83">
        <v>3</v>
      </c>
      <c r="K12" s="83">
        <v>307</v>
      </c>
      <c r="L12" s="83">
        <v>663</v>
      </c>
      <c r="M12" s="85">
        <v>9.6901490792166034E-2</v>
      </c>
    </row>
    <row r="13" spans="1:13" ht="15">
      <c r="A13" s="139" t="s">
        <v>19</v>
      </c>
      <c r="B13" s="139"/>
      <c r="C13" s="83">
        <v>39</v>
      </c>
      <c r="D13" s="83">
        <v>1727</v>
      </c>
      <c r="E13" s="83">
        <v>5050</v>
      </c>
      <c r="F13" s="85">
        <f>E13/E15</f>
        <v>0.23952947872693639</v>
      </c>
      <c r="G13" s="82"/>
      <c r="H13" s="139" t="s">
        <v>20</v>
      </c>
      <c r="I13" s="139"/>
      <c r="J13" s="83">
        <v>12</v>
      </c>
      <c r="K13" s="83">
        <v>1591</v>
      </c>
      <c r="L13" s="83">
        <v>3407</v>
      </c>
      <c r="M13" s="85">
        <v>0.4979538146740719</v>
      </c>
    </row>
    <row r="14" spans="1:13" ht="15">
      <c r="A14" s="139" t="s">
        <v>21</v>
      </c>
      <c r="B14" s="139"/>
      <c r="C14" s="83">
        <v>3</v>
      </c>
      <c r="D14" s="83">
        <v>136</v>
      </c>
      <c r="E14" s="83">
        <v>419</v>
      </c>
      <c r="F14" s="85">
        <f>E14/E15</f>
        <v>1.9873831997343831E-2</v>
      </c>
      <c r="G14" s="82"/>
      <c r="H14" s="139" t="s">
        <v>145</v>
      </c>
      <c r="I14" s="139"/>
      <c r="J14" s="83"/>
      <c r="K14" s="83"/>
      <c r="L14" s="83"/>
      <c r="M14" s="85"/>
    </row>
    <row r="15" spans="1:13" ht="15">
      <c r="A15" s="140" t="s">
        <v>23</v>
      </c>
      <c r="B15" s="140"/>
      <c r="C15" s="93">
        <f>C11+C12+C13+C14</f>
        <v>231</v>
      </c>
      <c r="D15" s="93">
        <f>D11+D12+D13+D14</f>
        <v>7235</v>
      </c>
      <c r="E15" s="93">
        <f>E11+E12+E13+E14</f>
        <v>21083</v>
      </c>
      <c r="F15" s="94">
        <v>1</v>
      </c>
      <c r="G15" s="82"/>
      <c r="H15" s="139" t="s">
        <v>22</v>
      </c>
      <c r="I15" s="139"/>
      <c r="J15" s="83">
        <v>9</v>
      </c>
      <c r="K15" s="83">
        <v>1247</v>
      </c>
      <c r="L15" s="83">
        <v>2668</v>
      </c>
      <c r="M15" s="85">
        <v>0.38994446068401051</v>
      </c>
    </row>
    <row r="16" spans="1:13" ht="15">
      <c r="A16" s="139"/>
      <c r="B16" s="139"/>
      <c r="F16" s="85"/>
      <c r="G16" s="82"/>
      <c r="H16" s="139" t="s">
        <v>146</v>
      </c>
      <c r="I16" s="139"/>
      <c r="M16" s="85"/>
    </row>
    <row r="17" spans="1:13" ht="15">
      <c r="A17" s="140" t="s">
        <v>26</v>
      </c>
      <c r="B17" s="140"/>
      <c r="C17" s="93">
        <v>7</v>
      </c>
      <c r="D17" s="93">
        <v>79</v>
      </c>
      <c r="E17" s="93">
        <v>154</v>
      </c>
      <c r="F17" s="94">
        <v>1</v>
      </c>
      <c r="G17" s="82"/>
      <c r="H17" s="139" t="s">
        <v>24</v>
      </c>
      <c r="I17" s="139"/>
      <c r="M17" s="85"/>
    </row>
    <row r="18" spans="1:13" ht="15">
      <c r="A18" s="140" t="s">
        <v>27</v>
      </c>
      <c r="B18" s="140"/>
      <c r="C18" s="93">
        <v>26</v>
      </c>
      <c r="D18" s="93">
        <v>215</v>
      </c>
      <c r="E18" s="93">
        <v>437</v>
      </c>
      <c r="F18" s="94">
        <v>1</v>
      </c>
      <c r="G18" s="82"/>
      <c r="H18" s="139" t="s">
        <v>147</v>
      </c>
      <c r="I18" s="139"/>
      <c r="J18" s="83"/>
      <c r="K18" s="83"/>
      <c r="L18" s="83"/>
      <c r="M18" s="85"/>
    </row>
    <row r="19" spans="1:13" ht="15">
      <c r="A19" s="140" t="s">
        <v>29</v>
      </c>
      <c r="B19" s="140"/>
      <c r="C19" s="93">
        <v>3</v>
      </c>
      <c r="D19" s="93">
        <v>16</v>
      </c>
      <c r="E19" s="93">
        <v>30</v>
      </c>
      <c r="F19" s="94">
        <v>1</v>
      </c>
      <c r="G19" s="82"/>
      <c r="H19" s="140" t="s">
        <v>25</v>
      </c>
      <c r="I19" s="140"/>
      <c r="J19" s="93">
        <v>25</v>
      </c>
      <c r="K19" s="93">
        <v>3199</v>
      </c>
      <c r="L19" s="93">
        <v>6842</v>
      </c>
      <c r="M19" s="94">
        <v>1</v>
      </c>
    </row>
    <row r="20" spans="1:13" ht="15">
      <c r="A20" s="140" t="s">
        <v>94</v>
      </c>
      <c r="B20" s="140"/>
      <c r="C20" s="93">
        <v>5</v>
      </c>
      <c r="D20" s="93"/>
      <c r="E20" s="93">
        <v>1598</v>
      </c>
      <c r="F20" s="94">
        <v>1</v>
      </c>
      <c r="G20" s="82"/>
      <c r="H20" s="83"/>
      <c r="I20" s="83"/>
      <c r="J20" s="83"/>
      <c r="K20" s="83"/>
      <c r="L20" s="83"/>
      <c r="M20" s="83"/>
    </row>
    <row r="21" spans="1:13" ht="15">
      <c r="A21" s="139"/>
      <c r="B21" s="139"/>
      <c r="C21" s="83"/>
      <c r="D21" s="83"/>
      <c r="E21" s="83"/>
      <c r="F21" s="85"/>
      <c r="G21" s="82"/>
      <c r="H21" s="139" t="s">
        <v>28</v>
      </c>
      <c r="I21" s="139"/>
      <c r="J21" s="83">
        <v>2</v>
      </c>
      <c r="K21" s="83">
        <v>50</v>
      </c>
      <c r="L21" s="83">
        <v>100</v>
      </c>
      <c r="M21" s="85">
        <v>0.30674846625766872</v>
      </c>
    </row>
    <row r="22" spans="1:13" ht="15">
      <c r="A22" s="139" t="s">
        <v>42</v>
      </c>
      <c r="B22" s="139"/>
      <c r="F22" s="85"/>
      <c r="G22" s="82"/>
      <c r="H22" s="139" t="s">
        <v>30</v>
      </c>
      <c r="I22" s="139"/>
      <c r="J22" s="83">
        <v>1</v>
      </c>
      <c r="K22" s="83">
        <v>92</v>
      </c>
      <c r="L22" s="83">
        <v>184</v>
      </c>
      <c r="M22" s="85">
        <v>0.56441717791411039</v>
      </c>
    </row>
    <row r="23" spans="1:13" ht="15">
      <c r="A23" s="139" t="s">
        <v>44</v>
      </c>
      <c r="B23" s="139"/>
      <c r="C23" s="83">
        <v>3</v>
      </c>
      <c r="D23" s="83">
        <v>792</v>
      </c>
      <c r="E23" s="83">
        <v>2041</v>
      </c>
      <c r="F23" s="85">
        <v>0.69116153064679986</v>
      </c>
      <c r="G23" s="82"/>
      <c r="H23" s="139" t="s">
        <v>31</v>
      </c>
      <c r="I23" s="139"/>
      <c r="J23" s="83"/>
      <c r="K23" s="83"/>
      <c r="L23" s="83"/>
      <c r="M23" s="86"/>
    </row>
    <row r="24" spans="1:13" ht="15">
      <c r="A24" s="139" t="s">
        <v>46</v>
      </c>
      <c r="B24" s="139"/>
      <c r="C24" s="83">
        <v>2</v>
      </c>
      <c r="D24" s="83">
        <v>418</v>
      </c>
      <c r="E24" s="83">
        <v>912</v>
      </c>
      <c r="F24" s="85">
        <v>0.30883846935320014</v>
      </c>
      <c r="G24" s="82"/>
      <c r="H24" s="139" t="s">
        <v>33</v>
      </c>
      <c r="I24" s="139"/>
      <c r="J24" s="83">
        <v>1</v>
      </c>
      <c r="K24" s="83">
        <v>21</v>
      </c>
      <c r="L24" s="83">
        <v>42</v>
      </c>
      <c r="M24" s="85">
        <v>0.12883435582822086</v>
      </c>
    </row>
    <row r="25" spans="1:13" ht="15">
      <c r="A25" s="140" t="s">
        <v>47</v>
      </c>
      <c r="B25" s="140"/>
      <c r="C25" s="93">
        <v>5</v>
      </c>
      <c r="D25" s="93">
        <v>1210</v>
      </c>
      <c r="E25" s="93">
        <v>2953</v>
      </c>
      <c r="F25" s="94">
        <v>1</v>
      </c>
      <c r="G25" s="82"/>
      <c r="H25" s="140" t="s">
        <v>37</v>
      </c>
      <c r="I25" s="140"/>
      <c r="J25" s="93">
        <v>4</v>
      </c>
      <c r="K25" s="93">
        <v>163</v>
      </c>
      <c r="L25" s="93">
        <v>326</v>
      </c>
      <c r="M25" s="94">
        <v>1</v>
      </c>
    </row>
    <row r="26" spans="1:13" ht="15">
      <c r="A26" s="139"/>
      <c r="B26" s="139"/>
      <c r="F26" s="85"/>
      <c r="G26" s="82"/>
      <c r="H26" s="141"/>
      <c r="I26" s="141"/>
      <c r="M26" s="83"/>
    </row>
    <row r="27" spans="1:13" ht="15">
      <c r="A27" s="139" t="s">
        <v>50</v>
      </c>
      <c r="B27" s="139"/>
      <c r="C27" s="83">
        <v>5</v>
      </c>
      <c r="D27" s="83">
        <v>213</v>
      </c>
      <c r="E27" s="83">
        <v>396</v>
      </c>
      <c r="F27" s="85">
        <f>E27/E$35</f>
        <v>1.0637440567330163E-2</v>
      </c>
      <c r="G27" s="82"/>
      <c r="H27" s="139" t="s">
        <v>40</v>
      </c>
      <c r="I27" s="139"/>
      <c r="J27" s="83">
        <v>13</v>
      </c>
      <c r="K27" s="83">
        <v>209</v>
      </c>
      <c r="L27" s="83">
        <v>395</v>
      </c>
      <c r="M27" s="85">
        <v>0.3701968134957826</v>
      </c>
    </row>
    <row r="28" spans="1:13" ht="15">
      <c r="A28" s="139" t="s">
        <v>52</v>
      </c>
      <c r="B28" s="139"/>
      <c r="C28" s="83">
        <v>20</v>
      </c>
      <c r="D28" s="83">
        <v>2810</v>
      </c>
      <c r="E28" s="83">
        <v>5275</v>
      </c>
      <c r="F28" s="85">
        <f t="shared" ref="F28:F34" si="0">E28/E$35</f>
        <v>0.14169822977946114</v>
      </c>
      <c r="G28" s="82"/>
      <c r="H28" s="139" t="s">
        <v>41</v>
      </c>
      <c r="I28" s="139"/>
      <c r="J28" s="83">
        <v>9</v>
      </c>
      <c r="K28" s="83">
        <v>357</v>
      </c>
      <c r="L28" s="83">
        <v>656</v>
      </c>
      <c r="M28" s="85">
        <v>0.61480787253983127</v>
      </c>
    </row>
    <row r="29" spans="1:13" ht="15">
      <c r="A29" s="139" t="s">
        <v>54</v>
      </c>
      <c r="B29" s="139"/>
      <c r="C29" s="83">
        <v>50</v>
      </c>
      <c r="D29" s="83">
        <v>11116</v>
      </c>
      <c r="E29" s="83">
        <v>21280</v>
      </c>
      <c r="F29" s="85">
        <f t="shared" si="0"/>
        <v>0.57162811937572189</v>
      </c>
      <c r="G29" s="82"/>
      <c r="H29" s="139" t="s">
        <v>43</v>
      </c>
      <c r="I29" s="139"/>
      <c r="J29" s="83">
        <v>1</v>
      </c>
      <c r="K29" s="83">
        <v>8</v>
      </c>
      <c r="L29" s="83">
        <v>16</v>
      </c>
      <c r="M29" s="85">
        <v>1.499531396438613E-2</v>
      </c>
    </row>
    <row r="30" spans="1:13" ht="15">
      <c r="A30" s="139" t="s">
        <v>143</v>
      </c>
      <c r="B30" s="139"/>
      <c r="C30" s="83"/>
      <c r="D30" s="83"/>
      <c r="E30" s="83"/>
      <c r="F30" s="85"/>
      <c r="G30" s="82"/>
      <c r="H30" s="140" t="s">
        <v>45</v>
      </c>
      <c r="I30" s="140"/>
      <c r="J30" s="93">
        <v>23</v>
      </c>
      <c r="K30" s="93">
        <v>574</v>
      </c>
      <c r="L30" s="93">
        <v>1067</v>
      </c>
      <c r="M30" s="94">
        <v>1</v>
      </c>
    </row>
    <row r="31" spans="1:13" ht="15">
      <c r="A31" s="139" t="s">
        <v>91</v>
      </c>
      <c r="B31" s="139"/>
      <c r="C31" s="83">
        <v>25</v>
      </c>
      <c r="D31" s="83">
        <v>4388</v>
      </c>
      <c r="E31" s="83">
        <v>8449</v>
      </c>
      <c r="F31" s="85">
        <f t="shared" si="0"/>
        <v>0.2269589276600317</v>
      </c>
      <c r="G31" s="82"/>
      <c r="H31" s="141"/>
      <c r="I31" s="141"/>
      <c r="M31" s="83"/>
    </row>
    <row r="32" spans="1:13" ht="15">
      <c r="A32" s="139" t="s">
        <v>144</v>
      </c>
      <c r="B32" s="139"/>
      <c r="C32" s="83">
        <v>1</v>
      </c>
      <c r="D32" s="83">
        <v>217</v>
      </c>
      <c r="E32" s="83">
        <v>413</v>
      </c>
      <c r="F32" s="85">
        <f t="shared" si="0"/>
        <v>1.1094098369463025E-2</v>
      </c>
      <c r="G32" s="82"/>
      <c r="H32" s="139" t="s">
        <v>48</v>
      </c>
      <c r="I32" s="139"/>
      <c r="J32" s="83">
        <v>37</v>
      </c>
      <c r="K32" s="83">
        <v>1032</v>
      </c>
      <c r="L32" s="83">
        <v>1891</v>
      </c>
      <c r="M32" s="85">
        <v>0.55050946142649204</v>
      </c>
    </row>
    <row r="33" spans="1:13" ht="15">
      <c r="A33" s="139" t="s">
        <v>57</v>
      </c>
      <c r="B33" s="139"/>
      <c r="C33" s="83">
        <v>5</v>
      </c>
      <c r="D33" s="83">
        <v>571</v>
      </c>
      <c r="E33" s="83">
        <v>1109</v>
      </c>
      <c r="F33" s="85">
        <f t="shared" si="0"/>
        <v>2.9790206033255433E-2</v>
      </c>
      <c r="G33" s="82"/>
      <c r="H33" s="139" t="s">
        <v>49</v>
      </c>
      <c r="I33" s="139"/>
      <c r="J33" s="83">
        <v>23</v>
      </c>
      <c r="K33" s="83">
        <v>783</v>
      </c>
      <c r="L33" s="83">
        <v>1487</v>
      </c>
      <c r="M33" s="85">
        <v>0.43289665211062589</v>
      </c>
    </row>
    <row r="34" spans="1:13" ht="15">
      <c r="A34" s="139" t="s">
        <v>59</v>
      </c>
      <c r="B34" s="139"/>
      <c r="C34" s="83">
        <v>1</v>
      </c>
      <c r="D34" s="83">
        <v>157</v>
      </c>
      <c r="E34" s="83">
        <v>305</v>
      </c>
      <c r="F34" s="85">
        <f t="shared" si="0"/>
        <v>8.1929782147366157E-3</v>
      </c>
      <c r="G34" s="82"/>
      <c r="H34" s="139" t="s">
        <v>51</v>
      </c>
      <c r="I34" s="139"/>
      <c r="J34" s="83">
        <v>1</v>
      </c>
      <c r="K34" s="83">
        <v>30</v>
      </c>
      <c r="L34" s="83">
        <v>57</v>
      </c>
      <c r="M34" s="85">
        <v>1.6593886462882096E-2</v>
      </c>
    </row>
    <row r="35" spans="1:13" ht="15">
      <c r="A35" s="140" t="s">
        <v>61</v>
      </c>
      <c r="B35" s="140"/>
      <c r="C35" s="93">
        <f>C27+C28+C29+C30+C31+C32+C33+C34</f>
        <v>107</v>
      </c>
      <c r="D35" s="93">
        <f>D27+D28+D29+D30+D31+D32+D33+D34</f>
        <v>19472</v>
      </c>
      <c r="E35" s="93">
        <f>E27+E28+E29+E30+E31+E32+E33+E34</f>
        <v>37227</v>
      </c>
      <c r="F35" s="94">
        <f>F27+F28+F29+F30+F31+F32+F33+F34</f>
        <v>1</v>
      </c>
      <c r="G35" s="82"/>
      <c r="H35" s="140" t="s">
        <v>53</v>
      </c>
      <c r="I35" s="140"/>
      <c r="J35" s="93">
        <v>61</v>
      </c>
      <c r="K35" s="93">
        <v>1845</v>
      </c>
      <c r="L35" s="93">
        <v>3435</v>
      </c>
      <c r="M35" s="94">
        <v>1</v>
      </c>
    </row>
    <row r="36" spans="1:13" ht="15">
      <c r="A36" s="141"/>
      <c r="B36" s="141"/>
      <c r="C36" s="83"/>
      <c r="D36" s="83"/>
      <c r="E36" s="83"/>
      <c r="F36" s="85"/>
      <c r="G36" s="82"/>
      <c r="H36" s="142"/>
      <c r="I36" s="142"/>
      <c r="J36" s="83"/>
      <c r="K36" s="83"/>
      <c r="L36" s="83"/>
      <c r="M36" s="83"/>
    </row>
    <row r="37" spans="1:13" ht="15">
      <c r="A37" s="139" t="s">
        <v>62</v>
      </c>
      <c r="B37" s="139"/>
      <c r="C37" s="83">
        <v>7</v>
      </c>
      <c r="D37" s="83">
        <v>316</v>
      </c>
      <c r="E37" s="83">
        <v>581</v>
      </c>
      <c r="F37" s="85">
        <v>0.24067937033968517</v>
      </c>
      <c r="G37" s="82"/>
      <c r="H37" s="140" t="s">
        <v>56</v>
      </c>
      <c r="I37" s="140"/>
      <c r="J37" s="93">
        <v>25</v>
      </c>
      <c r="K37" s="93">
        <v>248</v>
      </c>
      <c r="L37" s="93">
        <v>447</v>
      </c>
      <c r="M37" s="94">
        <v>1</v>
      </c>
    </row>
    <row r="38" spans="1:13" ht="15">
      <c r="A38" s="139" t="s">
        <v>63</v>
      </c>
      <c r="B38" s="139"/>
      <c r="C38" s="83">
        <v>8</v>
      </c>
      <c r="D38" s="83">
        <v>633</v>
      </c>
      <c r="E38" s="83">
        <v>1171</v>
      </c>
      <c r="F38" s="85">
        <v>0.4850869925434963</v>
      </c>
      <c r="G38" s="82"/>
      <c r="H38" s="140" t="s">
        <v>58</v>
      </c>
      <c r="I38" s="140"/>
      <c r="J38" s="93">
        <v>3</v>
      </c>
      <c r="K38" s="93">
        <v>49</v>
      </c>
      <c r="L38" s="93">
        <v>89</v>
      </c>
      <c r="M38" s="94">
        <v>1</v>
      </c>
    </row>
    <row r="39" spans="1:13" ht="15">
      <c r="A39" s="139" t="s">
        <v>64</v>
      </c>
      <c r="B39" s="139"/>
      <c r="C39" s="83">
        <v>4</v>
      </c>
      <c r="D39" s="83">
        <v>253</v>
      </c>
      <c r="E39" s="83">
        <v>444</v>
      </c>
      <c r="F39" s="85">
        <v>0.18392709196354598</v>
      </c>
      <c r="G39" s="82"/>
      <c r="H39" s="140" t="s">
        <v>60</v>
      </c>
      <c r="I39" s="140"/>
      <c r="J39" s="93"/>
      <c r="K39" s="93"/>
      <c r="L39" s="93"/>
      <c r="M39" s="94"/>
    </row>
    <row r="40" spans="1:13" ht="15">
      <c r="A40" s="139" t="s">
        <v>93</v>
      </c>
      <c r="B40" s="139"/>
      <c r="C40" s="83">
        <v>2</v>
      </c>
      <c r="D40" s="83">
        <v>126</v>
      </c>
      <c r="E40" s="83">
        <v>218</v>
      </c>
      <c r="F40" s="85">
        <v>9.0306545153272577E-2</v>
      </c>
      <c r="G40" s="82"/>
      <c r="H40" s="84"/>
      <c r="I40" s="84"/>
      <c r="J40" s="83"/>
      <c r="K40" s="83"/>
      <c r="L40" s="83"/>
      <c r="M40" s="87"/>
    </row>
    <row r="41" spans="1:13" ht="15">
      <c r="A41" s="139" t="s">
        <v>67</v>
      </c>
      <c r="B41" s="139"/>
      <c r="F41" s="85"/>
      <c r="G41" s="82"/>
      <c r="H41" s="84"/>
      <c r="I41" s="84"/>
      <c r="J41" s="83"/>
      <c r="K41" s="83"/>
      <c r="L41" s="83"/>
      <c r="M41" s="87"/>
    </row>
    <row r="42" spans="1:13" ht="15">
      <c r="A42" s="140" t="s">
        <v>68</v>
      </c>
      <c r="B42" s="140"/>
      <c r="C42" s="93">
        <v>21</v>
      </c>
      <c r="D42" s="93">
        <v>1328</v>
      </c>
      <c r="E42" s="93">
        <v>2414</v>
      </c>
      <c r="F42" s="94">
        <v>1</v>
      </c>
      <c r="G42" s="82"/>
      <c r="H42" s="140" t="s">
        <v>65</v>
      </c>
      <c r="I42" s="140"/>
      <c r="J42" s="93">
        <f>C15+C17+C18+C19+C20+C25+C35+C42+C52+J19+J25+J30+J35+J37+J38</f>
        <v>546</v>
      </c>
      <c r="K42" s="93">
        <f>D15+D17+D18+D19+D20+D25+D35+D42+D52+K19+K25+K30+K35+K37+K38</f>
        <v>35633</v>
      </c>
      <c r="L42" s="93">
        <f>E15+E17+E18+E19+E20+E25+E35+E42+E52+L19+L25+L30+L35+L37+L38</f>
        <v>78102</v>
      </c>
      <c r="M42" s="82"/>
    </row>
    <row r="43" spans="1:13" ht="14.25">
      <c r="G43" s="82"/>
      <c r="K43" s="100"/>
    </row>
    <row r="44" spans="1:13" ht="15">
      <c r="A44" s="139"/>
      <c r="B44" s="139"/>
      <c r="C44" s="83"/>
      <c r="D44" s="83"/>
      <c r="E44" s="83"/>
      <c r="F44" s="85"/>
      <c r="G44" s="82"/>
    </row>
    <row r="45" spans="1:13" ht="15">
      <c r="A45" s="139"/>
      <c r="B45" s="139"/>
      <c r="C45" s="83"/>
      <c r="D45" s="83"/>
      <c r="E45" s="83"/>
      <c r="F45" s="85"/>
      <c r="G45" s="82"/>
    </row>
    <row r="46" spans="1:13" ht="15">
      <c r="A46" s="139"/>
      <c r="B46" s="139"/>
      <c r="C46" s="83"/>
      <c r="D46" s="83"/>
      <c r="E46" s="83"/>
      <c r="F46" s="85"/>
      <c r="G46" s="82"/>
    </row>
    <row r="47" spans="1:13" ht="15">
      <c r="A47" s="139"/>
      <c r="B47" s="139"/>
      <c r="C47" s="83"/>
      <c r="D47" s="83"/>
      <c r="E47" s="83"/>
      <c r="F47" s="85"/>
    </row>
    <row r="48" spans="1:13" ht="15">
      <c r="A48" s="139"/>
      <c r="B48" s="139"/>
      <c r="C48" s="83"/>
      <c r="D48" s="83"/>
      <c r="E48" s="83"/>
      <c r="F48" s="85"/>
      <c r="H48" s="77"/>
      <c r="I48" s="77"/>
    </row>
    <row r="49" spans="1:9" ht="15">
      <c r="A49" s="139"/>
      <c r="B49" s="139"/>
      <c r="F49" s="85"/>
      <c r="H49" s="77"/>
      <c r="I49" s="77"/>
    </row>
    <row r="50" spans="1:9" ht="15">
      <c r="A50" s="139"/>
      <c r="B50" s="139"/>
      <c r="F50" s="85"/>
      <c r="H50" s="77"/>
      <c r="I50" s="77"/>
    </row>
    <row r="51" spans="1:9" ht="15">
      <c r="A51" s="139"/>
      <c r="B51" s="139"/>
      <c r="C51" s="83"/>
      <c r="D51" s="83"/>
      <c r="E51" s="83"/>
      <c r="F51" s="85"/>
    </row>
    <row r="52" spans="1:9">
      <c r="A52" s="77"/>
      <c r="B52" s="77"/>
    </row>
  </sheetData>
  <sheetProtection algorithmName="SHA-512" hashValue="Qs1n9VHojfqXRO9IxbbjDdxRqRQTNnn9s26YF3cQYAoU4755ohYSQjyLZJcuSz5ypL4AMxiwioTMvgq9r0VXcg==" saltValue="0ObC85LOZpHZ+RnONccXSg==" spinCount="100000" sheet="1"/>
  <mergeCells count="75">
    <mergeCell ref="A47:B47"/>
    <mergeCell ref="A48:B48"/>
    <mergeCell ref="A49:B49"/>
    <mergeCell ref="A50:B50"/>
    <mergeCell ref="A51:B51"/>
    <mergeCell ref="H42:I42"/>
    <mergeCell ref="A45:B45"/>
    <mergeCell ref="A46:B46"/>
    <mergeCell ref="A38:B38"/>
    <mergeCell ref="H37:I37"/>
    <mergeCell ref="A39:B39"/>
    <mergeCell ref="H38:I38"/>
    <mergeCell ref="A40:B40"/>
    <mergeCell ref="H39:I39"/>
    <mergeCell ref="A41:B41"/>
    <mergeCell ref="A42:B42"/>
    <mergeCell ref="A44:B44"/>
    <mergeCell ref="A35:B35"/>
    <mergeCell ref="A36:B36"/>
    <mergeCell ref="A37:B37"/>
    <mergeCell ref="H11:I11"/>
    <mergeCell ref="H12:I12"/>
    <mergeCell ref="H13:I13"/>
    <mergeCell ref="H14:I14"/>
    <mergeCell ref="H15:I15"/>
    <mergeCell ref="H16:I16"/>
    <mergeCell ref="H17:I17"/>
    <mergeCell ref="H35:I35"/>
    <mergeCell ref="A27:B27"/>
    <mergeCell ref="H36:I36"/>
    <mergeCell ref="A28:B28"/>
    <mergeCell ref="A23:B23"/>
    <mergeCell ref="H32:I32"/>
    <mergeCell ref="H33:I33"/>
    <mergeCell ref="A25:B25"/>
    <mergeCell ref="H34:I34"/>
    <mergeCell ref="A32:B32"/>
    <mergeCell ref="A33:B33"/>
    <mergeCell ref="A34:B34"/>
    <mergeCell ref="A29:B29"/>
    <mergeCell ref="A30:B30"/>
    <mergeCell ref="A31:B31"/>
    <mergeCell ref="H29:I29"/>
    <mergeCell ref="H30:I30"/>
    <mergeCell ref="H31:I31"/>
    <mergeCell ref="H26:I26"/>
    <mergeCell ref="H27:I27"/>
    <mergeCell ref="A26:B26"/>
    <mergeCell ref="H23:I23"/>
    <mergeCell ref="H28:I28"/>
    <mergeCell ref="A24:B24"/>
    <mergeCell ref="H24:I24"/>
    <mergeCell ref="H25:I25"/>
    <mergeCell ref="A20:B20"/>
    <mergeCell ref="A21:B21"/>
    <mergeCell ref="A22:B22"/>
    <mergeCell ref="A11:B11"/>
    <mergeCell ref="H21:I21"/>
    <mergeCell ref="A12:B12"/>
    <mergeCell ref="H22:I22"/>
    <mergeCell ref="A13:B13"/>
    <mergeCell ref="A14:B14"/>
    <mergeCell ref="A15:B15"/>
    <mergeCell ref="A16:B16"/>
    <mergeCell ref="A17:B17"/>
    <mergeCell ref="A18:B18"/>
    <mergeCell ref="A19:B19"/>
    <mergeCell ref="H18:I18"/>
    <mergeCell ref="H19:I19"/>
    <mergeCell ref="A8:B8"/>
    <mergeCell ref="H8:I8"/>
    <mergeCell ref="A9:B9"/>
    <mergeCell ref="H9:I9"/>
    <mergeCell ref="A10:B10"/>
    <mergeCell ref="H10:I10"/>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B44"/>
  <sheetViews>
    <sheetView showGridLines="0" zoomScaleNormal="100" zoomScaleSheetLayoutView="100" workbookViewId="0"/>
  </sheetViews>
  <sheetFormatPr baseColWidth="10" defaultColWidth="9.140625" defaultRowHeight="12.75"/>
  <cols>
    <col min="1" max="1" width="80.425781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7" width="8.7109375" style="57" customWidth="1"/>
    <col min="28" max="28" width="9.140625" style="57" customWidth="1"/>
    <col min="29" max="31" width="8.7109375" style="57" customWidth="1"/>
    <col min="32" max="32" width="9.140625" style="57" customWidth="1"/>
    <col min="33" max="35" width="8.7109375" style="57" customWidth="1"/>
    <col min="36" max="36" width="9.140625" style="57" customWidth="1"/>
    <col min="37" max="37" width="8.7109375" style="57" customWidth="1"/>
    <col min="38" max="38" width="9.140625" style="57" customWidth="1"/>
    <col min="39" max="39" width="8.7109375" style="57" customWidth="1"/>
    <col min="40" max="40" width="9.140625" style="57" customWidth="1"/>
    <col min="41" max="41" width="8.7109375" style="57" customWidth="1"/>
    <col min="42" max="42" width="9.140625" style="57" customWidth="1"/>
    <col min="43" max="43" width="8.7109375" style="57" customWidth="1"/>
    <col min="44" max="44" width="9.140625" style="57" customWidth="1"/>
    <col min="45" max="45" width="8.7109375" style="57" customWidth="1"/>
    <col min="46" max="46" width="9.5703125" style="57" customWidth="1"/>
    <col min="47" max="47" width="8.7109375" style="57" customWidth="1"/>
    <col min="48" max="48" width="9.140625" style="57" customWidth="1"/>
    <col min="49" max="49" width="8.7109375" style="57" customWidth="1"/>
    <col min="50" max="50" width="9.140625" style="57" customWidth="1"/>
    <col min="51" max="51" width="8.7109375" style="57" customWidth="1"/>
    <col min="52" max="52" width="9.140625" style="57" customWidth="1"/>
    <col min="53" max="53" width="8.7109375" style="57" customWidth="1"/>
    <col min="54" max="54" width="9.140625" style="57" customWidth="1"/>
    <col min="55" max="61" width="8.7109375" style="57" customWidth="1"/>
    <col min="62" max="68" width="9.140625" style="57" customWidth="1"/>
    <col min="69" max="69" width="8.7109375" style="57" customWidth="1"/>
    <col min="70" max="70" width="9.140625" style="57" customWidth="1"/>
    <col min="71" max="71" width="8.7109375" style="57" customWidth="1"/>
    <col min="72" max="73" width="9.140625" style="57"/>
    <col min="74" max="74" width="13.140625" style="57" bestFit="1" customWidth="1"/>
    <col min="75" max="16384" width="9.140625" style="57"/>
  </cols>
  <sheetData>
    <row r="1" spans="1:132" ht="16.5">
      <c r="A1" s="75"/>
    </row>
    <row r="2" spans="1:132">
      <c r="A2" s="77"/>
    </row>
    <row r="3" spans="1:132" ht="16.5">
      <c r="A3" s="5" t="s">
        <v>163</v>
      </c>
    </row>
    <row r="4" spans="1:132" s="88" customFormat="1" ht="16.5">
      <c r="A4" s="30" t="s">
        <v>164</v>
      </c>
    </row>
    <row r="5" spans="1:132" s="88" customFormat="1" ht="16.5">
      <c r="A5" s="30" t="s">
        <v>165</v>
      </c>
    </row>
    <row r="7" spans="1:132" s="89" customFormat="1" ht="15">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91</v>
      </c>
      <c r="AC7" s="143"/>
      <c r="AD7" s="143" t="s">
        <v>144</v>
      </c>
      <c r="AE7" s="143"/>
      <c r="AF7" s="143" t="s">
        <v>162</v>
      </c>
      <c r="AG7" s="143"/>
      <c r="AH7" s="143" t="s">
        <v>59</v>
      </c>
      <c r="AI7" s="143"/>
      <c r="AJ7" s="143" t="s">
        <v>16</v>
      </c>
      <c r="AK7" s="143"/>
      <c r="AL7" s="143" t="s">
        <v>18</v>
      </c>
      <c r="AM7" s="143"/>
      <c r="AN7" s="143" t="s">
        <v>20</v>
      </c>
      <c r="AO7" s="143"/>
      <c r="AP7" s="143" t="s">
        <v>22</v>
      </c>
      <c r="AQ7" s="143"/>
      <c r="AR7" s="143" t="s">
        <v>92</v>
      </c>
      <c r="AS7" s="143"/>
      <c r="AT7" s="143" t="s">
        <v>63</v>
      </c>
      <c r="AU7" s="143"/>
      <c r="AV7" s="143" t="s">
        <v>64</v>
      </c>
      <c r="AW7" s="143"/>
      <c r="AX7" s="143" t="s">
        <v>93</v>
      </c>
      <c r="AY7" s="143"/>
      <c r="AZ7" s="143" t="s">
        <v>26</v>
      </c>
      <c r="BA7" s="143"/>
      <c r="BB7" s="143" t="s">
        <v>40</v>
      </c>
      <c r="BC7" s="143"/>
      <c r="BD7" s="143" t="s">
        <v>41</v>
      </c>
      <c r="BE7" s="143"/>
      <c r="BF7" s="143" t="s">
        <v>43</v>
      </c>
      <c r="BG7" s="143"/>
      <c r="BH7" s="143" t="s">
        <v>48</v>
      </c>
      <c r="BI7" s="143"/>
      <c r="BJ7" s="143" t="s">
        <v>49</v>
      </c>
      <c r="BK7" s="143"/>
      <c r="BL7" s="143" t="s">
        <v>51</v>
      </c>
      <c r="BM7" s="143"/>
      <c r="BN7" s="143" t="s">
        <v>28</v>
      </c>
      <c r="BO7" s="143"/>
      <c r="BP7" s="143" t="s">
        <v>30</v>
      </c>
      <c r="BQ7" s="143"/>
      <c r="BR7" s="143" t="s">
        <v>33</v>
      </c>
      <c r="BS7" s="143"/>
      <c r="BT7" s="143" t="s">
        <v>29</v>
      </c>
      <c r="BU7" s="143"/>
      <c r="BV7" s="143" t="s">
        <v>65</v>
      </c>
      <c r="BW7" s="143"/>
    </row>
    <row r="8" spans="1:132" s="89" customFormat="1" ht="15">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t="s">
        <v>80</v>
      </c>
      <c r="BV8" s="38"/>
      <c r="BW8" s="38"/>
    </row>
    <row r="9" spans="1:132" s="89" customFormat="1" ht="15">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row>
    <row r="10" spans="1:132" ht="15">
      <c r="A10" s="37" t="s">
        <v>217</v>
      </c>
      <c r="B10" s="12">
        <v>27</v>
      </c>
      <c r="C10" s="12">
        <v>1706</v>
      </c>
      <c r="D10" s="12">
        <v>10</v>
      </c>
      <c r="E10" s="12">
        <v>857</v>
      </c>
      <c r="F10" s="12">
        <v>6</v>
      </c>
      <c r="G10" s="12">
        <v>1514</v>
      </c>
      <c r="H10" s="12"/>
      <c r="I10" s="12"/>
      <c r="J10" s="12"/>
      <c r="K10" s="12"/>
      <c r="L10" s="12">
        <v>13</v>
      </c>
      <c r="M10" s="12">
        <v>210</v>
      </c>
      <c r="N10" s="12"/>
      <c r="O10" s="12"/>
      <c r="P10" s="12"/>
      <c r="Q10" s="12"/>
      <c r="R10" s="12"/>
      <c r="S10" s="12"/>
      <c r="T10" s="12"/>
      <c r="U10" s="12"/>
      <c r="V10" s="12">
        <v>3</v>
      </c>
      <c r="W10" s="12">
        <v>253</v>
      </c>
      <c r="X10" s="12">
        <v>6</v>
      </c>
      <c r="Y10" s="12">
        <v>1854</v>
      </c>
      <c r="Z10" s="12">
        <v>4</v>
      </c>
      <c r="AA10" s="12">
        <v>1585</v>
      </c>
      <c r="AB10" s="12">
        <v>9</v>
      </c>
      <c r="AC10" s="12">
        <v>2598</v>
      </c>
      <c r="AD10" s="12">
        <v>1</v>
      </c>
      <c r="AE10" s="12">
        <v>413</v>
      </c>
      <c r="AF10" s="12">
        <v>1</v>
      </c>
      <c r="AG10" s="12">
        <v>23</v>
      </c>
      <c r="AH10" s="12">
        <v>1</v>
      </c>
      <c r="AI10" s="12">
        <v>305</v>
      </c>
      <c r="AJ10" s="12"/>
      <c r="AK10" s="12"/>
      <c r="AL10" s="12">
        <v>1</v>
      </c>
      <c r="AM10" s="12">
        <v>213</v>
      </c>
      <c r="AN10" s="12">
        <v>1</v>
      </c>
      <c r="AO10" s="12">
        <v>517</v>
      </c>
      <c r="AP10" s="12"/>
      <c r="AQ10" s="12"/>
      <c r="AR10" s="12">
        <v>2</v>
      </c>
      <c r="AS10" s="12">
        <v>169</v>
      </c>
      <c r="AT10" s="12">
        <v>3</v>
      </c>
      <c r="AU10" s="12">
        <v>411</v>
      </c>
      <c r="AV10" s="12"/>
      <c r="AW10" s="12"/>
      <c r="AX10" s="12">
        <v>1</v>
      </c>
      <c r="AY10" s="12">
        <v>199</v>
      </c>
      <c r="AZ10" s="12">
        <v>1</v>
      </c>
      <c r="BA10" s="12">
        <v>20</v>
      </c>
      <c r="BB10" s="12">
        <v>2</v>
      </c>
      <c r="BC10" s="12">
        <v>101</v>
      </c>
      <c r="BD10" s="12">
        <v>1</v>
      </c>
      <c r="BE10" s="12">
        <v>75</v>
      </c>
      <c r="BF10" s="12"/>
      <c r="BG10" s="12"/>
      <c r="BH10" s="12">
        <v>10</v>
      </c>
      <c r="BI10" s="12">
        <v>437</v>
      </c>
      <c r="BJ10" s="12">
        <v>4</v>
      </c>
      <c r="BK10" s="12">
        <v>148</v>
      </c>
      <c r="BL10" s="12">
        <v>1</v>
      </c>
      <c r="BM10" s="12">
        <v>57</v>
      </c>
      <c r="BN10" s="12"/>
      <c r="BO10" s="12"/>
      <c r="BP10" s="12"/>
      <c r="BQ10" s="12"/>
      <c r="BR10" s="12"/>
      <c r="BS10" s="12"/>
      <c r="BT10" s="12"/>
      <c r="BU10" s="12"/>
      <c r="BV10" s="15">
        <v>108</v>
      </c>
      <c r="BW10" s="15">
        <v>13665</v>
      </c>
      <c r="BX10" s="90"/>
      <c r="CW10" s="89"/>
      <c r="CX10" s="89"/>
      <c r="EB10" s="91"/>
    </row>
    <row r="11" spans="1:132" ht="15">
      <c r="A11" s="69" t="s">
        <v>84</v>
      </c>
      <c r="B11" s="12">
        <v>34</v>
      </c>
      <c r="C11" s="12">
        <v>2371</v>
      </c>
      <c r="D11" s="12">
        <v>14</v>
      </c>
      <c r="E11" s="12">
        <v>1793</v>
      </c>
      <c r="F11" s="12">
        <v>2</v>
      </c>
      <c r="G11" s="12">
        <v>60</v>
      </c>
      <c r="H11" s="12"/>
      <c r="I11" s="12"/>
      <c r="J11" s="12">
        <v>5</v>
      </c>
      <c r="K11" s="12">
        <v>98</v>
      </c>
      <c r="L11" s="12">
        <v>9</v>
      </c>
      <c r="M11" s="12">
        <v>199</v>
      </c>
      <c r="N11" s="12">
        <v>1</v>
      </c>
      <c r="O11" s="12">
        <v>274</v>
      </c>
      <c r="P11" s="12"/>
      <c r="Q11" s="12"/>
      <c r="R11" s="12"/>
      <c r="S11" s="12"/>
      <c r="T11" s="12"/>
      <c r="U11" s="12"/>
      <c r="V11" s="12">
        <v>2</v>
      </c>
      <c r="W11" s="12">
        <v>143</v>
      </c>
      <c r="X11" s="12">
        <v>6</v>
      </c>
      <c r="Y11" s="12">
        <v>1835</v>
      </c>
      <c r="Z11" s="12">
        <v>11</v>
      </c>
      <c r="AA11" s="12">
        <v>3234</v>
      </c>
      <c r="AB11" s="12">
        <v>2</v>
      </c>
      <c r="AC11" s="12">
        <v>588</v>
      </c>
      <c r="AD11" s="12"/>
      <c r="AE11" s="12"/>
      <c r="AF11" s="12"/>
      <c r="AG11" s="12"/>
      <c r="AH11" s="12"/>
      <c r="AI11" s="12"/>
      <c r="AJ11" s="12">
        <v>1</v>
      </c>
      <c r="AK11" s="12">
        <v>104</v>
      </c>
      <c r="AL11" s="12"/>
      <c r="AM11" s="12"/>
      <c r="AN11" s="12">
        <v>3</v>
      </c>
      <c r="AO11" s="12">
        <v>1107</v>
      </c>
      <c r="AP11" s="12">
        <v>2</v>
      </c>
      <c r="AQ11" s="12">
        <v>338</v>
      </c>
      <c r="AR11" s="12">
        <v>5</v>
      </c>
      <c r="AS11" s="12">
        <v>412</v>
      </c>
      <c r="AT11" s="12">
        <v>4</v>
      </c>
      <c r="AU11" s="12">
        <v>676</v>
      </c>
      <c r="AV11" s="12"/>
      <c r="AW11" s="12"/>
      <c r="AX11" s="12"/>
      <c r="AY11" s="12"/>
      <c r="AZ11" s="12">
        <v>2</v>
      </c>
      <c r="BA11" s="12">
        <v>46</v>
      </c>
      <c r="BB11" s="12">
        <v>2</v>
      </c>
      <c r="BC11" s="12">
        <v>76</v>
      </c>
      <c r="BD11" s="12">
        <v>3</v>
      </c>
      <c r="BE11" s="12">
        <v>298</v>
      </c>
      <c r="BF11" s="12"/>
      <c r="BG11" s="12"/>
      <c r="BH11" s="12">
        <v>17</v>
      </c>
      <c r="BI11" s="12">
        <v>1077</v>
      </c>
      <c r="BJ11" s="12">
        <v>12</v>
      </c>
      <c r="BK11" s="12">
        <v>1056</v>
      </c>
      <c r="BL11" s="12"/>
      <c r="BM11" s="12"/>
      <c r="BN11" s="12"/>
      <c r="BO11" s="12"/>
      <c r="BP11" s="12">
        <v>1</v>
      </c>
      <c r="BQ11" s="12">
        <v>184</v>
      </c>
      <c r="BR11" s="12"/>
      <c r="BS11" s="12"/>
      <c r="BT11" s="12">
        <v>1</v>
      </c>
      <c r="BU11" s="12">
        <v>10</v>
      </c>
      <c r="BV11" s="15">
        <f>B11+D11+F11+H11+J11+L11+N11+P11+R11+T11+V11+X11+Z11+AB11+AD11+AF11+AH11+AJ11+AL11+AN11+AP11+AR11+AT11+AV11+AX11+AZ11+BB11+BD11+BF11+BH11+BJ11+BL11+BN11+BP11+BR11+BT11</f>
        <v>139</v>
      </c>
      <c r="BW11" s="15">
        <f>C11+E11+G11+I11+K11+M11+O11+Q11+S11+U11+W11+Y11+AA11+AC11+AE11+AG11+AI11+AK11+AM11+AO11+AQ11+AS11+AU11+AW11+AY11+BA11+BC11+BE11+BG11+BI11+BK11+BM11+BO11+BQ11+BS11+BU11</f>
        <v>15979</v>
      </c>
      <c r="CW11" s="89"/>
      <c r="CX11" s="89"/>
    </row>
    <row r="12" spans="1:132" ht="15">
      <c r="A12" s="37" t="s">
        <v>85</v>
      </c>
      <c r="B12" s="12">
        <v>6</v>
      </c>
      <c r="C12" s="12">
        <v>514</v>
      </c>
      <c r="D12" s="12">
        <v>6</v>
      </c>
      <c r="E12" s="12">
        <v>513</v>
      </c>
      <c r="F12" s="12">
        <v>4</v>
      </c>
      <c r="G12" s="12">
        <v>298</v>
      </c>
      <c r="H12" s="12">
        <v>1</v>
      </c>
      <c r="I12" s="12">
        <v>29</v>
      </c>
      <c r="J12" s="12">
        <v>10</v>
      </c>
      <c r="K12" s="12">
        <v>150</v>
      </c>
      <c r="L12" s="12">
        <v>1</v>
      </c>
      <c r="M12" s="12">
        <v>8</v>
      </c>
      <c r="N12" s="12"/>
      <c r="O12" s="12"/>
      <c r="P12" s="12"/>
      <c r="Q12" s="12"/>
      <c r="R12" s="12">
        <v>2</v>
      </c>
      <c r="S12" s="12">
        <v>912</v>
      </c>
      <c r="T12" s="12"/>
      <c r="U12" s="12"/>
      <c r="V12" s="12"/>
      <c r="W12" s="12"/>
      <c r="X12" s="12"/>
      <c r="Y12" s="12"/>
      <c r="Z12" s="12">
        <v>6</v>
      </c>
      <c r="AA12" s="12">
        <v>2024</v>
      </c>
      <c r="AB12" s="12">
        <v>3</v>
      </c>
      <c r="AC12" s="12">
        <v>783</v>
      </c>
      <c r="AD12" s="12"/>
      <c r="AE12" s="12"/>
      <c r="AF12" s="12">
        <v>1</v>
      </c>
      <c r="AG12" s="12">
        <v>116</v>
      </c>
      <c r="AH12" s="12"/>
      <c r="AI12" s="12"/>
      <c r="AJ12" s="12"/>
      <c r="AK12" s="12"/>
      <c r="AL12" s="12"/>
      <c r="AM12" s="12"/>
      <c r="AN12" s="12"/>
      <c r="AO12" s="12"/>
      <c r="AP12" s="12"/>
      <c r="AQ12" s="12"/>
      <c r="AR12" s="12"/>
      <c r="AS12" s="12"/>
      <c r="AT12" s="12"/>
      <c r="AU12" s="12"/>
      <c r="AV12" s="12"/>
      <c r="AW12" s="12"/>
      <c r="AX12" s="12"/>
      <c r="AY12" s="12"/>
      <c r="AZ12" s="12">
        <v>3</v>
      </c>
      <c r="BA12" s="12">
        <v>59</v>
      </c>
      <c r="BB12" s="12">
        <v>1</v>
      </c>
      <c r="BC12" s="12">
        <v>20</v>
      </c>
      <c r="BD12" s="12">
        <v>1</v>
      </c>
      <c r="BE12" s="12">
        <v>21</v>
      </c>
      <c r="BF12" s="12"/>
      <c r="BG12" s="12"/>
      <c r="BH12" s="12">
        <v>3</v>
      </c>
      <c r="BI12" s="12">
        <v>118</v>
      </c>
      <c r="BJ12" s="12"/>
      <c r="BK12" s="12"/>
      <c r="BL12" s="12"/>
      <c r="BM12" s="12"/>
      <c r="BN12" s="12"/>
      <c r="BO12" s="12"/>
      <c r="BP12" s="12"/>
      <c r="BQ12" s="12"/>
      <c r="BR12" s="12"/>
      <c r="BS12" s="12"/>
      <c r="BT12" s="12">
        <v>2</v>
      </c>
      <c r="BU12" s="12">
        <v>20</v>
      </c>
      <c r="BV12" s="15">
        <v>50</v>
      </c>
      <c r="BW12" s="15">
        <v>5585</v>
      </c>
      <c r="CW12" s="89"/>
      <c r="CX12" s="89"/>
    </row>
    <row r="13" spans="1:132" ht="15">
      <c r="A13" s="37" t="s">
        <v>86</v>
      </c>
      <c r="B13" s="12">
        <v>25</v>
      </c>
      <c r="C13" s="12">
        <v>1948</v>
      </c>
      <c r="D13" s="12">
        <v>12</v>
      </c>
      <c r="E13" s="12">
        <v>1858</v>
      </c>
      <c r="F13" s="12">
        <v>18</v>
      </c>
      <c r="G13" s="12">
        <v>1932</v>
      </c>
      <c r="H13" s="12">
        <v>2</v>
      </c>
      <c r="I13" s="12">
        <v>390</v>
      </c>
      <c r="J13" s="12">
        <v>1</v>
      </c>
      <c r="K13" s="12">
        <v>8</v>
      </c>
      <c r="L13" s="12">
        <v>1</v>
      </c>
      <c r="M13" s="12">
        <v>12</v>
      </c>
      <c r="N13" s="12">
        <v>1</v>
      </c>
      <c r="O13" s="12">
        <v>400</v>
      </c>
      <c r="P13" s="12"/>
      <c r="Q13" s="12"/>
      <c r="R13" s="12"/>
      <c r="S13" s="12"/>
      <c r="T13" s="12"/>
      <c r="U13" s="12"/>
      <c r="V13" s="12"/>
      <c r="W13" s="12"/>
      <c r="X13" s="12">
        <v>6</v>
      </c>
      <c r="Y13" s="12">
        <v>1238</v>
      </c>
      <c r="Z13" s="12">
        <v>15</v>
      </c>
      <c r="AA13" s="12">
        <v>8151</v>
      </c>
      <c r="AB13" s="12">
        <v>4</v>
      </c>
      <c r="AC13" s="12">
        <v>1887</v>
      </c>
      <c r="AD13" s="12"/>
      <c r="AE13" s="12"/>
      <c r="AF13" s="12"/>
      <c r="AG13" s="12"/>
      <c r="AH13" s="12"/>
      <c r="AI13" s="12"/>
      <c r="AJ13" s="12"/>
      <c r="AK13" s="12"/>
      <c r="AL13" s="12">
        <v>2</v>
      </c>
      <c r="AM13" s="12">
        <v>450</v>
      </c>
      <c r="AN13" s="12">
        <v>4</v>
      </c>
      <c r="AO13" s="12">
        <v>755</v>
      </c>
      <c r="AP13" s="12">
        <v>4</v>
      </c>
      <c r="AQ13" s="12">
        <v>1908</v>
      </c>
      <c r="AR13" s="12"/>
      <c r="AS13" s="12"/>
      <c r="AT13" s="12">
        <v>1</v>
      </c>
      <c r="AU13" s="12">
        <v>84</v>
      </c>
      <c r="AV13" s="12">
        <v>2</v>
      </c>
      <c r="AW13" s="12">
        <v>296</v>
      </c>
      <c r="AX13" s="12">
        <v>1</v>
      </c>
      <c r="AY13" s="12">
        <v>19</v>
      </c>
      <c r="AZ13" s="12"/>
      <c r="BA13" s="12"/>
      <c r="BB13" s="12">
        <v>3</v>
      </c>
      <c r="BC13" s="12">
        <v>44</v>
      </c>
      <c r="BD13" s="12"/>
      <c r="BE13" s="12"/>
      <c r="BF13" s="12">
        <v>1</v>
      </c>
      <c r="BG13" s="12">
        <v>16</v>
      </c>
      <c r="BH13" s="12">
        <v>1</v>
      </c>
      <c r="BI13" s="12">
        <v>13</v>
      </c>
      <c r="BJ13" s="12"/>
      <c r="BK13" s="12"/>
      <c r="BL13" s="12"/>
      <c r="BM13" s="12"/>
      <c r="BN13" s="12">
        <v>2</v>
      </c>
      <c r="BO13" s="12">
        <v>100</v>
      </c>
      <c r="BP13" s="12"/>
      <c r="BQ13" s="12"/>
      <c r="BR13" s="12">
        <v>1</v>
      </c>
      <c r="BS13" s="12">
        <v>42</v>
      </c>
      <c r="BT13" s="12"/>
      <c r="BU13" s="12"/>
      <c r="BV13" s="15">
        <v>107</v>
      </c>
      <c r="BW13" s="15">
        <v>21551</v>
      </c>
      <c r="CW13" s="89"/>
      <c r="CX13" s="89"/>
    </row>
    <row r="14" spans="1:132" ht="15">
      <c r="A14" s="37" t="s">
        <v>87</v>
      </c>
      <c r="B14" s="12">
        <v>39</v>
      </c>
      <c r="C14" s="12">
        <v>2178</v>
      </c>
      <c r="D14" s="12">
        <v>16</v>
      </c>
      <c r="E14" s="12">
        <v>1876</v>
      </c>
      <c r="F14" s="12">
        <v>9</v>
      </c>
      <c r="G14" s="12">
        <v>1246</v>
      </c>
      <c r="H14" s="12"/>
      <c r="I14" s="12"/>
      <c r="J14" s="12">
        <v>10</v>
      </c>
      <c r="K14" s="12">
        <v>181</v>
      </c>
      <c r="L14" s="12">
        <v>1</v>
      </c>
      <c r="M14" s="12">
        <v>18</v>
      </c>
      <c r="N14" s="12">
        <v>3</v>
      </c>
      <c r="O14" s="12">
        <v>924</v>
      </c>
      <c r="P14" s="12">
        <v>3</v>
      </c>
      <c r="Q14" s="12">
        <v>2041</v>
      </c>
      <c r="R14" s="12"/>
      <c r="S14" s="12"/>
      <c r="T14" s="12">
        <v>3</v>
      </c>
      <c r="U14" s="12">
        <v>89</v>
      </c>
      <c r="V14" s="12"/>
      <c r="W14" s="12"/>
      <c r="X14" s="12">
        <v>2</v>
      </c>
      <c r="Y14" s="12">
        <v>348</v>
      </c>
      <c r="Z14" s="12">
        <v>14</v>
      </c>
      <c r="AA14" s="12">
        <v>6286</v>
      </c>
      <c r="AB14" s="12">
        <v>7</v>
      </c>
      <c r="AC14" s="12">
        <v>2593</v>
      </c>
      <c r="AD14" s="12"/>
      <c r="AE14" s="12"/>
      <c r="AF14" s="12">
        <v>3</v>
      </c>
      <c r="AG14" s="12">
        <v>970</v>
      </c>
      <c r="AH14" s="12"/>
      <c r="AI14" s="12"/>
      <c r="AJ14" s="12"/>
      <c r="AK14" s="12"/>
      <c r="AL14" s="12"/>
      <c r="AM14" s="12"/>
      <c r="AN14" s="12">
        <v>4</v>
      </c>
      <c r="AO14" s="12">
        <v>1028</v>
      </c>
      <c r="AP14" s="12">
        <v>3</v>
      </c>
      <c r="AQ14" s="12">
        <v>422</v>
      </c>
      <c r="AR14" s="12"/>
      <c r="AS14" s="12"/>
      <c r="AT14" s="12"/>
      <c r="AU14" s="12"/>
      <c r="AV14" s="12">
        <v>2</v>
      </c>
      <c r="AW14" s="12">
        <v>148</v>
      </c>
      <c r="AX14" s="12"/>
      <c r="AY14" s="12"/>
      <c r="AZ14" s="12">
        <v>1</v>
      </c>
      <c r="BA14" s="12">
        <v>29</v>
      </c>
      <c r="BB14" s="12">
        <v>5</v>
      </c>
      <c r="BC14" s="12">
        <v>154</v>
      </c>
      <c r="BD14" s="12">
        <v>4</v>
      </c>
      <c r="BE14" s="12">
        <v>262</v>
      </c>
      <c r="BF14" s="12"/>
      <c r="BG14" s="12"/>
      <c r="BH14" s="12">
        <v>6</v>
      </c>
      <c r="BI14" s="12">
        <v>246</v>
      </c>
      <c r="BJ14" s="12">
        <v>7</v>
      </c>
      <c r="BK14" s="12">
        <v>283</v>
      </c>
      <c r="BL14" s="12"/>
      <c r="BM14" s="12"/>
      <c r="BN14" s="12"/>
      <c r="BO14" s="12"/>
      <c r="BP14" s="12"/>
      <c r="BQ14" s="12"/>
      <c r="BR14" s="12"/>
      <c r="BS14" s="12"/>
      <c r="BT14" s="12"/>
      <c r="BU14" s="12"/>
      <c r="BV14" s="15">
        <v>142</v>
      </c>
      <c r="BW14" s="15">
        <v>21322</v>
      </c>
      <c r="CW14" s="89"/>
      <c r="CX14" s="89"/>
    </row>
    <row r="15" spans="1:132" s="89" customFormat="1" ht="15">
      <c r="A15" s="73" t="s">
        <v>218</v>
      </c>
      <c r="B15" s="39">
        <v>131</v>
      </c>
      <c r="C15" s="39">
        <v>8717</v>
      </c>
      <c r="D15" s="39">
        <v>58</v>
      </c>
      <c r="E15" s="39">
        <v>6897</v>
      </c>
      <c r="F15" s="39">
        <f>F10+F11+F12+F13+F14</f>
        <v>39</v>
      </c>
      <c r="G15" s="39">
        <f>G10+G11+G12+G13+G14</f>
        <v>5050</v>
      </c>
      <c r="H15" s="39">
        <v>3</v>
      </c>
      <c r="I15" s="39">
        <v>419</v>
      </c>
      <c r="J15" s="39">
        <v>26</v>
      </c>
      <c r="K15" s="39">
        <v>437</v>
      </c>
      <c r="L15" s="39">
        <v>25</v>
      </c>
      <c r="M15" s="39">
        <v>447</v>
      </c>
      <c r="N15" s="39">
        <v>5</v>
      </c>
      <c r="O15" s="39">
        <v>1598</v>
      </c>
      <c r="P15" s="39">
        <v>3</v>
      </c>
      <c r="Q15" s="39">
        <v>2041</v>
      </c>
      <c r="R15" s="39">
        <v>2</v>
      </c>
      <c r="S15" s="39">
        <v>912</v>
      </c>
      <c r="T15" s="39">
        <v>3</v>
      </c>
      <c r="U15" s="39">
        <v>89</v>
      </c>
      <c r="V15" s="39">
        <v>5</v>
      </c>
      <c r="W15" s="39">
        <v>396</v>
      </c>
      <c r="X15" s="39">
        <v>20</v>
      </c>
      <c r="Y15" s="39">
        <v>5275</v>
      </c>
      <c r="Z15" s="39">
        <f>Z10+Z11+Z12+Z13+Z14</f>
        <v>50</v>
      </c>
      <c r="AA15" s="39">
        <f>AA10+AA11+AA12+AA13+AA14</f>
        <v>21280</v>
      </c>
      <c r="AB15" s="39">
        <v>25</v>
      </c>
      <c r="AC15" s="39">
        <v>8449</v>
      </c>
      <c r="AD15" s="39">
        <v>1</v>
      </c>
      <c r="AE15" s="39">
        <v>413</v>
      </c>
      <c r="AF15" s="39">
        <v>5</v>
      </c>
      <c r="AG15" s="39">
        <v>1109</v>
      </c>
      <c r="AH15" s="39">
        <v>1</v>
      </c>
      <c r="AI15" s="39">
        <v>305</v>
      </c>
      <c r="AJ15" s="39">
        <v>1</v>
      </c>
      <c r="AK15" s="39">
        <v>104</v>
      </c>
      <c r="AL15" s="39">
        <v>3</v>
      </c>
      <c r="AM15" s="39">
        <v>663</v>
      </c>
      <c r="AN15" s="39">
        <v>12</v>
      </c>
      <c r="AO15" s="39">
        <v>3407</v>
      </c>
      <c r="AP15" s="39">
        <v>9</v>
      </c>
      <c r="AQ15" s="39">
        <v>2668</v>
      </c>
      <c r="AR15" s="39">
        <v>7</v>
      </c>
      <c r="AS15" s="39">
        <v>581</v>
      </c>
      <c r="AT15" s="39">
        <v>8</v>
      </c>
      <c r="AU15" s="39">
        <v>1171</v>
      </c>
      <c r="AV15" s="39">
        <v>4</v>
      </c>
      <c r="AW15" s="39">
        <v>444</v>
      </c>
      <c r="AX15" s="39">
        <v>2</v>
      </c>
      <c r="AY15" s="39">
        <v>218</v>
      </c>
      <c r="AZ15" s="39">
        <v>7</v>
      </c>
      <c r="BA15" s="39">
        <v>154</v>
      </c>
      <c r="BB15" s="39">
        <v>13</v>
      </c>
      <c r="BC15" s="39">
        <v>395</v>
      </c>
      <c r="BD15" s="39">
        <v>9</v>
      </c>
      <c r="BE15" s="39">
        <v>656</v>
      </c>
      <c r="BF15" s="39">
        <v>1</v>
      </c>
      <c r="BG15" s="39">
        <v>16</v>
      </c>
      <c r="BH15" s="39">
        <v>37</v>
      </c>
      <c r="BI15" s="39">
        <v>1891</v>
      </c>
      <c r="BJ15" s="39">
        <v>23</v>
      </c>
      <c r="BK15" s="39">
        <v>1487</v>
      </c>
      <c r="BL15" s="39">
        <v>1</v>
      </c>
      <c r="BM15" s="39">
        <v>57</v>
      </c>
      <c r="BN15" s="39">
        <v>2</v>
      </c>
      <c r="BO15" s="39">
        <v>100</v>
      </c>
      <c r="BP15" s="39">
        <v>1</v>
      </c>
      <c r="BQ15" s="39">
        <v>184</v>
      </c>
      <c r="BR15" s="39">
        <v>1</v>
      </c>
      <c r="BS15" s="39">
        <v>42</v>
      </c>
      <c r="BT15" s="39">
        <v>3</v>
      </c>
      <c r="BU15" s="39">
        <v>30</v>
      </c>
      <c r="BV15" s="39">
        <f>BV10+BV11+BV12+BV13+BV14</f>
        <v>546</v>
      </c>
      <c r="BW15" s="39">
        <f>BW10+BW11+BW12+BW13+BW14</f>
        <v>78102</v>
      </c>
    </row>
    <row r="16" spans="1:132">
      <c r="A16" s="62" t="s">
        <v>134</v>
      </c>
      <c r="BV16" s="90"/>
      <c r="BW16" s="90"/>
    </row>
    <row r="17" spans="1:53">
      <c r="A17" s="63" t="s">
        <v>135</v>
      </c>
      <c r="B17" s="90"/>
      <c r="C17" s="90"/>
      <c r="D17" s="90"/>
      <c r="E17" s="90"/>
      <c r="F17" s="90"/>
      <c r="G17" s="90"/>
      <c r="H17" s="90"/>
      <c r="I17" s="90"/>
      <c r="J17" s="90"/>
      <c r="K17" s="90"/>
      <c r="L17" s="90"/>
      <c r="M17" s="90"/>
      <c r="N17" s="90"/>
      <c r="O17" s="90"/>
      <c r="P17" s="90"/>
      <c r="Q17" s="90"/>
      <c r="R17" s="90"/>
      <c r="S17" s="90"/>
      <c r="T17" s="90"/>
      <c r="U17" s="90"/>
      <c r="Z17" s="90"/>
      <c r="AA17" s="90"/>
      <c r="AL17" s="90"/>
      <c r="AM17" s="90"/>
      <c r="AU17" s="90"/>
      <c r="AV17" s="90"/>
      <c r="AW17" s="90"/>
      <c r="AZ17" s="90"/>
      <c r="BA17" s="90"/>
    </row>
    <row r="18" spans="1:53">
      <c r="A18" s="63" t="s">
        <v>136</v>
      </c>
      <c r="Z18" s="90"/>
      <c r="AA18" s="90"/>
      <c r="AV18" s="90"/>
      <c r="AW18" s="90"/>
    </row>
    <row r="21" spans="1:53">
      <c r="A21" s="92"/>
    </row>
    <row r="22" spans="1:53">
      <c r="A22" s="92"/>
      <c r="B22" s="92"/>
    </row>
    <row r="23" spans="1:53">
      <c r="A23" s="92"/>
      <c r="B23" s="92"/>
    </row>
    <row r="24" spans="1:53">
      <c r="A24" s="92"/>
      <c r="B24" s="92"/>
    </row>
    <row r="25" spans="1:53">
      <c r="A25" s="92"/>
      <c r="B25" s="92"/>
    </row>
    <row r="26" spans="1:53">
      <c r="A26" s="92"/>
      <c r="B26" s="92"/>
    </row>
    <row r="27" spans="1:53">
      <c r="A27" s="92"/>
      <c r="B27" s="92"/>
    </row>
    <row r="28" spans="1:53">
      <c r="A28" s="92"/>
      <c r="B28" s="92"/>
    </row>
    <row r="29" spans="1:53">
      <c r="A29" s="92"/>
      <c r="B29" s="92"/>
    </row>
    <row r="30" spans="1:53">
      <c r="A30" s="92"/>
      <c r="B30" s="92"/>
    </row>
    <row r="31" spans="1:53">
      <c r="A31" s="92"/>
      <c r="B31" s="92"/>
    </row>
    <row r="32" spans="1:53">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8">
    <mergeCell ref="BR7:BS7"/>
    <mergeCell ref="BT7:BU7"/>
    <mergeCell ref="BV7:BW7"/>
    <mergeCell ref="BH7:BI7"/>
    <mergeCell ref="BJ7:BK7"/>
    <mergeCell ref="BN7:BO7"/>
    <mergeCell ref="BL7:BM7"/>
    <mergeCell ref="BP7:BQ7"/>
    <mergeCell ref="AX7:AY7"/>
    <mergeCell ref="AZ7:BA7"/>
    <mergeCell ref="BB7:BC7"/>
    <mergeCell ref="BD7:BE7"/>
    <mergeCell ref="BF7:BG7"/>
    <mergeCell ref="AN7:AO7"/>
    <mergeCell ref="AP7:AQ7"/>
    <mergeCell ref="AR7:AS7"/>
    <mergeCell ref="AT7:AU7"/>
    <mergeCell ref="AV7:AW7"/>
    <mergeCell ref="AF7:AG7"/>
    <mergeCell ref="AJ7:AK7"/>
    <mergeCell ref="AL7:AM7"/>
    <mergeCell ref="AD7:AE7"/>
    <mergeCell ref="AH7:AI7"/>
    <mergeCell ref="T7:U7"/>
    <mergeCell ref="V7:W7"/>
    <mergeCell ref="X7:Y7"/>
    <mergeCell ref="Z7:AA7"/>
    <mergeCell ref="AB7:AC7"/>
    <mergeCell ref="J7:K7"/>
    <mergeCell ref="L7:M7"/>
    <mergeCell ref="N7:O7"/>
    <mergeCell ref="P7:Q7"/>
    <mergeCell ref="R7:S7"/>
    <mergeCell ref="A7:A8"/>
    <mergeCell ref="B7:C7"/>
    <mergeCell ref="D7:E7"/>
    <mergeCell ref="F7:G7"/>
    <mergeCell ref="H7:I7"/>
  </mergeCells>
  <conditionalFormatting sqref="A1:BW1048576 BX1:IV6 CZ7:IV15 BX16:IV65536">
    <cfRule type="expression" priority="9">
      <formula>SI(0," ")</formula>
    </cfRule>
  </conditionalFormatting>
  <conditionalFormatting sqref="A10:BW14">
    <cfRule type="expression" dxfId="9" priority="6" stopIfTrue="1">
      <formula>MOD(ROW(),2)=0</formula>
    </cfRule>
  </conditionalFormatting>
  <conditionalFormatting sqref="L3">
    <cfRule type="expression" priority="8">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3" manualBreakCount="3">
    <brk id="37" max="17" man="1"/>
    <brk id="53" max="1048575" man="1"/>
    <brk id="67"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M53"/>
  <sheetViews>
    <sheetView showGridLines="0" zoomScaleNormal="100" workbookViewId="0"/>
  </sheetViews>
  <sheetFormatPr baseColWidth="10" defaultColWidth="9.140625" defaultRowHeight="12.75"/>
  <cols>
    <col min="1" max="1" width="9.140625" style="76"/>
    <col min="2" max="2" width="20" style="76" customWidth="1"/>
    <col min="3" max="3" width="17" style="77" bestFit="1" customWidth="1"/>
    <col min="4" max="4" width="15.28515625" style="77" bestFit="1" customWidth="1"/>
    <col min="5" max="5" width="14.140625"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3" ht="16.5">
      <c r="A3" s="75" t="s">
        <v>156</v>
      </c>
    </row>
    <row r="4" spans="1:13" s="78" customFormat="1" ht="16.5">
      <c r="A4" s="79" t="s">
        <v>157</v>
      </c>
      <c r="B4" s="80"/>
      <c r="H4" s="80"/>
      <c r="I4" s="80"/>
      <c r="L4" s="81"/>
    </row>
    <row r="5" spans="1:13" s="78" customFormat="1" ht="16.5">
      <c r="A5" s="79" t="s">
        <v>158</v>
      </c>
      <c r="B5" s="80"/>
      <c r="H5" s="80"/>
      <c r="I5" s="80"/>
    </row>
    <row r="6" spans="1:13" s="78" customFormat="1" ht="16.5">
      <c r="A6" s="79"/>
      <c r="B6" s="80"/>
      <c r="H6" s="80"/>
      <c r="I6" s="80"/>
    </row>
    <row r="8" spans="1:13">
      <c r="A8" s="137" t="s">
        <v>0</v>
      </c>
      <c r="B8" s="137"/>
      <c r="C8" s="108" t="s">
        <v>1</v>
      </c>
      <c r="D8" s="108" t="s">
        <v>2</v>
      </c>
      <c r="E8" s="108" t="s">
        <v>3</v>
      </c>
      <c r="F8" s="108" t="s">
        <v>4</v>
      </c>
      <c r="H8" s="137" t="s">
        <v>0</v>
      </c>
      <c r="I8" s="137"/>
      <c r="J8" s="108" t="s">
        <v>1</v>
      </c>
      <c r="K8" s="108" t="s">
        <v>2</v>
      </c>
      <c r="L8" s="108" t="s">
        <v>3</v>
      </c>
      <c r="M8" s="108" t="s">
        <v>4</v>
      </c>
    </row>
    <row r="9" spans="1:13">
      <c r="A9" s="138" t="s">
        <v>5</v>
      </c>
      <c r="B9" s="138"/>
      <c r="C9" s="109" t="s">
        <v>6</v>
      </c>
      <c r="D9" s="109" t="s">
        <v>7</v>
      </c>
      <c r="E9" s="109" t="s">
        <v>8</v>
      </c>
      <c r="F9" s="109" t="s">
        <v>9</v>
      </c>
      <c r="H9" s="138" t="s">
        <v>5</v>
      </c>
      <c r="I9" s="138"/>
      <c r="J9" s="109" t="s">
        <v>6</v>
      </c>
      <c r="K9" s="109" t="s">
        <v>7</v>
      </c>
      <c r="L9" s="109" t="s">
        <v>8</v>
      </c>
      <c r="M9" s="109" t="s">
        <v>9</v>
      </c>
    </row>
    <row r="10" spans="1:13">
      <c r="A10" s="138" t="s">
        <v>10</v>
      </c>
      <c r="B10" s="138"/>
      <c r="C10" s="109" t="s">
        <v>11</v>
      </c>
      <c r="D10" s="109" t="s">
        <v>12</v>
      </c>
      <c r="E10" s="109" t="s">
        <v>13</v>
      </c>
      <c r="F10" s="109" t="s">
        <v>14</v>
      </c>
      <c r="H10" s="138" t="s">
        <v>10</v>
      </c>
      <c r="I10" s="138"/>
      <c r="J10" s="109" t="s">
        <v>11</v>
      </c>
      <c r="K10" s="109" t="s">
        <v>12</v>
      </c>
      <c r="L10" s="109" t="s">
        <v>13</v>
      </c>
      <c r="M10" s="109" t="s">
        <v>14</v>
      </c>
    </row>
    <row r="11" spans="1:13" ht="15">
      <c r="A11" s="139" t="s">
        <v>15</v>
      </c>
      <c r="B11" s="139"/>
      <c r="C11" s="83">
        <v>127</v>
      </c>
      <c r="D11" s="83">
        <v>2682</v>
      </c>
      <c r="E11" s="83">
        <v>8237</v>
      </c>
      <c r="F11" s="85">
        <v>0.3875870506305289</v>
      </c>
      <c r="G11" s="82"/>
      <c r="H11" s="139" t="s">
        <v>16</v>
      </c>
      <c r="I11" s="139"/>
      <c r="J11" s="83">
        <v>1</v>
      </c>
      <c r="K11" s="83">
        <v>54</v>
      </c>
      <c r="L11" s="83">
        <v>104</v>
      </c>
      <c r="M11" s="85">
        <v>1.542340204656681E-2</v>
      </c>
    </row>
    <row r="12" spans="1:13" ht="15">
      <c r="A12" s="139" t="s">
        <v>17</v>
      </c>
      <c r="B12" s="139"/>
      <c r="C12" s="83">
        <v>59</v>
      </c>
      <c r="D12" s="83">
        <v>2544</v>
      </c>
      <c r="E12" s="83">
        <v>7018</v>
      </c>
      <c r="F12" s="85">
        <v>0.33022774327122151</v>
      </c>
      <c r="G12" s="82"/>
      <c r="H12" s="139" t="s">
        <v>18</v>
      </c>
      <c r="I12" s="139"/>
      <c r="J12" s="83">
        <v>3</v>
      </c>
      <c r="K12" s="83">
        <v>289</v>
      </c>
      <c r="L12" s="83">
        <v>663</v>
      </c>
      <c r="M12" s="85">
        <v>9.8324188046863409E-2</v>
      </c>
    </row>
    <row r="13" spans="1:13" ht="15">
      <c r="A13" s="139" t="s">
        <v>19</v>
      </c>
      <c r="B13" s="139"/>
      <c r="C13" s="83">
        <v>41</v>
      </c>
      <c r="D13" s="83">
        <v>1817</v>
      </c>
      <c r="E13" s="83">
        <v>5275</v>
      </c>
      <c r="F13" s="85">
        <v>0.2482119329945417</v>
      </c>
      <c r="G13" s="82"/>
      <c r="H13" s="139" t="s">
        <v>20</v>
      </c>
      <c r="I13" s="139"/>
      <c r="J13" s="83">
        <v>11</v>
      </c>
      <c r="K13" s="83">
        <v>1540</v>
      </c>
      <c r="L13" s="83">
        <v>3308</v>
      </c>
      <c r="M13" s="85">
        <v>0.49058282663502895</v>
      </c>
    </row>
    <row r="14" spans="1:13" ht="15">
      <c r="A14" s="139" t="s">
        <v>21</v>
      </c>
      <c r="B14" s="139"/>
      <c r="C14" s="83">
        <v>4</v>
      </c>
      <c r="D14" s="83">
        <v>225</v>
      </c>
      <c r="E14" s="83">
        <v>722</v>
      </c>
      <c r="F14" s="85">
        <v>3.3973273103707888E-2</v>
      </c>
      <c r="G14" s="82"/>
      <c r="H14" s="139" t="s">
        <v>145</v>
      </c>
      <c r="I14" s="139"/>
      <c r="J14" s="83"/>
      <c r="K14" s="83"/>
      <c r="L14" s="83"/>
      <c r="M14" s="85"/>
    </row>
    <row r="15" spans="1:13" ht="15">
      <c r="A15" s="140" t="s">
        <v>23</v>
      </c>
      <c r="B15" s="140"/>
      <c r="C15" s="93">
        <v>231</v>
      </c>
      <c r="D15" s="93">
        <v>7268</v>
      </c>
      <c r="E15" s="93">
        <v>21252</v>
      </c>
      <c r="F15" s="94">
        <v>1</v>
      </c>
      <c r="G15" s="82"/>
      <c r="H15" s="139" t="s">
        <v>22</v>
      </c>
      <c r="I15" s="139"/>
      <c r="J15" s="83">
        <v>9</v>
      </c>
      <c r="K15" s="83">
        <v>1247</v>
      </c>
      <c r="L15" s="83">
        <v>2668</v>
      </c>
      <c r="M15" s="85">
        <v>0.39566958327154084</v>
      </c>
    </row>
    <row r="16" spans="1:13" ht="15">
      <c r="A16" s="139"/>
      <c r="B16" s="139"/>
      <c r="F16" s="85"/>
      <c r="G16" s="82"/>
      <c r="H16" s="139" t="s">
        <v>146</v>
      </c>
      <c r="I16" s="139"/>
      <c r="M16" s="85"/>
    </row>
    <row r="17" spans="1:13" ht="15">
      <c r="A17" s="140" t="s">
        <v>26</v>
      </c>
      <c r="B17" s="140"/>
      <c r="C17" s="93">
        <v>7</v>
      </c>
      <c r="D17" s="93">
        <v>79</v>
      </c>
      <c r="E17" s="93">
        <v>154</v>
      </c>
      <c r="F17" s="94">
        <v>1</v>
      </c>
      <c r="G17" s="82"/>
      <c r="H17" s="139" t="s">
        <v>24</v>
      </c>
      <c r="I17" s="139"/>
      <c r="M17" s="85"/>
    </row>
    <row r="18" spans="1:13" ht="15">
      <c r="A18" s="140" t="s">
        <v>27</v>
      </c>
      <c r="B18" s="140"/>
      <c r="C18" s="93">
        <v>24</v>
      </c>
      <c r="D18" s="93">
        <v>198</v>
      </c>
      <c r="E18" s="93">
        <v>404</v>
      </c>
      <c r="F18" s="94">
        <v>1</v>
      </c>
      <c r="G18" s="82"/>
      <c r="H18" s="139" t="s">
        <v>147</v>
      </c>
      <c r="I18" s="139"/>
      <c r="J18" s="83"/>
      <c r="K18" s="83"/>
      <c r="L18" s="83"/>
      <c r="M18" s="85"/>
    </row>
    <row r="19" spans="1:13" ht="15">
      <c r="A19" s="140" t="s">
        <v>29</v>
      </c>
      <c r="B19" s="140"/>
      <c r="C19" s="93">
        <v>3</v>
      </c>
      <c r="D19" s="93">
        <v>16</v>
      </c>
      <c r="E19" s="93">
        <v>30</v>
      </c>
      <c r="F19" s="94">
        <v>1</v>
      </c>
      <c r="G19" s="82"/>
      <c r="H19" s="140" t="s">
        <v>25</v>
      </c>
      <c r="I19" s="140"/>
      <c r="J19" s="93">
        <v>24</v>
      </c>
      <c r="K19" s="93">
        <v>3130</v>
      </c>
      <c r="L19" s="93">
        <v>6743</v>
      </c>
      <c r="M19" s="94">
        <v>1</v>
      </c>
    </row>
    <row r="20" spans="1:13" ht="15">
      <c r="A20" s="140" t="s">
        <v>94</v>
      </c>
      <c r="B20" s="140"/>
      <c r="C20" s="93">
        <v>5</v>
      </c>
      <c r="D20" s="93"/>
      <c r="E20" s="93">
        <v>1598</v>
      </c>
      <c r="F20" s="94">
        <v>1</v>
      </c>
      <c r="G20" s="82"/>
      <c r="H20" s="83"/>
      <c r="I20" s="83"/>
      <c r="J20" s="83"/>
      <c r="K20" s="83"/>
      <c r="L20" s="83"/>
      <c r="M20" s="83"/>
    </row>
    <row r="21" spans="1:13" ht="15">
      <c r="A21" s="139"/>
      <c r="B21" s="139"/>
      <c r="C21" s="83"/>
      <c r="D21" s="83"/>
      <c r="E21" s="83"/>
      <c r="F21" s="85"/>
      <c r="G21" s="82"/>
      <c r="H21" s="139" t="s">
        <v>28</v>
      </c>
      <c r="I21" s="139"/>
      <c r="J21" s="83">
        <v>2</v>
      </c>
      <c r="K21" s="83">
        <v>50</v>
      </c>
      <c r="L21" s="83">
        <v>100</v>
      </c>
      <c r="M21" s="85">
        <v>0.30674846625766872</v>
      </c>
    </row>
    <row r="22" spans="1:13" ht="15">
      <c r="A22" s="139" t="s">
        <v>42</v>
      </c>
      <c r="B22" s="139"/>
      <c r="F22" s="85"/>
      <c r="G22" s="82"/>
      <c r="H22" s="139" t="s">
        <v>30</v>
      </c>
      <c r="I22" s="139"/>
      <c r="J22" s="83">
        <v>1</v>
      </c>
      <c r="K22" s="83">
        <v>92</v>
      </c>
      <c r="L22" s="83">
        <v>184</v>
      </c>
      <c r="M22" s="85">
        <v>0.56441717791411039</v>
      </c>
    </row>
    <row r="23" spans="1:13" ht="15">
      <c r="A23" s="139" t="s">
        <v>44</v>
      </c>
      <c r="B23" s="139"/>
      <c r="C23" s="83">
        <v>4</v>
      </c>
      <c r="D23" s="83">
        <v>1022</v>
      </c>
      <c r="E23" s="83">
        <v>2781</v>
      </c>
      <c r="F23" s="85">
        <v>0.67945272416320546</v>
      </c>
      <c r="G23" s="82"/>
      <c r="H23" s="139" t="s">
        <v>31</v>
      </c>
      <c r="I23" s="139"/>
      <c r="J23" s="83"/>
      <c r="K23" s="83"/>
      <c r="L23" s="83"/>
      <c r="M23" s="86"/>
    </row>
    <row r="24" spans="1:13" ht="15">
      <c r="A24" s="139" t="s">
        <v>46</v>
      </c>
      <c r="B24" s="139"/>
      <c r="C24" s="83">
        <v>3</v>
      </c>
      <c r="D24" s="83">
        <v>618</v>
      </c>
      <c r="E24" s="83">
        <v>1312</v>
      </c>
      <c r="F24" s="85">
        <v>0.32054727583679454</v>
      </c>
      <c r="G24" s="82"/>
      <c r="H24" s="139" t="s">
        <v>33</v>
      </c>
      <c r="I24" s="139"/>
      <c r="J24" s="83">
        <v>1</v>
      </c>
      <c r="K24" s="83">
        <v>21</v>
      </c>
      <c r="L24" s="83">
        <v>42</v>
      </c>
      <c r="M24" s="85">
        <v>0.12883435582822086</v>
      </c>
    </row>
    <row r="25" spans="1:13" ht="15">
      <c r="A25" s="140" t="s">
        <v>47</v>
      </c>
      <c r="B25" s="140"/>
      <c r="C25" s="93">
        <v>7</v>
      </c>
      <c r="D25" s="93">
        <v>1640</v>
      </c>
      <c r="E25" s="93">
        <v>4093</v>
      </c>
      <c r="F25" s="94">
        <v>1</v>
      </c>
      <c r="G25" s="82"/>
      <c r="H25" s="140" t="s">
        <v>37</v>
      </c>
      <c r="I25" s="140"/>
      <c r="J25" s="93">
        <v>4</v>
      </c>
      <c r="K25" s="93">
        <v>163</v>
      </c>
      <c r="L25" s="93">
        <v>326</v>
      </c>
      <c r="M25" s="94">
        <v>1</v>
      </c>
    </row>
    <row r="26" spans="1:13" ht="15">
      <c r="A26" s="139"/>
      <c r="B26" s="139"/>
      <c r="F26" s="85"/>
      <c r="G26" s="82"/>
      <c r="H26" s="141"/>
      <c r="I26" s="141"/>
      <c r="M26" s="83"/>
    </row>
    <row r="27" spans="1:13" ht="15">
      <c r="A27" s="139" t="s">
        <v>50</v>
      </c>
      <c r="B27" s="139"/>
      <c r="C27" s="83">
        <v>5</v>
      </c>
      <c r="D27" s="83">
        <v>189</v>
      </c>
      <c r="E27" s="83">
        <v>335</v>
      </c>
      <c r="F27" s="85">
        <f>E27/E$35</f>
        <v>9.2187457002118941E-3</v>
      </c>
      <c r="G27" s="82"/>
      <c r="H27" s="139" t="s">
        <v>40</v>
      </c>
      <c r="I27" s="139"/>
      <c r="J27" s="83">
        <v>13</v>
      </c>
      <c r="K27" s="83">
        <v>209</v>
      </c>
      <c r="L27" s="83">
        <v>395</v>
      </c>
      <c r="M27" s="85">
        <v>0.3701968134957826</v>
      </c>
    </row>
    <row r="28" spans="1:13" ht="15">
      <c r="A28" s="139" t="s">
        <v>52</v>
      </c>
      <c r="B28" s="139"/>
      <c r="C28" s="83">
        <v>19</v>
      </c>
      <c r="D28" s="83">
        <v>2699</v>
      </c>
      <c r="E28" s="83">
        <v>5051</v>
      </c>
      <c r="F28" s="85">
        <f t="shared" ref="F28:F33" si="0">E28/E$35</f>
        <v>0.13899667024409038</v>
      </c>
      <c r="G28" s="82"/>
      <c r="H28" s="139" t="s">
        <v>41</v>
      </c>
      <c r="I28" s="139"/>
      <c r="J28" s="83">
        <v>9</v>
      </c>
      <c r="K28" s="83">
        <v>357</v>
      </c>
      <c r="L28" s="83">
        <v>656</v>
      </c>
      <c r="M28" s="85">
        <v>0.61480787253983127</v>
      </c>
    </row>
    <row r="29" spans="1:13" ht="15">
      <c r="A29" s="139" t="s">
        <v>54</v>
      </c>
      <c r="B29" s="139"/>
      <c r="C29" s="83">
        <v>53</v>
      </c>
      <c r="D29" s="83">
        <v>11295</v>
      </c>
      <c r="E29" s="83">
        <v>21590</v>
      </c>
      <c r="F29" s="85">
        <f t="shared" si="0"/>
        <v>0.59412752139574565</v>
      </c>
      <c r="G29" s="82"/>
      <c r="H29" s="139" t="s">
        <v>43</v>
      </c>
      <c r="I29" s="139"/>
      <c r="J29" s="83">
        <v>1</v>
      </c>
      <c r="K29" s="83">
        <v>8</v>
      </c>
      <c r="L29" s="83">
        <v>16</v>
      </c>
      <c r="M29" s="85">
        <v>1.499531396438613E-2</v>
      </c>
    </row>
    <row r="30" spans="1:13" ht="15">
      <c r="A30" s="139" t="s">
        <v>143</v>
      </c>
      <c r="B30" s="139"/>
      <c r="C30" s="83"/>
      <c r="D30" s="83"/>
      <c r="E30" s="83"/>
      <c r="F30" s="85"/>
      <c r="G30" s="82"/>
      <c r="H30" s="140" t="s">
        <v>45</v>
      </c>
      <c r="I30" s="140"/>
      <c r="J30" s="93">
        <v>23</v>
      </c>
      <c r="K30" s="93">
        <v>574</v>
      </c>
      <c r="L30" s="93">
        <v>1067</v>
      </c>
      <c r="M30" s="94">
        <v>1</v>
      </c>
    </row>
    <row r="31" spans="1:13" ht="15">
      <c r="A31" s="139" t="s">
        <v>91</v>
      </c>
      <c r="B31" s="139"/>
      <c r="C31" s="83">
        <v>23</v>
      </c>
      <c r="D31" s="83">
        <v>4345</v>
      </c>
      <c r="E31" s="83">
        <v>8351</v>
      </c>
      <c r="F31" s="85">
        <f t="shared" si="0"/>
        <v>0.22980819505214783</v>
      </c>
      <c r="G31" s="82"/>
      <c r="H31" s="141"/>
      <c r="I31" s="141"/>
      <c r="M31" s="83"/>
    </row>
    <row r="32" spans="1:13" ht="15">
      <c r="A32" s="139" t="s">
        <v>144</v>
      </c>
      <c r="B32" s="139"/>
      <c r="C32" s="83"/>
      <c r="D32" s="83"/>
      <c r="E32" s="83"/>
      <c r="F32" s="85"/>
      <c r="G32" s="82"/>
      <c r="H32" s="139" t="s">
        <v>48</v>
      </c>
      <c r="I32" s="139"/>
      <c r="J32" s="83">
        <v>37</v>
      </c>
      <c r="K32" s="83">
        <v>1023</v>
      </c>
      <c r="L32" s="83">
        <v>1874</v>
      </c>
      <c r="M32" s="85">
        <v>0.51625344352617075</v>
      </c>
    </row>
    <row r="33" spans="1:13" ht="15">
      <c r="A33" s="139" t="s">
        <v>57</v>
      </c>
      <c r="B33" s="139"/>
      <c r="C33" s="83">
        <v>5</v>
      </c>
      <c r="D33" s="83">
        <v>511</v>
      </c>
      <c r="E33" s="83">
        <v>1012</v>
      </c>
      <c r="F33" s="85">
        <f t="shared" si="0"/>
        <v>2.7848867607804289E-2</v>
      </c>
      <c r="G33" s="82"/>
      <c r="H33" s="139" t="s">
        <v>49</v>
      </c>
      <c r="I33" s="139"/>
      <c r="J33" s="83">
        <v>24</v>
      </c>
      <c r="K33" s="83">
        <v>889</v>
      </c>
      <c r="L33" s="83">
        <v>1699</v>
      </c>
      <c r="M33" s="85">
        <v>0.46804407713498625</v>
      </c>
    </row>
    <row r="34" spans="1:13" ht="15">
      <c r="A34" s="139" t="s">
        <v>59</v>
      </c>
      <c r="B34" s="139"/>
      <c r="C34" s="83"/>
      <c r="D34" s="83"/>
      <c r="E34" s="83"/>
      <c r="F34" s="85"/>
      <c r="G34" s="82"/>
      <c r="H34" s="139" t="s">
        <v>51</v>
      </c>
      <c r="I34" s="139"/>
      <c r="J34" s="83">
        <v>1</v>
      </c>
      <c r="K34" s="83">
        <v>30</v>
      </c>
      <c r="L34" s="83">
        <v>57</v>
      </c>
      <c r="M34" s="85">
        <v>1.5702479338842976E-2</v>
      </c>
    </row>
    <row r="35" spans="1:13" ht="15">
      <c r="A35" s="140" t="s">
        <v>61</v>
      </c>
      <c r="B35" s="140"/>
      <c r="C35" s="93">
        <f>SUM(C27:C34)</f>
        <v>105</v>
      </c>
      <c r="D35" s="93">
        <f>SUM(D27:D34)</f>
        <v>19039</v>
      </c>
      <c r="E35" s="93">
        <f>SUM(E27:E34)</f>
        <v>36339</v>
      </c>
      <c r="F35" s="94">
        <f>SUM(F27:F34)</f>
        <v>0.99999999999999989</v>
      </c>
      <c r="G35" s="82"/>
      <c r="H35" s="140" t="s">
        <v>53</v>
      </c>
      <c r="I35" s="140"/>
      <c r="J35" s="93">
        <v>62</v>
      </c>
      <c r="K35" s="93">
        <v>1942</v>
      </c>
      <c r="L35" s="93">
        <v>3630</v>
      </c>
      <c r="M35" s="94">
        <v>1</v>
      </c>
    </row>
    <row r="36" spans="1:13" ht="15">
      <c r="A36" s="141"/>
      <c r="B36" s="141"/>
      <c r="C36" s="83"/>
      <c r="D36" s="83"/>
      <c r="E36" s="83"/>
      <c r="F36" s="85"/>
      <c r="G36" s="82"/>
      <c r="H36" s="142"/>
      <c r="I36" s="142"/>
      <c r="J36" s="83"/>
      <c r="K36" s="83"/>
      <c r="L36" s="83"/>
      <c r="M36" s="83"/>
    </row>
    <row r="37" spans="1:13" ht="15">
      <c r="A37" s="139" t="s">
        <v>62</v>
      </c>
      <c r="B37" s="139"/>
      <c r="C37" s="83">
        <v>7</v>
      </c>
      <c r="D37" s="83">
        <v>316</v>
      </c>
      <c r="E37" s="83">
        <v>581</v>
      </c>
      <c r="F37" s="85">
        <v>0.21654863958255685</v>
      </c>
      <c r="G37" s="82"/>
      <c r="H37" s="140" t="s">
        <v>56</v>
      </c>
      <c r="I37" s="140"/>
      <c r="J37" s="93">
        <v>25</v>
      </c>
      <c r="K37" s="93">
        <v>255</v>
      </c>
      <c r="L37" s="93">
        <v>459</v>
      </c>
      <c r="M37" s="94">
        <v>1</v>
      </c>
    </row>
    <row r="38" spans="1:13" ht="15">
      <c r="A38" s="139" t="s">
        <v>63</v>
      </c>
      <c r="B38" s="139"/>
      <c r="C38" s="83">
        <v>8</v>
      </c>
      <c r="D38" s="83">
        <v>633</v>
      </c>
      <c r="E38" s="83">
        <v>1171</v>
      </c>
      <c r="F38" s="85">
        <v>0.43645173313455088</v>
      </c>
      <c r="G38" s="82"/>
      <c r="H38" s="140" t="s">
        <v>58</v>
      </c>
      <c r="I38" s="140"/>
      <c r="J38" s="93">
        <v>3</v>
      </c>
      <c r="K38" s="93">
        <v>49</v>
      </c>
      <c r="L38" s="93">
        <v>89</v>
      </c>
      <c r="M38" s="94">
        <v>1</v>
      </c>
    </row>
    <row r="39" spans="1:13" ht="15">
      <c r="A39" s="139" t="s">
        <v>64</v>
      </c>
      <c r="B39" s="139"/>
      <c r="C39" s="83">
        <v>5</v>
      </c>
      <c r="D39" s="83">
        <v>394</v>
      </c>
      <c r="E39" s="83">
        <v>713</v>
      </c>
      <c r="F39" s="85">
        <v>0.26574729780096906</v>
      </c>
      <c r="G39" s="82"/>
      <c r="H39" s="140" t="s">
        <v>60</v>
      </c>
      <c r="I39" s="140"/>
      <c r="J39" s="93"/>
      <c r="K39" s="93"/>
      <c r="L39" s="93"/>
      <c r="M39" s="94"/>
    </row>
    <row r="40" spans="1:13" ht="15">
      <c r="A40" s="139" t="s">
        <v>93</v>
      </c>
      <c r="B40" s="139"/>
      <c r="C40" s="83">
        <v>2</v>
      </c>
      <c r="D40" s="83">
        <v>126</v>
      </c>
      <c r="E40" s="83">
        <v>218</v>
      </c>
      <c r="F40" s="85">
        <v>8.1252329481923222E-2</v>
      </c>
      <c r="G40" s="82"/>
      <c r="H40" s="84"/>
      <c r="I40" s="84"/>
      <c r="J40" s="83"/>
      <c r="K40" s="83"/>
      <c r="L40" s="83"/>
      <c r="M40" s="87"/>
    </row>
    <row r="41" spans="1:13" ht="15">
      <c r="A41" s="139" t="s">
        <v>67</v>
      </c>
      <c r="B41" s="139"/>
      <c r="F41" s="85"/>
      <c r="G41" s="82"/>
      <c r="H41" s="84"/>
      <c r="I41" s="84"/>
      <c r="J41" s="83"/>
      <c r="K41" s="83"/>
      <c r="L41" s="83"/>
      <c r="M41" s="87"/>
    </row>
    <row r="42" spans="1:13" ht="15">
      <c r="A42" s="140" t="s">
        <v>68</v>
      </c>
      <c r="B42" s="140"/>
      <c r="C42" s="93">
        <v>22</v>
      </c>
      <c r="D42" s="93">
        <v>1469</v>
      </c>
      <c r="E42" s="93">
        <v>2683</v>
      </c>
      <c r="F42" s="94">
        <v>1</v>
      </c>
      <c r="G42" s="82"/>
      <c r="H42" s="140" t="s">
        <v>65</v>
      </c>
      <c r="I42" s="140"/>
      <c r="J42" s="93">
        <v>545</v>
      </c>
      <c r="K42" s="93">
        <v>35822</v>
      </c>
      <c r="L42" s="93">
        <v>78867</v>
      </c>
      <c r="M42" s="82"/>
    </row>
    <row r="43" spans="1:13" ht="14.25">
      <c r="G43" s="82"/>
    </row>
    <row r="44" spans="1:13" ht="15">
      <c r="A44" s="139"/>
      <c r="B44" s="139"/>
      <c r="C44" s="83"/>
      <c r="D44" s="83"/>
      <c r="E44" s="83"/>
      <c r="F44" s="85"/>
      <c r="G44" s="82"/>
    </row>
    <row r="45" spans="1:13">
      <c r="A45" s="77"/>
      <c r="B45" s="77"/>
    </row>
    <row r="46" spans="1:13">
      <c r="A46" s="77"/>
      <c r="B46" s="77"/>
    </row>
    <row r="47" spans="1:13">
      <c r="A47" s="77"/>
      <c r="B47" s="77"/>
    </row>
    <row r="48" spans="1:13">
      <c r="A48" s="77"/>
      <c r="B48" s="77"/>
      <c r="H48" s="77"/>
      <c r="I48" s="77"/>
    </row>
    <row r="49" spans="1:9">
      <c r="A49" s="77"/>
      <c r="B49" s="77"/>
      <c r="H49" s="77"/>
      <c r="I49" s="77"/>
    </row>
    <row r="50" spans="1:9">
      <c r="A50" s="77"/>
      <c r="B50" s="77"/>
      <c r="H50" s="77"/>
      <c r="I50" s="77"/>
    </row>
    <row r="51" spans="1:9">
      <c r="A51" s="77"/>
      <c r="B51" s="77"/>
    </row>
    <row r="52" spans="1:9">
      <c r="A52" s="77"/>
      <c r="B52" s="77"/>
    </row>
    <row r="53" spans="1:9">
      <c r="A53" s="77"/>
      <c r="B53" s="77"/>
    </row>
  </sheetData>
  <sheetProtection algorithmName="SHA-512" hashValue="wjY6as+E4AdJbHDeELC7qZV1W7KiOfBEeeIRl/XkT5LAtsjFcEEp6YdxSrKoEyCJeJT/A1Osd9atupR6iJpkLA==" saltValue="/aAYtiPZrLfw67TELa28oA==" spinCount="100000" sheet="1"/>
  <mergeCells count="68">
    <mergeCell ref="A11:B11"/>
    <mergeCell ref="H11:I11"/>
    <mergeCell ref="H12:I12"/>
    <mergeCell ref="H13:I13"/>
    <mergeCell ref="H14:I14"/>
    <mergeCell ref="A12:B12"/>
    <mergeCell ref="A13:B13"/>
    <mergeCell ref="A14:B14"/>
    <mergeCell ref="A8:B8"/>
    <mergeCell ref="H8:I8"/>
    <mergeCell ref="A9:B9"/>
    <mergeCell ref="H9:I9"/>
    <mergeCell ref="A10:B10"/>
    <mergeCell ref="H10:I10"/>
    <mergeCell ref="H17:I17"/>
    <mergeCell ref="H18:I18"/>
    <mergeCell ref="H16:I16"/>
    <mergeCell ref="A15:B15"/>
    <mergeCell ref="A16:B16"/>
    <mergeCell ref="A17:B17"/>
    <mergeCell ref="A18:B18"/>
    <mergeCell ref="H15:I15"/>
    <mergeCell ref="A19:B19"/>
    <mergeCell ref="H23:I23"/>
    <mergeCell ref="H19:I19"/>
    <mergeCell ref="A20:B20"/>
    <mergeCell ref="H24:I24"/>
    <mergeCell ref="A21:B21"/>
    <mergeCell ref="H21:I21"/>
    <mergeCell ref="A22:B22"/>
    <mergeCell ref="H22:I22"/>
    <mergeCell ref="A23:B23"/>
    <mergeCell ref="A36:B36"/>
    <mergeCell ref="H25:I25"/>
    <mergeCell ref="H26:I26"/>
    <mergeCell ref="A24:B24"/>
    <mergeCell ref="H27:I27"/>
    <mergeCell ref="A25:B25"/>
    <mergeCell ref="A26:B26"/>
    <mergeCell ref="A27:B27"/>
    <mergeCell ref="A35:B35"/>
    <mergeCell ref="A28:B28"/>
    <mergeCell ref="H35:I35"/>
    <mergeCell ref="H36:I36"/>
    <mergeCell ref="H28:I28"/>
    <mergeCell ref="H33:I33"/>
    <mergeCell ref="H34:I34"/>
    <mergeCell ref="H30:I30"/>
    <mergeCell ref="H29:I29"/>
    <mergeCell ref="A29:B29"/>
    <mergeCell ref="H31:I31"/>
    <mergeCell ref="A33:B33"/>
    <mergeCell ref="A34:B34"/>
    <mergeCell ref="H32:I32"/>
    <mergeCell ref="A30:B30"/>
    <mergeCell ref="A31:B31"/>
    <mergeCell ref="A32:B32"/>
    <mergeCell ref="A44:B44"/>
    <mergeCell ref="H42:I42"/>
    <mergeCell ref="A39:B39"/>
    <mergeCell ref="A38:B38"/>
    <mergeCell ref="H37:I37"/>
    <mergeCell ref="H38:I38"/>
    <mergeCell ref="A37:B37"/>
    <mergeCell ref="A40:B40"/>
    <mergeCell ref="H39:I39"/>
    <mergeCell ref="A41:B41"/>
    <mergeCell ref="A42:B42"/>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X44"/>
  <sheetViews>
    <sheetView showGridLines="0" zoomScaleNormal="100" workbookViewId="0">
      <selection activeCell="H34" sqref="H34"/>
    </sheetView>
  </sheetViews>
  <sheetFormatPr baseColWidth="10" defaultColWidth="9.140625" defaultRowHeight="12.75"/>
  <cols>
    <col min="1" max="1" width="80.285156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7" width="8.7109375" style="57" customWidth="1"/>
    <col min="28" max="28" width="9.140625" style="57" customWidth="1"/>
    <col min="29" max="29" width="8.7109375" style="57" customWidth="1"/>
    <col min="30" max="30" width="9.140625" style="57" customWidth="1"/>
    <col min="31" max="31" width="8.7109375" style="57" customWidth="1"/>
    <col min="32" max="32" width="9.140625" style="57" customWidth="1"/>
    <col min="33" max="33" width="8.7109375" style="57" customWidth="1"/>
    <col min="34" max="34" width="9.140625" style="57" customWidth="1"/>
    <col min="35" max="35" width="8.7109375" style="57" customWidth="1"/>
    <col min="36" max="36" width="9.140625" style="57" customWidth="1"/>
    <col min="37" max="37" width="8.7109375" style="57" customWidth="1"/>
    <col min="38" max="38" width="9.140625" style="57" customWidth="1"/>
    <col min="39" max="39" width="8.7109375" style="57" customWidth="1"/>
    <col min="40" max="40" width="9.140625" style="57" customWidth="1"/>
    <col min="41" max="41" width="8.7109375" style="57" customWidth="1"/>
    <col min="42" max="42" width="9.5703125" style="57" customWidth="1"/>
    <col min="43" max="43" width="8.7109375" style="57" customWidth="1"/>
    <col min="44" max="44" width="9.140625" style="57" customWidth="1"/>
    <col min="45" max="45" width="8.7109375" style="57" customWidth="1"/>
    <col min="46" max="46" width="9.140625" style="57" customWidth="1"/>
    <col min="47" max="47" width="8.7109375" style="57" customWidth="1"/>
    <col min="48" max="48" width="9.140625" style="57" customWidth="1"/>
    <col min="49" max="49" width="8.7109375" style="57" customWidth="1"/>
    <col min="50" max="50" width="9.140625" style="57" customWidth="1"/>
    <col min="51" max="57" width="8.7109375" style="57" customWidth="1"/>
    <col min="58" max="64" width="9.140625" style="57" customWidth="1"/>
    <col min="65" max="65" width="8.7109375" style="57" customWidth="1"/>
    <col min="66" max="66" width="9.140625" style="57" customWidth="1"/>
    <col min="67" max="67" width="8.7109375" style="57" customWidth="1"/>
    <col min="68" max="69" width="9.28515625" style="57" bestFit="1" customWidth="1"/>
    <col min="70" max="70" width="13.28515625" style="57" bestFit="1" customWidth="1"/>
    <col min="71" max="71" width="9.85546875" style="57" bestFit="1" customWidth="1"/>
    <col min="72" max="16384" width="9.140625" style="57"/>
  </cols>
  <sheetData>
    <row r="1" spans="1:128" ht="16.5">
      <c r="A1" s="75"/>
    </row>
    <row r="2" spans="1:128">
      <c r="A2" s="77"/>
    </row>
    <row r="3" spans="1:128" ht="16.5">
      <c r="A3" s="5" t="s">
        <v>159</v>
      </c>
    </row>
    <row r="4" spans="1:128" s="88" customFormat="1" ht="16.5">
      <c r="A4" s="30" t="s">
        <v>160</v>
      </c>
    </row>
    <row r="5" spans="1:128" s="88" customFormat="1" ht="16.5">
      <c r="A5" s="30" t="s">
        <v>161</v>
      </c>
    </row>
    <row r="7" spans="1:128" s="89" customFormat="1" ht="15">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91</v>
      </c>
      <c r="AC7" s="143"/>
      <c r="AD7" s="143" t="s">
        <v>57</v>
      </c>
      <c r="AE7" s="143"/>
      <c r="AF7" s="143" t="s">
        <v>16</v>
      </c>
      <c r="AG7" s="143"/>
      <c r="AH7" s="143" t="s">
        <v>18</v>
      </c>
      <c r="AI7" s="143"/>
      <c r="AJ7" s="143" t="s">
        <v>20</v>
      </c>
      <c r="AK7" s="143"/>
      <c r="AL7" s="143" t="s">
        <v>22</v>
      </c>
      <c r="AM7" s="143"/>
      <c r="AN7" s="143" t="s">
        <v>92</v>
      </c>
      <c r="AO7" s="143"/>
      <c r="AP7" s="143" t="s">
        <v>63</v>
      </c>
      <c r="AQ7" s="143"/>
      <c r="AR7" s="143" t="s">
        <v>64</v>
      </c>
      <c r="AS7" s="143"/>
      <c r="AT7" s="143" t="s">
        <v>93</v>
      </c>
      <c r="AU7" s="143"/>
      <c r="AV7" s="143" t="s">
        <v>26</v>
      </c>
      <c r="AW7" s="143"/>
      <c r="AX7" s="143" t="s">
        <v>40</v>
      </c>
      <c r="AY7" s="143"/>
      <c r="AZ7" s="143" t="s">
        <v>41</v>
      </c>
      <c r="BA7" s="143"/>
      <c r="BB7" s="143" t="s">
        <v>43</v>
      </c>
      <c r="BC7" s="143"/>
      <c r="BD7" s="143" t="s">
        <v>48</v>
      </c>
      <c r="BE7" s="143"/>
      <c r="BF7" s="143" t="s">
        <v>49</v>
      </c>
      <c r="BG7" s="143"/>
      <c r="BH7" s="143" t="s">
        <v>51</v>
      </c>
      <c r="BI7" s="143"/>
      <c r="BJ7" s="143" t="s">
        <v>28</v>
      </c>
      <c r="BK7" s="143"/>
      <c r="BL7" s="143" t="s">
        <v>30</v>
      </c>
      <c r="BM7" s="143"/>
      <c r="BN7" s="143" t="s">
        <v>33</v>
      </c>
      <c r="BO7" s="143"/>
      <c r="BP7" s="143" t="s">
        <v>29</v>
      </c>
      <c r="BQ7" s="143"/>
      <c r="BR7" s="143" t="s">
        <v>65</v>
      </c>
      <c r="BS7" s="143"/>
    </row>
    <row r="8" spans="1:128" s="89" customFormat="1" ht="15">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row>
    <row r="9" spans="1:128" s="89" customFormat="1" ht="15">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row>
    <row r="10" spans="1:128" ht="15">
      <c r="A10" s="37" t="s">
        <v>217</v>
      </c>
      <c r="B10" s="12">
        <v>27</v>
      </c>
      <c r="C10" s="12">
        <v>1706</v>
      </c>
      <c r="D10" s="12">
        <v>10</v>
      </c>
      <c r="E10" s="12">
        <v>857</v>
      </c>
      <c r="F10" s="12">
        <v>5</v>
      </c>
      <c r="G10" s="12">
        <v>1484</v>
      </c>
      <c r="H10" s="12"/>
      <c r="I10" s="12"/>
      <c r="J10" s="12"/>
      <c r="K10" s="12"/>
      <c r="L10" s="12">
        <v>13</v>
      </c>
      <c r="M10" s="12">
        <v>222</v>
      </c>
      <c r="N10" s="12"/>
      <c r="O10" s="12"/>
      <c r="P10" s="12"/>
      <c r="Q10" s="12"/>
      <c r="R10" s="12"/>
      <c r="S10" s="12"/>
      <c r="T10" s="12"/>
      <c r="U10" s="12"/>
      <c r="V10" s="12">
        <v>2</v>
      </c>
      <c r="W10" s="12">
        <v>116</v>
      </c>
      <c r="X10" s="12">
        <v>6</v>
      </c>
      <c r="Y10" s="12">
        <v>1706</v>
      </c>
      <c r="Z10" s="12">
        <v>7</v>
      </c>
      <c r="AA10" s="12">
        <v>2336</v>
      </c>
      <c r="AB10" s="12">
        <v>8</v>
      </c>
      <c r="AC10" s="12">
        <v>2525</v>
      </c>
      <c r="AD10" s="12">
        <v>2</v>
      </c>
      <c r="AE10" s="12">
        <v>328</v>
      </c>
      <c r="AF10" s="12"/>
      <c r="AG10" s="12"/>
      <c r="AH10" s="12">
        <v>1</v>
      </c>
      <c r="AI10" s="12">
        <v>213</v>
      </c>
      <c r="AJ10" s="12">
        <v>1</v>
      </c>
      <c r="AK10" s="12">
        <v>517</v>
      </c>
      <c r="AL10" s="12"/>
      <c r="AM10" s="12"/>
      <c r="AN10" s="12">
        <v>2</v>
      </c>
      <c r="AO10" s="12">
        <v>169</v>
      </c>
      <c r="AP10" s="12">
        <v>3</v>
      </c>
      <c r="AQ10" s="12">
        <v>411</v>
      </c>
      <c r="AR10" s="12"/>
      <c r="AS10" s="12"/>
      <c r="AT10" s="12">
        <v>1</v>
      </c>
      <c r="AU10" s="12">
        <v>199</v>
      </c>
      <c r="AV10" s="12">
        <v>1</v>
      </c>
      <c r="AW10" s="12">
        <v>20</v>
      </c>
      <c r="AX10" s="12">
        <v>2</v>
      </c>
      <c r="AY10" s="12">
        <v>101</v>
      </c>
      <c r="AZ10" s="12">
        <v>1</v>
      </c>
      <c r="BA10" s="12">
        <v>75</v>
      </c>
      <c r="BB10" s="12"/>
      <c r="BC10" s="12"/>
      <c r="BD10" s="12">
        <v>10</v>
      </c>
      <c r="BE10" s="12">
        <v>437</v>
      </c>
      <c r="BF10" s="12">
        <v>4</v>
      </c>
      <c r="BG10" s="12">
        <v>148</v>
      </c>
      <c r="BH10" s="12">
        <v>1</v>
      </c>
      <c r="BI10" s="12">
        <v>57</v>
      </c>
      <c r="BJ10" s="12"/>
      <c r="BK10" s="12"/>
      <c r="BL10" s="12"/>
      <c r="BM10" s="12"/>
      <c r="BN10" s="12"/>
      <c r="BO10" s="12"/>
      <c r="BP10" s="12"/>
      <c r="BQ10" s="12"/>
      <c r="BR10" s="15">
        <v>107</v>
      </c>
      <c r="BS10" s="15">
        <v>13627</v>
      </c>
      <c r="BT10" s="90"/>
      <c r="CS10" s="89"/>
      <c r="CT10" s="89"/>
      <c r="DX10" s="91"/>
    </row>
    <row r="11" spans="1:128" ht="15">
      <c r="A11" s="69" t="s">
        <v>84</v>
      </c>
      <c r="B11" s="12">
        <v>34</v>
      </c>
      <c r="C11" s="12">
        <v>2277</v>
      </c>
      <c r="D11" s="12">
        <v>14</v>
      </c>
      <c r="E11" s="12">
        <v>1793</v>
      </c>
      <c r="F11" s="12">
        <v>2</v>
      </c>
      <c r="G11" s="12">
        <v>60</v>
      </c>
      <c r="H11" s="12"/>
      <c r="I11" s="12"/>
      <c r="J11" s="12">
        <v>5</v>
      </c>
      <c r="K11" s="12">
        <v>98</v>
      </c>
      <c r="L11" s="12">
        <v>9</v>
      </c>
      <c r="M11" s="12">
        <v>199</v>
      </c>
      <c r="N11" s="12">
        <v>1</v>
      </c>
      <c r="O11" s="12">
        <v>274</v>
      </c>
      <c r="P11" s="12"/>
      <c r="Q11" s="12"/>
      <c r="R11" s="12"/>
      <c r="S11" s="12"/>
      <c r="T11" s="12"/>
      <c r="U11" s="12"/>
      <c r="V11" s="12">
        <v>3</v>
      </c>
      <c r="W11" s="12">
        <v>219</v>
      </c>
      <c r="X11" s="12">
        <v>5</v>
      </c>
      <c r="Y11" s="12">
        <v>1759</v>
      </c>
      <c r="Z11" s="12">
        <v>11</v>
      </c>
      <c r="AA11" s="12">
        <v>3234</v>
      </c>
      <c r="AB11" s="12">
        <v>2</v>
      </c>
      <c r="AC11" s="12">
        <v>588</v>
      </c>
      <c r="AD11" s="12"/>
      <c r="AE11" s="12"/>
      <c r="AF11" s="12">
        <v>1</v>
      </c>
      <c r="AG11" s="12">
        <v>104</v>
      </c>
      <c r="AH11" s="12"/>
      <c r="AI11" s="12"/>
      <c r="AJ11" s="12">
        <v>3</v>
      </c>
      <c r="AK11" s="12">
        <v>1107</v>
      </c>
      <c r="AL11" s="12">
        <v>2</v>
      </c>
      <c r="AM11" s="12">
        <v>338</v>
      </c>
      <c r="AN11" s="12">
        <v>5</v>
      </c>
      <c r="AO11" s="12">
        <v>412</v>
      </c>
      <c r="AP11" s="12">
        <v>4</v>
      </c>
      <c r="AQ11" s="12">
        <v>676</v>
      </c>
      <c r="AR11" s="12"/>
      <c r="AS11" s="12"/>
      <c r="AT11" s="12"/>
      <c r="AU11" s="12"/>
      <c r="AV11" s="12">
        <v>2</v>
      </c>
      <c r="AW11" s="12">
        <v>46</v>
      </c>
      <c r="AX11" s="12">
        <v>2</v>
      </c>
      <c r="AY11" s="12">
        <v>76</v>
      </c>
      <c r="AZ11" s="12">
        <v>3</v>
      </c>
      <c r="BA11" s="12">
        <v>298</v>
      </c>
      <c r="BB11" s="12"/>
      <c r="BC11" s="12"/>
      <c r="BD11" s="12">
        <v>17</v>
      </c>
      <c r="BE11" s="12">
        <v>1060</v>
      </c>
      <c r="BF11" s="12">
        <v>12</v>
      </c>
      <c r="BG11" s="12">
        <v>1056</v>
      </c>
      <c r="BH11" s="12"/>
      <c r="BI11" s="12"/>
      <c r="BJ11" s="12"/>
      <c r="BK11" s="12"/>
      <c r="BL11" s="12">
        <v>1</v>
      </c>
      <c r="BM11" s="12">
        <v>184</v>
      </c>
      <c r="BN11" s="12"/>
      <c r="BO11" s="12"/>
      <c r="BP11" s="12">
        <v>1</v>
      </c>
      <c r="BQ11" s="12">
        <v>10</v>
      </c>
      <c r="BR11" s="15">
        <v>139</v>
      </c>
      <c r="BS11" s="15">
        <v>15868</v>
      </c>
      <c r="CS11" s="89"/>
      <c r="CT11" s="89"/>
    </row>
    <row r="12" spans="1:128" ht="15">
      <c r="A12" s="37" t="s">
        <v>85</v>
      </c>
      <c r="B12" s="12">
        <v>6</v>
      </c>
      <c r="C12" s="12">
        <v>514</v>
      </c>
      <c r="D12" s="12">
        <v>6</v>
      </c>
      <c r="E12" s="12">
        <v>513</v>
      </c>
      <c r="F12" s="12">
        <v>4</v>
      </c>
      <c r="G12" s="12">
        <v>298</v>
      </c>
      <c r="H12" s="12">
        <v>1</v>
      </c>
      <c r="I12" s="12">
        <v>29</v>
      </c>
      <c r="J12" s="12">
        <v>8</v>
      </c>
      <c r="K12" s="12">
        <v>117</v>
      </c>
      <c r="L12" s="12">
        <v>1</v>
      </c>
      <c r="M12" s="12">
        <v>8</v>
      </c>
      <c r="N12" s="12"/>
      <c r="O12" s="12"/>
      <c r="P12" s="12"/>
      <c r="Q12" s="12"/>
      <c r="R12" s="12">
        <v>2</v>
      </c>
      <c r="S12" s="12">
        <v>912</v>
      </c>
      <c r="T12" s="12"/>
      <c r="U12" s="12"/>
      <c r="V12" s="12"/>
      <c r="W12" s="12"/>
      <c r="X12" s="12"/>
      <c r="Y12" s="12"/>
      <c r="Z12" s="12">
        <v>6</v>
      </c>
      <c r="AA12" s="12">
        <v>1958</v>
      </c>
      <c r="AB12" s="12">
        <v>2</v>
      </c>
      <c r="AC12" s="12">
        <v>633</v>
      </c>
      <c r="AD12" s="12">
        <v>1</v>
      </c>
      <c r="AE12" s="12">
        <v>116</v>
      </c>
      <c r="AF12" s="12"/>
      <c r="AG12" s="12"/>
      <c r="AH12" s="12"/>
      <c r="AI12" s="12"/>
      <c r="AJ12" s="12"/>
      <c r="AK12" s="12"/>
      <c r="AL12" s="12"/>
      <c r="AM12" s="12"/>
      <c r="AN12" s="12"/>
      <c r="AO12" s="12"/>
      <c r="AP12" s="12"/>
      <c r="AQ12" s="12"/>
      <c r="AR12" s="12"/>
      <c r="AS12" s="12"/>
      <c r="AT12" s="12"/>
      <c r="AU12" s="12"/>
      <c r="AV12" s="12">
        <v>3</v>
      </c>
      <c r="AW12" s="12">
        <v>59</v>
      </c>
      <c r="AX12" s="12">
        <v>1</v>
      </c>
      <c r="AY12" s="12">
        <v>20</v>
      </c>
      <c r="AZ12" s="12">
        <v>1</v>
      </c>
      <c r="BA12" s="12">
        <v>21</v>
      </c>
      <c r="BB12" s="12"/>
      <c r="BC12" s="12"/>
      <c r="BD12" s="12">
        <v>3</v>
      </c>
      <c r="BE12" s="12">
        <v>118</v>
      </c>
      <c r="BF12" s="12">
        <v>1</v>
      </c>
      <c r="BG12" s="12">
        <v>212</v>
      </c>
      <c r="BH12" s="12"/>
      <c r="BI12" s="12"/>
      <c r="BJ12" s="12"/>
      <c r="BK12" s="12"/>
      <c r="BL12" s="12"/>
      <c r="BM12" s="12"/>
      <c r="BN12" s="12"/>
      <c r="BO12" s="12"/>
      <c r="BP12" s="12">
        <v>2</v>
      </c>
      <c r="BQ12" s="12">
        <v>20</v>
      </c>
      <c r="BR12" s="15">
        <v>48</v>
      </c>
      <c r="BS12" s="15">
        <v>5548</v>
      </c>
      <c r="CS12" s="89"/>
      <c r="CT12" s="89"/>
    </row>
    <row r="13" spans="1:128" ht="15">
      <c r="A13" s="37" t="s">
        <v>86</v>
      </c>
      <c r="B13" s="12">
        <v>24</v>
      </c>
      <c r="C13" s="12">
        <v>1803</v>
      </c>
      <c r="D13" s="12">
        <v>12</v>
      </c>
      <c r="E13" s="12">
        <v>1861</v>
      </c>
      <c r="F13" s="12">
        <v>19</v>
      </c>
      <c r="G13" s="12">
        <v>2074</v>
      </c>
      <c r="H13" s="12">
        <v>3</v>
      </c>
      <c r="I13" s="12">
        <v>693</v>
      </c>
      <c r="J13" s="12">
        <v>1</v>
      </c>
      <c r="K13" s="12">
        <v>8</v>
      </c>
      <c r="L13" s="12">
        <v>1</v>
      </c>
      <c r="M13" s="12">
        <v>12</v>
      </c>
      <c r="N13" s="12">
        <v>1</v>
      </c>
      <c r="O13" s="12">
        <v>400</v>
      </c>
      <c r="P13" s="12">
        <v>1</v>
      </c>
      <c r="Q13" s="12">
        <v>780</v>
      </c>
      <c r="R13" s="12"/>
      <c r="S13" s="12"/>
      <c r="T13" s="12"/>
      <c r="U13" s="12"/>
      <c r="V13" s="12"/>
      <c r="W13" s="12"/>
      <c r="X13" s="12">
        <v>6</v>
      </c>
      <c r="Y13" s="12">
        <v>1238</v>
      </c>
      <c r="Z13" s="12">
        <v>14</v>
      </c>
      <c r="AA13" s="12">
        <v>7443</v>
      </c>
      <c r="AB13" s="12">
        <v>5</v>
      </c>
      <c r="AC13" s="12">
        <v>2549</v>
      </c>
      <c r="AD13" s="12"/>
      <c r="AE13" s="12"/>
      <c r="AF13" s="12"/>
      <c r="AG13" s="12"/>
      <c r="AH13" s="12">
        <v>2</v>
      </c>
      <c r="AI13" s="12">
        <v>450</v>
      </c>
      <c r="AJ13" s="12">
        <v>3</v>
      </c>
      <c r="AK13" s="12">
        <v>656</v>
      </c>
      <c r="AL13" s="12">
        <v>4</v>
      </c>
      <c r="AM13" s="12">
        <v>1908</v>
      </c>
      <c r="AN13" s="12"/>
      <c r="AO13" s="12"/>
      <c r="AP13" s="12">
        <v>1</v>
      </c>
      <c r="AQ13" s="12">
        <v>84</v>
      </c>
      <c r="AR13" s="12">
        <v>2</v>
      </c>
      <c r="AS13" s="12">
        <v>296</v>
      </c>
      <c r="AT13" s="12">
        <v>1</v>
      </c>
      <c r="AU13" s="12">
        <v>19</v>
      </c>
      <c r="AV13" s="12"/>
      <c r="AW13" s="12"/>
      <c r="AX13" s="12">
        <v>3</v>
      </c>
      <c r="AY13" s="12">
        <v>44</v>
      </c>
      <c r="AZ13" s="12"/>
      <c r="BA13" s="12"/>
      <c r="BB13" s="12">
        <v>1</v>
      </c>
      <c r="BC13" s="12">
        <v>16</v>
      </c>
      <c r="BD13" s="12">
        <v>1</v>
      </c>
      <c r="BE13" s="12">
        <v>13</v>
      </c>
      <c r="BF13" s="12"/>
      <c r="BG13" s="12"/>
      <c r="BH13" s="12"/>
      <c r="BI13" s="12"/>
      <c r="BJ13" s="12">
        <v>2</v>
      </c>
      <c r="BK13" s="12">
        <v>100</v>
      </c>
      <c r="BL13" s="12"/>
      <c r="BM13" s="12"/>
      <c r="BN13" s="12">
        <v>1</v>
      </c>
      <c r="BO13" s="12">
        <v>42</v>
      </c>
      <c r="BP13" s="12"/>
      <c r="BQ13" s="12"/>
      <c r="BR13" s="15">
        <v>108</v>
      </c>
      <c r="BS13" s="15">
        <v>22489</v>
      </c>
      <c r="CS13" s="89"/>
      <c r="CT13" s="89"/>
    </row>
    <row r="14" spans="1:128" ht="15">
      <c r="A14" s="37" t="s">
        <v>87</v>
      </c>
      <c r="B14" s="12">
        <v>36</v>
      </c>
      <c r="C14" s="12">
        <v>1937</v>
      </c>
      <c r="D14" s="12">
        <v>17</v>
      </c>
      <c r="E14" s="12">
        <v>1994</v>
      </c>
      <c r="F14" s="12">
        <v>11</v>
      </c>
      <c r="G14" s="12">
        <v>1359</v>
      </c>
      <c r="H14" s="12"/>
      <c r="I14" s="12"/>
      <c r="J14" s="12">
        <v>10</v>
      </c>
      <c r="K14" s="12">
        <v>181</v>
      </c>
      <c r="L14" s="12">
        <v>1</v>
      </c>
      <c r="M14" s="12">
        <v>18</v>
      </c>
      <c r="N14" s="12">
        <v>3</v>
      </c>
      <c r="O14" s="12">
        <v>924</v>
      </c>
      <c r="P14" s="12">
        <v>3</v>
      </c>
      <c r="Q14" s="12">
        <v>2001</v>
      </c>
      <c r="R14" s="12">
        <v>1</v>
      </c>
      <c r="S14" s="12">
        <v>400</v>
      </c>
      <c r="T14" s="12">
        <v>3</v>
      </c>
      <c r="U14" s="12">
        <v>89</v>
      </c>
      <c r="V14" s="12"/>
      <c r="W14" s="12"/>
      <c r="X14" s="12">
        <v>2</v>
      </c>
      <c r="Y14" s="12">
        <v>348</v>
      </c>
      <c r="Z14" s="12">
        <v>15</v>
      </c>
      <c r="AA14" s="12">
        <v>6619</v>
      </c>
      <c r="AB14" s="12">
        <v>6</v>
      </c>
      <c r="AC14" s="12">
        <v>2056</v>
      </c>
      <c r="AD14" s="12">
        <v>2</v>
      </c>
      <c r="AE14" s="12">
        <v>568</v>
      </c>
      <c r="AF14" s="12"/>
      <c r="AG14" s="12"/>
      <c r="AH14" s="12"/>
      <c r="AI14" s="12"/>
      <c r="AJ14" s="12">
        <v>4</v>
      </c>
      <c r="AK14" s="12">
        <v>1028</v>
      </c>
      <c r="AL14" s="12">
        <v>3</v>
      </c>
      <c r="AM14" s="12">
        <v>422</v>
      </c>
      <c r="AN14" s="12"/>
      <c r="AO14" s="12"/>
      <c r="AP14" s="12"/>
      <c r="AQ14" s="12"/>
      <c r="AR14" s="12">
        <v>3</v>
      </c>
      <c r="AS14" s="12">
        <v>417</v>
      </c>
      <c r="AT14" s="12"/>
      <c r="AU14" s="12"/>
      <c r="AV14" s="12">
        <v>1</v>
      </c>
      <c r="AW14" s="12">
        <v>29</v>
      </c>
      <c r="AX14" s="12">
        <v>5</v>
      </c>
      <c r="AY14" s="12">
        <v>154</v>
      </c>
      <c r="AZ14" s="12">
        <v>4</v>
      </c>
      <c r="BA14" s="12">
        <v>262</v>
      </c>
      <c r="BB14" s="12"/>
      <c r="BC14" s="12"/>
      <c r="BD14" s="12">
        <v>6</v>
      </c>
      <c r="BE14" s="12">
        <v>246</v>
      </c>
      <c r="BF14" s="12">
        <v>7</v>
      </c>
      <c r="BG14" s="12">
        <v>283</v>
      </c>
      <c r="BH14" s="12"/>
      <c r="BI14" s="12"/>
      <c r="BJ14" s="12"/>
      <c r="BK14" s="12"/>
      <c r="BL14" s="12"/>
      <c r="BM14" s="12"/>
      <c r="BN14" s="12"/>
      <c r="BO14" s="12"/>
      <c r="BP14" s="12"/>
      <c r="BQ14" s="12"/>
      <c r="BR14" s="15">
        <v>143</v>
      </c>
      <c r="BS14" s="15">
        <v>21335</v>
      </c>
      <c r="CS14" s="89"/>
      <c r="CT14" s="89"/>
    </row>
    <row r="15" spans="1:128" s="89" customFormat="1" ht="15">
      <c r="A15" s="73" t="s">
        <v>218</v>
      </c>
      <c r="B15" s="39">
        <v>127</v>
      </c>
      <c r="C15" s="39">
        <v>8237</v>
      </c>
      <c r="D15" s="39">
        <v>59</v>
      </c>
      <c r="E15" s="39">
        <v>7018</v>
      </c>
      <c r="F15" s="39">
        <v>41</v>
      </c>
      <c r="G15" s="39">
        <v>5275</v>
      </c>
      <c r="H15" s="39">
        <v>4</v>
      </c>
      <c r="I15" s="39">
        <v>722</v>
      </c>
      <c r="J15" s="39">
        <v>24</v>
      </c>
      <c r="K15" s="39">
        <v>404</v>
      </c>
      <c r="L15" s="39">
        <v>25</v>
      </c>
      <c r="M15" s="39">
        <v>459</v>
      </c>
      <c r="N15" s="39">
        <v>5</v>
      </c>
      <c r="O15" s="39">
        <v>1598</v>
      </c>
      <c r="P15" s="39">
        <v>4</v>
      </c>
      <c r="Q15" s="39">
        <v>2781</v>
      </c>
      <c r="R15" s="39">
        <v>3</v>
      </c>
      <c r="S15" s="39">
        <v>1312</v>
      </c>
      <c r="T15" s="39">
        <v>3</v>
      </c>
      <c r="U15" s="39">
        <v>89</v>
      </c>
      <c r="V15" s="39">
        <v>5</v>
      </c>
      <c r="W15" s="39">
        <v>335</v>
      </c>
      <c r="X15" s="39">
        <v>19</v>
      </c>
      <c r="Y15" s="39">
        <v>5051</v>
      </c>
      <c r="Z15" s="39">
        <v>53</v>
      </c>
      <c r="AA15" s="39">
        <v>21590</v>
      </c>
      <c r="AB15" s="39">
        <v>23</v>
      </c>
      <c r="AC15" s="39">
        <v>8351</v>
      </c>
      <c r="AD15" s="39">
        <v>5</v>
      </c>
      <c r="AE15" s="39">
        <v>1012</v>
      </c>
      <c r="AF15" s="39">
        <v>1</v>
      </c>
      <c r="AG15" s="39">
        <v>104</v>
      </c>
      <c r="AH15" s="39">
        <v>3</v>
      </c>
      <c r="AI15" s="39">
        <v>663</v>
      </c>
      <c r="AJ15" s="39">
        <v>11</v>
      </c>
      <c r="AK15" s="39">
        <v>3308</v>
      </c>
      <c r="AL15" s="39">
        <v>9</v>
      </c>
      <c r="AM15" s="39">
        <v>2668</v>
      </c>
      <c r="AN15" s="39">
        <v>7</v>
      </c>
      <c r="AO15" s="39">
        <v>581</v>
      </c>
      <c r="AP15" s="39">
        <v>8</v>
      </c>
      <c r="AQ15" s="39">
        <v>1171</v>
      </c>
      <c r="AR15" s="39">
        <v>5</v>
      </c>
      <c r="AS15" s="39">
        <v>713</v>
      </c>
      <c r="AT15" s="39">
        <v>2</v>
      </c>
      <c r="AU15" s="39">
        <v>218</v>
      </c>
      <c r="AV15" s="39">
        <v>7</v>
      </c>
      <c r="AW15" s="39">
        <v>154</v>
      </c>
      <c r="AX15" s="39">
        <v>13</v>
      </c>
      <c r="AY15" s="39">
        <v>395</v>
      </c>
      <c r="AZ15" s="39">
        <v>9</v>
      </c>
      <c r="BA15" s="39">
        <v>656</v>
      </c>
      <c r="BB15" s="39">
        <v>1</v>
      </c>
      <c r="BC15" s="39">
        <v>16</v>
      </c>
      <c r="BD15" s="39">
        <v>37</v>
      </c>
      <c r="BE15" s="39">
        <v>1874</v>
      </c>
      <c r="BF15" s="39">
        <v>24</v>
      </c>
      <c r="BG15" s="39">
        <v>1699</v>
      </c>
      <c r="BH15" s="39">
        <v>1</v>
      </c>
      <c r="BI15" s="39">
        <v>57</v>
      </c>
      <c r="BJ15" s="39">
        <v>2</v>
      </c>
      <c r="BK15" s="39">
        <v>100</v>
      </c>
      <c r="BL15" s="39">
        <v>1</v>
      </c>
      <c r="BM15" s="39">
        <v>184</v>
      </c>
      <c r="BN15" s="39">
        <v>1</v>
      </c>
      <c r="BO15" s="39">
        <v>42</v>
      </c>
      <c r="BP15" s="39">
        <v>3</v>
      </c>
      <c r="BQ15" s="39">
        <v>30</v>
      </c>
      <c r="BR15" s="39">
        <v>545</v>
      </c>
      <c r="BS15" s="39">
        <v>78867</v>
      </c>
    </row>
    <row r="16" spans="1:128">
      <c r="A16" s="62" t="s">
        <v>134</v>
      </c>
      <c r="BR16" s="90"/>
      <c r="BS16" s="90"/>
    </row>
    <row r="17" spans="1:49">
      <c r="A17" s="63" t="s">
        <v>135</v>
      </c>
      <c r="B17" s="90"/>
      <c r="C17" s="90"/>
      <c r="D17" s="90"/>
      <c r="E17" s="90"/>
      <c r="F17" s="90"/>
      <c r="G17" s="90"/>
      <c r="H17" s="90"/>
      <c r="I17" s="90"/>
      <c r="J17" s="90"/>
      <c r="K17" s="90"/>
      <c r="L17" s="90"/>
      <c r="M17" s="90"/>
      <c r="N17" s="90"/>
      <c r="O17" s="90"/>
      <c r="P17" s="90"/>
      <c r="Q17" s="90"/>
      <c r="R17" s="90"/>
      <c r="S17" s="90"/>
      <c r="T17" s="90"/>
      <c r="U17" s="90"/>
      <c r="Z17" s="90"/>
      <c r="AA17" s="90"/>
      <c r="AH17" s="90"/>
      <c r="AI17" s="90"/>
      <c r="AQ17" s="90"/>
      <c r="AR17" s="90"/>
      <c r="AS17" s="90"/>
      <c r="AV17" s="90"/>
      <c r="AW17" s="90"/>
    </row>
    <row r="18" spans="1:49">
      <c r="A18" s="63" t="s">
        <v>136</v>
      </c>
      <c r="Z18" s="90"/>
      <c r="AA18" s="90"/>
      <c r="AR18" s="90"/>
      <c r="AS18" s="90"/>
    </row>
    <row r="21" spans="1:49">
      <c r="A21" s="92"/>
    </row>
    <row r="22" spans="1:49">
      <c r="A22" s="92"/>
      <c r="B22" s="92"/>
    </row>
    <row r="23" spans="1:49">
      <c r="A23" s="92"/>
      <c r="B23" s="92"/>
    </row>
    <row r="24" spans="1:49">
      <c r="A24" s="92"/>
      <c r="B24" s="92"/>
    </row>
    <row r="25" spans="1:49">
      <c r="A25" s="92"/>
      <c r="B25" s="92"/>
    </row>
    <row r="26" spans="1:49">
      <c r="A26" s="92"/>
      <c r="B26" s="92"/>
    </row>
    <row r="27" spans="1:49">
      <c r="A27" s="92"/>
      <c r="B27" s="92"/>
    </row>
    <row r="28" spans="1:49">
      <c r="A28" s="92"/>
      <c r="B28" s="92"/>
    </row>
    <row r="29" spans="1:49">
      <c r="A29" s="92"/>
      <c r="B29" s="92"/>
    </row>
    <row r="30" spans="1:49">
      <c r="A30" s="92"/>
      <c r="B30" s="92"/>
    </row>
    <row r="31" spans="1:49">
      <c r="A31" s="92"/>
      <c r="B31" s="92"/>
    </row>
    <row r="32" spans="1:49">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6">
    <mergeCell ref="J7:K7"/>
    <mergeCell ref="A7:A8"/>
    <mergeCell ref="B7:C7"/>
    <mergeCell ref="D7:E7"/>
    <mergeCell ref="F7:G7"/>
    <mergeCell ref="H7:I7"/>
    <mergeCell ref="AH7:AI7"/>
    <mergeCell ref="L7:M7"/>
    <mergeCell ref="N7:O7"/>
    <mergeCell ref="P7:Q7"/>
    <mergeCell ref="R7:S7"/>
    <mergeCell ref="T7:U7"/>
    <mergeCell ref="V7:W7"/>
    <mergeCell ref="X7:Y7"/>
    <mergeCell ref="Z7:AA7"/>
    <mergeCell ref="AB7:AC7"/>
    <mergeCell ref="AD7:AE7"/>
    <mergeCell ref="AF7:AG7"/>
    <mergeCell ref="AJ7:AK7"/>
    <mergeCell ref="AL7:AM7"/>
    <mergeCell ref="AN7:AO7"/>
    <mergeCell ref="AP7:AQ7"/>
    <mergeCell ref="AR7:AS7"/>
    <mergeCell ref="BR7:BS7"/>
    <mergeCell ref="BJ7:BK7"/>
    <mergeCell ref="AT7:AU7"/>
    <mergeCell ref="AV7:AW7"/>
    <mergeCell ref="AX7:AY7"/>
    <mergeCell ref="AZ7:BA7"/>
    <mergeCell ref="BB7:BC7"/>
    <mergeCell ref="BD7:BE7"/>
    <mergeCell ref="BF7:BG7"/>
    <mergeCell ref="BH7:BI7"/>
    <mergeCell ref="BL7:BM7"/>
    <mergeCell ref="BN7:BO7"/>
    <mergeCell ref="BP7:BQ7"/>
  </mergeCells>
  <conditionalFormatting sqref="A1:AM1048576 AN7:BS65536 AN1:IV6 A7:BS9 CV7:IV15 BT16:IV65536">
    <cfRule type="expression" priority="18">
      <formula>SI(0," ")</formula>
    </cfRule>
  </conditionalFormatting>
  <conditionalFormatting sqref="A10:BS14">
    <cfRule type="expression" dxfId="8" priority="13" stopIfTrue="1">
      <formula>MOD(ROW(),2)=0</formula>
    </cfRule>
  </conditionalFormatting>
  <conditionalFormatting sqref="L3">
    <cfRule type="expression" priority="17">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M52"/>
  <sheetViews>
    <sheetView showGridLines="0" zoomScaleNormal="100" workbookViewId="0"/>
  </sheetViews>
  <sheetFormatPr baseColWidth="10" defaultColWidth="9.140625" defaultRowHeight="12.75"/>
  <cols>
    <col min="1" max="1" width="9.140625" style="76"/>
    <col min="2" max="2" width="20" style="76" customWidth="1"/>
    <col min="3" max="3" width="17" style="77" bestFit="1" customWidth="1"/>
    <col min="4" max="4" width="15.28515625" style="77" bestFit="1" customWidth="1"/>
    <col min="5" max="5" width="14.140625" style="77" bestFit="1" customWidth="1"/>
    <col min="6" max="6" width="11.140625" style="77" bestFit="1" customWidth="1"/>
    <col min="7" max="7" width="9.140625" style="77"/>
    <col min="8" max="8" width="14.85546875" style="76" customWidth="1"/>
    <col min="9" max="9" width="14.42578125" style="76" customWidth="1"/>
    <col min="10" max="10" width="17" style="77" bestFit="1" customWidth="1"/>
    <col min="11" max="11" width="15.28515625" style="77" bestFit="1" customWidth="1"/>
    <col min="12" max="12" width="14.140625" style="77" bestFit="1" customWidth="1"/>
    <col min="13" max="13" width="11.140625" style="77" bestFit="1" customWidth="1"/>
    <col min="14" max="16384" width="9.140625" style="77"/>
  </cols>
  <sheetData>
    <row r="3" spans="1:13" ht="16.5">
      <c r="A3" s="75" t="s">
        <v>148</v>
      </c>
    </row>
    <row r="4" spans="1:13" s="78" customFormat="1" ht="16.5">
      <c r="A4" s="79" t="s">
        <v>149</v>
      </c>
      <c r="B4" s="80"/>
      <c r="H4" s="80"/>
      <c r="I4" s="80"/>
      <c r="L4" s="81"/>
    </row>
    <row r="5" spans="1:13" s="78" customFormat="1" ht="16.5">
      <c r="A5" s="79" t="s">
        <v>150</v>
      </c>
      <c r="B5" s="80"/>
      <c r="H5" s="80"/>
      <c r="I5" s="80"/>
    </row>
    <row r="7" spans="1:13">
      <c r="A7" s="137" t="s">
        <v>0</v>
      </c>
      <c r="B7" s="137"/>
      <c r="C7" s="108" t="s">
        <v>1</v>
      </c>
      <c r="D7" s="108" t="s">
        <v>2</v>
      </c>
      <c r="E7" s="108" t="s">
        <v>3</v>
      </c>
      <c r="F7" s="108" t="s">
        <v>4</v>
      </c>
      <c r="H7" s="137" t="s">
        <v>0</v>
      </c>
      <c r="I7" s="137"/>
      <c r="J7" s="108" t="s">
        <v>1</v>
      </c>
      <c r="K7" s="108" t="s">
        <v>2</v>
      </c>
      <c r="L7" s="108" t="s">
        <v>3</v>
      </c>
      <c r="M7" s="108" t="s">
        <v>4</v>
      </c>
    </row>
    <row r="8" spans="1:13">
      <c r="A8" s="138" t="s">
        <v>5</v>
      </c>
      <c r="B8" s="138"/>
      <c r="C8" s="109" t="s">
        <v>6</v>
      </c>
      <c r="D8" s="109" t="s">
        <v>7</v>
      </c>
      <c r="E8" s="109" t="s">
        <v>8</v>
      </c>
      <c r="F8" s="109" t="s">
        <v>9</v>
      </c>
      <c r="H8" s="138" t="s">
        <v>5</v>
      </c>
      <c r="I8" s="138"/>
      <c r="J8" s="109" t="s">
        <v>6</v>
      </c>
      <c r="K8" s="109" t="s">
        <v>7</v>
      </c>
      <c r="L8" s="109" t="s">
        <v>8</v>
      </c>
      <c r="M8" s="109" t="s">
        <v>9</v>
      </c>
    </row>
    <row r="9" spans="1:13">
      <c r="A9" s="138" t="s">
        <v>10</v>
      </c>
      <c r="B9" s="138"/>
      <c r="C9" s="109" t="s">
        <v>11</v>
      </c>
      <c r="D9" s="109" t="s">
        <v>12</v>
      </c>
      <c r="E9" s="109" t="s">
        <v>13</v>
      </c>
      <c r="F9" s="109" t="s">
        <v>14</v>
      </c>
      <c r="H9" s="138" t="s">
        <v>10</v>
      </c>
      <c r="I9" s="138"/>
      <c r="J9" s="109" t="s">
        <v>11</v>
      </c>
      <c r="K9" s="109" t="s">
        <v>12</v>
      </c>
      <c r="L9" s="109" t="s">
        <v>13</v>
      </c>
      <c r="M9" s="109" t="s">
        <v>14</v>
      </c>
    </row>
    <row r="10" spans="1:13" ht="15">
      <c r="A10" s="139" t="s">
        <v>15</v>
      </c>
      <c r="B10" s="139"/>
      <c r="C10" s="83">
        <v>136</v>
      </c>
      <c r="D10" s="83">
        <v>2946</v>
      </c>
      <c r="E10" s="83">
        <v>8972</v>
      </c>
      <c r="F10" s="85">
        <v>0.40936259524569968</v>
      </c>
      <c r="G10" s="82"/>
      <c r="H10" s="139" t="s">
        <v>16</v>
      </c>
      <c r="I10" s="139"/>
      <c r="J10" s="83">
        <v>1</v>
      </c>
      <c r="K10" s="83">
        <v>54</v>
      </c>
      <c r="L10" s="83">
        <v>104</v>
      </c>
      <c r="M10" s="85">
        <v>1.5646156160673989E-2</v>
      </c>
    </row>
    <row r="11" spans="1:13" ht="15">
      <c r="A11" s="139" t="s">
        <v>17</v>
      </c>
      <c r="B11" s="139"/>
      <c r="C11" s="83">
        <v>60</v>
      </c>
      <c r="D11" s="83">
        <v>2606</v>
      </c>
      <c r="E11" s="83">
        <v>7369</v>
      </c>
      <c r="F11" s="85">
        <v>0.3362230232239814</v>
      </c>
      <c r="G11" s="82"/>
      <c r="H11" s="139" t="s">
        <v>18</v>
      </c>
      <c r="I11" s="139"/>
      <c r="J11" s="83">
        <v>3</v>
      </c>
      <c r="K11" s="83">
        <v>289</v>
      </c>
      <c r="L11" s="83">
        <v>663</v>
      </c>
      <c r="M11" s="85">
        <v>9.9744245524296671E-2</v>
      </c>
    </row>
    <row r="12" spans="1:13" ht="15">
      <c r="A12" s="139" t="s">
        <v>19</v>
      </c>
      <c r="B12" s="139"/>
      <c r="C12" s="83">
        <v>40</v>
      </c>
      <c r="D12" s="83">
        <v>1934</v>
      </c>
      <c r="E12" s="83">
        <v>5547</v>
      </c>
      <c r="F12" s="85">
        <v>0.25309120773828536</v>
      </c>
      <c r="G12" s="82"/>
      <c r="H12" s="139" t="s">
        <v>20</v>
      </c>
      <c r="I12" s="139"/>
      <c r="J12" s="83">
        <v>11</v>
      </c>
      <c r="K12" s="83">
        <v>1540</v>
      </c>
      <c r="L12" s="83">
        <v>3308</v>
      </c>
      <c r="M12" s="85">
        <v>0.49766812095682261</v>
      </c>
    </row>
    <row r="13" spans="1:13" ht="15">
      <c r="A13" s="139" t="s">
        <v>21</v>
      </c>
      <c r="B13" s="139"/>
      <c r="C13" s="83">
        <v>1</v>
      </c>
      <c r="D13" s="83">
        <v>9</v>
      </c>
      <c r="E13" s="83">
        <v>29</v>
      </c>
      <c r="F13" s="85">
        <v>1.3231737920335813E-3</v>
      </c>
      <c r="G13" s="82"/>
      <c r="H13" s="139" t="s">
        <v>145</v>
      </c>
      <c r="I13" s="139"/>
      <c r="J13" s="83"/>
      <c r="K13" s="83"/>
      <c r="L13" s="83"/>
      <c r="M13" s="85"/>
    </row>
    <row r="14" spans="1:13" ht="15">
      <c r="A14" s="140" t="s">
        <v>23</v>
      </c>
      <c r="B14" s="140"/>
      <c r="C14" s="93">
        <v>237</v>
      </c>
      <c r="D14" s="93">
        <v>7495</v>
      </c>
      <c r="E14" s="93">
        <v>21917</v>
      </c>
      <c r="F14" s="94">
        <v>1</v>
      </c>
      <c r="G14" s="82"/>
      <c r="H14" s="139" t="s">
        <v>22</v>
      </c>
      <c r="I14" s="139"/>
      <c r="J14" s="83">
        <v>8</v>
      </c>
      <c r="K14" s="83">
        <v>1215</v>
      </c>
      <c r="L14" s="83">
        <v>2572</v>
      </c>
      <c r="M14" s="85">
        <v>0.38694147735820672</v>
      </c>
    </row>
    <row r="15" spans="1:13" ht="15">
      <c r="A15" s="139"/>
      <c r="B15" s="139"/>
      <c r="F15" s="85"/>
      <c r="G15" s="82"/>
      <c r="H15" s="139" t="s">
        <v>146</v>
      </c>
      <c r="I15" s="139"/>
      <c r="M15" s="85"/>
    </row>
    <row r="16" spans="1:13" ht="15">
      <c r="A16" s="140" t="s">
        <v>26</v>
      </c>
      <c r="B16" s="140"/>
      <c r="C16" s="93">
        <v>7</v>
      </c>
      <c r="D16" s="93">
        <v>79</v>
      </c>
      <c r="E16" s="93">
        <v>154</v>
      </c>
      <c r="F16" s="94">
        <v>1</v>
      </c>
      <c r="G16" s="82"/>
      <c r="H16" s="139" t="s">
        <v>24</v>
      </c>
      <c r="I16" s="139"/>
      <c r="M16" s="85"/>
    </row>
    <row r="17" spans="1:13" ht="15">
      <c r="A17" s="140" t="s">
        <v>27</v>
      </c>
      <c r="B17" s="140"/>
      <c r="C17" s="93">
        <v>22</v>
      </c>
      <c r="D17" s="93">
        <v>176</v>
      </c>
      <c r="E17" s="93">
        <v>360</v>
      </c>
      <c r="F17" s="94">
        <v>1</v>
      </c>
      <c r="G17" s="82"/>
      <c r="H17" s="139" t="s">
        <v>147</v>
      </c>
      <c r="I17" s="139"/>
      <c r="J17" s="83"/>
      <c r="K17" s="83"/>
      <c r="L17" s="83"/>
      <c r="M17" s="85"/>
    </row>
    <row r="18" spans="1:13" ht="15">
      <c r="A18" s="140" t="s">
        <v>29</v>
      </c>
      <c r="B18" s="140"/>
      <c r="C18" s="93">
        <v>3</v>
      </c>
      <c r="D18" s="93">
        <v>16</v>
      </c>
      <c r="E18" s="93">
        <v>30</v>
      </c>
      <c r="F18" s="94">
        <v>1</v>
      </c>
      <c r="G18" s="82"/>
      <c r="H18" s="140" t="s">
        <v>25</v>
      </c>
      <c r="I18" s="140"/>
      <c r="J18" s="93">
        <v>23</v>
      </c>
      <c r="K18" s="93">
        <v>3098</v>
      </c>
      <c r="L18" s="93">
        <v>6647</v>
      </c>
      <c r="M18" s="94">
        <v>1</v>
      </c>
    </row>
    <row r="19" spans="1:13" ht="15">
      <c r="A19" s="140" t="s">
        <v>94</v>
      </c>
      <c r="B19" s="140"/>
      <c r="C19" s="93">
        <v>5</v>
      </c>
      <c r="D19" s="93"/>
      <c r="E19" s="93">
        <v>1598</v>
      </c>
      <c r="F19" s="94">
        <v>1</v>
      </c>
      <c r="G19" s="82"/>
      <c r="H19" s="83"/>
      <c r="I19" s="83"/>
      <c r="J19" s="83"/>
      <c r="K19" s="83"/>
      <c r="L19" s="83"/>
      <c r="M19" s="83"/>
    </row>
    <row r="20" spans="1:13" ht="15">
      <c r="A20" s="139"/>
      <c r="B20" s="139"/>
      <c r="C20" s="83"/>
      <c r="D20" s="83"/>
      <c r="E20" s="83"/>
      <c r="F20" s="85"/>
      <c r="G20" s="82"/>
      <c r="H20" s="139" t="s">
        <v>28</v>
      </c>
      <c r="I20" s="139"/>
      <c r="J20" s="83"/>
      <c r="K20" s="83"/>
      <c r="L20" s="83"/>
      <c r="M20" s="85"/>
    </row>
    <row r="21" spans="1:13" ht="15">
      <c r="A21" s="139" t="s">
        <v>42</v>
      </c>
      <c r="B21" s="139"/>
      <c r="F21" s="85"/>
      <c r="G21" s="82"/>
      <c r="H21" s="139" t="s">
        <v>30</v>
      </c>
      <c r="I21" s="139"/>
      <c r="J21" s="83">
        <v>3</v>
      </c>
      <c r="K21" s="83">
        <v>142</v>
      </c>
      <c r="L21" s="83">
        <v>284</v>
      </c>
      <c r="M21" s="85">
        <v>0.87116564417177911</v>
      </c>
    </row>
    <row r="22" spans="1:13" ht="15">
      <c r="A22" s="139" t="s">
        <v>44</v>
      </c>
      <c r="B22" s="139"/>
      <c r="C22" s="83">
        <v>4</v>
      </c>
      <c r="D22" s="83">
        <v>1022</v>
      </c>
      <c r="E22" s="83">
        <v>2781</v>
      </c>
      <c r="F22" s="85">
        <v>0.67945272416320546</v>
      </c>
      <c r="G22" s="82"/>
      <c r="H22" s="139" t="s">
        <v>31</v>
      </c>
      <c r="I22" s="139"/>
      <c r="J22" s="83"/>
      <c r="K22" s="83"/>
      <c r="L22" s="83"/>
      <c r="M22" s="86"/>
    </row>
    <row r="23" spans="1:13" ht="15">
      <c r="A23" s="139" t="s">
        <v>46</v>
      </c>
      <c r="B23" s="139"/>
      <c r="C23" s="83">
        <v>3</v>
      </c>
      <c r="D23" s="83">
        <v>618</v>
      </c>
      <c r="E23" s="83">
        <v>1312</v>
      </c>
      <c r="F23" s="85">
        <v>0.32054727583679454</v>
      </c>
      <c r="G23" s="82"/>
      <c r="H23" s="139" t="s">
        <v>33</v>
      </c>
      <c r="I23" s="139"/>
      <c r="J23" s="83">
        <v>1</v>
      </c>
      <c r="K23" s="83">
        <v>21</v>
      </c>
      <c r="L23" s="83">
        <v>42</v>
      </c>
      <c r="M23" s="85">
        <v>0.12883435582822086</v>
      </c>
    </row>
    <row r="24" spans="1:13" ht="15">
      <c r="A24" s="140" t="s">
        <v>47</v>
      </c>
      <c r="B24" s="140"/>
      <c r="C24" s="93">
        <v>7</v>
      </c>
      <c r="D24" s="93">
        <v>1640</v>
      </c>
      <c r="E24" s="93">
        <v>4093</v>
      </c>
      <c r="F24" s="94">
        <v>1</v>
      </c>
      <c r="G24" s="82"/>
      <c r="H24" s="140" t="s">
        <v>37</v>
      </c>
      <c r="I24" s="140"/>
      <c r="J24" s="93">
        <v>4</v>
      </c>
      <c r="K24" s="93">
        <v>163</v>
      </c>
      <c r="L24" s="93">
        <v>326</v>
      </c>
      <c r="M24" s="94">
        <v>1</v>
      </c>
    </row>
    <row r="25" spans="1:13" ht="15">
      <c r="A25" s="139"/>
      <c r="B25" s="139"/>
      <c r="F25" s="85"/>
      <c r="G25" s="82"/>
      <c r="H25" s="141"/>
      <c r="I25" s="141"/>
      <c r="M25" s="83"/>
    </row>
    <row r="26" spans="1:13" ht="15">
      <c r="A26" s="139" t="s">
        <v>50</v>
      </c>
      <c r="B26" s="139"/>
      <c r="C26" s="83">
        <v>5</v>
      </c>
      <c r="D26" s="83">
        <v>189</v>
      </c>
      <c r="E26" s="83">
        <v>335</v>
      </c>
      <c r="F26" s="85">
        <f>E26/E$34</f>
        <v>9.2129145811561518E-3</v>
      </c>
      <c r="G26" s="82"/>
      <c r="H26" s="139" t="s">
        <v>40</v>
      </c>
      <c r="I26" s="139"/>
      <c r="J26" s="83">
        <v>13</v>
      </c>
      <c r="K26" s="83">
        <v>209</v>
      </c>
      <c r="L26" s="83">
        <v>395</v>
      </c>
      <c r="M26" s="85">
        <v>0.3701968134957826</v>
      </c>
    </row>
    <row r="27" spans="1:13" ht="15">
      <c r="A27" s="139" t="s">
        <v>52</v>
      </c>
      <c r="B27" s="139"/>
      <c r="C27" s="83">
        <v>19</v>
      </c>
      <c r="D27" s="83">
        <v>2526</v>
      </c>
      <c r="E27" s="83">
        <v>4721</v>
      </c>
      <c r="F27" s="85">
        <f t="shared" ref="F27:F32" si="0">E27/E$34</f>
        <v>0.12983334250041251</v>
      </c>
      <c r="G27" s="82"/>
      <c r="H27" s="139" t="s">
        <v>41</v>
      </c>
      <c r="I27" s="139"/>
      <c r="J27" s="83">
        <v>9</v>
      </c>
      <c r="K27" s="83">
        <v>357</v>
      </c>
      <c r="L27" s="83">
        <v>656</v>
      </c>
      <c r="M27" s="85">
        <v>0.61480787253983127</v>
      </c>
    </row>
    <row r="28" spans="1:13" ht="15">
      <c r="A28" s="139" t="s">
        <v>54</v>
      </c>
      <c r="B28" s="139"/>
      <c r="C28" s="83">
        <v>54</v>
      </c>
      <c r="D28" s="83">
        <v>11798</v>
      </c>
      <c r="E28" s="83">
        <v>22536</v>
      </c>
      <c r="F28" s="85">
        <f t="shared" si="0"/>
        <v>0.61976788955502993</v>
      </c>
      <c r="G28" s="82"/>
      <c r="H28" s="139" t="s">
        <v>43</v>
      </c>
      <c r="I28" s="139"/>
      <c r="J28" s="83">
        <v>1</v>
      </c>
      <c r="K28" s="83">
        <v>8</v>
      </c>
      <c r="L28" s="83">
        <v>16</v>
      </c>
      <c r="M28" s="85">
        <v>1.499531396438613E-2</v>
      </c>
    </row>
    <row r="29" spans="1:13" ht="15">
      <c r="A29" s="139" t="s">
        <v>143</v>
      </c>
      <c r="B29" s="139"/>
      <c r="C29" s="83"/>
      <c r="D29" s="83"/>
      <c r="E29" s="83"/>
      <c r="F29" s="85"/>
      <c r="G29" s="82"/>
      <c r="H29" s="140" t="s">
        <v>45</v>
      </c>
      <c r="I29" s="140"/>
      <c r="J29" s="93">
        <v>23</v>
      </c>
      <c r="K29" s="93">
        <v>574</v>
      </c>
      <c r="L29" s="93">
        <v>1067</v>
      </c>
      <c r="M29" s="94">
        <v>1</v>
      </c>
    </row>
    <row r="30" spans="1:13" ht="15">
      <c r="A30" s="139" t="s">
        <v>91</v>
      </c>
      <c r="B30" s="139"/>
      <c r="C30" s="83">
        <v>22</v>
      </c>
      <c r="D30" s="83">
        <v>4015</v>
      </c>
      <c r="E30" s="83">
        <v>7735</v>
      </c>
      <c r="F30" s="85">
        <f t="shared" si="0"/>
        <v>0.21272207249326219</v>
      </c>
      <c r="G30" s="82"/>
      <c r="H30" s="141"/>
      <c r="I30" s="141"/>
      <c r="M30" s="83"/>
    </row>
    <row r="31" spans="1:13" ht="15">
      <c r="A31" s="139" t="s">
        <v>144</v>
      </c>
      <c r="B31" s="139"/>
      <c r="C31" s="83"/>
      <c r="D31" s="83"/>
      <c r="E31" s="83"/>
      <c r="F31" s="85"/>
      <c r="G31" s="82"/>
      <c r="H31" s="139" t="s">
        <v>48</v>
      </c>
      <c r="I31" s="139"/>
      <c r="J31" s="83">
        <v>37</v>
      </c>
      <c r="K31" s="83">
        <v>1023</v>
      </c>
      <c r="L31" s="83">
        <v>1874</v>
      </c>
      <c r="M31" s="85">
        <v>0.51625344352617075</v>
      </c>
    </row>
    <row r="32" spans="1:13" ht="15">
      <c r="A32" s="139" t="s">
        <v>57</v>
      </c>
      <c r="B32" s="139"/>
      <c r="C32" s="83">
        <v>6</v>
      </c>
      <c r="D32" s="83">
        <v>522</v>
      </c>
      <c r="E32" s="83">
        <v>1035</v>
      </c>
      <c r="F32" s="85">
        <f t="shared" si="0"/>
        <v>2.8463780870139156E-2</v>
      </c>
      <c r="G32" s="82"/>
      <c r="H32" s="139" t="s">
        <v>49</v>
      </c>
      <c r="I32" s="139"/>
      <c r="J32" s="83">
        <v>24</v>
      </c>
      <c r="K32" s="83">
        <v>889</v>
      </c>
      <c r="L32" s="83">
        <v>1699</v>
      </c>
      <c r="M32" s="85">
        <v>0.46804407713498625</v>
      </c>
    </row>
    <row r="33" spans="1:13" ht="15">
      <c r="A33" s="139" t="s">
        <v>59</v>
      </c>
      <c r="B33" s="139"/>
      <c r="C33" s="83"/>
      <c r="D33" s="83"/>
      <c r="E33" s="83"/>
      <c r="F33" s="85"/>
      <c r="G33" s="82"/>
      <c r="H33" s="139" t="s">
        <v>51</v>
      </c>
      <c r="I33" s="139"/>
      <c r="J33" s="83">
        <v>1</v>
      </c>
      <c r="K33" s="83">
        <v>30</v>
      </c>
      <c r="L33" s="83">
        <v>57</v>
      </c>
      <c r="M33" s="85">
        <v>1.5702479338842976E-2</v>
      </c>
    </row>
    <row r="34" spans="1:13" ht="15">
      <c r="A34" s="140" t="s">
        <v>61</v>
      </c>
      <c r="B34" s="140"/>
      <c r="C34" s="93">
        <f>SUM(C26:C33)</f>
        <v>106</v>
      </c>
      <c r="D34" s="93">
        <f>SUM(D26:D33)</f>
        <v>19050</v>
      </c>
      <c r="E34" s="93">
        <f>SUM(E26:E33)</f>
        <v>36362</v>
      </c>
      <c r="F34" s="94">
        <f>SUM(F26:F33)</f>
        <v>0.99999999999999978</v>
      </c>
      <c r="G34" s="82"/>
      <c r="H34" s="140" t="s">
        <v>53</v>
      </c>
      <c r="I34" s="140"/>
      <c r="J34" s="93">
        <v>62</v>
      </c>
      <c r="K34" s="93">
        <v>1942</v>
      </c>
      <c r="L34" s="93">
        <v>3630</v>
      </c>
      <c r="M34" s="94">
        <v>1</v>
      </c>
    </row>
    <row r="35" spans="1:13" ht="15">
      <c r="A35" s="141"/>
      <c r="B35" s="141"/>
      <c r="C35" s="83"/>
      <c r="D35" s="83"/>
      <c r="E35" s="83"/>
      <c r="F35" s="85"/>
      <c r="G35" s="82"/>
      <c r="H35" s="142"/>
      <c r="I35" s="142"/>
      <c r="J35" s="83"/>
      <c r="K35" s="83"/>
      <c r="L35" s="83"/>
      <c r="M35" s="83"/>
    </row>
    <row r="36" spans="1:13" ht="15">
      <c r="A36" s="139" t="s">
        <v>62</v>
      </c>
      <c r="B36" s="139"/>
      <c r="C36" s="83">
        <v>7</v>
      </c>
      <c r="D36" s="83">
        <v>316</v>
      </c>
      <c r="E36" s="83">
        <v>581</v>
      </c>
      <c r="F36" s="85">
        <v>0.20580942260007085</v>
      </c>
      <c r="G36" s="82"/>
      <c r="H36" s="140" t="s">
        <v>56</v>
      </c>
      <c r="I36" s="140"/>
      <c r="J36" s="93">
        <v>26</v>
      </c>
      <c r="K36" s="93">
        <v>260</v>
      </c>
      <c r="L36" s="93">
        <v>469</v>
      </c>
      <c r="M36" s="94">
        <v>1</v>
      </c>
    </row>
    <row r="37" spans="1:13" ht="15">
      <c r="A37" s="139" t="s">
        <v>63</v>
      </c>
      <c r="B37" s="139"/>
      <c r="C37" s="83">
        <v>9</v>
      </c>
      <c r="D37" s="83">
        <v>705</v>
      </c>
      <c r="E37" s="83">
        <v>1311</v>
      </c>
      <c r="F37" s="85">
        <v>0.46439957492029754</v>
      </c>
      <c r="G37" s="82"/>
      <c r="H37" s="140" t="s">
        <v>58</v>
      </c>
      <c r="I37" s="140"/>
      <c r="J37" s="93">
        <v>3</v>
      </c>
      <c r="K37" s="93">
        <v>49</v>
      </c>
      <c r="L37" s="93">
        <v>89</v>
      </c>
      <c r="M37" s="94">
        <v>1</v>
      </c>
    </row>
    <row r="38" spans="1:13" ht="15">
      <c r="A38" s="139" t="s">
        <v>64</v>
      </c>
      <c r="B38" s="139"/>
      <c r="C38" s="83">
        <v>5</v>
      </c>
      <c r="D38" s="83">
        <v>394</v>
      </c>
      <c r="E38" s="83">
        <v>713</v>
      </c>
      <c r="F38" s="85">
        <v>0.25256818986893376</v>
      </c>
      <c r="G38" s="82"/>
      <c r="H38" s="140" t="s">
        <v>60</v>
      </c>
      <c r="I38" s="140"/>
      <c r="J38" s="93"/>
      <c r="K38" s="93"/>
      <c r="L38" s="93"/>
      <c r="M38" s="94"/>
    </row>
    <row r="39" spans="1:13" ht="15">
      <c r="A39" s="139" t="s">
        <v>93</v>
      </c>
      <c r="B39" s="139"/>
      <c r="C39" s="83">
        <v>2</v>
      </c>
      <c r="D39" s="83">
        <v>126</v>
      </c>
      <c r="E39" s="83">
        <v>218</v>
      </c>
      <c r="F39" s="85">
        <v>7.7222812610697841E-2</v>
      </c>
      <c r="G39" s="82"/>
      <c r="H39" s="84"/>
      <c r="I39" s="84"/>
      <c r="J39" s="83"/>
      <c r="K39" s="83"/>
      <c r="L39" s="83"/>
      <c r="M39" s="87"/>
    </row>
    <row r="40" spans="1:13" ht="15">
      <c r="A40" s="139" t="s">
        <v>67</v>
      </c>
      <c r="B40" s="139"/>
      <c r="F40" s="85"/>
      <c r="G40" s="82"/>
      <c r="H40" s="84"/>
      <c r="I40" s="84"/>
      <c r="J40" s="83"/>
      <c r="K40" s="83"/>
      <c r="L40" s="83"/>
      <c r="M40" s="87"/>
    </row>
    <row r="41" spans="1:13" ht="15">
      <c r="A41" s="140" t="s">
        <v>68</v>
      </c>
      <c r="B41" s="140"/>
      <c r="C41" s="93">
        <v>23</v>
      </c>
      <c r="D41" s="93">
        <v>1541</v>
      </c>
      <c r="E41" s="93">
        <v>2823</v>
      </c>
      <c r="F41" s="94">
        <v>1</v>
      </c>
      <c r="G41" s="82"/>
      <c r="H41" s="140" t="s">
        <v>65</v>
      </c>
      <c r="I41" s="140"/>
      <c r="J41" s="93">
        <v>551</v>
      </c>
      <c r="K41" s="93">
        <v>36083</v>
      </c>
      <c r="L41" s="93">
        <v>79565</v>
      </c>
      <c r="M41" s="82"/>
    </row>
    <row r="42" spans="1:13" ht="14.25">
      <c r="G42" s="82"/>
    </row>
    <row r="43" spans="1:13" ht="15">
      <c r="A43" s="139"/>
      <c r="B43" s="139"/>
      <c r="C43" s="83"/>
      <c r="D43" s="83"/>
      <c r="E43" s="83"/>
      <c r="F43" s="85"/>
      <c r="G43" s="82"/>
    </row>
    <row r="44" spans="1:13" ht="15">
      <c r="A44" s="139"/>
      <c r="B44" s="139"/>
      <c r="C44" s="83"/>
      <c r="D44" s="83"/>
      <c r="E44" s="83"/>
      <c r="F44" s="85"/>
      <c r="G44" s="82"/>
    </row>
    <row r="45" spans="1:13" ht="15">
      <c r="A45" s="139"/>
      <c r="B45" s="139"/>
      <c r="C45" s="83"/>
      <c r="D45" s="83"/>
      <c r="E45" s="83"/>
      <c r="F45" s="85"/>
      <c r="G45" s="82"/>
    </row>
    <row r="46" spans="1:13" ht="15">
      <c r="A46" s="139"/>
      <c r="B46" s="139"/>
      <c r="C46" s="83"/>
      <c r="D46" s="83"/>
      <c r="E46" s="83"/>
      <c r="F46" s="85"/>
    </row>
    <row r="47" spans="1:13" ht="15">
      <c r="A47" s="139"/>
      <c r="B47" s="139"/>
      <c r="C47" s="83"/>
      <c r="D47" s="83"/>
      <c r="E47" s="83"/>
      <c r="F47" s="85"/>
      <c r="H47" s="77"/>
      <c r="I47" s="77"/>
    </row>
    <row r="48" spans="1:13" ht="15">
      <c r="A48" s="139"/>
      <c r="B48" s="139"/>
      <c r="F48" s="85"/>
      <c r="H48" s="77"/>
      <c r="I48" s="77"/>
    </row>
    <row r="49" spans="1:9" ht="15">
      <c r="A49" s="139"/>
      <c r="B49" s="139"/>
      <c r="F49" s="85"/>
      <c r="H49" s="77"/>
      <c r="I49" s="77"/>
    </row>
    <row r="50" spans="1:9" ht="15">
      <c r="A50" s="139"/>
      <c r="B50" s="139"/>
      <c r="C50" s="83"/>
      <c r="D50" s="83"/>
      <c r="E50" s="83"/>
      <c r="F50" s="85"/>
      <c r="H50" s="77"/>
    </row>
    <row r="51" spans="1:9">
      <c r="A51" s="77"/>
      <c r="B51" s="77"/>
    </row>
    <row r="52" spans="1:9">
      <c r="A52" s="77"/>
      <c r="B52" s="77"/>
    </row>
  </sheetData>
  <sheetProtection algorithmName="SHA-512" hashValue="bJNOg3Dbz76q6aANad4hNOzK2TE2apyHiF14aptWg7sTSlTNzcAfM8jvTk9fm8Tl0nE5Zow8VGb+DrxC8lQqTA==" saltValue="09os5tEcEsKFvGywnDV0Lw==" spinCount="100000" sheet="1"/>
  <mergeCells count="75">
    <mergeCell ref="A7:B7"/>
    <mergeCell ref="H7:I7"/>
    <mergeCell ref="A8:B8"/>
    <mergeCell ref="H8:I8"/>
    <mergeCell ref="A9:B9"/>
    <mergeCell ref="H9:I9"/>
    <mergeCell ref="A13:B13"/>
    <mergeCell ref="A14:B14"/>
    <mergeCell ref="A18:B18"/>
    <mergeCell ref="H14:I14"/>
    <mergeCell ref="A10:B10"/>
    <mergeCell ref="A11:B11"/>
    <mergeCell ref="A15:B15"/>
    <mergeCell ref="A12:B12"/>
    <mergeCell ref="H10:I10"/>
    <mergeCell ref="H11:I11"/>
    <mergeCell ref="H12:I12"/>
    <mergeCell ref="H13:I13"/>
    <mergeCell ref="H15:I15"/>
    <mergeCell ref="H16:I16"/>
    <mergeCell ref="A16:B16"/>
    <mergeCell ref="A17:B17"/>
    <mergeCell ref="H20:I20"/>
    <mergeCell ref="H17:I17"/>
    <mergeCell ref="H18:I18"/>
    <mergeCell ref="A19:B19"/>
    <mergeCell ref="A20:B20"/>
    <mergeCell ref="H24:I24"/>
    <mergeCell ref="H23:I23"/>
    <mergeCell ref="A21:B21"/>
    <mergeCell ref="H30:I30"/>
    <mergeCell ref="A22:B22"/>
    <mergeCell ref="H25:I25"/>
    <mergeCell ref="A23:B23"/>
    <mergeCell ref="H26:I26"/>
    <mergeCell ref="A27:B27"/>
    <mergeCell ref="A28:B28"/>
    <mergeCell ref="A30:B30"/>
    <mergeCell ref="H27:I27"/>
    <mergeCell ref="A24:B24"/>
    <mergeCell ref="H22:I22"/>
    <mergeCell ref="H21:I21"/>
    <mergeCell ref="A25:B25"/>
    <mergeCell ref="A34:B34"/>
    <mergeCell ref="H28:I28"/>
    <mergeCell ref="A26:B26"/>
    <mergeCell ref="A29:B29"/>
    <mergeCell ref="H29:I29"/>
    <mergeCell ref="A39:B39"/>
    <mergeCell ref="H38:I38"/>
    <mergeCell ref="A31:B31"/>
    <mergeCell ref="A32:B32"/>
    <mergeCell ref="A36:B36"/>
    <mergeCell ref="A37:B37"/>
    <mergeCell ref="A33:B33"/>
    <mergeCell ref="H31:I31"/>
    <mergeCell ref="A35:B35"/>
    <mergeCell ref="H32:I32"/>
    <mergeCell ref="H36:I36"/>
    <mergeCell ref="A38:B38"/>
    <mergeCell ref="H37:I37"/>
    <mergeCell ref="H34:I34"/>
    <mergeCell ref="H35:I35"/>
    <mergeCell ref="H33:I33"/>
    <mergeCell ref="A40:B40"/>
    <mergeCell ref="A41:B41"/>
    <mergeCell ref="A43:B43"/>
    <mergeCell ref="H41:I41"/>
    <mergeCell ref="A50:B50"/>
    <mergeCell ref="A44:B44"/>
    <mergeCell ref="A45:B45"/>
    <mergeCell ref="A46:B46"/>
    <mergeCell ref="A47:B47"/>
    <mergeCell ref="A48:B48"/>
    <mergeCell ref="A49:B49"/>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V44"/>
  <sheetViews>
    <sheetView showGridLines="0" zoomScaleNormal="100" workbookViewId="0"/>
  </sheetViews>
  <sheetFormatPr baseColWidth="10" defaultColWidth="9.140625" defaultRowHeight="12.75"/>
  <cols>
    <col min="1" max="1" width="80.28515625" style="57" customWidth="1"/>
    <col min="2" max="2" width="9.140625" style="57" customWidth="1"/>
    <col min="3" max="3" width="8.7109375" style="57" customWidth="1"/>
    <col min="4" max="4" width="9.140625" style="57" customWidth="1"/>
    <col min="5" max="5" width="8.7109375" style="57" customWidth="1"/>
    <col min="6" max="6" width="9.140625" style="57" customWidth="1"/>
    <col min="7" max="7" width="8.7109375" style="57" customWidth="1"/>
    <col min="8" max="8" width="9.140625" style="57" customWidth="1"/>
    <col min="9" max="11" width="8.7109375" style="57" customWidth="1"/>
    <col min="12" max="12" width="9.140625" style="57" customWidth="1"/>
    <col min="13" max="21" width="8.7109375" style="57" customWidth="1"/>
    <col min="22" max="22" width="9.140625" style="57" customWidth="1"/>
    <col min="23" max="23" width="8.7109375" style="57" customWidth="1"/>
    <col min="24" max="24" width="9.140625" style="57" customWidth="1"/>
    <col min="25" max="25" width="8.7109375" style="57" customWidth="1"/>
    <col min="26" max="26" width="9.140625" style="57" customWidth="1"/>
    <col min="27" max="27" width="8.7109375" style="57" customWidth="1"/>
    <col min="28" max="28" width="9.140625" style="57" customWidth="1"/>
    <col min="29" max="29" width="8.7109375" style="57" customWidth="1"/>
    <col min="30" max="30" width="9.140625" style="57" customWidth="1"/>
    <col min="31" max="31" width="8.7109375" style="57" customWidth="1"/>
    <col min="32" max="32" width="9.140625" style="57" customWidth="1"/>
    <col min="33" max="33" width="8.7109375" style="57" customWidth="1"/>
    <col min="34" max="34" width="9.140625" style="57" customWidth="1"/>
    <col min="35" max="35" width="8.7109375" style="57" customWidth="1"/>
    <col min="36" max="36" width="9.140625" style="57" customWidth="1"/>
    <col min="37" max="37" width="8.7109375" style="57" customWidth="1"/>
    <col min="38" max="38" width="9.140625" style="57" customWidth="1"/>
    <col min="39" max="39" width="8.7109375" style="57" customWidth="1"/>
    <col min="40" max="40" width="9.140625" style="57" customWidth="1"/>
    <col min="41" max="41" width="8.7109375" style="57" customWidth="1"/>
    <col min="42" max="42" width="9.5703125" style="57" customWidth="1"/>
    <col min="43" max="43" width="8.7109375" style="57" customWidth="1"/>
    <col min="44" max="44" width="9.140625" style="57" customWidth="1"/>
    <col min="45" max="45" width="8.7109375" style="57" customWidth="1"/>
    <col min="46" max="46" width="9.140625" style="57" customWidth="1"/>
    <col min="47" max="47" width="8.7109375" style="57" customWidth="1"/>
    <col min="48" max="48" width="9.140625" style="57" customWidth="1"/>
    <col min="49" max="49" width="8.7109375" style="57" customWidth="1"/>
    <col min="50" max="50" width="9.140625" style="57" customWidth="1"/>
    <col min="51" max="57" width="8.7109375" style="57" customWidth="1"/>
    <col min="58" max="62" width="9.140625" style="57" customWidth="1"/>
    <col min="63" max="63" width="8.7109375" style="57" customWidth="1"/>
    <col min="64" max="64" width="9.140625" style="57" customWidth="1"/>
    <col min="65" max="65" width="8.7109375" style="57" customWidth="1"/>
    <col min="66" max="67" width="9.28515625" style="57" bestFit="1" customWidth="1"/>
    <col min="68" max="68" width="13.28515625" style="57" bestFit="1" customWidth="1"/>
    <col min="69" max="69" width="9.85546875" style="57" bestFit="1" customWidth="1"/>
    <col min="70" max="16384" width="9.140625" style="57"/>
  </cols>
  <sheetData>
    <row r="1" spans="1:126" ht="16.5">
      <c r="A1" s="75"/>
    </row>
    <row r="2" spans="1:126">
      <c r="A2" s="77"/>
    </row>
    <row r="3" spans="1:126" ht="16.5">
      <c r="A3" s="5" t="s">
        <v>151</v>
      </c>
    </row>
    <row r="4" spans="1:126" s="88" customFormat="1" ht="16.5">
      <c r="A4" s="30" t="s">
        <v>152</v>
      </c>
    </row>
    <row r="5" spans="1:126" s="88" customFormat="1" ht="16.5">
      <c r="A5" s="30" t="s">
        <v>153</v>
      </c>
    </row>
    <row r="7" spans="1:126" s="89" customFormat="1" ht="15">
      <c r="A7" s="144" t="s">
        <v>130</v>
      </c>
      <c r="B7" s="143" t="s">
        <v>15</v>
      </c>
      <c r="C7" s="143"/>
      <c r="D7" s="143" t="s">
        <v>17</v>
      </c>
      <c r="E7" s="143"/>
      <c r="F7" s="143" t="s">
        <v>19</v>
      </c>
      <c r="G7" s="143"/>
      <c r="H7" s="143" t="s">
        <v>21</v>
      </c>
      <c r="I7" s="143"/>
      <c r="J7" s="143" t="s">
        <v>27</v>
      </c>
      <c r="K7" s="143"/>
      <c r="L7" s="143" t="s">
        <v>56</v>
      </c>
      <c r="M7" s="143"/>
      <c r="N7" s="143" t="s">
        <v>94</v>
      </c>
      <c r="O7" s="143"/>
      <c r="P7" s="143" t="s">
        <v>44</v>
      </c>
      <c r="Q7" s="143"/>
      <c r="R7" s="143" t="s">
        <v>46</v>
      </c>
      <c r="S7" s="143"/>
      <c r="T7" s="143" t="s">
        <v>58</v>
      </c>
      <c r="U7" s="143"/>
      <c r="V7" s="143" t="s">
        <v>50</v>
      </c>
      <c r="W7" s="143"/>
      <c r="X7" s="143" t="s">
        <v>52</v>
      </c>
      <c r="Y7" s="143"/>
      <c r="Z7" s="143" t="s">
        <v>54</v>
      </c>
      <c r="AA7" s="143"/>
      <c r="AB7" s="143" t="s">
        <v>91</v>
      </c>
      <c r="AC7" s="143"/>
      <c r="AD7" s="143" t="s">
        <v>57</v>
      </c>
      <c r="AE7" s="143"/>
      <c r="AF7" s="143" t="s">
        <v>16</v>
      </c>
      <c r="AG7" s="143"/>
      <c r="AH7" s="143" t="s">
        <v>18</v>
      </c>
      <c r="AI7" s="143"/>
      <c r="AJ7" s="143" t="s">
        <v>20</v>
      </c>
      <c r="AK7" s="143"/>
      <c r="AL7" s="143" t="s">
        <v>22</v>
      </c>
      <c r="AM7" s="143"/>
      <c r="AN7" s="143" t="s">
        <v>92</v>
      </c>
      <c r="AO7" s="143"/>
      <c r="AP7" s="143" t="s">
        <v>63</v>
      </c>
      <c r="AQ7" s="143"/>
      <c r="AR7" s="143" t="s">
        <v>64</v>
      </c>
      <c r="AS7" s="143"/>
      <c r="AT7" s="143" t="s">
        <v>93</v>
      </c>
      <c r="AU7" s="143"/>
      <c r="AV7" s="143" t="s">
        <v>26</v>
      </c>
      <c r="AW7" s="143"/>
      <c r="AX7" s="143" t="s">
        <v>40</v>
      </c>
      <c r="AY7" s="143"/>
      <c r="AZ7" s="143" t="s">
        <v>41</v>
      </c>
      <c r="BA7" s="143"/>
      <c r="BB7" s="143" t="s">
        <v>43</v>
      </c>
      <c r="BC7" s="143"/>
      <c r="BD7" s="143" t="s">
        <v>48</v>
      </c>
      <c r="BE7" s="143"/>
      <c r="BF7" s="143" t="s">
        <v>49</v>
      </c>
      <c r="BG7" s="143"/>
      <c r="BH7" s="143" t="s">
        <v>51</v>
      </c>
      <c r="BI7" s="143"/>
      <c r="BJ7" s="143" t="s">
        <v>30</v>
      </c>
      <c r="BK7" s="143"/>
      <c r="BL7" s="143" t="s">
        <v>33</v>
      </c>
      <c r="BM7" s="143"/>
      <c r="BN7" s="143" t="s">
        <v>29</v>
      </c>
      <c r="BO7" s="143"/>
      <c r="BP7" s="143" t="s">
        <v>65</v>
      </c>
      <c r="BQ7" s="143"/>
    </row>
    <row r="8" spans="1:126" s="89" customFormat="1" ht="15">
      <c r="A8" s="144"/>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row>
    <row r="9" spans="1:126" s="89" customFormat="1" ht="15">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row>
    <row r="10" spans="1:126" ht="15">
      <c r="A10" s="37" t="s">
        <v>217</v>
      </c>
      <c r="B10" s="12">
        <v>29</v>
      </c>
      <c r="C10" s="12">
        <v>1883</v>
      </c>
      <c r="D10" s="12">
        <v>13</v>
      </c>
      <c r="E10" s="12">
        <v>1190</v>
      </c>
      <c r="F10" s="12">
        <v>5</v>
      </c>
      <c r="G10" s="12">
        <v>1619</v>
      </c>
      <c r="H10" s="12"/>
      <c r="I10" s="12"/>
      <c r="J10" s="12"/>
      <c r="K10" s="12"/>
      <c r="L10" s="12">
        <v>14</v>
      </c>
      <c r="M10" s="12">
        <v>232</v>
      </c>
      <c r="N10" s="12"/>
      <c r="O10" s="12"/>
      <c r="P10" s="12"/>
      <c r="Q10" s="12"/>
      <c r="R10" s="12"/>
      <c r="S10" s="12"/>
      <c r="T10" s="12"/>
      <c r="U10" s="12"/>
      <c r="V10" s="12">
        <v>2</v>
      </c>
      <c r="W10" s="12">
        <v>116</v>
      </c>
      <c r="X10" s="12">
        <v>7</v>
      </c>
      <c r="Y10" s="12">
        <v>1779</v>
      </c>
      <c r="Z10" s="12">
        <v>5</v>
      </c>
      <c r="AA10" s="12">
        <v>2003</v>
      </c>
      <c r="AB10" s="12">
        <v>9</v>
      </c>
      <c r="AC10" s="12">
        <v>2785</v>
      </c>
      <c r="AD10" s="12">
        <v>3</v>
      </c>
      <c r="AE10" s="12">
        <v>351</v>
      </c>
      <c r="AF10" s="12"/>
      <c r="AG10" s="12"/>
      <c r="AH10" s="12">
        <v>1</v>
      </c>
      <c r="AI10" s="12">
        <v>213</v>
      </c>
      <c r="AJ10" s="12">
        <v>1</v>
      </c>
      <c r="AK10" s="12">
        <v>517</v>
      </c>
      <c r="AL10" s="12"/>
      <c r="AM10" s="12"/>
      <c r="AN10" s="12">
        <v>2</v>
      </c>
      <c r="AO10" s="12">
        <v>169</v>
      </c>
      <c r="AP10" s="12">
        <v>3</v>
      </c>
      <c r="AQ10" s="12">
        <v>411</v>
      </c>
      <c r="AR10" s="12"/>
      <c r="AS10" s="12"/>
      <c r="AT10" s="12">
        <v>1</v>
      </c>
      <c r="AU10" s="12">
        <v>199</v>
      </c>
      <c r="AV10" s="12">
        <v>1</v>
      </c>
      <c r="AW10" s="12">
        <v>20</v>
      </c>
      <c r="AX10" s="12">
        <v>2</v>
      </c>
      <c r="AY10" s="12">
        <v>101</v>
      </c>
      <c r="AZ10" s="12">
        <v>1</v>
      </c>
      <c r="BA10" s="12">
        <v>75</v>
      </c>
      <c r="BB10" s="12"/>
      <c r="BC10" s="12"/>
      <c r="BD10" s="12">
        <v>10</v>
      </c>
      <c r="BE10" s="12">
        <v>437</v>
      </c>
      <c r="BF10" s="12">
        <v>4</v>
      </c>
      <c r="BG10" s="12">
        <v>148</v>
      </c>
      <c r="BH10" s="12">
        <v>1</v>
      </c>
      <c r="BI10" s="12">
        <v>57</v>
      </c>
      <c r="BJ10" s="12"/>
      <c r="BK10" s="12"/>
      <c r="BL10" s="12"/>
      <c r="BM10" s="12"/>
      <c r="BN10" s="12"/>
      <c r="BO10" s="12"/>
      <c r="BP10" s="15">
        <f t="shared" ref="BP10:BQ15" si="0">B10+D10+F10+H10+J10+L10+N10+P10+R10+T10+V10+X10+Z10+AB10+AD10+AF10+AH10+AJ10+AL10+AN10+AP10+AR10+AT10+AV10+AX10+AZ10+BB10+BD10+BF10+BH10+BJ10+BL10+BN10</f>
        <v>114</v>
      </c>
      <c r="BQ10" s="15">
        <f t="shared" si="0"/>
        <v>14305</v>
      </c>
      <c r="BR10" s="90"/>
      <c r="CQ10" s="89"/>
      <c r="CR10" s="89"/>
      <c r="DV10" s="91"/>
    </row>
    <row r="11" spans="1:126" ht="15">
      <c r="A11" s="69" t="s">
        <v>84</v>
      </c>
      <c r="B11" s="12">
        <v>35</v>
      </c>
      <c r="C11" s="12">
        <v>2375</v>
      </c>
      <c r="D11" s="12">
        <v>13</v>
      </c>
      <c r="E11" s="12">
        <v>1613</v>
      </c>
      <c r="F11" s="12">
        <v>2</v>
      </c>
      <c r="G11" s="12">
        <v>60</v>
      </c>
      <c r="H11" s="12"/>
      <c r="I11" s="12"/>
      <c r="J11" s="12">
        <v>3</v>
      </c>
      <c r="K11" s="12">
        <v>54</v>
      </c>
      <c r="L11" s="12">
        <v>9</v>
      </c>
      <c r="M11" s="12">
        <v>199</v>
      </c>
      <c r="N11" s="12">
        <v>1</v>
      </c>
      <c r="O11" s="12">
        <v>274</v>
      </c>
      <c r="P11" s="12"/>
      <c r="Q11" s="12"/>
      <c r="R11" s="12"/>
      <c r="S11" s="12"/>
      <c r="T11" s="12"/>
      <c r="U11" s="12"/>
      <c r="V11" s="12">
        <v>3</v>
      </c>
      <c r="W11" s="12">
        <v>219</v>
      </c>
      <c r="X11" s="12">
        <v>4</v>
      </c>
      <c r="Y11" s="12">
        <v>1356</v>
      </c>
      <c r="Z11" s="12">
        <v>12</v>
      </c>
      <c r="AA11" s="12">
        <v>3637</v>
      </c>
      <c r="AB11" s="12">
        <v>2</v>
      </c>
      <c r="AC11" s="12">
        <v>588</v>
      </c>
      <c r="AD11" s="12"/>
      <c r="AE11" s="12"/>
      <c r="AF11" s="12">
        <v>1</v>
      </c>
      <c r="AG11" s="12">
        <v>104</v>
      </c>
      <c r="AH11" s="12"/>
      <c r="AI11" s="12"/>
      <c r="AJ11" s="12">
        <v>3</v>
      </c>
      <c r="AK11" s="12">
        <v>1107</v>
      </c>
      <c r="AL11" s="12">
        <v>2</v>
      </c>
      <c r="AM11" s="12">
        <v>338</v>
      </c>
      <c r="AN11" s="12">
        <v>5</v>
      </c>
      <c r="AO11" s="12">
        <v>412</v>
      </c>
      <c r="AP11" s="12">
        <v>4</v>
      </c>
      <c r="AQ11" s="12">
        <v>676</v>
      </c>
      <c r="AR11" s="12"/>
      <c r="AS11" s="12"/>
      <c r="AT11" s="12"/>
      <c r="AU11" s="12"/>
      <c r="AV11" s="12">
        <v>2</v>
      </c>
      <c r="AW11" s="12">
        <v>46</v>
      </c>
      <c r="AX11" s="12">
        <v>2</v>
      </c>
      <c r="AY11" s="12">
        <v>76</v>
      </c>
      <c r="AZ11" s="12">
        <v>3</v>
      </c>
      <c r="BA11" s="12">
        <v>298</v>
      </c>
      <c r="BB11" s="12"/>
      <c r="BC11" s="12"/>
      <c r="BD11" s="12">
        <v>17</v>
      </c>
      <c r="BE11" s="12">
        <v>1060</v>
      </c>
      <c r="BF11" s="12">
        <v>12</v>
      </c>
      <c r="BG11" s="12">
        <v>1056</v>
      </c>
      <c r="BH11" s="12"/>
      <c r="BI11" s="12"/>
      <c r="BJ11" s="12">
        <v>1</v>
      </c>
      <c r="BK11" s="12">
        <v>184</v>
      </c>
      <c r="BL11" s="12"/>
      <c r="BM11" s="12"/>
      <c r="BN11" s="12">
        <v>1</v>
      </c>
      <c r="BO11" s="12">
        <v>10</v>
      </c>
      <c r="BP11" s="15">
        <f t="shared" si="0"/>
        <v>137</v>
      </c>
      <c r="BQ11" s="15">
        <f t="shared" si="0"/>
        <v>15742</v>
      </c>
      <c r="CQ11" s="89"/>
      <c r="CR11" s="89"/>
    </row>
    <row r="12" spans="1:126" ht="15">
      <c r="A12" s="37" t="s">
        <v>85</v>
      </c>
      <c r="B12" s="12">
        <v>6</v>
      </c>
      <c r="C12" s="12">
        <v>514</v>
      </c>
      <c r="D12" s="12">
        <v>6</v>
      </c>
      <c r="E12" s="12">
        <v>513</v>
      </c>
      <c r="F12" s="12">
        <v>4</v>
      </c>
      <c r="G12" s="12">
        <v>298</v>
      </c>
      <c r="H12" s="12">
        <v>1</v>
      </c>
      <c r="I12" s="12">
        <v>29</v>
      </c>
      <c r="J12" s="12">
        <v>8</v>
      </c>
      <c r="K12" s="12">
        <v>117</v>
      </c>
      <c r="L12" s="12">
        <v>1</v>
      </c>
      <c r="M12" s="12">
        <v>8</v>
      </c>
      <c r="N12" s="12"/>
      <c r="O12" s="12"/>
      <c r="P12" s="12"/>
      <c r="Q12" s="12"/>
      <c r="R12" s="12">
        <v>2</v>
      </c>
      <c r="S12" s="12">
        <v>912</v>
      </c>
      <c r="T12" s="12"/>
      <c r="U12" s="12"/>
      <c r="V12" s="12"/>
      <c r="W12" s="12"/>
      <c r="X12" s="12"/>
      <c r="Y12" s="12"/>
      <c r="Z12" s="12">
        <v>6</v>
      </c>
      <c r="AA12" s="12">
        <v>1958</v>
      </c>
      <c r="AB12" s="12">
        <v>2</v>
      </c>
      <c r="AC12" s="12">
        <v>633</v>
      </c>
      <c r="AD12" s="12">
        <v>1</v>
      </c>
      <c r="AE12" s="12">
        <v>116</v>
      </c>
      <c r="AF12" s="12"/>
      <c r="AG12" s="12"/>
      <c r="AH12" s="12"/>
      <c r="AI12" s="12"/>
      <c r="AJ12" s="12"/>
      <c r="AK12" s="12"/>
      <c r="AL12" s="12"/>
      <c r="AM12" s="12"/>
      <c r="AN12" s="12"/>
      <c r="AO12" s="12"/>
      <c r="AP12" s="12"/>
      <c r="AQ12" s="12"/>
      <c r="AR12" s="12"/>
      <c r="AS12" s="12"/>
      <c r="AT12" s="12"/>
      <c r="AU12" s="12"/>
      <c r="AV12" s="12">
        <v>3</v>
      </c>
      <c r="AW12" s="12">
        <v>59</v>
      </c>
      <c r="AX12" s="12">
        <v>1</v>
      </c>
      <c r="AY12" s="12">
        <v>20</v>
      </c>
      <c r="AZ12" s="12">
        <v>1</v>
      </c>
      <c r="BA12" s="12">
        <v>21</v>
      </c>
      <c r="BB12" s="12"/>
      <c r="BC12" s="12"/>
      <c r="BD12" s="12">
        <v>3</v>
      </c>
      <c r="BE12" s="12">
        <v>118</v>
      </c>
      <c r="BF12" s="12">
        <v>1</v>
      </c>
      <c r="BG12" s="12">
        <v>212</v>
      </c>
      <c r="BH12" s="12"/>
      <c r="BI12" s="12"/>
      <c r="BJ12" s="12"/>
      <c r="BK12" s="12"/>
      <c r="BL12" s="12"/>
      <c r="BM12" s="12"/>
      <c r="BN12" s="12">
        <v>2</v>
      </c>
      <c r="BO12" s="12">
        <v>20</v>
      </c>
      <c r="BP12" s="15">
        <f t="shared" si="0"/>
        <v>48</v>
      </c>
      <c r="BQ12" s="15">
        <f t="shared" si="0"/>
        <v>5548</v>
      </c>
      <c r="CQ12" s="89"/>
      <c r="CR12" s="89"/>
    </row>
    <row r="13" spans="1:126" ht="15">
      <c r="A13" s="37" t="s">
        <v>86</v>
      </c>
      <c r="B13" s="12">
        <v>26</v>
      </c>
      <c r="C13" s="12">
        <v>1975</v>
      </c>
      <c r="D13" s="12">
        <v>13</v>
      </c>
      <c r="E13" s="12">
        <v>2197</v>
      </c>
      <c r="F13" s="12">
        <v>18</v>
      </c>
      <c r="G13" s="12">
        <v>2208</v>
      </c>
      <c r="H13" s="12"/>
      <c r="I13" s="12"/>
      <c r="J13" s="12">
        <v>1</v>
      </c>
      <c r="K13" s="12">
        <v>8</v>
      </c>
      <c r="L13" s="12">
        <v>1</v>
      </c>
      <c r="M13" s="12">
        <v>12</v>
      </c>
      <c r="N13" s="12">
        <v>1</v>
      </c>
      <c r="O13" s="12">
        <v>400</v>
      </c>
      <c r="P13" s="12">
        <v>1</v>
      </c>
      <c r="Q13" s="12">
        <v>780</v>
      </c>
      <c r="R13" s="12"/>
      <c r="S13" s="12"/>
      <c r="T13" s="12"/>
      <c r="U13" s="12"/>
      <c r="V13" s="12"/>
      <c r="W13" s="12"/>
      <c r="X13" s="12">
        <v>6</v>
      </c>
      <c r="Y13" s="12">
        <v>1238</v>
      </c>
      <c r="Z13" s="12">
        <v>15</v>
      </c>
      <c r="AA13" s="12">
        <v>8105</v>
      </c>
      <c r="AB13" s="12">
        <v>4</v>
      </c>
      <c r="AC13" s="12">
        <v>1887</v>
      </c>
      <c r="AD13" s="12"/>
      <c r="AE13" s="12"/>
      <c r="AF13" s="12"/>
      <c r="AG13" s="12"/>
      <c r="AH13" s="12">
        <v>2</v>
      </c>
      <c r="AI13" s="12">
        <v>450</v>
      </c>
      <c r="AJ13" s="12">
        <v>3</v>
      </c>
      <c r="AK13" s="12">
        <v>656</v>
      </c>
      <c r="AL13" s="12">
        <v>4</v>
      </c>
      <c r="AM13" s="12">
        <v>1908</v>
      </c>
      <c r="AN13" s="12"/>
      <c r="AO13" s="12"/>
      <c r="AP13" s="12">
        <v>1</v>
      </c>
      <c r="AQ13" s="12">
        <v>84</v>
      </c>
      <c r="AR13" s="12">
        <v>2</v>
      </c>
      <c r="AS13" s="12">
        <v>296</v>
      </c>
      <c r="AT13" s="12">
        <v>1</v>
      </c>
      <c r="AU13" s="12">
        <v>19</v>
      </c>
      <c r="AV13" s="12"/>
      <c r="AW13" s="12"/>
      <c r="AX13" s="12">
        <v>3</v>
      </c>
      <c r="AY13" s="12">
        <v>44</v>
      </c>
      <c r="AZ13" s="12"/>
      <c r="BA13" s="12"/>
      <c r="BB13" s="12">
        <v>1</v>
      </c>
      <c r="BC13" s="12">
        <v>16</v>
      </c>
      <c r="BD13" s="12">
        <v>1</v>
      </c>
      <c r="BE13" s="12">
        <v>13</v>
      </c>
      <c r="BF13" s="12"/>
      <c r="BG13" s="12"/>
      <c r="BH13" s="12"/>
      <c r="BI13" s="12"/>
      <c r="BJ13" s="12">
        <v>2</v>
      </c>
      <c r="BK13" s="12">
        <v>100</v>
      </c>
      <c r="BL13" s="12">
        <v>1</v>
      </c>
      <c r="BM13" s="12">
        <v>42</v>
      </c>
      <c r="BN13" s="12"/>
      <c r="BO13" s="12"/>
      <c r="BP13" s="15">
        <f t="shared" si="0"/>
        <v>107</v>
      </c>
      <c r="BQ13" s="15">
        <f t="shared" si="0"/>
        <v>22438</v>
      </c>
      <c r="CQ13" s="89"/>
      <c r="CR13" s="89"/>
    </row>
    <row r="14" spans="1:126" ht="15">
      <c r="A14" s="37" t="s">
        <v>87</v>
      </c>
      <c r="B14" s="12">
        <v>40</v>
      </c>
      <c r="C14" s="12">
        <v>2225</v>
      </c>
      <c r="D14" s="12">
        <v>15</v>
      </c>
      <c r="E14" s="12">
        <v>1856</v>
      </c>
      <c r="F14" s="12">
        <v>11</v>
      </c>
      <c r="G14" s="12">
        <v>1362</v>
      </c>
      <c r="H14" s="12"/>
      <c r="I14" s="12"/>
      <c r="J14" s="12">
        <v>10</v>
      </c>
      <c r="K14" s="12">
        <v>181</v>
      </c>
      <c r="L14" s="12">
        <v>1</v>
      </c>
      <c r="M14" s="12">
        <v>18</v>
      </c>
      <c r="N14" s="12">
        <v>3</v>
      </c>
      <c r="O14" s="12">
        <v>924</v>
      </c>
      <c r="P14" s="12">
        <v>3</v>
      </c>
      <c r="Q14" s="12">
        <v>2001</v>
      </c>
      <c r="R14" s="12">
        <v>1</v>
      </c>
      <c r="S14" s="12">
        <v>400</v>
      </c>
      <c r="T14" s="12">
        <v>3</v>
      </c>
      <c r="U14" s="12">
        <v>89</v>
      </c>
      <c r="V14" s="12"/>
      <c r="W14" s="12"/>
      <c r="X14" s="12">
        <v>2</v>
      </c>
      <c r="Y14" s="12">
        <v>348</v>
      </c>
      <c r="Z14" s="12">
        <v>16</v>
      </c>
      <c r="AA14" s="12">
        <v>6833</v>
      </c>
      <c r="AB14" s="12">
        <v>5</v>
      </c>
      <c r="AC14" s="12">
        <v>1842</v>
      </c>
      <c r="AD14" s="12">
        <v>2</v>
      </c>
      <c r="AE14" s="12">
        <v>568</v>
      </c>
      <c r="AF14" s="12"/>
      <c r="AG14" s="12"/>
      <c r="AH14" s="12"/>
      <c r="AI14" s="12"/>
      <c r="AJ14" s="12">
        <v>4</v>
      </c>
      <c r="AK14" s="12">
        <v>1028</v>
      </c>
      <c r="AL14" s="12">
        <v>2</v>
      </c>
      <c r="AM14" s="12">
        <v>326</v>
      </c>
      <c r="AN14" s="12"/>
      <c r="AO14" s="12"/>
      <c r="AP14" s="12">
        <v>1</v>
      </c>
      <c r="AQ14" s="12">
        <v>140</v>
      </c>
      <c r="AR14" s="12">
        <v>3</v>
      </c>
      <c r="AS14" s="12">
        <v>417</v>
      </c>
      <c r="AT14" s="12"/>
      <c r="AU14" s="12"/>
      <c r="AV14" s="12">
        <v>1</v>
      </c>
      <c r="AW14" s="12">
        <v>29</v>
      </c>
      <c r="AX14" s="12">
        <v>5</v>
      </c>
      <c r="AY14" s="12">
        <v>154</v>
      </c>
      <c r="AZ14" s="12">
        <v>4</v>
      </c>
      <c r="BA14" s="12">
        <v>262</v>
      </c>
      <c r="BB14" s="12"/>
      <c r="BC14" s="12"/>
      <c r="BD14" s="12">
        <v>6</v>
      </c>
      <c r="BE14" s="12">
        <v>246</v>
      </c>
      <c r="BF14" s="12">
        <v>7</v>
      </c>
      <c r="BG14" s="12">
        <v>283</v>
      </c>
      <c r="BH14" s="12"/>
      <c r="BI14" s="12"/>
      <c r="BJ14" s="12"/>
      <c r="BK14" s="12"/>
      <c r="BL14" s="12"/>
      <c r="BM14" s="12"/>
      <c r="BN14" s="12"/>
      <c r="BO14" s="12"/>
      <c r="BP14" s="15">
        <f t="shared" si="0"/>
        <v>145</v>
      </c>
      <c r="BQ14" s="15">
        <f t="shared" si="0"/>
        <v>21532</v>
      </c>
      <c r="CQ14" s="89"/>
      <c r="CR14" s="89"/>
    </row>
    <row r="15" spans="1:126" s="89" customFormat="1" ht="15">
      <c r="A15" s="73" t="s">
        <v>218</v>
      </c>
      <c r="B15" s="39">
        <v>136</v>
      </c>
      <c r="C15" s="39">
        <v>8972</v>
      </c>
      <c r="D15" s="39">
        <v>60</v>
      </c>
      <c r="E15" s="39">
        <v>7369</v>
      </c>
      <c r="F15" s="39">
        <v>40</v>
      </c>
      <c r="G15" s="39">
        <v>5547</v>
      </c>
      <c r="H15" s="39">
        <v>1</v>
      </c>
      <c r="I15" s="39">
        <v>29</v>
      </c>
      <c r="J15" s="39">
        <v>22</v>
      </c>
      <c r="K15" s="39">
        <v>360</v>
      </c>
      <c r="L15" s="39">
        <v>26</v>
      </c>
      <c r="M15" s="39">
        <v>469</v>
      </c>
      <c r="N15" s="39">
        <v>5</v>
      </c>
      <c r="O15" s="39">
        <v>1598</v>
      </c>
      <c r="P15" s="39">
        <v>4</v>
      </c>
      <c r="Q15" s="39">
        <v>2781</v>
      </c>
      <c r="R15" s="39">
        <v>3</v>
      </c>
      <c r="S15" s="39">
        <v>1312</v>
      </c>
      <c r="T15" s="39">
        <v>3</v>
      </c>
      <c r="U15" s="39">
        <v>89</v>
      </c>
      <c r="V15" s="39">
        <v>5</v>
      </c>
      <c r="W15" s="39">
        <v>335</v>
      </c>
      <c r="X15" s="39">
        <v>19</v>
      </c>
      <c r="Y15" s="39">
        <v>4721</v>
      </c>
      <c r="Z15" s="39">
        <v>54</v>
      </c>
      <c r="AA15" s="39">
        <v>22536</v>
      </c>
      <c r="AB15" s="39">
        <v>22</v>
      </c>
      <c r="AC15" s="39">
        <v>7735</v>
      </c>
      <c r="AD15" s="39">
        <f>SUM(AD10:AD14)</f>
        <v>6</v>
      </c>
      <c r="AE15" s="39">
        <f>SUM(AE10:AE14)</f>
        <v>1035</v>
      </c>
      <c r="AF15" s="39">
        <v>1</v>
      </c>
      <c r="AG15" s="39">
        <v>104</v>
      </c>
      <c r="AH15" s="39">
        <v>3</v>
      </c>
      <c r="AI15" s="39">
        <v>663</v>
      </c>
      <c r="AJ15" s="39">
        <v>11</v>
      </c>
      <c r="AK15" s="39">
        <v>3308</v>
      </c>
      <c r="AL15" s="39">
        <v>8</v>
      </c>
      <c r="AM15" s="39">
        <v>2572</v>
      </c>
      <c r="AN15" s="39">
        <v>7</v>
      </c>
      <c r="AO15" s="39">
        <v>581</v>
      </c>
      <c r="AP15" s="39">
        <v>9</v>
      </c>
      <c r="AQ15" s="39">
        <v>1311</v>
      </c>
      <c r="AR15" s="39">
        <v>5</v>
      </c>
      <c r="AS15" s="39">
        <v>713</v>
      </c>
      <c r="AT15" s="39">
        <v>2</v>
      </c>
      <c r="AU15" s="39">
        <v>218</v>
      </c>
      <c r="AV15" s="39">
        <v>7</v>
      </c>
      <c r="AW15" s="39">
        <v>154</v>
      </c>
      <c r="AX15" s="39">
        <v>13</v>
      </c>
      <c r="AY15" s="39">
        <v>395</v>
      </c>
      <c r="AZ15" s="39">
        <v>9</v>
      </c>
      <c r="BA15" s="39">
        <v>656</v>
      </c>
      <c r="BB15" s="39">
        <v>1</v>
      </c>
      <c r="BC15" s="39">
        <v>16</v>
      </c>
      <c r="BD15" s="39">
        <v>37</v>
      </c>
      <c r="BE15" s="39">
        <v>1874</v>
      </c>
      <c r="BF15" s="39">
        <v>24</v>
      </c>
      <c r="BG15" s="39">
        <v>1699</v>
      </c>
      <c r="BH15" s="39">
        <v>1</v>
      </c>
      <c r="BI15" s="39">
        <v>57</v>
      </c>
      <c r="BJ15" s="39">
        <v>3</v>
      </c>
      <c r="BK15" s="39">
        <v>284</v>
      </c>
      <c r="BL15" s="39">
        <v>1</v>
      </c>
      <c r="BM15" s="39">
        <v>42</v>
      </c>
      <c r="BN15" s="39">
        <v>3</v>
      </c>
      <c r="BO15" s="39">
        <v>30</v>
      </c>
      <c r="BP15" s="39">
        <f t="shared" si="0"/>
        <v>551</v>
      </c>
      <c r="BQ15" s="39">
        <f t="shared" si="0"/>
        <v>79565</v>
      </c>
    </row>
    <row r="16" spans="1:126">
      <c r="A16" s="62" t="s">
        <v>134</v>
      </c>
      <c r="BP16" s="90"/>
      <c r="BQ16" s="90"/>
    </row>
    <row r="17" spans="1:49">
      <c r="A17" s="63" t="s">
        <v>135</v>
      </c>
      <c r="B17" s="90"/>
      <c r="C17" s="90"/>
      <c r="D17" s="90"/>
      <c r="E17" s="90"/>
      <c r="F17" s="90"/>
      <c r="G17" s="90"/>
      <c r="H17" s="90"/>
      <c r="I17" s="90"/>
      <c r="J17" s="90"/>
      <c r="K17" s="90"/>
      <c r="L17" s="90"/>
      <c r="M17" s="90"/>
      <c r="N17" s="90"/>
      <c r="O17" s="90"/>
      <c r="P17" s="90"/>
      <c r="Q17" s="90"/>
      <c r="R17" s="90"/>
      <c r="S17" s="90"/>
      <c r="T17" s="90"/>
      <c r="U17" s="90"/>
      <c r="Z17" s="90"/>
      <c r="AA17" s="90"/>
      <c r="AH17" s="90"/>
      <c r="AI17" s="90"/>
      <c r="AQ17" s="90"/>
      <c r="AR17" s="90"/>
      <c r="AS17" s="90"/>
      <c r="AV17" s="90"/>
      <c r="AW17" s="90"/>
    </row>
    <row r="18" spans="1:49">
      <c r="A18" s="63" t="s">
        <v>136</v>
      </c>
      <c r="Z18" s="90"/>
      <c r="AA18" s="90"/>
      <c r="AR18" s="90"/>
      <c r="AS18" s="90"/>
    </row>
    <row r="21" spans="1:49">
      <c r="A21" s="92"/>
    </row>
    <row r="22" spans="1:49">
      <c r="A22" s="92"/>
      <c r="B22" s="92"/>
    </row>
    <row r="23" spans="1:49">
      <c r="A23" s="92"/>
      <c r="B23" s="92"/>
    </row>
    <row r="24" spans="1:49">
      <c r="A24" s="92"/>
      <c r="B24" s="92"/>
    </row>
    <row r="25" spans="1:49">
      <c r="A25" s="92"/>
      <c r="B25" s="92"/>
    </row>
    <row r="26" spans="1:49">
      <c r="A26" s="92"/>
      <c r="B26" s="92"/>
    </row>
    <row r="27" spans="1:49">
      <c r="A27" s="92"/>
      <c r="B27" s="92"/>
    </row>
    <row r="28" spans="1:49">
      <c r="A28" s="92"/>
      <c r="B28" s="92"/>
    </row>
    <row r="29" spans="1:49">
      <c r="A29" s="92"/>
      <c r="B29" s="92"/>
    </row>
    <row r="30" spans="1:49">
      <c r="A30" s="92"/>
      <c r="B30" s="92"/>
    </row>
    <row r="31" spans="1:49">
      <c r="A31" s="92"/>
      <c r="B31" s="92"/>
    </row>
    <row r="32" spans="1:49">
      <c r="A32" s="92"/>
      <c r="B32" s="92"/>
    </row>
    <row r="33" spans="1:2">
      <c r="A33" s="92"/>
      <c r="B33" s="92"/>
    </row>
    <row r="34" spans="1:2">
      <c r="A34" s="92"/>
      <c r="B34" s="92"/>
    </row>
    <row r="35" spans="1:2">
      <c r="A35" s="92"/>
      <c r="B35" s="92"/>
    </row>
    <row r="36" spans="1:2">
      <c r="A36" s="92"/>
      <c r="B36" s="92"/>
    </row>
    <row r="37" spans="1:2">
      <c r="A37" s="92"/>
      <c r="B37" s="92"/>
    </row>
    <row r="38" spans="1:2">
      <c r="A38" s="92"/>
      <c r="B38" s="92"/>
    </row>
    <row r="39" spans="1:2">
      <c r="A39" s="92"/>
      <c r="B39" s="92"/>
    </row>
    <row r="40" spans="1:2">
      <c r="A40" s="92"/>
      <c r="B40" s="92"/>
    </row>
    <row r="41" spans="1:2">
      <c r="A41" s="92"/>
      <c r="B41" s="92"/>
    </row>
    <row r="42" spans="1:2">
      <c r="A42" s="92"/>
    </row>
    <row r="43" spans="1:2">
      <c r="A43" s="92"/>
    </row>
    <row r="44" spans="1:2">
      <c r="A44" s="92"/>
    </row>
  </sheetData>
  <sheetProtection password="C1A8" sheet="1"/>
  <mergeCells count="35">
    <mergeCell ref="N7:O7"/>
    <mergeCell ref="B7:C7"/>
    <mergeCell ref="D7:E7"/>
    <mergeCell ref="F7:G7"/>
    <mergeCell ref="H7:I7"/>
    <mergeCell ref="J7:K7"/>
    <mergeCell ref="L7:M7"/>
    <mergeCell ref="AL7:AM7"/>
    <mergeCell ref="P7:Q7"/>
    <mergeCell ref="R7:S7"/>
    <mergeCell ref="T7:U7"/>
    <mergeCell ref="V7:W7"/>
    <mergeCell ref="X7:Y7"/>
    <mergeCell ref="Z7:AA7"/>
    <mergeCell ref="AB7:AC7"/>
    <mergeCell ref="AD7:AE7"/>
    <mergeCell ref="AF7:AG7"/>
    <mergeCell ref="AH7:AI7"/>
    <mergeCell ref="AJ7:AK7"/>
    <mergeCell ref="BJ7:BK7"/>
    <mergeCell ref="BL7:BM7"/>
    <mergeCell ref="BN7:BO7"/>
    <mergeCell ref="BP7:BQ7"/>
    <mergeCell ref="A7:A8"/>
    <mergeCell ref="AX7:AY7"/>
    <mergeCell ref="AZ7:BA7"/>
    <mergeCell ref="BB7:BC7"/>
    <mergeCell ref="BD7:BE7"/>
    <mergeCell ref="BF7:BG7"/>
    <mergeCell ref="BH7:BI7"/>
    <mergeCell ref="AN7:AO7"/>
    <mergeCell ref="AP7:AQ7"/>
    <mergeCell ref="AR7:AS7"/>
    <mergeCell ref="AT7:AU7"/>
    <mergeCell ref="AV7:AW7"/>
  </mergeCells>
  <conditionalFormatting sqref="A10:BO14 BP10:BQ15">
    <cfRule type="expression" dxfId="7" priority="13" stopIfTrue="1">
      <formula>MOD(ROW(),2)=0</formula>
    </cfRule>
  </conditionalFormatting>
  <conditionalFormatting sqref="A1:BQ1048576 BR1:IV6 CT7:IV15 BR16:IV65536">
    <cfRule type="expression" priority="18">
      <formula>SI(0," ")</formula>
    </cfRule>
  </conditionalFormatting>
  <conditionalFormatting sqref="L3">
    <cfRule type="expression" priority="17">
      <formula>SI(#REF!," ")</formula>
    </cfRule>
  </conditionalFormatting>
  <pageMargins left="0.70866141732283472" right="0.70866141732283472" top="0.74803149606299213" bottom="0.74803149606299213" header="0.31496062992125984" footer="0.31496062992125984"/>
  <pageSetup paperSize="8" scale="80" fitToWidth="0"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47"/>
  <sheetViews>
    <sheetView showGridLines="0" zoomScaleNormal="100" workbookViewId="0"/>
  </sheetViews>
  <sheetFormatPr baseColWidth="10" defaultRowHeight="12.75"/>
  <cols>
    <col min="1" max="1" width="11.42578125" style="3"/>
    <col min="2" max="2" width="19.5703125" style="3" customWidth="1"/>
    <col min="3" max="3" width="17" style="4" bestFit="1" customWidth="1"/>
    <col min="4" max="4" width="15.140625" style="4" bestFit="1" customWidth="1"/>
    <col min="5" max="5" width="14" style="4" bestFit="1" customWidth="1"/>
    <col min="6" max="6" width="11.140625" style="4" bestFit="1" customWidth="1"/>
    <col min="7" max="7" width="11.42578125" style="4"/>
    <col min="8" max="8" width="11.42578125" style="3"/>
    <col min="9" max="9" width="19.28515625" style="3" customWidth="1"/>
    <col min="10" max="10" width="17" style="4" bestFit="1" customWidth="1"/>
    <col min="11" max="11" width="15.140625" style="4" bestFit="1" customWidth="1"/>
    <col min="12" max="12" width="14" style="4" bestFit="1" customWidth="1"/>
    <col min="13" max="13" width="11.140625" style="4" bestFit="1" customWidth="1"/>
    <col min="14" max="16384" width="11.42578125" style="4"/>
  </cols>
  <sheetData>
    <row r="1" spans="1:20" ht="16.5">
      <c r="A1" s="2"/>
    </row>
    <row r="2" spans="1:20" ht="16.5">
      <c r="A2" s="5"/>
    </row>
    <row r="3" spans="1:20" ht="16.5">
      <c r="A3" s="2" t="s">
        <v>137</v>
      </c>
    </row>
    <row r="4" spans="1:20" ht="16.5">
      <c r="A4" s="7" t="s">
        <v>138</v>
      </c>
      <c r="B4" s="8"/>
      <c r="C4" s="6"/>
      <c r="D4" s="6"/>
      <c r="E4" s="6"/>
      <c r="F4" s="6"/>
      <c r="G4" s="6"/>
      <c r="P4" s="6"/>
      <c r="Q4" s="6"/>
      <c r="R4" s="6"/>
      <c r="S4" s="6"/>
      <c r="T4" s="6"/>
    </row>
    <row r="5" spans="1:20" ht="16.5">
      <c r="A5" s="7" t="s">
        <v>139</v>
      </c>
      <c r="B5" s="8"/>
      <c r="C5" s="6"/>
      <c r="D5" s="6"/>
      <c r="E5" s="6"/>
      <c r="F5" s="6"/>
      <c r="G5" s="6"/>
    </row>
    <row r="6" spans="1:20" ht="16.5">
      <c r="A6" s="7"/>
      <c r="B6" s="8"/>
      <c r="C6" s="6"/>
      <c r="D6" s="6"/>
      <c r="E6" s="6"/>
      <c r="F6" s="6"/>
      <c r="G6" s="6"/>
    </row>
    <row r="8" spans="1:20">
      <c r="A8" s="149" t="s">
        <v>0</v>
      </c>
      <c r="B8" s="149"/>
      <c r="C8" s="110" t="s">
        <v>1</v>
      </c>
      <c r="D8" s="110" t="s">
        <v>2</v>
      </c>
      <c r="E8" s="110" t="s">
        <v>3</v>
      </c>
      <c r="F8" s="110" t="s">
        <v>4</v>
      </c>
      <c r="H8" s="149" t="s">
        <v>0</v>
      </c>
      <c r="I8" s="149"/>
      <c r="J8" s="110" t="s">
        <v>1</v>
      </c>
      <c r="K8" s="110" t="s">
        <v>2</v>
      </c>
      <c r="L8" s="110" t="s">
        <v>3</v>
      </c>
      <c r="M8" s="110" t="s">
        <v>4</v>
      </c>
    </row>
    <row r="9" spans="1:20" s="6" customFormat="1">
      <c r="A9" s="150" t="s">
        <v>5</v>
      </c>
      <c r="B9" s="150"/>
      <c r="C9" s="111" t="s">
        <v>6</v>
      </c>
      <c r="D9" s="111" t="s">
        <v>7</v>
      </c>
      <c r="E9" s="111" t="s">
        <v>8</v>
      </c>
      <c r="F9" s="111" t="s">
        <v>9</v>
      </c>
      <c r="H9" s="150" t="s">
        <v>5</v>
      </c>
      <c r="I9" s="150"/>
      <c r="J9" s="111" t="s">
        <v>6</v>
      </c>
      <c r="K9" s="111" t="s">
        <v>7</v>
      </c>
      <c r="L9" s="111" t="s">
        <v>8</v>
      </c>
      <c r="M9" s="111" t="s">
        <v>9</v>
      </c>
    </row>
    <row r="10" spans="1:20" s="6" customFormat="1">
      <c r="A10" s="150" t="s">
        <v>10</v>
      </c>
      <c r="B10" s="150"/>
      <c r="C10" s="111" t="s">
        <v>11</v>
      </c>
      <c r="D10" s="111" t="s">
        <v>12</v>
      </c>
      <c r="E10" s="111" t="s">
        <v>13</v>
      </c>
      <c r="F10" s="111" t="s">
        <v>14</v>
      </c>
      <c r="H10" s="150" t="s">
        <v>10</v>
      </c>
      <c r="I10" s="150"/>
      <c r="J10" s="111" t="s">
        <v>11</v>
      </c>
      <c r="K10" s="111" t="s">
        <v>12</v>
      </c>
      <c r="L10" s="111" t="s">
        <v>13</v>
      </c>
      <c r="M10" s="111" t="s">
        <v>14</v>
      </c>
    </row>
    <row r="11" spans="1:20" ht="15">
      <c r="A11" s="145" t="s">
        <v>15</v>
      </c>
      <c r="B11" s="145"/>
      <c r="C11" s="12">
        <v>135</v>
      </c>
      <c r="D11" s="12">
        <v>2923</v>
      </c>
      <c r="E11" s="12">
        <v>8897</v>
      </c>
      <c r="F11" s="13">
        <f>E11/$E$15</f>
        <v>0.40733449317828035</v>
      </c>
      <c r="G11" s="10"/>
      <c r="H11" s="145" t="s">
        <v>16</v>
      </c>
      <c r="I11" s="145"/>
      <c r="J11" s="12">
        <v>1</v>
      </c>
      <c r="K11" s="12">
        <v>54</v>
      </c>
      <c r="L11" s="12">
        <v>104</v>
      </c>
      <c r="M11" s="13">
        <f>L11/$L$16</f>
        <v>1.5162560139962094E-2</v>
      </c>
    </row>
    <row r="12" spans="1:20" ht="15">
      <c r="A12" s="145" t="s">
        <v>17</v>
      </c>
      <c r="B12" s="145"/>
      <c r="C12" s="12">
        <v>60</v>
      </c>
      <c r="D12" s="12">
        <v>2656</v>
      </c>
      <c r="E12" s="12">
        <v>7369</v>
      </c>
      <c r="F12" s="13">
        <f>E12/$E$15</f>
        <v>0.33737752953026279</v>
      </c>
      <c r="G12" s="10"/>
      <c r="H12" s="145" t="s">
        <v>18</v>
      </c>
      <c r="I12" s="145"/>
      <c r="J12" s="12">
        <v>3</v>
      </c>
      <c r="K12" s="12">
        <v>304</v>
      </c>
      <c r="L12" s="12">
        <v>663</v>
      </c>
      <c r="M12" s="13">
        <f>L12/$L$16</f>
        <v>9.6661320892258346E-2</v>
      </c>
    </row>
    <row r="13" spans="1:20" ht="15">
      <c r="A13" s="145" t="s">
        <v>19</v>
      </c>
      <c r="B13" s="145"/>
      <c r="C13" s="12">
        <v>40</v>
      </c>
      <c r="D13" s="12">
        <v>1894</v>
      </c>
      <c r="E13" s="12">
        <v>5547</v>
      </c>
      <c r="F13" s="13">
        <f>E13/$E$15</f>
        <v>0.253960260049446</v>
      </c>
      <c r="G13" s="10"/>
      <c r="H13" s="145" t="s">
        <v>20</v>
      </c>
      <c r="I13" s="145"/>
      <c r="J13" s="12">
        <v>12</v>
      </c>
      <c r="K13" s="12">
        <v>1653</v>
      </c>
      <c r="L13" s="12">
        <v>3520</v>
      </c>
      <c r="M13" s="13">
        <f>L13/$L$16</f>
        <v>0.51319434319871704</v>
      </c>
    </row>
    <row r="14" spans="1:20" ht="15">
      <c r="A14" s="145" t="s">
        <v>21</v>
      </c>
      <c r="B14" s="145"/>
      <c r="C14" s="12">
        <v>1</v>
      </c>
      <c r="D14" s="12">
        <v>9</v>
      </c>
      <c r="E14" s="12">
        <v>29</v>
      </c>
      <c r="F14" s="13">
        <f>E14/$E$15</f>
        <v>1.3277172420108048E-3</v>
      </c>
      <c r="G14" s="10"/>
      <c r="H14" s="145" t="s">
        <v>22</v>
      </c>
      <c r="I14" s="145"/>
      <c r="J14" s="12">
        <v>8</v>
      </c>
      <c r="K14" s="12">
        <v>1215</v>
      </c>
      <c r="L14" s="12">
        <v>2572</v>
      </c>
      <c r="M14" s="13">
        <f>L14/$L$16</f>
        <v>0.37498177576906255</v>
      </c>
    </row>
    <row r="15" spans="1:20" ht="15">
      <c r="A15" s="146" t="s">
        <v>23</v>
      </c>
      <c r="B15" s="146"/>
      <c r="C15" s="17">
        <f>SUM(C11:C14)</f>
        <v>236</v>
      </c>
      <c r="D15" s="18">
        <f>SUM(D11:D14)</f>
        <v>7482</v>
      </c>
      <c r="E15" s="18">
        <f>SUM(E11:E14)</f>
        <v>21842</v>
      </c>
      <c r="F15" s="19">
        <f>SUM(F11:F14)</f>
        <v>0.99999999999999978</v>
      </c>
      <c r="G15" s="10"/>
      <c r="H15" s="145" t="s">
        <v>24</v>
      </c>
      <c r="I15" s="145"/>
      <c r="J15" s="12"/>
      <c r="K15" s="12"/>
      <c r="L15" s="12"/>
      <c r="M15" s="13"/>
    </row>
    <row r="16" spans="1:20" ht="15">
      <c r="A16" s="145"/>
      <c r="B16" s="145"/>
      <c r="C16" s="12"/>
      <c r="D16" s="12"/>
      <c r="E16" s="12"/>
      <c r="F16" s="13"/>
      <c r="G16" s="10"/>
      <c r="H16" s="146" t="s">
        <v>25</v>
      </c>
      <c r="I16" s="146"/>
      <c r="J16" s="18">
        <f>SUM(J11:J15)</f>
        <v>24</v>
      </c>
      <c r="K16" s="18">
        <f>SUM(K11:K15)</f>
        <v>3226</v>
      </c>
      <c r="L16" s="18">
        <f>SUM(L11:L15)</f>
        <v>6859</v>
      </c>
      <c r="M16" s="19">
        <f>SUM(M11:M15)</f>
        <v>1</v>
      </c>
    </row>
    <row r="17" spans="1:13" ht="15">
      <c r="A17" s="146" t="s">
        <v>26</v>
      </c>
      <c r="B17" s="146"/>
      <c r="C17" s="18">
        <v>7</v>
      </c>
      <c r="D17" s="18">
        <v>79</v>
      </c>
      <c r="E17" s="18">
        <v>154</v>
      </c>
      <c r="F17" s="19">
        <v>1</v>
      </c>
      <c r="G17" s="10"/>
      <c r="H17" s="145"/>
      <c r="I17" s="145"/>
      <c r="J17" s="12"/>
      <c r="K17" s="12"/>
      <c r="L17" s="12"/>
      <c r="M17" s="13"/>
    </row>
    <row r="18" spans="1:13" ht="15">
      <c r="A18" s="146" t="s">
        <v>27</v>
      </c>
      <c r="B18" s="146"/>
      <c r="C18" s="18">
        <v>21</v>
      </c>
      <c r="D18" s="18">
        <v>172</v>
      </c>
      <c r="E18" s="18">
        <v>350</v>
      </c>
      <c r="F18" s="19">
        <v>1</v>
      </c>
      <c r="G18" s="10"/>
      <c r="H18" s="145" t="s">
        <v>28</v>
      </c>
      <c r="I18" s="145"/>
      <c r="J18" s="12"/>
      <c r="K18" s="12"/>
      <c r="L18" s="12"/>
      <c r="M18" s="13"/>
    </row>
    <row r="19" spans="1:13" ht="15">
      <c r="A19" s="146" t="s">
        <v>29</v>
      </c>
      <c r="B19" s="146"/>
      <c r="C19" s="18">
        <v>3</v>
      </c>
      <c r="D19" s="18">
        <v>16</v>
      </c>
      <c r="E19" s="18">
        <v>30</v>
      </c>
      <c r="F19" s="19">
        <v>1</v>
      </c>
      <c r="G19" s="10"/>
      <c r="H19" s="145" t="s">
        <v>30</v>
      </c>
      <c r="I19" s="145"/>
      <c r="J19" s="12">
        <v>3</v>
      </c>
      <c r="K19" s="12">
        <v>142</v>
      </c>
      <c r="L19" s="12">
        <v>284</v>
      </c>
      <c r="M19" s="13">
        <f>L19/L22</f>
        <v>0.87116564417177911</v>
      </c>
    </row>
    <row r="20" spans="1:13" ht="15">
      <c r="A20" s="147"/>
      <c r="B20" s="147"/>
      <c r="C20" s="12"/>
      <c r="D20" s="12"/>
      <c r="E20" s="12"/>
      <c r="F20" s="13"/>
      <c r="G20" s="10"/>
      <c r="H20" s="145" t="s">
        <v>31</v>
      </c>
      <c r="I20" s="145"/>
      <c r="J20" s="12"/>
      <c r="K20" s="12"/>
      <c r="L20" s="12"/>
      <c r="M20" s="13"/>
    </row>
    <row r="21" spans="1:13" ht="15">
      <c r="A21" s="145" t="s">
        <v>32</v>
      </c>
      <c r="B21" s="145"/>
      <c r="C21" s="12">
        <v>1</v>
      </c>
      <c r="D21" s="59"/>
      <c r="E21" s="12">
        <v>300</v>
      </c>
      <c r="F21" s="13">
        <f>E21/E25</f>
        <v>0.18773466833541927</v>
      </c>
      <c r="G21" s="10"/>
      <c r="H21" s="145" t="s">
        <v>33</v>
      </c>
      <c r="I21" s="145"/>
      <c r="J21" s="12">
        <v>1</v>
      </c>
      <c r="K21" s="12">
        <v>21</v>
      </c>
      <c r="L21" s="12">
        <v>42</v>
      </c>
      <c r="M21" s="13">
        <f>L21/L22</f>
        <v>0.12883435582822086</v>
      </c>
    </row>
    <row r="22" spans="1:13" ht="15">
      <c r="A22" s="145" t="s">
        <v>34</v>
      </c>
      <c r="B22" s="145"/>
      <c r="C22" s="12">
        <v>3</v>
      </c>
      <c r="D22" s="59"/>
      <c r="E22" s="12">
        <v>1049</v>
      </c>
      <c r="F22" s="13">
        <f>E22/E25</f>
        <v>0.65644555694618267</v>
      </c>
      <c r="G22" s="10"/>
      <c r="H22" s="146" t="s">
        <v>37</v>
      </c>
      <c r="I22" s="146"/>
      <c r="J22" s="18">
        <f>SUM(J18:J21)</f>
        <v>4</v>
      </c>
      <c r="K22" s="18">
        <f>SUM(K18:K21)</f>
        <v>163</v>
      </c>
      <c r="L22" s="18">
        <f>SUM(L18:L21)</f>
        <v>326</v>
      </c>
      <c r="M22" s="19">
        <f>SUM(M18:M21)</f>
        <v>1</v>
      </c>
    </row>
    <row r="23" spans="1:13" ht="15">
      <c r="A23" s="145" t="s">
        <v>36</v>
      </c>
      <c r="B23" s="145"/>
      <c r="C23" s="12">
        <v>1</v>
      </c>
      <c r="D23" s="12"/>
      <c r="E23" s="12">
        <v>249</v>
      </c>
      <c r="F23" s="13">
        <f>E23/E25</f>
        <v>0.155819774718398</v>
      </c>
      <c r="G23" s="10"/>
      <c r="H23" s="145"/>
      <c r="I23" s="145"/>
      <c r="J23" s="12"/>
      <c r="K23" s="12"/>
      <c r="L23" s="12"/>
      <c r="M23" s="13"/>
    </row>
    <row r="24" spans="1:13" ht="15">
      <c r="A24" s="145" t="s">
        <v>38</v>
      </c>
      <c r="B24" s="145"/>
      <c r="C24" s="12"/>
      <c r="D24" s="12"/>
      <c r="E24" s="12"/>
      <c r="F24" s="21"/>
      <c r="G24" s="10"/>
      <c r="H24" s="145" t="s">
        <v>40</v>
      </c>
      <c r="I24" s="145"/>
      <c r="J24" s="12">
        <v>13</v>
      </c>
      <c r="K24" s="12">
        <v>209</v>
      </c>
      <c r="L24" s="12">
        <v>395</v>
      </c>
      <c r="M24" s="13">
        <f>L24/L27</f>
        <v>0.3701968134957826</v>
      </c>
    </row>
    <row r="25" spans="1:13" ht="15">
      <c r="A25" s="146" t="s">
        <v>39</v>
      </c>
      <c r="B25" s="146"/>
      <c r="C25" s="18">
        <f>SUM(C21:C24)</f>
        <v>5</v>
      </c>
      <c r="D25" s="18"/>
      <c r="E25" s="18">
        <f>SUM(E21:E24)</f>
        <v>1598</v>
      </c>
      <c r="F25" s="19">
        <f>SUM(F21:F24)</f>
        <v>1</v>
      </c>
      <c r="G25" s="10"/>
      <c r="H25" s="145" t="s">
        <v>41</v>
      </c>
      <c r="I25" s="145"/>
      <c r="J25" s="12">
        <v>9</v>
      </c>
      <c r="K25" s="12">
        <v>357</v>
      </c>
      <c r="L25" s="12">
        <v>656</v>
      </c>
      <c r="M25" s="13">
        <f>L25/L27</f>
        <v>0.61480787253983127</v>
      </c>
    </row>
    <row r="26" spans="1:13" ht="15">
      <c r="A26" s="145"/>
      <c r="B26" s="145"/>
      <c r="C26" s="12"/>
      <c r="D26" s="12"/>
      <c r="E26" s="12"/>
      <c r="F26" s="13"/>
      <c r="G26" s="10"/>
      <c r="H26" s="145" t="s">
        <v>43</v>
      </c>
      <c r="I26" s="145"/>
      <c r="J26" s="12">
        <v>1</v>
      </c>
      <c r="K26" s="12">
        <v>8</v>
      </c>
      <c r="L26" s="12">
        <v>16</v>
      </c>
      <c r="M26" s="13">
        <f>L26/L27</f>
        <v>1.499531396438613E-2</v>
      </c>
    </row>
    <row r="27" spans="1:13" ht="15">
      <c r="A27" s="145" t="s">
        <v>42</v>
      </c>
      <c r="B27" s="145"/>
      <c r="C27" s="12"/>
      <c r="D27" s="12"/>
      <c r="E27" s="12"/>
      <c r="F27" s="13"/>
      <c r="G27" s="10"/>
      <c r="H27" s="146" t="s">
        <v>45</v>
      </c>
      <c r="I27" s="146"/>
      <c r="J27" s="18">
        <f>SUM(J24:J26)</f>
        <v>23</v>
      </c>
      <c r="K27" s="18">
        <f>SUM(K24:K26)</f>
        <v>574</v>
      </c>
      <c r="L27" s="18">
        <f>SUM(L24:L26)</f>
        <v>1067</v>
      </c>
      <c r="M27" s="19">
        <f>SUM(M24:M26)</f>
        <v>1</v>
      </c>
    </row>
    <row r="28" spans="1:13" ht="15">
      <c r="A28" s="145" t="s">
        <v>44</v>
      </c>
      <c r="B28" s="145"/>
      <c r="C28" s="12">
        <v>4</v>
      </c>
      <c r="D28" s="12">
        <v>1022</v>
      </c>
      <c r="E28" s="12">
        <v>2781</v>
      </c>
      <c r="F28" s="13">
        <f>E28/E30</f>
        <v>0.67945272416320546</v>
      </c>
      <c r="G28" s="10"/>
      <c r="H28" s="145"/>
      <c r="I28" s="145"/>
      <c r="J28" s="12"/>
      <c r="K28" s="12"/>
      <c r="L28" s="12"/>
      <c r="M28" s="13"/>
    </row>
    <row r="29" spans="1:13" ht="15">
      <c r="A29" s="145" t="s">
        <v>46</v>
      </c>
      <c r="B29" s="145"/>
      <c r="C29" s="12">
        <v>3</v>
      </c>
      <c r="D29" s="12">
        <v>618</v>
      </c>
      <c r="E29" s="12">
        <v>1312</v>
      </c>
      <c r="F29" s="13">
        <f>E29/E30</f>
        <v>0.32054727583679454</v>
      </c>
      <c r="G29" s="10"/>
      <c r="H29" s="145" t="s">
        <v>48</v>
      </c>
      <c r="I29" s="145"/>
      <c r="J29" s="12">
        <v>38</v>
      </c>
      <c r="K29" s="12">
        <v>1031</v>
      </c>
      <c r="L29" s="12">
        <v>1889</v>
      </c>
      <c r="M29" s="13">
        <f>L29/L32</f>
        <v>0.51824417009602197</v>
      </c>
    </row>
    <row r="30" spans="1:13" ht="15">
      <c r="A30" s="146" t="s">
        <v>47</v>
      </c>
      <c r="B30" s="146"/>
      <c r="C30" s="18">
        <f>SUM(C27:C29)</f>
        <v>7</v>
      </c>
      <c r="D30" s="18">
        <f>SUM(D27:D29)</f>
        <v>1640</v>
      </c>
      <c r="E30" s="18">
        <f>SUM(E27:E29)</f>
        <v>4093</v>
      </c>
      <c r="F30" s="19">
        <f>SUM(F27:F29)</f>
        <v>1</v>
      </c>
      <c r="G30" s="10"/>
      <c r="H30" s="145" t="s">
        <v>49</v>
      </c>
      <c r="I30" s="145"/>
      <c r="J30" s="12">
        <v>24</v>
      </c>
      <c r="K30" s="12">
        <v>889</v>
      </c>
      <c r="L30" s="12">
        <v>1699</v>
      </c>
      <c r="M30" s="13">
        <f>L30/L32</f>
        <v>0.46611796982167353</v>
      </c>
    </row>
    <row r="31" spans="1:13" ht="15">
      <c r="A31" s="145"/>
      <c r="B31" s="145"/>
      <c r="C31" s="12"/>
      <c r="D31" s="12"/>
      <c r="E31" s="12"/>
      <c r="F31" s="13"/>
      <c r="G31" s="10"/>
      <c r="H31" s="145" t="s">
        <v>51</v>
      </c>
      <c r="I31" s="145"/>
      <c r="J31" s="12">
        <v>1</v>
      </c>
      <c r="K31" s="12">
        <v>30</v>
      </c>
      <c r="L31" s="12">
        <v>57</v>
      </c>
      <c r="M31" s="13">
        <f>L31/L32</f>
        <v>1.5637860082304528E-2</v>
      </c>
    </row>
    <row r="32" spans="1:13" ht="15">
      <c r="A32" s="145" t="s">
        <v>50</v>
      </c>
      <c r="B32" s="145"/>
      <c r="C32" s="12">
        <v>6</v>
      </c>
      <c r="D32" s="12">
        <v>265</v>
      </c>
      <c r="E32" s="12">
        <v>472</v>
      </c>
      <c r="F32" s="13">
        <f>E32/$E$38</f>
        <v>1.3042637265467408E-2</v>
      </c>
      <c r="G32" s="10"/>
      <c r="H32" s="146" t="s">
        <v>53</v>
      </c>
      <c r="I32" s="146"/>
      <c r="J32" s="18">
        <f>SUM(J29:J31)</f>
        <v>63</v>
      </c>
      <c r="K32" s="18">
        <f>SUM(K29:K31)</f>
        <v>1950</v>
      </c>
      <c r="L32" s="18">
        <f>SUM(L29:L31)</f>
        <v>3645</v>
      </c>
      <c r="M32" s="19">
        <f>SUM(M29:M31)</f>
        <v>1</v>
      </c>
    </row>
    <row r="33" spans="1:13" ht="15">
      <c r="A33" s="145" t="s">
        <v>52</v>
      </c>
      <c r="B33" s="145"/>
      <c r="C33" s="12">
        <v>23</v>
      </c>
      <c r="D33" s="12">
        <v>3156</v>
      </c>
      <c r="E33" s="12">
        <v>5927</v>
      </c>
      <c r="F33" s="13">
        <f>E33/$E$38</f>
        <v>0.16377904888225703</v>
      </c>
      <c r="G33" s="10"/>
      <c r="H33" s="145"/>
      <c r="I33" s="145"/>
    </row>
    <row r="34" spans="1:13" ht="15">
      <c r="A34" s="145" t="s">
        <v>54</v>
      </c>
      <c r="B34" s="145"/>
      <c r="C34" s="12">
        <v>51</v>
      </c>
      <c r="D34" s="12">
        <v>11486</v>
      </c>
      <c r="E34" s="12">
        <v>21936</v>
      </c>
      <c r="F34" s="13">
        <f>E34/$E$38</f>
        <v>0.60615104037138356</v>
      </c>
      <c r="G34" s="10"/>
      <c r="H34" s="146" t="s">
        <v>56</v>
      </c>
      <c r="I34" s="146"/>
      <c r="J34" s="18">
        <v>28</v>
      </c>
      <c r="K34" s="18">
        <v>290</v>
      </c>
      <c r="L34" s="18">
        <v>529</v>
      </c>
      <c r="M34" s="19">
        <v>1</v>
      </c>
    </row>
    <row r="35" spans="1:13" ht="15">
      <c r="A35" s="145" t="s">
        <v>91</v>
      </c>
      <c r="B35" s="145"/>
      <c r="C35" s="12">
        <v>19</v>
      </c>
      <c r="D35" s="12">
        <v>3548</v>
      </c>
      <c r="E35" s="12">
        <v>6842</v>
      </c>
      <c r="F35" s="13">
        <f>E35/$E$38</f>
        <v>0.18906297493713559</v>
      </c>
      <c r="G35" s="10"/>
      <c r="H35" s="146" t="s">
        <v>58</v>
      </c>
      <c r="I35" s="146"/>
      <c r="J35" s="18">
        <v>3</v>
      </c>
      <c r="K35" s="18">
        <v>49</v>
      </c>
      <c r="L35" s="18">
        <v>89</v>
      </c>
      <c r="M35" s="19">
        <v>1</v>
      </c>
    </row>
    <row r="36" spans="1:13" ht="15">
      <c r="A36" s="145" t="s">
        <v>57</v>
      </c>
      <c r="B36" s="145"/>
      <c r="C36" s="12">
        <v>5</v>
      </c>
      <c r="D36" s="12">
        <v>512</v>
      </c>
      <c r="E36" s="12">
        <v>1012</v>
      </c>
      <c r="F36" s="13">
        <f>E36/$E$38</f>
        <v>2.7964298543756389E-2</v>
      </c>
      <c r="G36" s="10"/>
      <c r="H36" s="146" t="s">
        <v>60</v>
      </c>
      <c r="I36" s="146"/>
      <c r="J36" s="18"/>
      <c r="K36" s="18"/>
      <c r="L36" s="18"/>
      <c r="M36" s="19"/>
    </row>
    <row r="37" spans="1:13" ht="15">
      <c r="A37" s="145" t="s">
        <v>59</v>
      </c>
      <c r="B37" s="148"/>
      <c r="C37" s="12"/>
      <c r="D37" s="12"/>
      <c r="E37" s="12"/>
      <c r="F37" s="13"/>
      <c r="G37" s="10"/>
      <c r="H37" s="145"/>
      <c r="I37" s="145"/>
      <c r="J37" s="12"/>
      <c r="K37" s="12"/>
      <c r="L37" s="12"/>
      <c r="M37" s="12"/>
    </row>
    <row r="38" spans="1:13" ht="15">
      <c r="A38" s="146" t="s">
        <v>61</v>
      </c>
      <c r="B38" s="146"/>
      <c r="C38" s="18">
        <f>SUM(C32:C37)</f>
        <v>104</v>
      </c>
      <c r="D38" s="18">
        <f>SUM(D32:D37)</f>
        <v>18967</v>
      </c>
      <c r="E38" s="18">
        <f>SUM(E32:E37)</f>
        <v>36189</v>
      </c>
      <c r="F38" s="19">
        <f>SUM(F32:F37)</f>
        <v>0.99999999999999989</v>
      </c>
      <c r="G38" s="10"/>
      <c r="H38" s="145"/>
      <c r="I38" s="145"/>
      <c r="J38" s="12"/>
      <c r="K38" s="12"/>
      <c r="L38" s="12"/>
      <c r="M38" s="12"/>
    </row>
    <row r="39" spans="1:13" ht="15">
      <c r="A39" s="145"/>
      <c r="B39" s="145"/>
      <c r="C39" s="12"/>
      <c r="D39" s="12"/>
      <c r="E39" s="12"/>
      <c r="F39" s="13"/>
      <c r="G39" s="10"/>
      <c r="H39" s="147"/>
      <c r="I39" s="147"/>
      <c r="J39" s="12"/>
      <c r="K39" s="12"/>
      <c r="L39" s="12"/>
      <c r="M39" s="12"/>
    </row>
    <row r="40" spans="1:13" ht="15">
      <c r="A40" s="145" t="s">
        <v>62</v>
      </c>
      <c r="B40" s="145"/>
      <c r="C40" s="12">
        <v>7</v>
      </c>
      <c r="D40" s="12">
        <v>316</v>
      </c>
      <c r="E40" s="12">
        <v>581</v>
      </c>
      <c r="F40" s="13">
        <f>E40/$E$45</f>
        <v>0.20580942260007085</v>
      </c>
      <c r="G40" s="10"/>
      <c r="H40" s="11"/>
      <c r="I40" s="11"/>
      <c r="J40" s="12"/>
      <c r="K40" s="12"/>
      <c r="L40" s="12"/>
      <c r="M40" s="14"/>
    </row>
    <row r="41" spans="1:13" ht="15">
      <c r="A41" s="145" t="s">
        <v>63</v>
      </c>
      <c r="B41" s="145"/>
      <c r="C41" s="12">
        <v>9</v>
      </c>
      <c r="D41" s="12">
        <v>705</v>
      </c>
      <c r="E41" s="12">
        <v>1311</v>
      </c>
      <c r="F41" s="13">
        <f>E41/$E$45</f>
        <v>0.46439957492029754</v>
      </c>
      <c r="G41" s="10"/>
      <c r="H41" s="146" t="s">
        <v>65</v>
      </c>
      <c r="I41" s="146"/>
      <c r="J41" s="18">
        <f>J36+J35+J34+J32+J27+J22+C15+C17+C18+C19+C25+C30+C38+C45+J16</f>
        <v>551</v>
      </c>
      <c r="K41" s="18">
        <f>K36+K35+K34+K32+K27+K22+D15+D17+D18+D19+D25+D30+D38+D45+K16</f>
        <v>36149</v>
      </c>
      <c r="L41" s="18">
        <f>L36+L35+L34+L32+L27+L22+E15+E17+E18+E19+E25+E30+E38+E45+L16</f>
        <v>79594</v>
      </c>
      <c r="M41" s="12"/>
    </row>
    <row r="42" spans="1:13" ht="15">
      <c r="A42" s="145" t="s">
        <v>64</v>
      </c>
      <c r="B42" s="145"/>
      <c r="C42" s="12">
        <v>5</v>
      </c>
      <c r="D42" s="12">
        <v>394</v>
      </c>
      <c r="E42" s="12">
        <v>713</v>
      </c>
      <c r="F42" s="13">
        <f>E42/$E$45</f>
        <v>0.25256818986893376</v>
      </c>
      <c r="G42" s="10"/>
      <c r="H42" s="11"/>
      <c r="I42" s="11"/>
      <c r="J42" s="12"/>
      <c r="K42" s="12"/>
      <c r="L42" s="12"/>
      <c r="M42" s="14"/>
    </row>
    <row r="43" spans="1:13" ht="15">
      <c r="A43" s="145" t="s">
        <v>93</v>
      </c>
      <c r="B43" s="145"/>
      <c r="C43" s="12">
        <v>2</v>
      </c>
      <c r="D43" s="12">
        <v>126</v>
      </c>
      <c r="E43" s="12">
        <v>218</v>
      </c>
      <c r="F43" s="13">
        <f>E43/$E$45</f>
        <v>7.7222812610697841E-2</v>
      </c>
      <c r="G43" s="10"/>
      <c r="H43" s="11"/>
      <c r="I43" s="11"/>
      <c r="J43" s="14"/>
      <c r="K43" s="14"/>
      <c r="L43" s="14"/>
      <c r="M43" s="14"/>
    </row>
    <row r="44" spans="1:13" ht="15">
      <c r="A44" s="145" t="s">
        <v>67</v>
      </c>
      <c r="B44" s="145"/>
      <c r="C44" s="12"/>
      <c r="D44" s="12"/>
      <c r="E44" s="12"/>
      <c r="F44" s="13"/>
      <c r="G44" s="10"/>
      <c r="H44" s="11"/>
      <c r="I44" s="11"/>
      <c r="J44" s="14"/>
      <c r="K44" s="14"/>
      <c r="L44" s="14"/>
      <c r="M44" s="14"/>
    </row>
    <row r="45" spans="1:13" ht="15">
      <c r="A45" s="146" t="s">
        <v>68</v>
      </c>
      <c r="B45" s="146"/>
      <c r="C45" s="18">
        <f>SUM(C40:C44)</f>
        <v>23</v>
      </c>
      <c r="D45" s="18">
        <f>SUM(D40:D44)</f>
        <v>1541</v>
      </c>
      <c r="E45" s="18">
        <f>SUM(E40:E44)</f>
        <v>2823</v>
      </c>
      <c r="F45" s="19">
        <f>SUM(F40:F44)</f>
        <v>1</v>
      </c>
      <c r="G45" s="10"/>
      <c r="H45" s="16"/>
      <c r="I45" s="16"/>
      <c r="J45" s="10"/>
      <c r="K45" s="10"/>
      <c r="L45" s="10"/>
      <c r="M45" s="10"/>
    </row>
    <row r="46" spans="1:13" ht="15">
      <c r="A46" s="145"/>
      <c r="B46" s="145"/>
      <c r="C46" s="15"/>
      <c r="D46" s="15"/>
      <c r="E46" s="15"/>
      <c r="F46" s="15"/>
      <c r="G46" s="10"/>
      <c r="H46" s="16"/>
      <c r="I46" s="16"/>
      <c r="J46" s="10"/>
      <c r="K46" s="10"/>
      <c r="L46" s="10"/>
      <c r="M46" s="10"/>
    </row>
    <row r="47" spans="1:13" ht="15">
      <c r="A47" s="16"/>
      <c r="B47" s="16"/>
      <c r="C47" s="10"/>
      <c r="D47" s="10"/>
      <c r="E47" s="10"/>
      <c r="F47" s="10"/>
      <c r="G47" s="10"/>
    </row>
  </sheetData>
  <sheetProtection algorithmName="SHA-512" hashValue="IaLADDyHappeme/clH4xcXKPOygmVnjqzRWej34KX5XEmrNSGRmFJmHRUH882co3DHId64ItQUOjVsvOd5YOzw==" saltValue="MKFs5NSZyNkigRkdtE5XYw==" spinCount="100000" sheet="1"/>
  <mergeCells count="72">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A23:B23"/>
    <mergeCell ref="H22:I22"/>
    <mergeCell ref="A24:B24"/>
    <mergeCell ref="H23:I23"/>
    <mergeCell ref="A25:B25"/>
    <mergeCell ref="H24:I24"/>
    <mergeCell ref="A26:B26"/>
    <mergeCell ref="H25:I25"/>
    <mergeCell ref="A27:B27"/>
    <mergeCell ref="H26:I26"/>
    <mergeCell ref="A28:B28"/>
    <mergeCell ref="H27:I27"/>
    <mergeCell ref="A29:B29"/>
    <mergeCell ref="H28:I28"/>
    <mergeCell ref="A30:B30"/>
    <mergeCell ref="H29:I29"/>
    <mergeCell ref="A31:B31"/>
    <mergeCell ref="H30:I30"/>
    <mergeCell ref="A32:B32"/>
    <mergeCell ref="H31:I31"/>
    <mergeCell ref="A33:B33"/>
    <mergeCell ref="H32:I32"/>
    <mergeCell ref="A34:B34"/>
    <mergeCell ref="H33:I33"/>
    <mergeCell ref="A35:B35"/>
    <mergeCell ref="H34:I34"/>
    <mergeCell ref="A36:B36"/>
    <mergeCell ref="H35:I35"/>
    <mergeCell ref="A37:B37"/>
    <mergeCell ref="H36:I36"/>
    <mergeCell ref="A38:B38"/>
    <mergeCell ref="H37:I37"/>
    <mergeCell ref="A39:B39"/>
    <mergeCell ref="H38:I38"/>
    <mergeCell ref="A40:B40"/>
    <mergeCell ref="H39:I39"/>
    <mergeCell ref="A46:B46"/>
    <mergeCell ref="A41:B41"/>
    <mergeCell ref="A42:B42"/>
    <mergeCell ref="H41:I41"/>
    <mergeCell ref="A43:B43"/>
    <mergeCell ref="A44:B44"/>
    <mergeCell ref="A45:B45"/>
  </mergeCells>
  <pageMargins left="0.70866141732283472" right="0.70866141732283472" top="0.74803149606299213" bottom="0.74803149606299213" header="0.31496062992125984" footer="0.31496062992125984"/>
  <pageSetup paperSize="8" scale="80" fitToWidth="0" fitToHeight="0"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BV33"/>
  <sheetViews>
    <sheetView showGridLines="0" zoomScaleNormal="100" zoomScaleSheetLayoutView="100" workbookViewId="0"/>
  </sheetViews>
  <sheetFormatPr baseColWidth="10" defaultColWidth="9.140625" defaultRowHeight="12.75"/>
  <cols>
    <col min="1" max="1" width="81.28515625" style="61" customWidth="1"/>
    <col min="2" max="2" width="9.140625" style="60" bestFit="1" customWidth="1"/>
    <col min="3" max="3" width="8.42578125" style="60" customWidth="1"/>
    <col min="4" max="4" width="9.140625" style="61" customWidth="1"/>
    <col min="5" max="5" width="8.42578125" style="61" customWidth="1"/>
    <col min="6" max="6" width="9.140625" style="61" customWidth="1"/>
    <col min="7" max="7" width="8.42578125" style="61" customWidth="1"/>
    <col min="8" max="8" width="9.140625" style="61" customWidth="1"/>
    <col min="9" max="9" width="8.42578125" style="61" customWidth="1"/>
    <col min="10" max="10" width="9.140625" style="61" customWidth="1"/>
    <col min="11" max="11" width="8.42578125" style="61" customWidth="1"/>
    <col min="12" max="12" width="9.140625" style="61" customWidth="1"/>
    <col min="13" max="13" width="8.42578125" style="61" customWidth="1"/>
    <col min="14" max="14" width="9.140625" style="61" customWidth="1"/>
    <col min="15" max="15" width="8.42578125" style="61" customWidth="1"/>
    <col min="16" max="16" width="9.140625" style="61" customWidth="1"/>
    <col min="17" max="17" width="8.42578125" style="61" customWidth="1"/>
    <col min="18" max="18" width="9.140625" style="61" customWidth="1"/>
    <col min="19" max="19" width="8.42578125" style="61" customWidth="1"/>
    <col min="20" max="20" width="9.28515625" style="61" bestFit="1" customWidth="1"/>
    <col min="21" max="21" width="8.42578125" style="61" customWidth="1"/>
    <col min="22" max="22" width="9.28515625" style="61" bestFit="1" customWidth="1"/>
    <col min="23" max="23" width="8.42578125" style="61" customWidth="1"/>
    <col min="24" max="24" width="9.28515625" style="61" bestFit="1" customWidth="1"/>
    <col min="25" max="25" width="8.42578125" style="61" customWidth="1"/>
    <col min="26" max="26" width="9.28515625" style="61" bestFit="1" customWidth="1"/>
    <col min="27" max="27" width="8.42578125" style="61" customWidth="1"/>
    <col min="28" max="28" width="9.28515625" style="61" bestFit="1" customWidth="1"/>
    <col min="29" max="29" width="8.42578125" style="61" customWidth="1"/>
    <col min="30" max="30" width="9.28515625" style="61" bestFit="1" customWidth="1"/>
    <col min="31" max="31" width="8.42578125" style="61" customWidth="1"/>
    <col min="32" max="32" width="9.140625" style="61" bestFit="1" customWidth="1"/>
    <col min="33" max="33" width="8.42578125" style="61" customWidth="1"/>
    <col min="34" max="34" width="9.140625" style="61" bestFit="1" customWidth="1"/>
    <col min="35" max="35" width="8.42578125" style="61" customWidth="1"/>
    <col min="36" max="36" width="9.140625" style="61" bestFit="1" customWidth="1"/>
    <col min="37" max="37" width="8.42578125" style="61" customWidth="1"/>
    <col min="38" max="38" width="9.5703125" style="61" customWidth="1"/>
    <col min="39" max="39" width="8.42578125" style="61" customWidth="1"/>
    <col min="40" max="40" width="9.140625" style="61" bestFit="1" customWidth="1"/>
    <col min="41" max="41" width="8.42578125" style="61" customWidth="1"/>
    <col min="42" max="42" width="9.140625" style="61" bestFit="1" customWidth="1"/>
    <col min="43" max="43" width="8.42578125" style="61" customWidth="1"/>
    <col min="44" max="44" width="9.140625" style="61" bestFit="1" customWidth="1"/>
    <col min="45" max="45" width="8.42578125" style="61" customWidth="1"/>
    <col min="46" max="46" width="9.140625" style="61" bestFit="1" customWidth="1"/>
    <col min="47" max="47" width="8.42578125" style="61" customWidth="1"/>
    <col min="48" max="48" width="9.140625" style="61" bestFit="1" customWidth="1"/>
    <col min="49" max="49" width="8.42578125" style="61" customWidth="1"/>
    <col min="50" max="50" width="9.140625" style="61" bestFit="1" customWidth="1"/>
    <col min="51" max="51" width="8.42578125" style="61" customWidth="1"/>
    <col min="52" max="52" width="9.140625" style="61" bestFit="1" customWidth="1"/>
    <col min="53" max="53" width="8.42578125" style="61" customWidth="1"/>
    <col min="54" max="54" width="9.140625" style="61" bestFit="1" customWidth="1"/>
    <col min="55" max="55" width="8.42578125" style="61" customWidth="1"/>
    <col min="56" max="56" width="9.140625" style="61" bestFit="1" customWidth="1"/>
    <col min="57" max="57" width="8.42578125" style="61" customWidth="1"/>
    <col min="58" max="58" width="8.7109375" style="61" customWidth="1"/>
    <col min="59" max="59" width="8.42578125" style="61" customWidth="1"/>
    <col min="60" max="60" width="8.7109375" style="61" customWidth="1"/>
    <col min="61" max="61" width="8.42578125" style="61" customWidth="1"/>
    <col min="62" max="62" width="8.7109375" style="61" customWidth="1"/>
    <col min="63" max="63" width="8.42578125" style="61" customWidth="1"/>
    <col min="64" max="64" width="9.140625" style="61"/>
    <col min="65" max="65" width="8.42578125" style="61" customWidth="1"/>
    <col min="66" max="66" width="9.140625" style="61"/>
    <col min="67" max="67" width="8.42578125" style="61" customWidth="1"/>
    <col min="68" max="68" width="9.140625" style="61"/>
    <col min="69" max="69" width="8.42578125" style="61" customWidth="1"/>
    <col min="70" max="70" width="9.140625" style="61"/>
    <col min="71" max="71" width="8.42578125" style="61" customWidth="1"/>
    <col min="72" max="72" width="9.140625" style="61"/>
    <col min="73" max="73" width="8.42578125" style="61" customWidth="1"/>
    <col min="74" max="16384" width="9.140625" style="61"/>
  </cols>
  <sheetData>
    <row r="2" spans="1:74" customFormat="1" ht="16.5">
      <c r="A2" s="2"/>
      <c r="B2" s="27"/>
      <c r="C2" s="27"/>
      <c r="BB2" s="28"/>
      <c r="BC2" s="28"/>
    </row>
    <row r="3" spans="1:74" customFormat="1" ht="16.5">
      <c r="A3" s="5" t="s">
        <v>140</v>
      </c>
      <c r="B3" s="27"/>
      <c r="C3" s="27"/>
      <c r="BB3" s="28"/>
      <c r="BC3" s="28"/>
    </row>
    <row r="4" spans="1:74" customFormat="1" ht="16.5">
      <c r="A4" s="30" t="s">
        <v>141</v>
      </c>
      <c r="B4" s="27"/>
      <c r="C4" s="27"/>
      <c r="BB4" s="28"/>
      <c r="BC4" s="28"/>
    </row>
    <row r="5" spans="1:74" customFormat="1" ht="16.5">
      <c r="A5" s="30" t="s">
        <v>142</v>
      </c>
      <c r="B5" s="27"/>
      <c r="C5" s="27"/>
      <c r="G5" s="29"/>
      <c r="H5" s="29"/>
      <c r="BB5" s="28"/>
      <c r="BC5" s="28"/>
    </row>
    <row r="6" spans="1:74" customFormat="1" ht="15">
      <c r="A6" s="68"/>
      <c r="B6" s="27"/>
      <c r="C6" s="27"/>
      <c r="BB6" s="28"/>
      <c r="BC6" s="28"/>
    </row>
    <row r="7" spans="1:74" s="28" customFormat="1" ht="15">
      <c r="A7" s="95" t="s">
        <v>130</v>
      </c>
      <c r="B7" s="143" t="s">
        <v>15</v>
      </c>
      <c r="C7" s="143"/>
      <c r="D7" s="143" t="s">
        <v>17</v>
      </c>
      <c r="E7" s="143"/>
      <c r="F7" s="143" t="s">
        <v>19</v>
      </c>
      <c r="G7" s="143"/>
      <c r="H7" s="143" t="s">
        <v>21</v>
      </c>
      <c r="I7" s="143"/>
      <c r="J7" s="143" t="s">
        <v>26</v>
      </c>
      <c r="K7" s="143"/>
      <c r="L7" s="143" t="s">
        <v>27</v>
      </c>
      <c r="M7" s="143"/>
      <c r="N7" s="143" t="s">
        <v>29</v>
      </c>
      <c r="O7" s="143"/>
      <c r="P7" s="143" t="s">
        <v>131</v>
      </c>
      <c r="Q7" s="143"/>
      <c r="R7" s="143" t="s">
        <v>132</v>
      </c>
      <c r="S7" s="143"/>
      <c r="T7" s="143" t="s">
        <v>133</v>
      </c>
      <c r="U7" s="143"/>
      <c r="V7" s="143" t="s">
        <v>44</v>
      </c>
      <c r="W7" s="143"/>
      <c r="X7" s="143" t="s">
        <v>46</v>
      </c>
      <c r="Y7" s="143"/>
      <c r="Z7" s="143" t="s">
        <v>50</v>
      </c>
      <c r="AA7" s="143"/>
      <c r="AB7" s="143" t="s">
        <v>52</v>
      </c>
      <c r="AC7" s="143"/>
      <c r="AD7" s="143" t="s">
        <v>54</v>
      </c>
      <c r="AE7" s="143"/>
      <c r="AF7" s="143" t="s">
        <v>91</v>
      </c>
      <c r="AG7" s="143"/>
      <c r="AH7" s="143" t="s">
        <v>57</v>
      </c>
      <c r="AI7" s="143"/>
      <c r="AJ7" s="143" t="s">
        <v>92</v>
      </c>
      <c r="AK7" s="143"/>
      <c r="AL7" s="143" t="s">
        <v>63</v>
      </c>
      <c r="AM7" s="143"/>
      <c r="AN7" s="143" t="s">
        <v>64</v>
      </c>
      <c r="AO7" s="143"/>
      <c r="AP7" s="143" t="s">
        <v>93</v>
      </c>
      <c r="AQ7" s="143"/>
      <c r="AR7" s="143" t="s">
        <v>16</v>
      </c>
      <c r="AS7" s="143"/>
      <c r="AT7" s="143" t="s">
        <v>18</v>
      </c>
      <c r="AU7" s="143"/>
      <c r="AV7" s="143" t="s">
        <v>20</v>
      </c>
      <c r="AW7" s="143"/>
      <c r="AX7" s="143" t="s">
        <v>22</v>
      </c>
      <c r="AY7" s="143"/>
      <c r="AZ7" s="143" t="s">
        <v>30</v>
      </c>
      <c r="BA7" s="143"/>
      <c r="BB7" s="143" t="s">
        <v>33</v>
      </c>
      <c r="BC7" s="143"/>
      <c r="BD7" s="143" t="s">
        <v>40</v>
      </c>
      <c r="BE7" s="143"/>
      <c r="BF7" s="143" t="s">
        <v>41</v>
      </c>
      <c r="BG7" s="143"/>
      <c r="BH7" s="143" t="s">
        <v>43</v>
      </c>
      <c r="BI7" s="143"/>
      <c r="BJ7" s="143" t="s">
        <v>48</v>
      </c>
      <c r="BK7" s="143"/>
      <c r="BL7" s="143" t="s">
        <v>49</v>
      </c>
      <c r="BM7" s="143"/>
      <c r="BN7" s="143" t="s">
        <v>51</v>
      </c>
      <c r="BO7" s="143"/>
      <c r="BP7" s="143" t="s">
        <v>56</v>
      </c>
      <c r="BQ7" s="143"/>
      <c r="BR7" s="143" t="s">
        <v>58</v>
      </c>
      <c r="BS7" s="143"/>
      <c r="BT7" s="143" t="s">
        <v>65</v>
      </c>
      <c r="BU7" s="143"/>
    </row>
    <row r="8" spans="1:74" s="28" customFormat="1" ht="15">
      <c r="A8" s="95"/>
      <c r="B8" s="38"/>
      <c r="C8" s="38" t="s">
        <v>80</v>
      </c>
      <c r="D8" s="38"/>
      <c r="E8" s="38"/>
      <c r="F8" s="38"/>
      <c r="G8" s="38"/>
      <c r="H8" s="38"/>
      <c r="I8" s="38" t="s">
        <v>80</v>
      </c>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t="s">
        <v>80</v>
      </c>
      <c r="BT8" s="38"/>
      <c r="BU8" s="38"/>
    </row>
    <row r="9" spans="1:74" s="28" customFormat="1" ht="15">
      <c r="A9" s="95"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row>
    <row r="10" spans="1:74" customFormat="1" ht="15" customHeight="1">
      <c r="A10" s="37" t="s">
        <v>217</v>
      </c>
      <c r="B10" s="12">
        <v>29</v>
      </c>
      <c r="C10" s="12">
        <v>1883</v>
      </c>
      <c r="D10" s="32">
        <v>13</v>
      </c>
      <c r="E10" s="32">
        <v>1190</v>
      </c>
      <c r="F10" s="32">
        <v>5</v>
      </c>
      <c r="G10" s="32">
        <v>1619</v>
      </c>
      <c r="H10" s="32"/>
      <c r="I10" s="32"/>
      <c r="J10" s="32">
        <v>1</v>
      </c>
      <c r="K10" s="32">
        <v>20</v>
      </c>
      <c r="L10" s="32"/>
      <c r="M10" s="32"/>
      <c r="N10" s="32"/>
      <c r="O10" s="32"/>
      <c r="P10" s="32"/>
      <c r="Q10" s="32"/>
      <c r="R10" s="32"/>
      <c r="S10" s="32"/>
      <c r="T10" s="32"/>
      <c r="U10" s="32"/>
      <c r="V10" s="32"/>
      <c r="W10" s="32"/>
      <c r="X10" s="32"/>
      <c r="Y10" s="32"/>
      <c r="Z10" s="32">
        <v>3</v>
      </c>
      <c r="AA10" s="32">
        <v>253</v>
      </c>
      <c r="AB10" s="32">
        <v>8</v>
      </c>
      <c r="AC10" s="32">
        <v>2133</v>
      </c>
      <c r="AD10" s="32">
        <v>4</v>
      </c>
      <c r="AE10" s="32">
        <v>1776</v>
      </c>
      <c r="AF10" s="32">
        <v>8</v>
      </c>
      <c r="AG10" s="32">
        <v>2525</v>
      </c>
      <c r="AH10" s="32">
        <v>2</v>
      </c>
      <c r="AI10" s="32">
        <v>328</v>
      </c>
      <c r="AJ10" s="32">
        <v>2</v>
      </c>
      <c r="AK10" s="32">
        <v>169</v>
      </c>
      <c r="AL10" s="32">
        <v>3</v>
      </c>
      <c r="AM10" s="32">
        <v>411</v>
      </c>
      <c r="AN10" s="32"/>
      <c r="AO10" s="32"/>
      <c r="AP10" s="32">
        <v>1</v>
      </c>
      <c r="AQ10" s="32">
        <v>199</v>
      </c>
      <c r="AR10" s="32"/>
      <c r="AS10" s="32"/>
      <c r="AT10" s="32">
        <v>1</v>
      </c>
      <c r="AU10" s="32">
        <v>213</v>
      </c>
      <c r="AV10" s="32">
        <v>1</v>
      </c>
      <c r="AW10" s="32">
        <v>517</v>
      </c>
      <c r="AX10" s="32"/>
      <c r="AY10" s="32"/>
      <c r="AZ10" s="32"/>
      <c r="BA10" s="32"/>
      <c r="BB10" s="15"/>
      <c r="BC10" s="15"/>
      <c r="BD10" s="12">
        <v>2</v>
      </c>
      <c r="BE10" s="12">
        <v>101</v>
      </c>
      <c r="BF10" s="12">
        <v>1</v>
      </c>
      <c r="BG10" s="12">
        <v>75</v>
      </c>
      <c r="BH10" s="12"/>
      <c r="BI10" s="12"/>
      <c r="BJ10" s="12">
        <v>11</v>
      </c>
      <c r="BK10" s="12">
        <v>452</v>
      </c>
      <c r="BL10" s="12">
        <v>4</v>
      </c>
      <c r="BM10" s="12">
        <v>148</v>
      </c>
      <c r="BN10" s="12">
        <v>1</v>
      </c>
      <c r="BO10" s="12">
        <v>57</v>
      </c>
      <c r="BP10" s="12">
        <v>14</v>
      </c>
      <c r="BQ10" s="12">
        <v>232</v>
      </c>
      <c r="BR10" s="12"/>
      <c r="BS10" s="12"/>
      <c r="BT10" s="15">
        <v>114</v>
      </c>
      <c r="BU10" s="15">
        <v>14301</v>
      </c>
      <c r="BV10" s="34"/>
    </row>
    <row r="11" spans="1:74" customFormat="1" ht="15">
      <c r="A11" s="69" t="s">
        <v>84</v>
      </c>
      <c r="B11" s="12">
        <v>35</v>
      </c>
      <c r="C11" s="12">
        <v>2375</v>
      </c>
      <c r="D11" s="12">
        <v>13</v>
      </c>
      <c r="E11" s="32">
        <v>1613</v>
      </c>
      <c r="F11" s="32">
        <v>3</v>
      </c>
      <c r="G11" s="32">
        <v>152</v>
      </c>
      <c r="H11" s="32"/>
      <c r="I11" s="32"/>
      <c r="J11" s="32">
        <v>2</v>
      </c>
      <c r="K11" s="32">
        <v>46</v>
      </c>
      <c r="L11" s="32">
        <v>2</v>
      </c>
      <c r="M11" s="32">
        <v>44</v>
      </c>
      <c r="N11" s="32">
        <v>1</v>
      </c>
      <c r="O11" s="32">
        <v>10</v>
      </c>
      <c r="P11" s="32"/>
      <c r="Q11" s="32"/>
      <c r="R11" s="32">
        <v>1</v>
      </c>
      <c r="S11" s="32">
        <v>274</v>
      </c>
      <c r="T11" s="32"/>
      <c r="U11" s="32"/>
      <c r="V11" s="32"/>
      <c r="W11" s="32"/>
      <c r="X11" s="32"/>
      <c r="Y11" s="32"/>
      <c r="Z11" s="32">
        <v>3</v>
      </c>
      <c r="AA11" s="32">
        <v>219</v>
      </c>
      <c r="AB11" s="32">
        <v>6</v>
      </c>
      <c r="AC11" s="32">
        <v>2002</v>
      </c>
      <c r="AD11" s="32">
        <v>10</v>
      </c>
      <c r="AE11" s="32">
        <v>2970</v>
      </c>
      <c r="AF11" s="32">
        <v>2</v>
      </c>
      <c r="AG11" s="32">
        <v>588</v>
      </c>
      <c r="AH11" s="32"/>
      <c r="AI11" s="32"/>
      <c r="AJ11" s="32">
        <v>5</v>
      </c>
      <c r="AK11" s="32">
        <v>412</v>
      </c>
      <c r="AL11" s="32">
        <v>4</v>
      </c>
      <c r="AM11" s="32">
        <v>676</v>
      </c>
      <c r="AN11" s="32"/>
      <c r="AO11" s="32"/>
      <c r="AP11" s="32"/>
      <c r="AQ11" s="32"/>
      <c r="AR11" s="32">
        <v>1</v>
      </c>
      <c r="AS11" s="32">
        <v>104</v>
      </c>
      <c r="AT11" s="32"/>
      <c r="AU11" s="32"/>
      <c r="AV11" s="32">
        <v>3</v>
      </c>
      <c r="AW11" s="32">
        <v>1107</v>
      </c>
      <c r="AX11" s="32">
        <v>2</v>
      </c>
      <c r="AY11" s="32">
        <v>338</v>
      </c>
      <c r="AZ11" s="32">
        <v>1</v>
      </c>
      <c r="BA11" s="32">
        <v>184</v>
      </c>
      <c r="BB11" s="15"/>
      <c r="BC11" s="15"/>
      <c r="BD11" s="12">
        <v>2</v>
      </c>
      <c r="BE11" s="12">
        <v>76</v>
      </c>
      <c r="BF11" s="12">
        <v>3</v>
      </c>
      <c r="BG11" s="12">
        <v>298</v>
      </c>
      <c r="BH11" s="12"/>
      <c r="BI11" s="12"/>
      <c r="BJ11" s="12">
        <v>17</v>
      </c>
      <c r="BK11" s="12">
        <v>1060</v>
      </c>
      <c r="BL11" s="12">
        <v>12</v>
      </c>
      <c r="BM11" s="12">
        <v>1056</v>
      </c>
      <c r="BN11" s="12"/>
      <c r="BO11" s="12"/>
      <c r="BP11" s="12">
        <v>11</v>
      </c>
      <c r="BQ11" s="12">
        <v>259</v>
      </c>
      <c r="BR11" s="12"/>
      <c r="BS11" s="12"/>
      <c r="BT11" s="15">
        <v>139</v>
      </c>
      <c r="BU11" s="15">
        <v>15863</v>
      </c>
    </row>
    <row r="12" spans="1:74" customFormat="1" ht="15">
      <c r="A12" s="37" t="s">
        <v>85</v>
      </c>
      <c r="B12" s="12">
        <v>6</v>
      </c>
      <c r="C12" s="12">
        <v>514</v>
      </c>
      <c r="D12" s="32">
        <v>6</v>
      </c>
      <c r="E12" s="32">
        <v>513</v>
      </c>
      <c r="F12" s="32">
        <v>4</v>
      </c>
      <c r="G12" s="32">
        <v>298</v>
      </c>
      <c r="H12" s="32">
        <v>1</v>
      </c>
      <c r="I12" s="32">
        <v>29</v>
      </c>
      <c r="J12" s="32">
        <v>3</v>
      </c>
      <c r="K12" s="32">
        <v>59</v>
      </c>
      <c r="L12" s="32">
        <v>8</v>
      </c>
      <c r="M12" s="32">
        <v>117</v>
      </c>
      <c r="N12" s="32">
        <v>2</v>
      </c>
      <c r="O12" s="32">
        <v>20</v>
      </c>
      <c r="P12" s="32"/>
      <c r="Q12" s="32"/>
      <c r="R12" s="32"/>
      <c r="S12" s="32"/>
      <c r="T12" s="32"/>
      <c r="U12" s="32"/>
      <c r="V12" s="32"/>
      <c r="W12" s="32"/>
      <c r="X12" s="32">
        <v>2</v>
      </c>
      <c r="Y12" s="32">
        <v>912</v>
      </c>
      <c r="Z12" s="32"/>
      <c r="AA12" s="32"/>
      <c r="AB12" s="32"/>
      <c r="AC12" s="32"/>
      <c r="AD12" s="32">
        <v>8</v>
      </c>
      <c r="AE12" s="32">
        <v>2591</v>
      </c>
      <c r="AF12" s="32"/>
      <c r="AG12" s="32"/>
      <c r="AH12" s="32">
        <v>1</v>
      </c>
      <c r="AI12" s="32">
        <v>116</v>
      </c>
      <c r="AJ12" s="32"/>
      <c r="AK12" s="32"/>
      <c r="AL12" s="32"/>
      <c r="AM12" s="32"/>
      <c r="AN12" s="32"/>
      <c r="AO12" s="32"/>
      <c r="AP12" s="32"/>
      <c r="AQ12" s="32"/>
      <c r="AR12" s="32"/>
      <c r="AS12" s="32"/>
      <c r="AT12" s="32"/>
      <c r="AU12" s="32"/>
      <c r="AV12" s="32"/>
      <c r="AW12" s="32"/>
      <c r="AX12" s="32"/>
      <c r="AY12" s="32"/>
      <c r="AZ12" s="32"/>
      <c r="BA12" s="32"/>
      <c r="BB12" s="15"/>
      <c r="BC12" s="15"/>
      <c r="BD12" s="12">
        <v>1</v>
      </c>
      <c r="BE12" s="12">
        <v>20</v>
      </c>
      <c r="BF12" s="12">
        <v>1</v>
      </c>
      <c r="BG12" s="12">
        <v>21</v>
      </c>
      <c r="BH12" s="12"/>
      <c r="BI12" s="12"/>
      <c r="BJ12" s="12">
        <v>3</v>
      </c>
      <c r="BK12" s="12">
        <v>118</v>
      </c>
      <c r="BL12" s="12">
        <v>1</v>
      </c>
      <c r="BM12" s="12">
        <v>212</v>
      </c>
      <c r="BN12" s="12"/>
      <c r="BO12" s="12"/>
      <c r="BP12" s="12">
        <v>1</v>
      </c>
      <c r="BQ12" s="12">
        <v>8</v>
      </c>
      <c r="BR12" s="12"/>
      <c r="BS12" s="12"/>
      <c r="BT12" s="15">
        <v>48</v>
      </c>
      <c r="BU12" s="15">
        <v>5548</v>
      </c>
    </row>
    <row r="13" spans="1:74" customFormat="1" ht="15">
      <c r="A13" s="37" t="s">
        <v>86</v>
      </c>
      <c r="B13" s="12">
        <v>27</v>
      </c>
      <c r="C13" s="12">
        <v>2017</v>
      </c>
      <c r="D13" s="32">
        <v>13</v>
      </c>
      <c r="E13" s="32">
        <v>2197</v>
      </c>
      <c r="F13" s="32">
        <v>17</v>
      </c>
      <c r="G13" s="32">
        <v>2116</v>
      </c>
      <c r="H13" s="32"/>
      <c r="I13" s="32"/>
      <c r="J13" s="32"/>
      <c r="K13" s="32"/>
      <c r="L13" s="32">
        <v>1</v>
      </c>
      <c r="M13" s="32">
        <v>8</v>
      </c>
      <c r="N13" s="32"/>
      <c r="O13" s="32"/>
      <c r="P13" s="32"/>
      <c r="Q13" s="32"/>
      <c r="R13" s="32">
        <v>1</v>
      </c>
      <c r="S13" s="32">
        <v>400</v>
      </c>
      <c r="T13" s="32"/>
      <c r="U13" s="32"/>
      <c r="V13" s="32">
        <v>1</v>
      </c>
      <c r="W13" s="32">
        <v>780</v>
      </c>
      <c r="X13" s="32"/>
      <c r="Y13" s="32"/>
      <c r="Z13" s="32"/>
      <c r="AA13" s="32"/>
      <c r="AB13" s="32">
        <v>6</v>
      </c>
      <c r="AC13" s="32">
        <v>1238</v>
      </c>
      <c r="AD13" s="32">
        <v>15</v>
      </c>
      <c r="AE13" s="32">
        <v>8105</v>
      </c>
      <c r="AF13" s="32">
        <v>4</v>
      </c>
      <c r="AG13" s="32">
        <v>1887</v>
      </c>
      <c r="AH13" s="32"/>
      <c r="AI13" s="32"/>
      <c r="AJ13" s="32"/>
      <c r="AK13" s="32"/>
      <c r="AL13" s="32">
        <v>1</v>
      </c>
      <c r="AM13" s="32">
        <v>84</v>
      </c>
      <c r="AN13" s="32">
        <v>2</v>
      </c>
      <c r="AO13" s="32">
        <v>296</v>
      </c>
      <c r="AP13" s="32">
        <v>1</v>
      </c>
      <c r="AQ13" s="32">
        <v>19</v>
      </c>
      <c r="AR13" s="32"/>
      <c r="AS13" s="32"/>
      <c r="AT13" s="32">
        <v>2</v>
      </c>
      <c r="AU13" s="32">
        <v>450</v>
      </c>
      <c r="AV13" s="32">
        <v>4</v>
      </c>
      <c r="AW13" s="32">
        <v>868</v>
      </c>
      <c r="AX13" s="32">
        <v>4</v>
      </c>
      <c r="AY13" s="32">
        <v>1908</v>
      </c>
      <c r="AZ13" s="32">
        <v>2</v>
      </c>
      <c r="BA13" s="32">
        <v>100</v>
      </c>
      <c r="BB13" s="12">
        <v>1</v>
      </c>
      <c r="BC13" s="12">
        <v>42</v>
      </c>
      <c r="BD13" s="12">
        <v>3</v>
      </c>
      <c r="BE13" s="12">
        <v>44</v>
      </c>
      <c r="BF13" s="12"/>
      <c r="BG13" s="12"/>
      <c r="BH13" s="12">
        <v>1</v>
      </c>
      <c r="BI13" s="12">
        <v>16</v>
      </c>
      <c r="BJ13" s="12">
        <v>1</v>
      </c>
      <c r="BK13" s="12">
        <v>13</v>
      </c>
      <c r="BL13" s="12"/>
      <c r="BM13" s="12"/>
      <c r="BN13" s="12"/>
      <c r="BO13" s="12"/>
      <c r="BP13" s="12">
        <v>1</v>
      </c>
      <c r="BQ13" s="12">
        <v>12</v>
      </c>
      <c r="BR13" s="12"/>
      <c r="BS13" s="12"/>
      <c r="BT13" s="15">
        <v>108</v>
      </c>
      <c r="BU13" s="15">
        <v>22600</v>
      </c>
    </row>
    <row r="14" spans="1:74" customFormat="1" ht="15">
      <c r="A14" s="37" t="s">
        <v>87</v>
      </c>
      <c r="B14" s="12">
        <v>38</v>
      </c>
      <c r="C14" s="12">
        <v>2108</v>
      </c>
      <c r="D14" s="32">
        <v>15</v>
      </c>
      <c r="E14" s="32">
        <v>1856</v>
      </c>
      <c r="F14" s="32">
        <v>11</v>
      </c>
      <c r="G14" s="32">
        <v>1362</v>
      </c>
      <c r="H14" s="32"/>
      <c r="I14" s="32"/>
      <c r="J14" s="32">
        <v>1</v>
      </c>
      <c r="K14" s="32">
        <v>29</v>
      </c>
      <c r="L14" s="32">
        <v>10</v>
      </c>
      <c r="M14" s="32">
        <v>181</v>
      </c>
      <c r="N14" s="32"/>
      <c r="O14" s="32"/>
      <c r="P14" s="32">
        <v>1</v>
      </c>
      <c r="Q14" s="32">
        <v>300</v>
      </c>
      <c r="R14" s="32">
        <v>1</v>
      </c>
      <c r="S14" s="32">
        <v>375</v>
      </c>
      <c r="T14" s="32">
        <v>1</v>
      </c>
      <c r="U14" s="32">
        <v>249</v>
      </c>
      <c r="V14" s="32">
        <v>3</v>
      </c>
      <c r="W14" s="32">
        <v>2001</v>
      </c>
      <c r="X14" s="32">
        <v>1</v>
      </c>
      <c r="Y14" s="32">
        <v>400</v>
      </c>
      <c r="Z14" s="32"/>
      <c r="AA14" s="32"/>
      <c r="AB14" s="32">
        <v>3</v>
      </c>
      <c r="AC14" s="32">
        <v>554</v>
      </c>
      <c r="AD14" s="32">
        <v>14</v>
      </c>
      <c r="AE14" s="32">
        <v>6494</v>
      </c>
      <c r="AF14" s="32">
        <v>5</v>
      </c>
      <c r="AG14" s="32">
        <v>1842</v>
      </c>
      <c r="AH14" s="32">
        <v>2</v>
      </c>
      <c r="AI14" s="32">
        <v>568</v>
      </c>
      <c r="AJ14" s="32"/>
      <c r="AK14" s="32"/>
      <c r="AL14" s="32">
        <v>1</v>
      </c>
      <c r="AM14" s="32">
        <v>140</v>
      </c>
      <c r="AN14" s="32">
        <v>3</v>
      </c>
      <c r="AO14" s="32">
        <v>417</v>
      </c>
      <c r="AP14" s="32"/>
      <c r="AQ14" s="32"/>
      <c r="AR14" s="32"/>
      <c r="AS14" s="32"/>
      <c r="AT14" s="32"/>
      <c r="AU14" s="32"/>
      <c r="AV14" s="32">
        <v>4</v>
      </c>
      <c r="AW14" s="32">
        <v>1028</v>
      </c>
      <c r="AX14" s="32">
        <v>2</v>
      </c>
      <c r="AY14" s="32">
        <v>326</v>
      </c>
      <c r="AZ14" s="32"/>
      <c r="BA14" s="32"/>
      <c r="BB14" s="15"/>
      <c r="BC14" s="15"/>
      <c r="BD14" s="12">
        <v>5</v>
      </c>
      <c r="BE14" s="12">
        <v>154</v>
      </c>
      <c r="BF14" s="12">
        <v>4</v>
      </c>
      <c r="BG14" s="12">
        <v>262</v>
      </c>
      <c r="BH14" s="12"/>
      <c r="BI14" s="12"/>
      <c r="BJ14" s="12">
        <v>6</v>
      </c>
      <c r="BK14" s="12">
        <v>246</v>
      </c>
      <c r="BL14" s="12">
        <v>7</v>
      </c>
      <c r="BM14" s="12">
        <v>283</v>
      </c>
      <c r="BN14" s="12"/>
      <c r="BO14" s="12"/>
      <c r="BP14" s="12">
        <v>1</v>
      </c>
      <c r="BQ14" s="12">
        <v>18</v>
      </c>
      <c r="BR14" s="12">
        <v>3</v>
      </c>
      <c r="BS14" s="12">
        <v>89</v>
      </c>
      <c r="BT14" s="15">
        <v>142</v>
      </c>
      <c r="BU14" s="15">
        <v>21282</v>
      </c>
    </row>
    <row r="15" spans="1:74" s="28" customFormat="1" ht="15">
      <c r="A15" s="73" t="s">
        <v>218</v>
      </c>
      <c r="B15" s="39">
        <v>135</v>
      </c>
      <c r="C15" s="39">
        <v>8897</v>
      </c>
      <c r="D15" s="39">
        <v>60</v>
      </c>
      <c r="E15" s="39">
        <v>7369</v>
      </c>
      <c r="F15" s="39">
        <v>40</v>
      </c>
      <c r="G15" s="39">
        <v>5547</v>
      </c>
      <c r="H15" s="39">
        <v>1</v>
      </c>
      <c r="I15" s="39">
        <v>29</v>
      </c>
      <c r="J15" s="39">
        <v>7</v>
      </c>
      <c r="K15" s="39">
        <v>154</v>
      </c>
      <c r="L15" s="39">
        <v>21</v>
      </c>
      <c r="M15" s="39">
        <v>350</v>
      </c>
      <c r="N15" s="39">
        <v>3</v>
      </c>
      <c r="O15" s="39">
        <v>30</v>
      </c>
      <c r="P15" s="39">
        <v>1</v>
      </c>
      <c r="Q15" s="39">
        <v>300</v>
      </c>
      <c r="R15" s="39">
        <v>3</v>
      </c>
      <c r="S15" s="39">
        <v>1049</v>
      </c>
      <c r="T15" s="39">
        <v>1</v>
      </c>
      <c r="U15" s="39">
        <v>249</v>
      </c>
      <c r="V15" s="39">
        <v>4</v>
      </c>
      <c r="W15" s="39">
        <v>2781</v>
      </c>
      <c r="X15" s="39">
        <v>3</v>
      </c>
      <c r="Y15" s="39">
        <v>1312</v>
      </c>
      <c r="Z15" s="39">
        <v>6</v>
      </c>
      <c r="AA15" s="39">
        <v>472</v>
      </c>
      <c r="AB15" s="39">
        <v>23</v>
      </c>
      <c r="AC15" s="39">
        <v>5927</v>
      </c>
      <c r="AD15" s="39">
        <v>51</v>
      </c>
      <c r="AE15" s="39">
        <v>21936</v>
      </c>
      <c r="AF15" s="39">
        <v>19</v>
      </c>
      <c r="AG15" s="39">
        <v>6842</v>
      </c>
      <c r="AH15" s="39">
        <v>5</v>
      </c>
      <c r="AI15" s="39">
        <v>1012</v>
      </c>
      <c r="AJ15" s="39">
        <v>7</v>
      </c>
      <c r="AK15" s="39">
        <v>581</v>
      </c>
      <c r="AL15" s="39">
        <v>9</v>
      </c>
      <c r="AM15" s="39">
        <v>1311</v>
      </c>
      <c r="AN15" s="39">
        <v>5</v>
      </c>
      <c r="AO15" s="39">
        <v>713</v>
      </c>
      <c r="AP15" s="39">
        <v>2</v>
      </c>
      <c r="AQ15" s="39">
        <v>218</v>
      </c>
      <c r="AR15" s="39">
        <v>1</v>
      </c>
      <c r="AS15" s="39">
        <v>104</v>
      </c>
      <c r="AT15" s="39">
        <v>3</v>
      </c>
      <c r="AU15" s="39">
        <v>663</v>
      </c>
      <c r="AV15" s="39">
        <v>12</v>
      </c>
      <c r="AW15" s="39">
        <v>3520</v>
      </c>
      <c r="AX15" s="39">
        <v>8</v>
      </c>
      <c r="AY15" s="39">
        <v>2572</v>
      </c>
      <c r="AZ15" s="39">
        <v>3</v>
      </c>
      <c r="BA15" s="39">
        <v>284</v>
      </c>
      <c r="BB15" s="39">
        <v>1</v>
      </c>
      <c r="BC15" s="39">
        <v>42</v>
      </c>
      <c r="BD15" s="39">
        <v>13</v>
      </c>
      <c r="BE15" s="39">
        <v>395</v>
      </c>
      <c r="BF15" s="39">
        <v>9</v>
      </c>
      <c r="BG15" s="39">
        <v>656</v>
      </c>
      <c r="BH15" s="39">
        <v>1</v>
      </c>
      <c r="BI15" s="39">
        <v>16</v>
      </c>
      <c r="BJ15" s="39">
        <v>38</v>
      </c>
      <c r="BK15" s="39">
        <v>1889</v>
      </c>
      <c r="BL15" s="39">
        <v>24</v>
      </c>
      <c r="BM15" s="39">
        <v>1699</v>
      </c>
      <c r="BN15" s="39">
        <v>1</v>
      </c>
      <c r="BO15" s="39">
        <v>57</v>
      </c>
      <c r="BP15" s="39">
        <v>28</v>
      </c>
      <c r="BQ15" s="39">
        <v>529</v>
      </c>
      <c r="BR15" s="39">
        <v>3</v>
      </c>
      <c r="BS15" s="39">
        <v>89</v>
      </c>
      <c r="BT15" s="39">
        <v>551</v>
      </c>
      <c r="BU15" s="39">
        <v>79594</v>
      </c>
    </row>
    <row r="16" spans="1:74">
      <c r="A16" s="62" t="s">
        <v>134</v>
      </c>
    </row>
    <row r="17" spans="1:47">
      <c r="A17" s="63" t="s">
        <v>135</v>
      </c>
      <c r="B17" s="64"/>
      <c r="C17" s="64"/>
      <c r="D17" s="64"/>
      <c r="E17" s="64"/>
      <c r="F17" s="64"/>
      <c r="G17" s="64"/>
      <c r="H17" s="64"/>
      <c r="I17" s="64"/>
      <c r="J17" s="64"/>
      <c r="K17" s="64"/>
      <c r="L17" s="64"/>
      <c r="M17" s="64"/>
      <c r="N17" s="64"/>
      <c r="O17" s="64"/>
      <c r="P17" s="64"/>
      <c r="Q17" s="64"/>
      <c r="R17" s="64"/>
      <c r="S17" s="64"/>
      <c r="T17" s="64"/>
      <c r="U17" s="64"/>
      <c r="V17" s="64"/>
      <c r="W17" s="64"/>
      <c r="X17" s="65"/>
      <c r="Y17" s="65"/>
      <c r="AD17" s="65"/>
      <c r="AE17" s="65"/>
      <c r="AM17" s="65"/>
      <c r="AN17" s="65"/>
      <c r="AO17" s="65"/>
      <c r="AT17" s="65"/>
      <c r="AU17" s="65"/>
    </row>
    <row r="18" spans="1:47">
      <c r="A18" s="63" t="s">
        <v>136</v>
      </c>
      <c r="AD18" s="65"/>
      <c r="AE18" s="65"/>
      <c r="AN18" s="65"/>
      <c r="AO18" s="65"/>
    </row>
    <row r="21" spans="1:47">
      <c r="A21" s="66"/>
    </row>
    <row r="22" spans="1:47">
      <c r="A22" s="66"/>
      <c r="B22" s="67"/>
      <c r="C22" s="64"/>
      <c r="D22" s="64"/>
      <c r="E22" s="64"/>
      <c r="F22" s="64"/>
      <c r="G22" s="64"/>
      <c r="H22" s="64"/>
      <c r="I22" s="64"/>
      <c r="J22" s="64"/>
      <c r="K22" s="64"/>
      <c r="L22" s="64"/>
      <c r="M22" s="64"/>
      <c r="N22" s="64"/>
      <c r="O22" s="64"/>
    </row>
    <row r="23" spans="1:47">
      <c r="A23" s="66"/>
      <c r="B23" s="66"/>
    </row>
    <row r="24" spans="1:47">
      <c r="A24" s="66"/>
      <c r="B24" s="66"/>
    </row>
    <row r="25" spans="1:47">
      <c r="A25" s="66"/>
      <c r="B25" s="66"/>
    </row>
    <row r="26" spans="1:47">
      <c r="A26" s="66"/>
      <c r="B26" s="66"/>
    </row>
    <row r="27" spans="1:47">
      <c r="A27" s="66"/>
      <c r="B27" s="66"/>
    </row>
    <row r="28" spans="1:47">
      <c r="A28" s="66"/>
      <c r="B28" s="66"/>
    </row>
    <row r="29" spans="1:47">
      <c r="A29" s="66"/>
      <c r="B29" s="66"/>
    </row>
    <row r="30" spans="1:47">
      <c r="A30" s="66"/>
      <c r="B30" s="66"/>
    </row>
    <row r="31" spans="1:47">
      <c r="A31" s="66"/>
    </row>
    <row r="32" spans="1:47">
      <c r="A32" s="66"/>
    </row>
    <row r="33" spans="1:1">
      <c r="A33" s="66"/>
    </row>
  </sheetData>
  <sheetProtection password="C1A8" sheet="1"/>
  <mergeCells count="36">
    <mergeCell ref="BT7:BU7"/>
    <mergeCell ref="BJ7:BK7"/>
    <mergeCell ref="BL7:BM7"/>
    <mergeCell ref="BN7:BO7"/>
    <mergeCell ref="BP7:BQ7"/>
    <mergeCell ref="BR7:BS7"/>
    <mergeCell ref="BD7:BE7"/>
    <mergeCell ref="BF7:BG7"/>
    <mergeCell ref="BH7:BI7"/>
    <mergeCell ref="AX7:AY7"/>
    <mergeCell ref="AZ7:BA7"/>
    <mergeCell ref="AP7:AQ7"/>
    <mergeCell ref="AR7:AS7"/>
    <mergeCell ref="AT7:AU7"/>
    <mergeCell ref="AV7:AW7"/>
    <mergeCell ref="BB7:BC7"/>
    <mergeCell ref="AF7:AG7"/>
    <mergeCell ref="AH7:AI7"/>
    <mergeCell ref="AJ7:AK7"/>
    <mergeCell ref="AL7:AM7"/>
    <mergeCell ref="AN7:AO7"/>
    <mergeCell ref="V7:W7"/>
    <mergeCell ref="X7:Y7"/>
    <mergeCell ref="Z7:AA7"/>
    <mergeCell ref="AB7:AC7"/>
    <mergeCell ref="AD7:AE7"/>
    <mergeCell ref="L7:M7"/>
    <mergeCell ref="N7:O7"/>
    <mergeCell ref="P7:Q7"/>
    <mergeCell ref="R7:S7"/>
    <mergeCell ref="T7:U7"/>
    <mergeCell ref="B7:C7"/>
    <mergeCell ref="D7:E7"/>
    <mergeCell ref="F7:G7"/>
    <mergeCell ref="H7:I7"/>
    <mergeCell ref="J7:K7"/>
  </mergeCells>
  <conditionalFormatting sqref="A10:BU14">
    <cfRule type="expression" dxfId="6" priority="7" stopIfTrue="1">
      <formula>MOD(ROW(),2)=0</formula>
    </cfRule>
  </conditionalFormatting>
  <conditionalFormatting sqref="A2:XFD15 A7:O65536 P16:U20 V16:IV65536 T21:T23 R21:S65536 U21:U65536 P23:Q65536 T25:T65536">
    <cfRule type="expression" priority="10">
      <formula>SI(0," ")</formula>
    </cfRule>
  </conditionalFormatting>
  <conditionalFormatting sqref="H3">
    <cfRule type="expression" priority="6">
      <formula>SI($C$38," ")</formula>
    </cfRule>
  </conditionalFormatting>
  <conditionalFormatting sqref="J3">
    <cfRule type="expression" priority="9">
      <formula>SI(#REF!," ")</formula>
    </cfRule>
  </conditionalFormatting>
  <conditionalFormatting sqref="J5">
    <cfRule type="expression" priority="5">
      <formula>SI($E$38," ")</formula>
    </cfRule>
  </conditionalFormatting>
  <pageMargins left="0.70866141732283472" right="0.70866141732283472" top="0.74803149606299213" bottom="0.74803149606299213" header="0.31496062992125984" footer="0.31496062992125984"/>
  <pageSetup paperSize="8" scale="80" fitToWidth="0" fitToHeight="0" orientation="landscape" r:id="rId1"/>
  <colBreaks count="3" manualBreakCount="3">
    <brk id="19" max="1048575" man="1"/>
    <brk id="37" max="1048575" man="1"/>
    <brk id="55"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47"/>
  <sheetViews>
    <sheetView showGridLines="0" zoomScaleNormal="100" zoomScaleSheetLayoutView="91" workbookViewId="0"/>
  </sheetViews>
  <sheetFormatPr baseColWidth="10" defaultRowHeight="12.75"/>
  <cols>
    <col min="1" max="1" width="13.7109375" style="3" customWidth="1"/>
    <col min="2" max="2" width="11.42578125" style="3"/>
    <col min="3" max="3" width="17" style="4" bestFit="1" customWidth="1"/>
    <col min="4" max="4" width="15.140625" style="4" bestFit="1" customWidth="1"/>
    <col min="5" max="5" width="14" style="4" bestFit="1" customWidth="1"/>
    <col min="6" max="6" width="11.140625" style="4" bestFit="1" customWidth="1"/>
    <col min="7" max="7" width="11.42578125" style="4"/>
    <col min="8" max="8" width="13.7109375" style="3" customWidth="1"/>
    <col min="9" max="9" width="11.42578125" style="3"/>
    <col min="10" max="10" width="17" style="4" bestFit="1" customWidth="1"/>
    <col min="11" max="11" width="15.140625" style="4" bestFit="1" customWidth="1"/>
    <col min="12" max="12" width="14" style="4" bestFit="1" customWidth="1"/>
    <col min="13" max="13" width="11.140625" style="4" bestFit="1" customWidth="1"/>
    <col min="14" max="16384" width="11.42578125" style="4"/>
  </cols>
  <sheetData>
    <row r="1" spans="1:20" ht="16.5">
      <c r="A1" s="5"/>
    </row>
    <row r="2" spans="1:20" ht="16.5">
      <c r="A2" s="5"/>
      <c r="P2" s="6"/>
      <c r="Q2" s="6"/>
      <c r="R2" s="6"/>
      <c r="S2" s="6"/>
      <c r="T2" s="6"/>
    </row>
    <row r="3" spans="1:20" ht="16.5">
      <c r="A3" s="2" t="s">
        <v>69</v>
      </c>
    </row>
    <row r="4" spans="1:20" s="6" customFormat="1" ht="16.5">
      <c r="A4" s="7" t="s">
        <v>70</v>
      </c>
      <c r="B4" s="8"/>
      <c r="H4" s="8"/>
      <c r="I4" s="8"/>
      <c r="L4" s="9"/>
    </row>
    <row r="5" spans="1:20" s="6" customFormat="1" ht="16.5">
      <c r="A5" s="7" t="s">
        <v>71</v>
      </c>
      <c r="B5" s="8"/>
      <c r="H5" s="8"/>
      <c r="I5" s="8"/>
    </row>
    <row r="6" spans="1:20" s="6" customFormat="1" ht="16.5">
      <c r="A6" s="7"/>
      <c r="B6" s="8"/>
      <c r="H6" s="8"/>
      <c r="I6" s="8"/>
    </row>
    <row r="8" spans="1:20">
      <c r="A8" s="149" t="s">
        <v>0</v>
      </c>
      <c r="B8" s="149"/>
      <c r="C8" s="110" t="s">
        <v>1</v>
      </c>
      <c r="D8" s="110" t="s">
        <v>2</v>
      </c>
      <c r="E8" s="110" t="s">
        <v>3</v>
      </c>
      <c r="F8" s="110" t="s">
        <v>4</v>
      </c>
      <c r="H8" s="149" t="s">
        <v>0</v>
      </c>
      <c r="I8" s="149"/>
      <c r="J8" s="110" t="s">
        <v>1</v>
      </c>
      <c r="K8" s="110" t="s">
        <v>2</v>
      </c>
      <c r="L8" s="110" t="s">
        <v>3</v>
      </c>
      <c r="M8" s="110" t="s">
        <v>4</v>
      </c>
    </row>
    <row r="9" spans="1:20">
      <c r="A9" s="150" t="s">
        <v>5</v>
      </c>
      <c r="B9" s="150"/>
      <c r="C9" s="111" t="s">
        <v>6</v>
      </c>
      <c r="D9" s="111" t="s">
        <v>7</v>
      </c>
      <c r="E9" s="111" t="s">
        <v>8</v>
      </c>
      <c r="F9" s="111" t="s">
        <v>9</v>
      </c>
      <c r="G9" s="6"/>
      <c r="H9" s="150" t="s">
        <v>5</v>
      </c>
      <c r="I9" s="150"/>
      <c r="J9" s="111" t="s">
        <v>6</v>
      </c>
      <c r="K9" s="111" t="s">
        <v>7</v>
      </c>
      <c r="L9" s="111" t="s">
        <v>8</v>
      </c>
      <c r="M9" s="111" t="s">
        <v>9</v>
      </c>
    </row>
    <row r="10" spans="1:20">
      <c r="A10" s="150" t="s">
        <v>10</v>
      </c>
      <c r="B10" s="150"/>
      <c r="C10" s="111" t="s">
        <v>11</v>
      </c>
      <c r="D10" s="111" t="s">
        <v>12</v>
      </c>
      <c r="E10" s="111" t="s">
        <v>13</v>
      </c>
      <c r="F10" s="111" t="s">
        <v>14</v>
      </c>
      <c r="G10" s="6"/>
      <c r="H10" s="150" t="s">
        <v>10</v>
      </c>
      <c r="I10" s="150"/>
      <c r="J10" s="111" t="s">
        <v>11</v>
      </c>
      <c r="K10" s="111" t="s">
        <v>12</v>
      </c>
      <c r="L10" s="111" t="s">
        <v>13</v>
      </c>
      <c r="M10" s="111" t="s">
        <v>14</v>
      </c>
    </row>
    <row r="11" spans="1:20" ht="15">
      <c r="A11" s="145" t="s">
        <v>15</v>
      </c>
      <c r="B11" s="145"/>
      <c r="C11" s="12">
        <v>137</v>
      </c>
      <c r="D11" s="12">
        <v>2959</v>
      </c>
      <c r="E11" s="12">
        <v>9023</v>
      </c>
      <c r="F11" s="13">
        <f>E11/$E$15</f>
        <v>0.42179319371727747</v>
      </c>
      <c r="G11" s="10"/>
      <c r="H11" s="145" t="s">
        <v>16</v>
      </c>
      <c r="I11" s="145"/>
      <c r="J11" s="12">
        <v>1</v>
      </c>
      <c r="K11" s="12">
        <v>54</v>
      </c>
      <c r="L11" s="12">
        <v>104</v>
      </c>
      <c r="M11" s="13">
        <f>L11/$L$16</f>
        <v>1.687489858834983E-2</v>
      </c>
    </row>
    <row r="12" spans="1:20" ht="15">
      <c r="A12" s="145" t="s">
        <v>17</v>
      </c>
      <c r="B12" s="145"/>
      <c r="C12" s="12">
        <v>62</v>
      </c>
      <c r="D12" s="12">
        <v>2652</v>
      </c>
      <c r="E12" s="12">
        <v>7369</v>
      </c>
      <c r="F12" s="13">
        <f>E12/$E$15</f>
        <v>0.3444745699326851</v>
      </c>
      <c r="G12" s="10"/>
      <c r="H12" s="145" t="s">
        <v>18</v>
      </c>
      <c r="I12" s="145"/>
      <c r="J12" s="12">
        <v>2</v>
      </c>
      <c r="K12" s="12">
        <v>219</v>
      </c>
      <c r="L12" s="12">
        <v>483</v>
      </c>
      <c r="M12" s="13">
        <f>L12/$L$16</f>
        <v>7.8370923251663158E-2</v>
      </c>
    </row>
    <row r="13" spans="1:20" ht="15">
      <c r="A13" s="145" t="s">
        <v>19</v>
      </c>
      <c r="B13" s="145"/>
      <c r="C13" s="12">
        <v>38</v>
      </c>
      <c r="D13" s="12">
        <v>1827</v>
      </c>
      <c r="E13" s="12">
        <v>4971</v>
      </c>
      <c r="F13" s="13">
        <f>E13/$E$15</f>
        <v>0.23237658937920719</v>
      </c>
      <c r="G13" s="10"/>
      <c r="H13" s="145" t="s">
        <v>20</v>
      </c>
      <c r="I13" s="145"/>
      <c r="J13" s="12">
        <v>10</v>
      </c>
      <c r="K13" s="12">
        <v>1516</v>
      </c>
      <c r="L13" s="12">
        <v>3004</v>
      </c>
      <c r="M13" s="13">
        <f>L13/$L$16</f>
        <v>0.48742495537887393</v>
      </c>
    </row>
    <row r="14" spans="1:20" ht="15">
      <c r="A14" s="145" t="s">
        <v>21</v>
      </c>
      <c r="B14" s="145"/>
      <c r="C14" s="12">
        <v>1</v>
      </c>
      <c r="D14" s="12">
        <v>9</v>
      </c>
      <c r="E14" s="12">
        <v>29</v>
      </c>
      <c r="F14" s="13">
        <f>E14/$E$15</f>
        <v>1.3556469708302168E-3</v>
      </c>
      <c r="G14" s="10"/>
      <c r="H14" s="145" t="s">
        <v>22</v>
      </c>
      <c r="I14" s="145"/>
      <c r="J14" s="12">
        <v>8</v>
      </c>
      <c r="K14" s="12">
        <v>1215</v>
      </c>
      <c r="L14" s="12">
        <v>2572</v>
      </c>
      <c r="M14" s="13">
        <f>L14/$L$16</f>
        <v>0.41732922278111312</v>
      </c>
    </row>
    <row r="15" spans="1:20" ht="15">
      <c r="A15" s="146" t="s">
        <v>23</v>
      </c>
      <c r="B15" s="146"/>
      <c r="C15" s="18">
        <f>SUM(C11:C14)</f>
        <v>238</v>
      </c>
      <c r="D15" s="18">
        <f>SUM(D11:D14)</f>
        <v>7447</v>
      </c>
      <c r="E15" s="18">
        <f>SUM(E11:E14)</f>
        <v>21392</v>
      </c>
      <c r="F15" s="19">
        <f>SUM(F11:F14)</f>
        <v>1</v>
      </c>
      <c r="G15" s="10"/>
      <c r="H15" s="145" t="s">
        <v>24</v>
      </c>
      <c r="I15" s="145"/>
      <c r="J15" s="12"/>
      <c r="K15" s="12"/>
      <c r="L15" s="12"/>
      <c r="M15" s="13"/>
    </row>
    <row r="16" spans="1:20" ht="15">
      <c r="A16" s="145"/>
      <c r="B16" s="145"/>
      <c r="C16" s="12"/>
      <c r="D16" s="12"/>
      <c r="E16" s="12"/>
      <c r="F16" s="13"/>
      <c r="G16" s="10"/>
      <c r="H16" s="146" t="s">
        <v>25</v>
      </c>
      <c r="I16" s="146"/>
      <c r="J16" s="18">
        <f>SUM(J11:J15)</f>
        <v>21</v>
      </c>
      <c r="K16" s="18">
        <f>SUM(K11:K15)</f>
        <v>3004</v>
      </c>
      <c r="L16" s="18">
        <f>SUM(L11:L15)</f>
        <v>6163</v>
      </c>
      <c r="M16" s="19">
        <f>SUM(M11:M15)</f>
        <v>1</v>
      </c>
    </row>
    <row r="17" spans="1:13" ht="15">
      <c r="A17" s="146" t="s">
        <v>26</v>
      </c>
      <c r="B17" s="146"/>
      <c r="C17" s="18">
        <v>5</v>
      </c>
      <c r="D17" s="18">
        <v>64</v>
      </c>
      <c r="E17" s="18">
        <v>124</v>
      </c>
      <c r="F17" s="19">
        <v>1</v>
      </c>
      <c r="G17" s="10"/>
      <c r="H17" s="145"/>
      <c r="I17" s="145"/>
      <c r="J17" s="12"/>
      <c r="K17" s="12"/>
      <c r="L17" s="12"/>
      <c r="M17" s="13"/>
    </row>
    <row r="18" spans="1:13" ht="15">
      <c r="A18" s="146" t="s">
        <v>27</v>
      </c>
      <c r="B18" s="146"/>
      <c r="C18" s="18">
        <v>20</v>
      </c>
      <c r="D18" s="18">
        <v>163</v>
      </c>
      <c r="E18" s="18">
        <v>332</v>
      </c>
      <c r="F18" s="19">
        <v>1</v>
      </c>
      <c r="G18" s="10"/>
      <c r="H18" s="145" t="s">
        <v>28</v>
      </c>
      <c r="I18" s="145"/>
      <c r="J18" s="12"/>
      <c r="K18" s="12"/>
      <c r="L18" s="12"/>
      <c r="M18" s="13"/>
    </row>
    <row r="19" spans="1:13" ht="15">
      <c r="A19" s="146" t="s">
        <v>29</v>
      </c>
      <c r="B19" s="146"/>
      <c r="C19" s="18">
        <v>2</v>
      </c>
      <c r="D19" s="18">
        <v>10</v>
      </c>
      <c r="E19" s="18">
        <v>19</v>
      </c>
      <c r="F19" s="19">
        <v>1</v>
      </c>
      <c r="G19" s="10"/>
      <c r="H19" s="145" t="s">
        <v>30</v>
      </c>
      <c r="I19" s="145"/>
      <c r="J19" s="12">
        <v>5</v>
      </c>
      <c r="K19" s="12">
        <v>246</v>
      </c>
      <c r="L19" s="12">
        <v>548</v>
      </c>
      <c r="M19" s="13">
        <f>L19/$L$22</f>
        <v>0.64622641509433965</v>
      </c>
    </row>
    <row r="20" spans="1:13" ht="15">
      <c r="A20" s="147"/>
      <c r="B20" s="147"/>
      <c r="C20" s="12"/>
      <c r="D20" s="12"/>
      <c r="E20" s="12"/>
      <c r="F20" s="13"/>
      <c r="G20" s="10"/>
      <c r="H20" s="145" t="s">
        <v>31</v>
      </c>
      <c r="I20" s="145"/>
      <c r="J20" s="12">
        <v>1</v>
      </c>
      <c r="K20" s="12">
        <v>103</v>
      </c>
      <c r="L20" s="12">
        <v>258</v>
      </c>
      <c r="M20" s="13">
        <f>L20/$L$22</f>
        <v>0.30424528301886794</v>
      </c>
    </row>
    <row r="21" spans="1:13" ht="15">
      <c r="A21" s="145" t="s">
        <v>32</v>
      </c>
      <c r="B21" s="145"/>
      <c r="C21" s="12">
        <v>1</v>
      </c>
      <c r="D21" s="1"/>
      <c r="E21" s="12">
        <v>300</v>
      </c>
      <c r="F21" s="13">
        <f>E21/$E$25</f>
        <v>0.18773466833541927</v>
      </c>
      <c r="G21" s="10"/>
      <c r="H21" s="145" t="s">
        <v>33</v>
      </c>
      <c r="I21" s="145"/>
      <c r="J21" s="12">
        <v>1</v>
      </c>
      <c r="K21" s="12">
        <v>21</v>
      </c>
      <c r="L21" s="12">
        <v>42</v>
      </c>
      <c r="M21" s="13">
        <f>L21/$L$22</f>
        <v>4.9528301886792456E-2</v>
      </c>
    </row>
    <row r="22" spans="1:13" ht="15">
      <c r="A22" s="145" t="s">
        <v>34</v>
      </c>
      <c r="B22" s="145"/>
      <c r="C22" s="12">
        <v>3</v>
      </c>
      <c r="D22" s="1"/>
      <c r="E22" s="12">
        <v>1049</v>
      </c>
      <c r="F22" s="13">
        <f>E22/$E$25</f>
        <v>0.65644555694618267</v>
      </c>
      <c r="G22" s="10"/>
      <c r="H22" s="146" t="s">
        <v>37</v>
      </c>
      <c r="I22" s="146"/>
      <c r="J22" s="18">
        <f>SUM(J18:J21)</f>
        <v>7</v>
      </c>
      <c r="K22" s="18">
        <f>SUM(K18:K21)</f>
        <v>370</v>
      </c>
      <c r="L22" s="18">
        <f>SUM(L18:L21)</f>
        <v>848</v>
      </c>
      <c r="M22" s="19">
        <f>SUM(M18:M21)</f>
        <v>1</v>
      </c>
    </row>
    <row r="23" spans="1:13" ht="15">
      <c r="A23" s="145" t="s">
        <v>36</v>
      </c>
      <c r="B23" s="145"/>
      <c r="C23" s="12">
        <v>1</v>
      </c>
      <c r="D23" s="12"/>
      <c r="E23" s="12">
        <v>249</v>
      </c>
      <c r="F23" s="13">
        <f>E23/$E$25</f>
        <v>0.155819774718398</v>
      </c>
      <c r="G23" s="10"/>
      <c r="H23" s="145"/>
      <c r="I23" s="145"/>
      <c r="J23" s="12"/>
      <c r="K23" s="12"/>
      <c r="L23" s="12"/>
      <c r="M23" s="13"/>
    </row>
    <row r="24" spans="1:13" ht="15">
      <c r="A24" s="145" t="s">
        <v>38</v>
      </c>
      <c r="B24" s="145"/>
      <c r="C24" s="12"/>
      <c r="D24" s="12"/>
      <c r="E24" s="12"/>
      <c r="F24" s="13"/>
      <c r="G24" s="10"/>
      <c r="H24" s="145" t="s">
        <v>40</v>
      </c>
      <c r="I24" s="145"/>
      <c r="J24" s="12">
        <v>13</v>
      </c>
      <c r="K24" s="12">
        <v>209</v>
      </c>
      <c r="L24" s="12">
        <v>395</v>
      </c>
      <c r="M24" s="13">
        <f>L24/$L$27</f>
        <v>0.3701968134957826</v>
      </c>
    </row>
    <row r="25" spans="1:13" ht="15">
      <c r="A25" s="146" t="s">
        <v>39</v>
      </c>
      <c r="B25" s="146"/>
      <c r="C25" s="18">
        <f>SUM(C21:C24)</f>
        <v>5</v>
      </c>
      <c r="D25" s="18"/>
      <c r="E25" s="18">
        <f>SUM(E21:E24)</f>
        <v>1598</v>
      </c>
      <c r="F25" s="19">
        <f>SUM(F21:F24)</f>
        <v>1</v>
      </c>
      <c r="G25" s="10"/>
      <c r="H25" s="145" t="s">
        <v>41</v>
      </c>
      <c r="I25" s="145"/>
      <c r="J25" s="12">
        <v>9</v>
      </c>
      <c r="K25" s="12">
        <v>357</v>
      </c>
      <c r="L25" s="12">
        <v>656</v>
      </c>
      <c r="M25" s="13">
        <f>L25/$L$27</f>
        <v>0.61480787253983127</v>
      </c>
    </row>
    <row r="26" spans="1:13" ht="15">
      <c r="A26" s="145"/>
      <c r="B26" s="145"/>
      <c r="C26" s="12"/>
      <c r="D26" s="12"/>
      <c r="E26" s="12"/>
      <c r="F26" s="13"/>
      <c r="G26" s="10"/>
      <c r="H26" s="145" t="s">
        <v>43</v>
      </c>
      <c r="I26" s="145"/>
      <c r="J26" s="12">
        <v>1</v>
      </c>
      <c r="K26" s="12">
        <v>8</v>
      </c>
      <c r="L26" s="12">
        <v>16</v>
      </c>
      <c r="M26" s="13">
        <f>L26/$L$27</f>
        <v>1.499531396438613E-2</v>
      </c>
    </row>
    <row r="27" spans="1:13" ht="15">
      <c r="A27" s="145" t="s">
        <v>42</v>
      </c>
      <c r="B27" s="145"/>
      <c r="C27" s="12"/>
      <c r="D27" s="12"/>
      <c r="E27" s="12"/>
      <c r="F27" s="13"/>
      <c r="G27" s="10"/>
      <c r="H27" s="146" t="s">
        <v>45</v>
      </c>
      <c r="I27" s="146"/>
      <c r="J27" s="18">
        <f>SUM(J24:J26)</f>
        <v>23</v>
      </c>
      <c r="K27" s="18">
        <f>SUM(K24:K26)</f>
        <v>574</v>
      </c>
      <c r="L27" s="18">
        <f>SUM(L24:L26)</f>
        <v>1067</v>
      </c>
      <c r="M27" s="19">
        <f>SUM(M24:M26)</f>
        <v>1</v>
      </c>
    </row>
    <row r="28" spans="1:13" ht="15">
      <c r="A28" s="145" t="s">
        <v>44</v>
      </c>
      <c r="B28" s="145"/>
      <c r="C28" s="12">
        <v>4</v>
      </c>
      <c r="D28" s="12">
        <v>1022</v>
      </c>
      <c r="E28" s="12">
        <v>2781</v>
      </c>
      <c r="F28" s="13">
        <f>E28/$E$30</f>
        <v>0.67945272416320546</v>
      </c>
      <c r="G28" s="10"/>
      <c r="H28" s="145"/>
      <c r="I28" s="145"/>
      <c r="J28" s="12"/>
      <c r="K28" s="12"/>
      <c r="L28" s="12"/>
      <c r="M28" s="13"/>
    </row>
    <row r="29" spans="1:13" ht="15">
      <c r="A29" s="145" t="s">
        <v>46</v>
      </c>
      <c r="B29" s="145"/>
      <c r="C29" s="12">
        <v>3</v>
      </c>
      <c r="D29" s="12">
        <v>618</v>
      </c>
      <c r="E29" s="12">
        <v>1312</v>
      </c>
      <c r="F29" s="13">
        <f>E29/$E$30</f>
        <v>0.32054727583679454</v>
      </c>
      <c r="G29" s="10"/>
      <c r="H29" s="145" t="s">
        <v>48</v>
      </c>
      <c r="I29" s="145"/>
      <c r="J29" s="12">
        <v>38</v>
      </c>
      <c r="K29" s="12">
        <v>1031</v>
      </c>
      <c r="L29" s="12">
        <v>1889</v>
      </c>
      <c r="M29" s="13">
        <f>L29/$L$32</f>
        <v>0.51626127357201423</v>
      </c>
    </row>
    <row r="30" spans="1:13" ht="15">
      <c r="A30" s="146" t="s">
        <v>47</v>
      </c>
      <c r="B30" s="146"/>
      <c r="C30" s="18">
        <f>SUM(C27:C29)</f>
        <v>7</v>
      </c>
      <c r="D30" s="18">
        <f>SUM(D27:D29)</f>
        <v>1640</v>
      </c>
      <c r="E30" s="18">
        <f>SUM(E27:E29)</f>
        <v>4093</v>
      </c>
      <c r="F30" s="19">
        <f>SUM(F27:F29)</f>
        <v>1</v>
      </c>
      <c r="G30" s="10"/>
      <c r="H30" s="145" t="s">
        <v>49</v>
      </c>
      <c r="I30" s="145"/>
      <c r="J30" s="12">
        <v>24</v>
      </c>
      <c r="K30" s="12">
        <v>889</v>
      </c>
      <c r="L30" s="12">
        <v>1699</v>
      </c>
      <c r="M30" s="13">
        <f>L30/$L$32</f>
        <v>0.46433451762776717</v>
      </c>
    </row>
    <row r="31" spans="1:13" ht="15">
      <c r="A31" s="145"/>
      <c r="B31" s="145"/>
      <c r="C31" s="12"/>
      <c r="D31" s="12"/>
      <c r="E31" s="12"/>
      <c r="F31" s="13"/>
      <c r="G31" s="10"/>
      <c r="H31" s="145" t="s">
        <v>51</v>
      </c>
      <c r="I31" s="145"/>
      <c r="J31" s="12">
        <v>2</v>
      </c>
      <c r="K31" s="12">
        <v>37</v>
      </c>
      <c r="L31" s="12">
        <v>71</v>
      </c>
      <c r="M31" s="13">
        <f>L31/$L$32</f>
        <v>1.9404208800218641E-2</v>
      </c>
    </row>
    <row r="32" spans="1:13" ht="15">
      <c r="A32" s="145" t="s">
        <v>50</v>
      </c>
      <c r="B32" s="145"/>
      <c r="C32" s="12">
        <v>6</v>
      </c>
      <c r="D32" s="12">
        <v>265</v>
      </c>
      <c r="E32" s="12">
        <v>472</v>
      </c>
      <c r="F32" s="13">
        <f>E32/$E$38</f>
        <v>1.3042637265467408E-2</v>
      </c>
      <c r="G32" s="10"/>
      <c r="H32" s="146" t="s">
        <v>53</v>
      </c>
      <c r="I32" s="146"/>
      <c r="J32" s="18">
        <f>SUM(J29:J31)</f>
        <v>64</v>
      </c>
      <c r="K32" s="18">
        <f>SUM(K29:K31)</f>
        <v>1957</v>
      </c>
      <c r="L32" s="18">
        <f>SUM(L29:L31)</f>
        <v>3659</v>
      </c>
      <c r="M32" s="19">
        <f>SUM(M29:M31)</f>
        <v>1</v>
      </c>
    </row>
    <row r="33" spans="1:13" ht="15">
      <c r="A33" s="145" t="s">
        <v>52</v>
      </c>
      <c r="B33" s="145"/>
      <c r="C33" s="12">
        <v>24</v>
      </c>
      <c r="D33" s="12">
        <v>3212</v>
      </c>
      <c r="E33" s="12">
        <v>6041</v>
      </c>
      <c r="F33" s="13">
        <f>E33/$E$38</f>
        <v>0.16692917737434027</v>
      </c>
      <c r="G33" s="10"/>
      <c r="H33" s="145"/>
      <c r="I33" s="145"/>
    </row>
    <row r="34" spans="1:13" ht="15">
      <c r="A34" s="145" t="s">
        <v>54</v>
      </c>
      <c r="B34" s="145"/>
      <c r="C34" s="12">
        <v>51</v>
      </c>
      <c r="D34" s="12">
        <v>11489</v>
      </c>
      <c r="E34" s="12">
        <v>21936</v>
      </c>
      <c r="F34" s="13">
        <f>E34/$E$38</f>
        <v>0.60615104037138356</v>
      </c>
      <c r="G34" s="10"/>
      <c r="H34" s="146" t="s">
        <v>56</v>
      </c>
      <c r="I34" s="146"/>
      <c r="J34" s="18">
        <v>28</v>
      </c>
      <c r="K34" s="18">
        <v>290</v>
      </c>
      <c r="L34" s="18">
        <v>529</v>
      </c>
      <c r="M34" s="19">
        <v>1</v>
      </c>
    </row>
    <row r="35" spans="1:13" ht="15">
      <c r="A35" s="145" t="s">
        <v>91</v>
      </c>
      <c r="B35" s="145"/>
      <c r="C35" s="12">
        <v>18</v>
      </c>
      <c r="D35" s="12">
        <v>3492</v>
      </c>
      <c r="E35" s="12">
        <v>6728</v>
      </c>
      <c r="F35" s="13">
        <f>E35/$E$38</f>
        <v>0.18591284644505238</v>
      </c>
      <c r="G35" s="10"/>
      <c r="H35" s="146" t="s">
        <v>58</v>
      </c>
      <c r="I35" s="146"/>
      <c r="J35" s="18">
        <v>3</v>
      </c>
      <c r="K35" s="18">
        <v>49</v>
      </c>
      <c r="L35" s="18">
        <v>89</v>
      </c>
      <c r="M35" s="19">
        <v>1</v>
      </c>
    </row>
    <row r="36" spans="1:13" ht="15">
      <c r="A36" s="145" t="s">
        <v>57</v>
      </c>
      <c r="B36" s="145"/>
      <c r="C36" s="12">
        <v>5</v>
      </c>
      <c r="D36" s="12">
        <v>512</v>
      </c>
      <c r="E36" s="12">
        <v>1012</v>
      </c>
      <c r="F36" s="13">
        <f>E36/$E$38</f>
        <v>2.7964298543756389E-2</v>
      </c>
      <c r="G36" s="10"/>
      <c r="H36" s="146" t="s">
        <v>60</v>
      </c>
      <c r="I36" s="146"/>
      <c r="J36" s="18"/>
      <c r="K36" s="18"/>
      <c r="L36" s="18"/>
      <c r="M36" s="19"/>
    </row>
    <row r="37" spans="1:13" ht="15">
      <c r="A37" s="145" t="s">
        <v>59</v>
      </c>
      <c r="B37" s="148"/>
      <c r="C37" s="12"/>
      <c r="D37" s="12"/>
      <c r="E37" s="12"/>
      <c r="F37" s="13"/>
      <c r="G37" s="10"/>
      <c r="H37" s="145"/>
      <c r="I37" s="145"/>
      <c r="J37" s="12"/>
      <c r="K37" s="12"/>
      <c r="L37" s="12"/>
      <c r="M37" s="12"/>
    </row>
    <row r="38" spans="1:13" ht="15">
      <c r="A38" s="146" t="s">
        <v>61</v>
      </c>
      <c r="B38" s="146"/>
      <c r="C38" s="18">
        <f>SUM(C32:C37)</f>
        <v>104</v>
      </c>
      <c r="D38" s="18">
        <f>SUM(D32:D37)</f>
        <v>18970</v>
      </c>
      <c r="E38" s="18">
        <f>SUM(E32:E37)</f>
        <v>36189</v>
      </c>
      <c r="F38" s="19">
        <f>SUM(F32:F37)</f>
        <v>0.99999999999999989</v>
      </c>
      <c r="G38" s="10"/>
      <c r="H38" s="145"/>
      <c r="I38" s="145"/>
      <c r="J38" s="12"/>
      <c r="K38" s="12"/>
      <c r="L38" s="12"/>
      <c r="M38" s="12"/>
    </row>
    <row r="39" spans="1:13" ht="15">
      <c r="A39" s="145"/>
      <c r="B39" s="145"/>
      <c r="C39" s="12"/>
      <c r="D39" s="12"/>
      <c r="E39" s="12"/>
      <c r="F39" s="13"/>
      <c r="G39" s="10"/>
      <c r="H39" s="147"/>
      <c r="I39" s="147"/>
      <c r="J39" s="12"/>
      <c r="K39" s="12"/>
      <c r="L39" s="12"/>
      <c r="M39" s="12"/>
    </row>
    <row r="40" spans="1:13" ht="15">
      <c r="A40" s="145" t="s">
        <v>62</v>
      </c>
      <c r="B40" s="145"/>
      <c r="C40" s="12">
        <v>7</v>
      </c>
      <c r="D40" s="12">
        <v>316</v>
      </c>
      <c r="E40" s="12">
        <v>581</v>
      </c>
      <c r="F40" s="13">
        <f>E40/$E$45</f>
        <v>0.20580942260007085</v>
      </c>
      <c r="G40" s="10"/>
      <c r="H40" s="11"/>
      <c r="I40" s="11"/>
      <c r="J40" s="12"/>
      <c r="K40" s="12"/>
      <c r="L40" s="12"/>
      <c r="M40" s="14"/>
    </row>
    <row r="41" spans="1:13" ht="15">
      <c r="A41" s="145" t="s">
        <v>63</v>
      </c>
      <c r="B41" s="145"/>
      <c r="C41" s="12">
        <v>9</v>
      </c>
      <c r="D41" s="12">
        <v>705</v>
      </c>
      <c r="E41" s="12">
        <v>1311</v>
      </c>
      <c r="F41" s="13">
        <f>E41/$E$45</f>
        <v>0.46439957492029754</v>
      </c>
      <c r="G41" s="10"/>
      <c r="H41" s="146" t="s">
        <v>65</v>
      </c>
      <c r="I41" s="146"/>
      <c r="J41" s="18">
        <f>C15+C17+C18+C19+C25+C30+C38+C45+J16+J22+J27+J32+J34+J35+J36</f>
        <v>550</v>
      </c>
      <c r="K41" s="18">
        <f>D15+D17+D18+D19+D25+D30+D38+D45+K16+K22+K27+K32+K34+K35+K36</f>
        <v>36079</v>
      </c>
      <c r="L41" s="18">
        <f>E15+E17+E18+E19+E25+E30+E38+E45+L16+L22+L27+L32+L34+L35+L36</f>
        <v>78925</v>
      </c>
      <c r="M41" s="12"/>
    </row>
    <row r="42" spans="1:13" ht="15">
      <c r="A42" s="145" t="s">
        <v>64</v>
      </c>
      <c r="B42" s="145"/>
      <c r="C42" s="12">
        <v>5</v>
      </c>
      <c r="D42" s="12">
        <v>394</v>
      </c>
      <c r="E42" s="12">
        <v>713</v>
      </c>
      <c r="F42" s="13">
        <f>E42/$E$45</f>
        <v>0.25256818986893376</v>
      </c>
      <c r="G42" s="10"/>
      <c r="H42" s="11"/>
      <c r="I42" s="11"/>
      <c r="J42" s="12"/>
      <c r="K42" s="12"/>
      <c r="L42" s="12"/>
      <c r="M42" s="14"/>
    </row>
    <row r="43" spans="1:13" ht="15">
      <c r="A43" s="145" t="s">
        <v>93</v>
      </c>
      <c r="B43" s="145"/>
      <c r="C43" s="12">
        <v>2</v>
      </c>
      <c r="D43" s="12">
        <v>126</v>
      </c>
      <c r="E43" s="12">
        <v>218</v>
      </c>
      <c r="F43" s="13">
        <f>E43/$E$45</f>
        <v>7.7222812610697841E-2</v>
      </c>
      <c r="G43" s="10"/>
      <c r="H43" s="11"/>
      <c r="I43" s="11"/>
      <c r="J43" s="14"/>
      <c r="K43" s="14"/>
      <c r="L43" s="14"/>
      <c r="M43" s="14"/>
    </row>
    <row r="44" spans="1:13" ht="15">
      <c r="A44" s="145" t="s">
        <v>67</v>
      </c>
      <c r="B44" s="145"/>
      <c r="C44" s="12"/>
      <c r="D44" s="12"/>
      <c r="E44" s="12"/>
      <c r="F44" s="13"/>
      <c r="G44" s="10"/>
      <c r="H44" s="11"/>
      <c r="I44" s="11"/>
      <c r="J44" s="14"/>
      <c r="K44" s="14"/>
      <c r="L44" s="14"/>
      <c r="M44" s="14"/>
    </row>
    <row r="45" spans="1:13" ht="15">
      <c r="A45" s="146" t="s">
        <v>68</v>
      </c>
      <c r="B45" s="146"/>
      <c r="C45" s="18">
        <f>SUM(C40:C44)</f>
        <v>23</v>
      </c>
      <c r="D45" s="18">
        <f>SUM(D40:D44)</f>
        <v>1541</v>
      </c>
      <c r="E45" s="18">
        <f>SUM(E40:E44)</f>
        <v>2823</v>
      </c>
      <c r="F45" s="19">
        <f>SUM(F40:F44)</f>
        <v>1</v>
      </c>
      <c r="G45" s="10"/>
      <c r="H45" s="16"/>
      <c r="I45" s="16"/>
      <c r="J45" s="10"/>
      <c r="K45" s="10"/>
      <c r="L45" s="10"/>
      <c r="M45" s="10"/>
    </row>
    <row r="46" spans="1:13" ht="15">
      <c r="A46" s="145"/>
      <c r="B46" s="145"/>
      <c r="C46" s="15"/>
      <c r="D46" s="15"/>
      <c r="E46" s="15"/>
      <c r="F46" s="15"/>
      <c r="G46" s="10"/>
      <c r="H46" s="16"/>
      <c r="I46" s="16"/>
      <c r="J46" s="10"/>
      <c r="K46" s="10"/>
      <c r="L46" s="10"/>
      <c r="M46" s="10"/>
    </row>
    <row r="47" spans="1:13" ht="15">
      <c r="A47" s="16"/>
      <c r="B47" s="16"/>
      <c r="C47" s="10"/>
      <c r="D47" s="10"/>
      <c r="E47" s="10"/>
      <c r="F47" s="10"/>
      <c r="G47" s="10"/>
    </row>
  </sheetData>
  <sheetProtection algorithmName="SHA-512" hashValue="zAjkaafo/p75561rd/14BOf8PpXsD12vG1pqGbHm/IRTBc/+PkRwvWU4xeDlvF5soHUdisTvqN3Lid54u8YfqA==" saltValue="nPKQ3/H7C5TBmnXeyd2R7w==" spinCount="100000" sheet="1"/>
  <mergeCells count="72">
    <mergeCell ref="A46:B46"/>
    <mergeCell ref="A41:B41"/>
    <mergeCell ref="A42:B42"/>
    <mergeCell ref="H41:I41"/>
    <mergeCell ref="A43:B43"/>
    <mergeCell ref="A45:B45"/>
    <mergeCell ref="A44:B44"/>
    <mergeCell ref="A39:B39"/>
    <mergeCell ref="H38:I38"/>
    <mergeCell ref="A40:B40"/>
    <mergeCell ref="H39:I39"/>
    <mergeCell ref="A35:B35"/>
    <mergeCell ref="A36:B36"/>
    <mergeCell ref="H35:I35"/>
    <mergeCell ref="A37:B37"/>
    <mergeCell ref="H36:I36"/>
    <mergeCell ref="A38:B38"/>
    <mergeCell ref="H37:I37"/>
    <mergeCell ref="A32:B32"/>
    <mergeCell ref="H31:I31"/>
    <mergeCell ref="A33:B33"/>
    <mergeCell ref="H32:I32"/>
    <mergeCell ref="A34:B34"/>
    <mergeCell ref="H33:I33"/>
    <mergeCell ref="H34:I34"/>
    <mergeCell ref="A29:B29"/>
    <mergeCell ref="H28:I28"/>
    <mergeCell ref="A30:B30"/>
    <mergeCell ref="H29:I29"/>
    <mergeCell ref="A31:B31"/>
    <mergeCell ref="H30:I30"/>
    <mergeCell ref="A26:B26"/>
    <mergeCell ref="H25:I25"/>
    <mergeCell ref="A27:B27"/>
    <mergeCell ref="H26:I26"/>
    <mergeCell ref="A28:B28"/>
    <mergeCell ref="H27:I27"/>
    <mergeCell ref="A23:B23"/>
    <mergeCell ref="H22:I22"/>
    <mergeCell ref="A24:B24"/>
    <mergeCell ref="H23:I23"/>
    <mergeCell ref="A25:B25"/>
    <mergeCell ref="H24:I24"/>
    <mergeCell ref="A20:B20"/>
    <mergeCell ref="H20:I20"/>
    <mergeCell ref="A21:B21"/>
    <mergeCell ref="H21:I21"/>
    <mergeCell ref="A22:B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0866141732283472" right="0.70866141732283472" top="0.74803149606299213" bottom="0.74803149606299213" header="0.31496062992125984" footer="0.31496062992125984"/>
  <pageSetup paperSize="8"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3:DI18"/>
  <sheetViews>
    <sheetView showGridLines="0" zoomScaleNormal="100" zoomScaleSheetLayoutView="91" workbookViewId="0"/>
  </sheetViews>
  <sheetFormatPr baseColWidth="10" defaultRowHeight="15"/>
  <cols>
    <col min="1" max="1" width="80.140625" customWidth="1"/>
    <col min="2" max="71" width="8.7109375" customWidth="1"/>
  </cols>
  <sheetData>
    <row r="3" spans="1:113" ht="16.5">
      <c r="A3" s="5" t="s">
        <v>88</v>
      </c>
      <c r="B3" s="27"/>
      <c r="C3" s="27"/>
      <c r="CD3" s="28"/>
      <c r="CE3" s="28"/>
    </row>
    <row r="4" spans="1:113" s="29" customFormat="1" ht="16.5">
      <c r="A4" s="30" t="s">
        <v>89</v>
      </c>
      <c r="CD4" s="31"/>
      <c r="CE4" s="31"/>
    </row>
    <row r="5" spans="1:113" s="29" customFormat="1" ht="16.5">
      <c r="A5" s="30" t="s">
        <v>90</v>
      </c>
      <c r="CD5" s="31"/>
      <c r="CE5" s="31"/>
    </row>
    <row r="6" spans="1:113">
      <c r="B6" s="27"/>
      <c r="C6" s="27"/>
      <c r="CD6" s="28"/>
      <c r="CE6" s="28"/>
    </row>
    <row r="7" spans="1:113" s="28" customFormat="1">
      <c r="A7" s="144" t="s">
        <v>129</v>
      </c>
      <c r="B7" s="143" t="s">
        <v>27</v>
      </c>
      <c r="C7" s="143"/>
      <c r="D7" s="143" t="s">
        <v>15</v>
      </c>
      <c r="E7" s="143"/>
      <c r="F7" s="143" t="s">
        <v>17</v>
      </c>
      <c r="G7" s="143"/>
      <c r="H7" s="143" t="s">
        <v>19</v>
      </c>
      <c r="I7" s="143"/>
      <c r="J7" s="143" t="s">
        <v>21</v>
      </c>
      <c r="K7" s="143"/>
      <c r="L7" s="143" t="s">
        <v>56</v>
      </c>
      <c r="M7" s="143"/>
      <c r="N7" s="143" t="s">
        <v>44</v>
      </c>
      <c r="O7" s="143"/>
      <c r="P7" s="143" t="s">
        <v>46</v>
      </c>
      <c r="Q7" s="143"/>
      <c r="R7" s="143" t="s">
        <v>58</v>
      </c>
      <c r="S7" s="143"/>
      <c r="T7" s="143" t="s">
        <v>40</v>
      </c>
      <c r="U7" s="143"/>
      <c r="V7" s="143" t="s">
        <v>41</v>
      </c>
      <c r="W7" s="143"/>
      <c r="X7" s="143" t="s">
        <v>43</v>
      </c>
      <c r="Y7" s="143"/>
      <c r="Z7" s="143" t="s">
        <v>48</v>
      </c>
      <c r="AA7" s="143"/>
      <c r="AB7" s="143" t="s">
        <v>49</v>
      </c>
      <c r="AC7" s="143"/>
      <c r="AD7" s="143" t="s">
        <v>51</v>
      </c>
      <c r="AE7" s="143"/>
      <c r="AF7" s="143" t="s">
        <v>50</v>
      </c>
      <c r="AG7" s="143"/>
      <c r="AH7" s="143" t="s">
        <v>52</v>
      </c>
      <c r="AI7" s="143"/>
      <c r="AJ7" s="143" t="s">
        <v>54</v>
      </c>
      <c r="AK7" s="143"/>
      <c r="AL7" s="143" t="s">
        <v>91</v>
      </c>
      <c r="AM7" s="143"/>
      <c r="AN7" s="143" t="s">
        <v>57</v>
      </c>
      <c r="AO7" s="143"/>
      <c r="AP7" s="143" t="s">
        <v>16</v>
      </c>
      <c r="AQ7" s="143"/>
      <c r="AR7" s="143" t="s">
        <v>18</v>
      </c>
      <c r="AS7" s="143"/>
      <c r="AT7" s="143" t="s">
        <v>20</v>
      </c>
      <c r="AU7" s="143"/>
      <c r="AV7" s="143" t="s">
        <v>22</v>
      </c>
      <c r="AW7" s="143"/>
      <c r="AX7" s="143" t="s">
        <v>92</v>
      </c>
      <c r="AY7" s="143"/>
      <c r="AZ7" s="143" t="s">
        <v>63</v>
      </c>
      <c r="BA7" s="143"/>
      <c r="BB7" s="143" t="s">
        <v>64</v>
      </c>
      <c r="BC7" s="143"/>
      <c r="BD7" s="143" t="s">
        <v>93</v>
      </c>
      <c r="BE7" s="143"/>
      <c r="BF7" s="143" t="s">
        <v>30</v>
      </c>
      <c r="BG7" s="143"/>
      <c r="BH7" s="143" t="s">
        <v>31</v>
      </c>
      <c r="BI7" s="143"/>
      <c r="BJ7" s="143" t="s">
        <v>33</v>
      </c>
      <c r="BK7" s="143"/>
      <c r="BL7" s="143" t="s">
        <v>26</v>
      </c>
      <c r="BM7" s="143"/>
      <c r="BN7" s="143" t="s">
        <v>29</v>
      </c>
      <c r="BO7" s="143"/>
      <c r="BP7" s="143" t="s">
        <v>94</v>
      </c>
      <c r="BQ7" s="143"/>
      <c r="BR7" s="143" t="s">
        <v>65</v>
      </c>
      <c r="BS7" s="143"/>
    </row>
    <row r="8" spans="1:113" s="28" customFormat="1">
      <c r="A8" s="144"/>
      <c r="B8" s="38"/>
      <c r="C8" s="38" t="s">
        <v>80</v>
      </c>
      <c r="D8" s="38"/>
      <c r="E8" s="38" t="s">
        <v>80</v>
      </c>
      <c r="F8" s="38"/>
      <c r="G8" s="38"/>
      <c r="H8" s="38"/>
      <c r="I8" s="38"/>
      <c r="J8" s="38"/>
      <c r="K8" s="38" t="s">
        <v>80</v>
      </c>
      <c r="L8" s="38"/>
      <c r="M8" s="38" t="s">
        <v>80</v>
      </c>
      <c r="N8" s="38"/>
      <c r="O8" s="38" t="s">
        <v>80</v>
      </c>
      <c r="P8" s="38"/>
      <c r="Q8" s="38" t="s">
        <v>80</v>
      </c>
      <c r="R8" s="38"/>
      <c r="S8" s="38" t="s">
        <v>80</v>
      </c>
      <c r="T8" s="38"/>
      <c r="U8" s="38" t="s">
        <v>80</v>
      </c>
      <c r="V8" s="38"/>
      <c r="W8" s="38" t="s">
        <v>80</v>
      </c>
      <c r="X8" s="38"/>
      <c r="Y8" s="38" t="s">
        <v>80</v>
      </c>
      <c r="Z8" s="38"/>
      <c r="AA8" s="38" t="s">
        <v>80</v>
      </c>
      <c r="AB8" s="38"/>
      <c r="AC8" s="38" t="s">
        <v>80</v>
      </c>
      <c r="AD8" s="38"/>
      <c r="AE8" s="38" t="s">
        <v>80</v>
      </c>
      <c r="AF8" s="38"/>
      <c r="AG8" s="38" t="s">
        <v>80</v>
      </c>
      <c r="AH8" s="38"/>
      <c r="AI8" s="38" t="s">
        <v>80</v>
      </c>
      <c r="AJ8" s="38"/>
      <c r="AK8" s="38" t="s">
        <v>80</v>
      </c>
      <c r="AL8" s="38"/>
      <c r="AM8" s="38" t="s">
        <v>80</v>
      </c>
      <c r="AN8" s="38"/>
      <c r="AO8" s="38" t="s">
        <v>80</v>
      </c>
      <c r="AP8" s="38"/>
      <c r="AQ8" s="38" t="s">
        <v>80</v>
      </c>
      <c r="AR8" s="38"/>
      <c r="AS8" s="38" t="s">
        <v>80</v>
      </c>
      <c r="AT8" s="38"/>
      <c r="AU8" s="38" t="s">
        <v>80</v>
      </c>
      <c r="AV8" s="38"/>
      <c r="AW8" s="38" t="s">
        <v>80</v>
      </c>
      <c r="AX8" s="38"/>
      <c r="AY8" s="38" t="s">
        <v>80</v>
      </c>
      <c r="AZ8" s="38"/>
      <c r="BA8" s="38" t="s">
        <v>80</v>
      </c>
      <c r="BB8" s="38"/>
      <c r="BC8" s="38" t="s">
        <v>80</v>
      </c>
      <c r="BD8" s="38"/>
      <c r="BE8" s="38" t="s">
        <v>80</v>
      </c>
      <c r="BF8" s="38"/>
      <c r="BG8" s="38" t="s">
        <v>80</v>
      </c>
      <c r="BH8" s="38"/>
      <c r="BI8" s="38" t="s">
        <v>80</v>
      </c>
      <c r="BJ8" s="38"/>
      <c r="BK8" s="38" t="s">
        <v>80</v>
      </c>
      <c r="BL8" s="38"/>
      <c r="BM8" s="38" t="s">
        <v>80</v>
      </c>
      <c r="BN8" s="38"/>
      <c r="BO8" s="38" t="s">
        <v>80</v>
      </c>
      <c r="BP8" s="38"/>
      <c r="BQ8" s="38" t="s">
        <v>80</v>
      </c>
      <c r="BR8" s="38"/>
      <c r="BS8" s="38"/>
    </row>
    <row r="9" spans="1:113" s="28" customForma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row>
    <row r="10" spans="1:113">
      <c r="A10" s="37" t="s">
        <v>217</v>
      </c>
      <c r="B10" s="12"/>
      <c r="C10" s="12"/>
      <c r="D10" s="32">
        <v>29</v>
      </c>
      <c r="E10" s="32">
        <v>1883</v>
      </c>
      <c r="F10" s="32">
        <v>13</v>
      </c>
      <c r="G10" s="32">
        <v>1190</v>
      </c>
      <c r="H10" s="32">
        <v>4</v>
      </c>
      <c r="I10" s="32">
        <v>1168</v>
      </c>
      <c r="J10" s="32"/>
      <c r="K10" s="32"/>
      <c r="L10" s="32">
        <v>14</v>
      </c>
      <c r="M10" s="32">
        <v>232</v>
      </c>
      <c r="N10" s="32"/>
      <c r="O10" s="32"/>
      <c r="P10" s="32"/>
      <c r="Q10" s="32"/>
      <c r="R10" s="32"/>
      <c r="S10" s="32"/>
      <c r="T10" s="32">
        <v>2</v>
      </c>
      <c r="U10" s="32">
        <v>101</v>
      </c>
      <c r="V10" s="32">
        <v>1</v>
      </c>
      <c r="W10" s="32">
        <v>75</v>
      </c>
      <c r="X10" s="32"/>
      <c r="Y10" s="32"/>
      <c r="Z10" s="32">
        <v>11</v>
      </c>
      <c r="AA10" s="32">
        <v>452</v>
      </c>
      <c r="AB10" s="32">
        <v>4</v>
      </c>
      <c r="AC10" s="32">
        <v>148</v>
      </c>
      <c r="AD10" s="32">
        <v>2</v>
      </c>
      <c r="AE10" s="32">
        <v>71</v>
      </c>
      <c r="AF10" s="32">
        <v>3</v>
      </c>
      <c r="AG10" s="32">
        <v>253</v>
      </c>
      <c r="AH10" s="32">
        <v>9</v>
      </c>
      <c r="AI10" s="32">
        <v>2247</v>
      </c>
      <c r="AJ10" s="32">
        <v>4</v>
      </c>
      <c r="AK10" s="32">
        <v>1776</v>
      </c>
      <c r="AL10" s="32">
        <v>7</v>
      </c>
      <c r="AM10" s="32">
        <v>2411</v>
      </c>
      <c r="AN10" s="32">
        <v>2</v>
      </c>
      <c r="AO10" s="32">
        <v>328</v>
      </c>
      <c r="AP10" s="32"/>
      <c r="AQ10" s="32"/>
      <c r="AR10" s="32">
        <v>1</v>
      </c>
      <c r="AS10" s="32">
        <v>213</v>
      </c>
      <c r="AT10" s="32">
        <v>1</v>
      </c>
      <c r="AU10" s="32">
        <v>517</v>
      </c>
      <c r="AV10" s="32"/>
      <c r="AW10" s="32"/>
      <c r="AX10" s="32">
        <v>2</v>
      </c>
      <c r="AY10" s="32">
        <v>169</v>
      </c>
      <c r="AZ10" s="32">
        <v>3</v>
      </c>
      <c r="BA10" s="32">
        <v>411</v>
      </c>
      <c r="BB10" s="32"/>
      <c r="BC10" s="32"/>
      <c r="BD10" s="32">
        <v>1</v>
      </c>
      <c r="BE10" s="32">
        <v>199</v>
      </c>
      <c r="BF10" s="32"/>
      <c r="BG10" s="32"/>
      <c r="BH10" s="32"/>
      <c r="BI10" s="32"/>
      <c r="BJ10" s="32"/>
      <c r="BK10" s="32"/>
      <c r="BL10" s="32"/>
      <c r="BM10" s="32"/>
      <c r="BN10" s="32"/>
      <c r="BO10" s="32"/>
      <c r="BP10" s="32"/>
      <c r="BQ10" s="32"/>
      <c r="BR10" s="70">
        <f t="shared" ref="BR10:BS14" si="0">B10+D10+F10+H10+J10+L10+N10+P10+R10+T10+V10+X10+Z10+AB10+AD10+AF10+AH10+AJ10+AL10+AN10+AP10+AR10+AT10+AV10+AX10+AZ10+BB10+BD10+BF10+BH10+BJ10+BL10+BN10+BP10</f>
        <v>113</v>
      </c>
      <c r="BS10" s="70">
        <f t="shared" si="0"/>
        <v>13844</v>
      </c>
      <c r="BT10" s="33"/>
      <c r="CD10" s="28"/>
      <c r="CE10" s="28"/>
      <c r="DI10" s="34"/>
    </row>
    <row r="11" spans="1:113">
      <c r="A11" s="43" t="s">
        <v>84</v>
      </c>
      <c r="B11" s="41">
        <v>2</v>
      </c>
      <c r="C11" s="41">
        <v>44</v>
      </c>
      <c r="D11" s="41">
        <v>36</v>
      </c>
      <c r="E11" s="42">
        <v>2420</v>
      </c>
      <c r="F11" s="42">
        <v>13</v>
      </c>
      <c r="G11" s="42">
        <v>1613</v>
      </c>
      <c r="H11" s="42">
        <v>3</v>
      </c>
      <c r="I11" s="42">
        <v>152</v>
      </c>
      <c r="J11" s="42"/>
      <c r="K11" s="42"/>
      <c r="L11" s="42">
        <v>11</v>
      </c>
      <c r="M11" s="42">
        <v>259</v>
      </c>
      <c r="N11" s="42"/>
      <c r="O11" s="42"/>
      <c r="P11" s="42"/>
      <c r="Q11" s="42"/>
      <c r="R11" s="42"/>
      <c r="S11" s="42"/>
      <c r="T11" s="42">
        <v>2</v>
      </c>
      <c r="U11" s="42">
        <v>76</v>
      </c>
      <c r="V11" s="42">
        <v>3</v>
      </c>
      <c r="W11" s="42">
        <v>298</v>
      </c>
      <c r="X11" s="42"/>
      <c r="Y11" s="42"/>
      <c r="Z11" s="42">
        <v>17</v>
      </c>
      <c r="AA11" s="42">
        <v>1060</v>
      </c>
      <c r="AB11" s="42">
        <v>12</v>
      </c>
      <c r="AC11" s="42">
        <v>1056</v>
      </c>
      <c r="AD11" s="42"/>
      <c r="AE11" s="42"/>
      <c r="AF11" s="42">
        <v>3</v>
      </c>
      <c r="AG11" s="42">
        <v>219</v>
      </c>
      <c r="AH11" s="42">
        <v>6</v>
      </c>
      <c r="AI11" s="42">
        <v>2002</v>
      </c>
      <c r="AJ11" s="42">
        <v>10</v>
      </c>
      <c r="AK11" s="42">
        <v>2970</v>
      </c>
      <c r="AL11" s="42">
        <v>2</v>
      </c>
      <c r="AM11" s="42">
        <v>588</v>
      </c>
      <c r="AN11" s="42"/>
      <c r="AO11" s="42"/>
      <c r="AP11" s="42">
        <v>1</v>
      </c>
      <c r="AQ11" s="42">
        <v>104</v>
      </c>
      <c r="AR11" s="42"/>
      <c r="AS11" s="42"/>
      <c r="AT11" s="42">
        <v>3</v>
      </c>
      <c r="AU11" s="42">
        <v>1107</v>
      </c>
      <c r="AV11" s="42">
        <v>2</v>
      </c>
      <c r="AW11" s="42">
        <v>338</v>
      </c>
      <c r="AX11" s="42">
        <v>5</v>
      </c>
      <c r="AY11" s="42">
        <v>412</v>
      </c>
      <c r="AZ11" s="42">
        <v>4</v>
      </c>
      <c r="BA11" s="42">
        <v>676</v>
      </c>
      <c r="BB11" s="42"/>
      <c r="BC11" s="42"/>
      <c r="BD11" s="42"/>
      <c r="BE11" s="42"/>
      <c r="BF11" s="42">
        <v>1</v>
      </c>
      <c r="BG11" s="42">
        <v>184</v>
      </c>
      <c r="BH11" s="42"/>
      <c r="BI11" s="42"/>
      <c r="BJ11" s="42"/>
      <c r="BK11" s="42"/>
      <c r="BL11" s="42">
        <v>2</v>
      </c>
      <c r="BM11" s="42">
        <v>46</v>
      </c>
      <c r="BN11" s="42">
        <v>1</v>
      </c>
      <c r="BO11" s="42">
        <v>10</v>
      </c>
      <c r="BP11" s="42">
        <v>1</v>
      </c>
      <c r="BQ11" s="42">
        <v>274</v>
      </c>
      <c r="BR11" s="71">
        <f t="shared" si="0"/>
        <v>140</v>
      </c>
      <c r="BS11" s="71">
        <f t="shared" si="0"/>
        <v>15908</v>
      </c>
      <c r="BT11" s="33"/>
      <c r="CD11" s="28"/>
      <c r="CE11" s="28"/>
    </row>
    <row r="12" spans="1:113">
      <c r="A12" s="37" t="s">
        <v>85</v>
      </c>
      <c r="B12" s="12">
        <v>7</v>
      </c>
      <c r="C12" s="12">
        <v>99</v>
      </c>
      <c r="D12" s="32">
        <v>6</v>
      </c>
      <c r="E12" s="32">
        <v>514</v>
      </c>
      <c r="F12" s="32">
        <v>6</v>
      </c>
      <c r="G12" s="32">
        <v>513</v>
      </c>
      <c r="H12" s="32">
        <v>4</v>
      </c>
      <c r="I12" s="32">
        <v>298</v>
      </c>
      <c r="J12" s="32">
        <v>1</v>
      </c>
      <c r="K12" s="32">
        <v>29</v>
      </c>
      <c r="L12" s="32">
        <v>1</v>
      </c>
      <c r="M12" s="32">
        <v>8</v>
      </c>
      <c r="N12" s="32"/>
      <c r="O12" s="32"/>
      <c r="P12" s="32">
        <v>2</v>
      </c>
      <c r="Q12" s="32">
        <v>912</v>
      </c>
      <c r="R12" s="32"/>
      <c r="S12" s="32"/>
      <c r="T12" s="32">
        <v>1</v>
      </c>
      <c r="U12" s="32">
        <v>20</v>
      </c>
      <c r="V12" s="32">
        <v>1</v>
      </c>
      <c r="W12" s="32">
        <v>21</v>
      </c>
      <c r="X12" s="32"/>
      <c r="Y12" s="32"/>
      <c r="Z12" s="32">
        <v>3</v>
      </c>
      <c r="AA12" s="32">
        <v>118</v>
      </c>
      <c r="AB12" s="32">
        <v>1</v>
      </c>
      <c r="AC12" s="32">
        <v>212</v>
      </c>
      <c r="AD12" s="32"/>
      <c r="AE12" s="32"/>
      <c r="AF12" s="32"/>
      <c r="AG12" s="32"/>
      <c r="AH12" s="32"/>
      <c r="AI12" s="32"/>
      <c r="AJ12" s="32">
        <v>8</v>
      </c>
      <c r="AK12" s="32">
        <v>2591</v>
      </c>
      <c r="AL12" s="32"/>
      <c r="AM12" s="32"/>
      <c r="AN12" s="32">
        <v>1</v>
      </c>
      <c r="AO12" s="32">
        <v>116</v>
      </c>
      <c r="AP12" s="32"/>
      <c r="AQ12" s="32"/>
      <c r="AR12" s="32"/>
      <c r="AS12" s="32"/>
      <c r="AT12" s="32"/>
      <c r="AU12" s="32"/>
      <c r="AV12" s="32"/>
      <c r="AW12" s="32"/>
      <c r="AX12" s="32"/>
      <c r="AY12" s="32"/>
      <c r="AZ12" s="32"/>
      <c r="BA12" s="32"/>
      <c r="BB12" s="32"/>
      <c r="BC12" s="32"/>
      <c r="BD12" s="32"/>
      <c r="BE12" s="32"/>
      <c r="BF12" s="32"/>
      <c r="BG12" s="32"/>
      <c r="BH12" s="32"/>
      <c r="BI12" s="32"/>
      <c r="BJ12" s="32"/>
      <c r="BK12" s="32"/>
      <c r="BL12" s="32">
        <v>2</v>
      </c>
      <c r="BM12" s="32">
        <v>49</v>
      </c>
      <c r="BN12" s="32">
        <v>1</v>
      </c>
      <c r="BO12" s="32">
        <v>9</v>
      </c>
      <c r="BP12" s="32"/>
      <c r="BQ12" s="32"/>
      <c r="BR12" s="70">
        <f t="shared" si="0"/>
        <v>45</v>
      </c>
      <c r="BS12" s="70">
        <f t="shared" si="0"/>
        <v>5509</v>
      </c>
      <c r="BT12" s="33"/>
      <c r="CD12" s="28"/>
      <c r="CE12" s="28"/>
    </row>
    <row r="13" spans="1:113">
      <c r="A13" s="40" t="s">
        <v>86</v>
      </c>
      <c r="B13" s="41">
        <v>1</v>
      </c>
      <c r="C13" s="41">
        <v>8</v>
      </c>
      <c r="D13" s="42">
        <v>28</v>
      </c>
      <c r="E13" s="42">
        <v>2098</v>
      </c>
      <c r="F13" s="42">
        <v>15</v>
      </c>
      <c r="G13" s="42">
        <v>2197</v>
      </c>
      <c r="H13" s="42">
        <v>16</v>
      </c>
      <c r="I13" s="42">
        <v>1991</v>
      </c>
      <c r="J13" s="42"/>
      <c r="K13" s="42"/>
      <c r="L13" s="42">
        <v>1</v>
      </c>
      <c r="M13" s="42">
        <v>12</v>
      </c>
      <c r="N13" s="42">
        <v>1</v>
      </c>
      <c r="O13" s="42">
        <v>780</v>
      </c>
      <c r="P13" s="42"/>
      <c r="Q13" s="42"/>
      <c r="R13" s="42"/>
      <c r="S13" s="42"/>
      <c r="T13" s="42">
        <v>3</v>
      </c>
      <c r="U13" s="42">
        <v>44</v>
      </c>
      <c r="V13" s="42"/>
      <c r="W13" s="42"/>
      <c r="X13" s="42">
        <v>1</v>
      </c>
      <c r="Y13" s="42">
        <v>16</v>
      </c>
      <c r="Z13" s="42">
        <v>1</v>
      </c>
      <c r="AA13" s="42">
        <v>13</v>
      </c>
      <c r="AB13" s="42"/>
      <c r="AC13" s="42"/>
      <c r="AD13" s="42"/>
      <c r="AE13" s="42"/>
      <c r="AF13" s="42"/>
      <c r="AG13" s="42"/>
      <c r="AH13" s="42">
        <v>6</v>
      </c>
      <c r="AI13" s="42">
        <v>1238</v>
      </c>
      <c r="AJ13" s="42">
        <v>15</v>
      </c>
      <c r="AK13" s="42">
        <v>8105</v>
      </c>
      <c r="AL13" s="42">
        <v>4</v>
      </c>
      <c r="AM13" s="42">
        <v>1887</v>
      </c>
      <c r="AN13" s="42"/>
      <c r="AO13" s="42"/>
      <c r="AP13" s="42"/>
      <c r="AQ13" s="42"/>
      <c r="AR13" s="42">
        <v>1</v>
      </c>
      <c r="AS13" s="42">
        <v>270</v>
      </c>
      <c r="AT13" s="42">
        <v>3</v>
      </c>
      <c r="AU13" s="42">
        <v>610</v>
      </c>
      <c r="AV13" s="42">
        <v>4</v>
      </c>
      <c r="AW13" s="42">
        <v>1908</v>
      </c>
      <c r="AX13" s="42"/>
      <c r="AY13" s="42"/>
      <c r="AZ13" s="42">
        <v>1</v>
      </c>
      <c r="BA13" s="42">
        <v>84</v>
      </c>
      <c r="BB13" s="42">
        <v>2</v>
      </c>
      <c r="BC13" s="42">
        <v>296</v>
      </c>
      <c r="BD13" s="42">
        <v>1</v>
      </c>
      <c r="BE13" s="42">
        <v>19</v>
      </c>
      <c r="BF13" s="42">
        <v>3</v>
      </c>
      <c r="BG13" s="42">
        <v>280</v>
      </c>
      <c r="BH13" s="42">
        <v>1</v>
      </c>
      <c r="BI13" s="42">
        <v>258</v>
      </c>
      <c r="BJ13" s="42">
        <v>1</v>
      </c>
      <c r="BK13" s="42">
        <v>42</v>
      </c>
      <c r="BL13" s="42"/>
      <c r="BM13" s="42"/>
      <c r="BN13" s="42"/>
      <c r="BO13" s="42"/>
      <c r="BP13" s="42">
        <v>1</v>
      </c>
      <c r="BQ13" s="42">
        <v>400</v>
      </c>
      <c r="BR13" s="71">
        <f t="shared" si="0"/>
        <v>110</v>
      </c>
      <c r="BS13" s="71">
        <f t="shared" si="0"/>
        <v>22556</v>
      </c>
      <c r="BT13" s="33"/>
      <c r="CD13" s="28"/>
      <c r="CE13" s="28"/>
    </row>
    <row r="14" spans="1:113">
      <c r="A14" s="37" t="s">
        <v>87</v>
      </c>
      <c r="B14" s="12">
        <v>10</v>
      </c>
      <c r="C14" s="12">
        <v>181</v>
      </c>
      <c r="D14" s="32">
        <v>38</v>
      </c>
      <c r="E14" s="32">
        <v>2108</v>
      </c>
      <c r="F14" s="32">
        <v>15</v>
      </c>
      <c r="G14" s="32">
        <v>1856</v>
      </c>
      <c r="H14" s="32">
        <v>11</v>
      </c>
      <c r="I14" s="32">
        <v>1362</v>
      </c>
      <c r="J14" s="32"/>
      <c r="K14" s="32"/>
      <c r="L14" s="32">
        <v>1</v>
      </c>
      <c r="M14" s="32">
        <v>18</v>
      </c>
      <c r="N14" s="32">
        <v>3</v>
      </c>
      <c r="O14" s="32">
        <v>2001</v>
      </c>
      <c r="P14" s="32">
        <v>1</v>
      </c>
      <c r="Q14" s="32">
        <v>400</v>
      </c>
      <c r="R14" s="32">
        <v>3</v>
      </c>
      <c r="S14" s="32">
        <v>89</v>
      </c>
      <c r="T14" s="32">
        <v>5</v>
      </c>
      <c r="U14" s="32">
        <v>154</v>
      </c>
      <c r="V14" s="32">
        <v>4</v>
      </c>
      <c r="W14" s="32">
        <v>262</v>
      </c>
      <c r="X14" s="32"/>
      <c r="Y14" s="32"/>
      <c r="Z14" s="32">
        <v>6</v>
      </c>
      <c r="AA14" s="32">
        <v>246</v>
      </c>
      <c r="AB14" s="32">
        <v>7</v>
      </c>
      <c r="AC14" s="32">
        <v>283</v>
      </c>
      <c r="AD14" s="32"/>
      <c r="AE14" s="32"/>
      <c r="AF14" s="32"/>
      <c r="AG14" s="32"/>
      <c r="AH14" s="32">
        <v>3</v>
      </c>
      <c r="AI14" s="32">
        <v>554</v>
      </c>
      <c r="AJ14" s="32">
        <v>14</v>
      </c>
      <c r="AK14" s="32">
        <v>6494</v>
      </c>
      <c r="AL14" s="32">
        <v>5</v>
      </c>
      <c r="AM14" s="32">
        <v>1842</v>
      </c>
      <c r="AN14" s="32">
        <v>2</v>
      </c>
      <c r="AO14" s="32">
        <v>568</v>
      </c>
      <c r="AP14" s="32"/>
      <c r="AQ14" s="32"/>
      <c r="AR14" s="32"/>
      <c r="AS14" s="32"/>
      <c r="AT14" s="32">
        <v>3</v>
      </c>
      <c r="AU14" s="32">
        <v>770</v>
      </c>
      <c r="AV14" s="32">
        <v>2</v>
      </c>
      <c r="AW14" s="32">
        <v>326</v>
      </c>
      <c r="AX14" s="32"/>
      <c r="AY14" s="32"/>
      <c r="AZ14" s="32">
        <v>1</v>
      </c>
      <c r="BA14" s="32">
        <v>140</v>
      </c>
      <c r="BB14" s="32">
        <v>3</v>
      </c>
      <c r="BC14" s="32">
        <v>417</v>
      </c>
      <c r="BD14" s="32"/>
      <c r="BE14" s="32"/>
      <c r="BF14" s="32">
        <v>1</v>
      </c>
      <c r="BG14" s="32">
        <v>84</v>
      </c>
      <c r="BH14" s="32"/>
      <c r="BI14" s="32"/>
      <c r="BJ14" s="32"/>
      <c r="BK14" s="32"/>
      <c r="BL14" s="32">
        <v>1</v>
      </c>
      <c r="BM14" s="32">
        <v>29</v>
      </c>
      <c r="BN14" s="32"/>
      <c r="BO14" s="32"/>
      <c r="BP14" s="32">
        <v>3</v>
      </c>
      <c r="BQ14" s="32">
        <v>924</v>
      </c>
      <c r="BR14" s="70">
        <f t="shared" si="0"/>
        <v>142</v>
      </c>
      <c r="BS14" s="70">
        <f t="shared" si="0"/>
        <v>21108</v>
      </c>
      <c r="BT14" s="33"/>
      <c r="CD14" s="28"/>
      <c r="CE14" s="28"/>
    </row>
    <row r="15" spans="1:113" s="28" customFormat="1">
      <c r="A15" s="73" t="s">
        <v>218</v>
      </c>
      <c r="B15" s="39">
        <f>SUM(B10:B14)</f>
        <v>20</v>
      </c>
      <c r="C15" s="39">
        <f>SUM(C10:C14)</f>
        <v>332</v>
      </c>
      <c r="D15" s="39">
        <f>SUM(D10:D14)</f>
        <v>137</v>
      </c>
      <c r="E15" s="39">
        <f t="shared" ref="E15:BJ15" si="1">SUM(E10:E14)</f>
        <v>9023</v>
      </c>
      <c r="F15" s="39">
        <f t="shared" si="1"/>
        <v>62</v>
      </c>
      <c r="G15" s="39">
        <f t="shared" si="1"/>
        <v>7369</v>
      </c>
      <c r="H15" s="39">
        <f t="shared" si="1"/>
        <v>38</v>
      </c>
      <c r="I15" s="39">
        <f t="shared" si="1"/>
        <v>4971</v>
      </c>
      <c r="J15" s="39">
        <f t="shared" si="1"/>
        <v>1</v>
      </c>
      <c r="K15" s="39">
        <f t="shared" si="1"/>
        <v>29</v>
      </c>
      <c r="L15" s="39">
        <f t="shared" si="1"/>
        <v>28</v>
      </c>
      <c r="M15" s="39">
        <f t="shared" si="1"/>
        <v>529</v>
      </c>
      <c r="N15" s="39">
        <f t="shared" si="1"/>
        <v>4</v>
      </c>
      <c r="O15" s="39">
        <f t="shared" si="1"/>
        <v>2781</v>
      </c>
      <c r="P15" s="39">
        <f t="shared" si="1"/>
        <v>3</v>
      </c>
      <c r="Q15" s="39">
        <f t="shared" si="1"/>
        <v>1312</v>
      </c>
      <c r="R15" s="39">
        <f t="shared" si="1"/>
        <v>3</v>
      </c>
      <c r="S15" s="39">
        <f t="shared" si="1"/>
        <v>89</v>
      </c>
      <c r="T15" s="39">
        <f t="shared" si="1"/>
        <v>13</v>
      </c>
      <c r="U15" s="39">
        <f t="shared" si="1"/>
        <v>395</v>
      </c>
      <c r="V15" s="39">
        <f t="shared" si="1"/>
        <v>9</v>
      </c>
      <c r="W15" s="39">
        <f t="shared" si="1"/>
        <v>656</v>
      </c>
      <c r="X15" s="39">
        <f t="shared" si="1"/>
        <v>1</v>
      </c>
      <c r="Y15" s="39">
        <f t="shared" si="1"/>
        <v>16</v>
      </c>
      <c r="Z15" s="39">
        <f t="shared" si="1"/>
        <v>38</v>
      </c>
      <c r="AA15" s="39">
        <v>1889</v>
      </c>
      <c r="AB15" s="39">
        <f t="shared" si="1"/>
        <v>24</v>
      </c>
      <c r="AC15" s="39">
        <f t="shared" si="1"/>
        <v>1699</v>
      </c>
      <c r="AD15" s="39">
        <f t="shared" si="1"/>
        <v>2</v>
      </c>
      <c r="AE15" s="39">
        <f t="shared" si="1"/>
        <v>71</v>
      </c>
      <c r="AF15" s="39">
        <f t="shared" si="1"/>
        <v>6</v>
      </c>
      <c r="AG15" s="39">
        <f t="shared" si="1"/>
        <v>472</v>
      </c>
      <c r="AH15" s="39">
        <f t="shared" si="1"/>
        <v>24</v>
      </c>
      <c r="AI15" s="39">
        <f t="shared" si="1"/>
        <v>6041</v>
      </c>
      <c r="AJ15" s="39">
        <f t="shared" si="1"/>
        <v>51</v>
      </c>
      <c r="AK15" s="39">
        <f t="shared" si="1"/>
        <v>21936</v>
      </c>
      <c r="AL15" s="39">
        <f t="shared" si="1"/>
        <v>18</v>
      </c>
      <c r="AM15" s="39">
        <f t="shared" si="1"/>
        <v>6728</v>
      </c>
      <c r="AN15" s="39">
        <f t="shared" si="1"/>
        <v>5</v>
      </c>
      <c r="AO15" s="39">
        <f t="shared" si="1"/>
        <v>1012</v>
      </c>
      <c r="AP15" s="39">
        <f t="shared" si="1"/>
        <v>1</v>
      </c>
      <c r="AQ15" s="39">
        <f t="shared" si="1"/>
        <v>104</v>
      </c>
      <c r="AR15" s="39">
        <f t="shared" si="1"/>
        <v>2</v>
      </c>
      <c r="AS15" s="39">
        <f t="shared" si="1"/>
        <v>483</v>
      </c>
      <c r="AT15" s="39">
        <f t="shared" si="1"/>
        <v>10</v>
      </c>
      <c r="AU15" s="39">
        <f t="shared" si="1"/>
        <v>3004</v>
      </c>
      <c r="AV15" s="39">
        <f t="shared" si="1"/>
        <v>8</v>
      </c>
      <c r="AW15" s="39">
        <f t="shared" si="1"/>
        <v>2572</v>
      </c>
      <c r="AX15" s="39">
        <f t="shared" si="1"/>
        <v>7</v>
      </c>
      <c r="AY15" s="39">
        <f t="shared" si="1"/>
        <v>581</v>
      </c>
      <c r="AZ15" s="39">
        <f t="shared" si="1"/>
        <v>9</v>
      </c>
      <c r="BA15" s="39">
        <f t="shared" si="1"/>
        <v>1311</v>
      </c>
      <c r="BB15" s="39">
        <f t="shared" si="1"/>
        <v>5</v>
      </c>
      <c r="BC15" s="39">
        <f t="shared" si="1"/>
        <v>713</v>
      </c>
      <c r="BD15" s="39">
        <f t="shared" si="1"/>
        <v>2</v>
      </c>
      <c r="BE15" s="39">
        <f t="shared" si="1"/>
        <v>218</v>
      </c>
      <c r="BF15" s="39">
        <f>SUM(BF10:BF14)</f>
        <v>5</v>
      </c>
      <c r="BG15" s="39">
        <f>SUM(BG10:BG14)</f>
        <v>548</v>
      </c>
      <c r="BH15" s="39">
        <f>SUM(BH10:BH14)</f>
        <v>1</v>
      </c>
      <c r="BI15" s="39">
        <f>SUM(BI10:BI14)</f>
        <v>258</v>
      </c>
      <c r="BJ15" s="39">
        <f t="shared" si="1"/>
        <v>1</v>
      </c>
      <c r="BK15" s="39">
        <f t="shared" ref="BK15:BS15" si="2">SUM(BK10:BK14)</f>
        <v>42</v>
      </c>
      <c r="BL15" s="39">
        <f t="shared" si="2"/>
        <v>5</v>
      </c>
      <c r="BM15" s="39">
        <f t="shared" si="2"/>
        <v>124</v>
      </c>
      <c r="BN15" s="39">
        <f t="shared" si="2"/>
        <v>2</v>
      </c>
      <c r="BO15" s="39">
        <f t="shared" si="2"/>
        <v>19</v>
      </c>
      <c r="BP15" s="39">
        <f t="shared" si="2"/>
        <v>5</v>
      </c>
      <c r="BQ15" s="39">
        <f t="shared" si="2"/>
        <v>1598</v>
      </c>
      <c r="BR15" s="39">
        <f t="shared" si="2"/>
        <v>550</v>
      </c>
      <c r="BS15" s="39">
        <f t="shared" si="2"/>
        <v>78925</v>
      </c>
      <c r="BT15" s="33"/>
    </row>
    <row r="16" spans="1:113">
      <c r="A16" s="62" t="s">
        <v>134</v>
      </c>
      <c r="B16" s="27"/>
      <c r="C16" s="27"/>
      <c r="BV16" s="33"/>
      <c r="CD16" s="35"/>
      <c r="CE16" s="35"/>
    </row>
    <row r="17" spans="1:83">
      <c r="A17" s="63" t="s">
        <v>135</v>
      </c>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CD17" s="28"/>
      <c r="CE17" s="28"/>
    </row>
    <row r="18" spans="1:83">
      <c r="A18" s="63" t="s">
        <v>136</v>
      </c>
      <c r="B18" s="27"/>
      <c r="C18" s="27"/>
      <c r="T18" s="33"/>
      <c r="U18" s="33"/>
      <c r="AF18" s="33"/>
      <c r="AG18" s="33"/>
      <c r="AR18" s="33"/>
      <c r="AS18" s="33"/>
      <c r="BP18" s="33"/>
      <c r="BQ18" s="33"/>
      <c r="CD18" s="28"/>
      <c r="CE18" s="28"/>
    </row>
  </sheetData>
  <sheetProtection password="C1A8" sheet="1"/>
  <mergeCells count="36">
    <mergeCell ref="AV7:AW7"/>
    <mergeCell ref="AX7:AY7"/>
    <mergeCell ref="AZ7:BA7"/>
    <mergeCell ref="BB7:BC7"/>
    <mergeCell ref="BD7:BE7"/>
    <mergeCell ref="BR7:BS7"/>
    <mergeCell ref="BF7:BG7"/>
    <mergeCell ref="BH7:BI7"/>
    <mergeCell ref="BJ7:BK7"/>
    <mergeCell ref="BL7:BM7"/>
    <mergeCell ref="BN7:BO7"/>
    <mergeCell ref="BP7:BQ7"/>
    <mergeCell ref="T7:U7"/>
    <mergeCell ref="V7:W7"/>
    <mergeCell ref="AT7:AU7"/>
    <mergeCell ref="X7:Y7"/>
    <mergeCell ref="Z7:AA7"/>
    <mergeCell ref="AB7:AC7"/>
    <mergeCell ref="AD7:AE7"/>
    <mergeCell ref="AF7:AG7"/>
    <mergeCell ref="AH7:AI7"/>
    <mergeCell ref="AJ7:AK7"/>
    <mergeCell ref="AL7:AM7"/>
    <mergeCell ref="AN7:AO7"/>
    <mergeCell ref="AP7:AQ7"/>
    <mergeCell ref="AR7:AS7"/>
    <mergeCell ref="J7:K7"/>
    <mergeCell ref="L7:M7"/>
    <mergeCell ref="N7:O7"/>
    <mergeCell ref="P7:Q7"/>
    <mergeCell ref="R7:S7"/>
    <mergeCell ref="A7:A8"/>
    <mergeCell ref="B7:C7"/>
    <mergeCell ref="D7:E7"/>
    <mergeCell ref="F7:G7"/>
    <mergeCell ref="H7:I7"/>
  </mergeCells>
  <conditionalFormatting sqref="A16:A18">
    <cfRule type="expression" priority="1">
      <formula>SI(0," ")</formula>
    </cfRule>
  </conditionalFormatting>
  <conditionalFormatting sqref="A6:Y8 BT6:IV8 Z6:BS15 F7:BS7 A7:A9 CG9:IV17 A10:Y15 E15:BS15">
    <cfRule type="expression" priority="4">
      <formula>SI(0," ")</formula>
    </cfRule>
  </conditionalFormatting>
  <conditionalFormatting sqref="J3">
    <cfRule type="expression" priority="3">
      <formula>SI(#REF!," ")</formula>
    </cfRule>
  </conditionalFormatting>
  <pageMargins left="0.70866141732283472" right="0.70866141732283472" top="0.74803149606299213" bottom="0.74803149606299213" header="0.31496062992125984" footer="0.31496062992125984"/>
  <pageSetup paperSize="8" scale="8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3:M44"/>
  <sheetViews>
    <sheetView showGridLines="0" zoomScaleNormal="100" zoomScaleSheetLayoutView="91" workbookViewId="0"/>
  </sheetViews>
  <sheetFormatPr baseColWidth="10" defaultRowHeight="15"/>
  <cols>
    <col min="1" max="1" width="14.7109375" customWidth="1"/>
    <col min="2" max="2" width="11.5703125" customWidth="1"/>
    <col min="3" max="3" width="17" bestFit="1" customWidth="1"/>
    <col min="4" max="4" width="15.140625" bestFit="1" customWidth="1"/>
    <col min="5" max="5" width="14" bestFit="1" customWidth="1"/>
    <col min="6" max="6" width="11.140625" bestFit="1" customWidth="1"/>
    <col min="8" max="9" width="14.7109375" customWidth="1"/>
    <col min="10" max="10" width="17" bestFit="1" customWidth="1"/>
    <col min="11" max="11" width="15.140625" bestFit="1" customWidth="1"/>
    <col min="12" max="12" width="14" bestFit="1" customWidth="1"/>
    <col min="13" max="13" width="11.140625" bestFit="1" customWidth="1"/>
  </cols>
  <sheetData>
    <row r="3" spans="1:13" ht="16.5">
      <c r="A3" s="2" t="s">
        <v>77</v>
      </c>
      <c r="B3" s="3"/>
      <c r="C3" s="4"/>
      <c r="D3" s="4"/>
      <c r="E3" s="4"/>
    </row>
    <row r="4" spans="1:13" ht="16.5">
      <c r="A4" s="7" t="s">
        <v>78</v>
      </c>
      <c r="B4" s="3"/>
      <c r="C4" s="4"/>
      <c r="D4" s="4"/>
      <c r="E4" s="4"/>
    </row>
    <row r="5" spans="1:13" ht="16.5">
      <c r="A5" s="7" t="s">
        <v>79</v>
      </c>
      <c r="B5" s="3"/>
      <c r="C5" s="4"/>
      <c r="D5" s="4"/>
      <c r="E5" s="4"/>
    </row>
    <row r="8" spans="1:13" s="112" customFormat="1" ht="12.75">
      <c r="A8" s="149" t="s">
        <v>0</v>
      </c>
      <c r="B8" s="149"/>
      <c r="C8" s="110" t="s">
        <v>1</v>
      </c>
      <c r="D8" s="110" t="s">
        <v>2</v>
      </c>
      <c r="E8" s="110" t="s">
        <v>3</v>
      </c>
      <c r="F8" s="110" t="s">
        <v>4</v>
      </c>
      <c r="H8" s="149" t="s">
        <v>0</v>
      </c>
      <c r="I8" s="149"/>
      <c r="J8" s="110" t="s">
        <v>1</v>
      </c>
      <c r="K8" s="110" t="s">
        <v>2</v>
      </c>
      <c r="L8" s="110" t="s">
        <v>3</v>
      </c>
      <c r="M8" s="110" t="s">
        <v>4</v>
      </c>
    </row>
    <row r="9" spans="1:13" s="112" customFormat="1" ht="12.75">
      <c r="A9" s="150" t="s">
        <v>5</v>
      </c>
      <c r="B9" s="150"/>
      <c r="C9" s="111" t="s">
        <v>6</v>
      </c>
      <c r="D9" s="111" t="s">
        <v>7</v>
      </c>
      <c r="E9" s="111" t="s">
        <v>8</v>
      </c>
      <c r="F9" s="111" t="s">
        <v>9</v>
      </c>
      <c r="G9" s="6"/>
      <c r="H9" s="150" t="s">
        <v>5</v>
      </c>
      <c r="I9" s="150"/>
      <c r="J9" s="111" t="s">
        <v>6</v>
      </c>
      <c r="K9" s="111" t="s">
        <v>7</v>
      </c>
      <c r="L9" s="111" t="s">
        <v>8</v>
      </c>
      <c r="M9" s="111" t="s">
        <v>9</v>
      </c>
    </row>
    <row r="10" spans="1:13" s="112" customFormat="1" ht="12.75">
      <c r="A10" s="150" t="s">
        <v>10</v>
      </c>
      <c r="B10" s="150"/>
      <c r="C10" s="111" t="s">
        <v>11</v>
      </c>
      <c r="D10" s="111" t="s">
        <v>12</v>
      </c>
      <c r="E10" s="111" t="s">
        <v>13</v>
      </c>
      <c r="F10" s="111" t="s">
        <v>14</v>
      </c>
      <c r="G10" s="6"/>
      <c r="H10" s="150" t="s">
        <v>10</v>
      </c>
      <c r="I10" s="150"/>
      <c r="J10" s="111" t="s">
        <v>11</v>
      </c>
      <c r="K10" s="111" t="s">
        <v>12</v>
      </c>
      <c r="L10" s="111" t="s">
        <v>13</v>
      </c>
      <c r="M10" s="111" t="s">
        <v>14</v>
      </c>
    </row>
    <row r="11" spans="1:13">
      <c r="A11" s="151" t="s">
        <v>72</v>
      </c>
      <c r="B11" s="151"/>
      <c r="C11" s="12">
        <v>142</v>
      </c>
      <c r="D11" s="12">
        <v>3004</v>
      </c>
      <c r="E11" s="12">
        <v>9107</v>
      </c>
      <c r="F11" s="13">
        <f>E11/E15</f>
        <v>0.37669589675711451</v>
      </c>
      <c r="G11" s="6"/>
      <c r="H11" s="151" t="s">
        <v>16</v>
      </c>
      <c r="I11" s="151"/>
      <c r="J11" s="12">
        <v>1</v>
      </c>
      <c r="K11" s="12">
        <v>54</v>
      </c>
      <c r="L11" s="12">
        <v>104</v>
      </c>
      <c r="M11" s="13">
        <v>1.4999999999999999E-2</v>
      </c>
    </row>
    <row r="12" spans="1:13">
      <c r="A12" s="145" t="s">
        <v>73</v>
      </c>
      <c r="B12" s="145"/>
      <c r="C12" s="12">
        <v>65</v>
      </c>
      <c r="D12" s="12">
        <v>2685</v>
      </c>
      <c r="E12" s="12">
        <v>7468</v>
      </c>
      <c r="F12" s="26">
        <v>0.309</v>
      </c>
      <c r="H12" s="145" t="s">
        <v>18</v>
      </c>
      <c r="I12" s="145"/>
      <c r="J12" s="12">
        <v>2</v>
      </c>
      <c r="K12" s="12">
        <v>219</v>
      </c>
      <c r="L12" s="12">
        <v>483</v>
      </c>
      <c r="M12" s="13">
        <v>6.8000000000000005E-2</v>
      </c>
    </row>
    <row r="13" spans="1:13">
      <c r="A13" s="145" t="s">
        <v>74</v>
      </c>
      <c r="B13" s="145"/>
      <c r="C13" s="12">
        <v>36</v>
      </c>
      <c r="D13" s="12">
        <v>1611</v>
      </c>
      <c r="E13" s="12">
        <v>7572</v>
      </c>
      <c r="F13" s="26">
        <v>0.313</v>
      </c>
      <c r="H13" s="145" t="s">
        <v>20</v>
      </c>
      <c r="I13" s="145"/>
      <c r="J13" s="12">
        <v>12</v>
      </c>
      <c r="K13" s="12">
        <v>2235</v>
      </c>
      <c r="L13" s="12">
        <v>4652</v>
      </c>
      <c r="M13" s="13">
        <v>0.65500000000000003</v>
      </c>
    </row>
    <row r="14" spans="1:13">
      <c r="A14" s="145" t="s">
        <v>75</v>
      </c>
      <c r="B14" s="145"/>
      <c r="C14" s="12">
        <v>1</v>
      </c>
      <c r="D14" s="12">
        <v>9</v>
      </c>
      <c r="E14" s="12">
        <v>29</v>
      </c>
      <c r="F14" s="26">
        <v>1E-3</v>
      </c>
      <c r="H14" s="145" t="s">
        <v>22</v>
      </c>
      <c r="I14" s="145"/>
      <c r="J14" s="12">
        <v>7</v>
      </c>
      <c r="K14" s="12">
        <v>881</v>
      </c>
      <c r="L14" s="12">
        <v>1861</v>
      </c>
      <c r="M14" s="13">
        <v>0.26200000000000001</v>
      </c>
    </row>
    <row r="15" spans="1:13">
      <c r="A15" s="146" t="s">
        <v>76</v>
      </c>
      <c r="B15" s="146"/>
      <c r="C15" s="17">
        <v>244</v>
      </c>
      <c r="D15" s="18">
        <v>7309</v>
      </c>
      <c r="E15" s="18">
        <v>24176</v>
      </c>
      <c r="F15" s="23">
        <v>1</v>
      </c>
      <c r="H15" s="145" t="s">
        <v>24</v>
      </c>
      <c r="I15" s="145"/>
      <c r="J15" s="12"/>
      <c r="K15" s="12"/>
      <c r="L15" s="12"/>
      <c r="M15" s="13"/>
    </row>
    <row r="16" spans="1:13">
      <c r="A16" s="147"/>
      <c r="B16" s="147"/>
      <c r="C16" s="11"/>
      <c r="D16" s="15"/>
      <c r="E16" s="15"/>
      <c r="F16" s="24"/>
      <c r="H16" s="146" t="s">
        <v>25</v>
      </c>
      <c r="I16" s="146"/>
      <c r="J16" s="18">
        <v>22</v>
      </c>
      <c r="K16" s="18">
        <v>3389</v>
      </c>
      <c r="L16" s="18">
        <v>7100</v>
      </c>
      <c r="M16" s="19">
        <v>1</v>
      </c>
    </row>
    <row r="17" spans="1:13">
      <c r="A17" s="146" t="s">
        <v>26</v>
      </c>
      <c r="B17" s="146"/>
      <c r="C17" s="18">
        <v>3</v>
      </c>
      <c r="D17" s="18">
        <v>38</v>
      </c>
      <c r="E17" s="18">
        <v>76</v>
      </c>
      <c r="F17" s="23">
        <v>1</v>
      </c>
      <c r="H17" s="147"/>
      <c r="I17" s="147"/>
      <c r="J17" s="15"/>
      <c r="K17" s="15"/>
      <c r="L17" s="15"/>
      <c r="M17" s="25"/>
    </row>
    <row r="18" spans="1:13">
      <c r="A18" s="146" t="s">
        <v>27</v>
      </c>
      <c r="B18" s="146"/>
      <c r="C18" s="18">
        <v>19</v>
      </c>
      <c r="D18" s="18">
        <v>149</v>
      </c>
      <c r="E18" s="18">
        <v>320</v>
      </c>
      <c r="F18" s="23">
        <v>1</v>
      </c>
      <c r="H18" s="145" t="s">
        <v>28</v>
      </c>
      <c r="I18" s="145"/>
      <c r="J18" s="12">
        <v>2</v>
      </c>
      <c r="K18" s="12">
        <v>50</v>
      </c>
      <c r="L18" s="12">
        <v>100</v>
      </c>
      <c r="M18" s="13">
        <v>0.11799999999999999</v>
      </c>
    </row>
    <row r="19" spans="1:13">
      <c r="A19" s="146" t="s">
        <v>29</v>
      </c>
      <c r="B19" s="146"/>
      <c r="C19" s="18"/>
      <c r="D19" s="18"/>
      <c r="E19" s="18"/>
      <c r="F19" s="23"/>
      <c r="H19" s="145" t="s">
        <v>30</v>
      </c>
      <c r="I19" s="145"/>
      <c r="J19" s="12">
        <v>3</v>
      </c>
      <c r="K19" s="12">
        <v>196</v>
      </c>
      <c r="L19" s="12">
        <v>448</v>
      </c>
      <c r="M19" s="13">
        <v>0.52800000000000002</v>
      </c>
    </row>
    <row r="20" spans="1:13">
      <c r="A20" s="145"/>
      <c r="B20" s="145"/>
      <c r="C20" s="15"/>
      <c r="D20" s="15"/>
      <c r="E20" s="15"/>
      <c r="F20" s="24"/>
      <c r="H20" s="145" t="s">
        <v>31</v>
      </c>
      <c r="I20" s="145"/>
      <c r="J20" s="12">
        <v>1</v>
      </c>
      <c r="K20" s="12">
        <v>103</v>
      </c>
      <c r="L20" s="12">
        <v>258</v>
      </c>
      <c r="M20" s="13">
        <v>0.30399999999999999</v>
      </c>
    </row>
    <row r="21" spans="1:13">
      <c r="A21" s="145" t="s">
        <v>32</v>
      </c>
      <c r="B21" s="145"/>
      <c r="C21" s="12">
        <v>1</v>
      </c>
      <c r="D21" s="12"/>
      <c r="E21" s="12">
        <v>300</v>
      </c>
      <c r="F21" s="26">
        <v>0.188</v>
      </c>
      <c r="H21" s="145" t="s">
        <v>33</v>
      </c>
      <c r="I21" s="145"/>
      <c r="J21" s="12">
        <v>1</v>
      </c>
      <c r="K21" s="12">
        <v>21</v>
      </c>
      <c r="L21" s="12">
        <v>42</v>
      </c>
      <c r="M21" s="13">
        <v>0.05</v>
      </c>
    </row>
    <row r="22" spans="1:13">
      <c r="A22" s="145" t="s">
        <v>34</v>
      </c>
      <c r="B22" s="145"/>
      <c r="C22" s="12">
        <v>3</v>
      </c>
      <c r="D22" s="1"/>
      <c r="E22" s="12">
        <v>1049</v>
      </c>
      <c r="F22" s="26">
        <v>0.65600000000000003</v>
      </c>
      <c r="H22" s="145" t="s">
        <v>35</v>
      </c>
      <c r="I22" s="145"/>
      <c r="J22" s="12"/>
      <c r="K22" s="12"/>
      <c r="L22" s="12"/>
      <c r="M22" s="13"/>
    </row>
    <row r="23" spans="1:13">
      <c r="A23" s="145" t="s">
        <v>36</v>
      </c>
      <c r="B23" s="145"/>
      <c r="C23" s="12">
        <v>1</v>
      </c>
      <c r="D23" s="1"/>
      <c r="E23" s="12">
        <v>249</v>
      </c>
      <c r="F23" s="26">
        <v>0.156</v>
      </c>
      <c r="H23" s="146" t="s">
        <v>37</v>
      </c>
      <c r="I23" s="146"/>
      <c r="J23" s="18">
        <v>7</v>
      </c>
      <c r="K23" s="18">
        <v>370</v>
      </c>
      <c r="L23" s="18">
        <v>848</v>
      </c>
      <c r="M23" s="23">
        <v>1</v>
      </c>
    </row>
    <row r="24" spans="1:13">
      <c r="A24" s="145" t="s">
        <v>38</v>
      </c>
      <c r="B24" s="145"/>
      <c r="C24" s="12"/>
      <c r="D24" s="12"/>
      <c r="E24" s="12"/>
      <c r="F24" s="22"/>
      <c r="H24" s="147"/>
      <c r="I24" s="147"/>
      <c r="J24" s="15"/>
      <c r="K24" s="15"/>
      <c r="L24" s="15"/>
      <c r="M24" s="24"/>
    </row>
    <row r="25" spans="1:13">
      <c r="A25" s="146" t="s">
        <v>39</v>
      </c>
      <c r="B25" s="146"/>
      <c r="C25" s="18">
        <v>5</v>
      </c>
      <c r="D25" s="18"/>
      <c r="E25" s="18">
        <v>1598</v>
      </c>
      <c r="F25" s="23">
        <v>1</v>
      </c>
      <c r="H25" s="145" t="s">
        <v>40</v>
      </c>
      <c r="I25" s="145"/>
      <c r="J25" s="12">
        <v>13</v>
      </c>
      <c r="K25" s="12">
        <v>185</v>
      </c>
      <c r="L25" s="12">
        <v>353</v>
      </c>
      <c r="M25" s="13">
        <v>0.29099999999999998</v>
      </c>
    </row>
    <row r="26" spans="1:13">
      <c r="A26" s="147"/>
      <c r="B26" s="147"/>
      <c r="C26" s="15"/>
      <c r="D26" s="15"/>
      <c r="E26" s="15"/>
      <c r="F26" s="24"/>
      <c r="H26" s="145" t="s">
        <v>41</v>
      </c>
      <c r="I26" s="145"/>
      <c r="J26" s="12">
        <v>9</v>
      </c>
      <c r="K26" s="12">
        <v>360</v>
      </c>
      <c r="L26" s="12">
        <v>659</v>
      </c>
      <c r="M26" s="13">
        <v>0.54400000000000004</v>
      </c>
    </row>
    <row r="27" spans="1:13">
      <c r="A27" s="145" t="s">
        <v>42</v>
      </c>
      <c r="B27" s="145"/>
      <c r="C27" s="12"/>
      <c r="D27" s="12"/>
      <c r="E27" s="12"/>
      <c r="F27" s="22"/>
      <c r="H27" s="145" t="s">
        <v>43</v>
      </c>
      <c r="I27" s="145"/>
      <c r="J27" s="12">
        <v>2</v>
      </c>
      <c r="K27" s="12">
        <v>97</v>
      </c>
      <c r="L27" s="12">
        <v>200</v>
      </c>
      <c r="M27" s="13">
        <v>0.16500000000000001</v>
      </c>
    </row>
    <row r="28" spans="1:13">
      <c r="A28" s="145" t="s">
        <v>44</v>
      </c>
      <c r="B28" s="145"/>
      <c r="C28" s="12">
        <v>4</v>
      </c>
      <c r="D28" s="12">
        <v>1022</v>
      </c>
      <c r="E28" s="12">
        <v>2781</v>
      </c>
      <c r="F28" s="26">
        <v>0.67900000000000005</v>
      </c>
      <c r="H28" s="146" t="s">
        <v>45</v>
      </c>
      <c r="I28" s="146"/>
      <c r="J28" s="18">
        <v>24</v>
      </c>
      <c r="K28" s="18">
        <v>642</v>
      </c>
      <c r="L28" s="18">
        <v>1212</v>
      </c>
      <c r="M28" s="19">
        <v>1</v>
      </c>
    </row>
    <row r="29" spans="1:13">
      <c r="A29" s="145" t="s">
        <v>46</v>
      </c>
      <c r="B29" s="145"/>
      <c r="C29" s="12">
        <v>3</v>
      </c>
      <c r="D29" s="12">
        <v>618</v>
      </c>
      <c r="E29" s="12">
        <v>1312</v>
      </c>
      <c r="F29" s="26">
        <v>0.32100000000000001</v>
      </c>
      <c r="H29" s="147"/>
      <c r="I29" s="147"/>
      <c r="J29" s="15"/>
      <c r="K29" s="15"/>
      <c r="L29" s="15"/>
      <c r="M29" s="25"/>
    </row>
    <row r="30" spans="1:13">
      <c r="A30" s="146" t="s">
        <v>47</v>
      </c>
      <c r="B30" s="146"/>
      <c r="C30" s="18">
        <v>7</v>
      </c>
      <c r="D30" s="18">
        <v>1640</v>
      </c>
      <c r="E30" s="18">
        <v>4093</v>
      </c>
      <c r="F30" s="23">
        <v>1</v>
      </c>
      <c r="H30" s="145" t="s">
        <v>48</v>
      </c>
      <c r="I30" s="145"/>
      <c r="J30" s="12">
        <v>37</v>
      </c>
      <c r="K30" s="12">
        <v>987</v>
      </c>
      <c r="L30" s="12">
        <v>1815</v>
      </c>
      <c r="M30" s="13">
        <v>0.49</v>
      </c>
    </row>
    <row r="31" spans="1:13">
      <c r="A31" s="147"/>
      <c r="B31" s="147"/>
      <c r="C31" s="15"/>
      <c r="D31" s="15"/>
      <c r="E31" s="15"/>
      <c r="F31" s="24"/>
      <c r="H31" s="145" t="s">
        <v>49</v>
      </c>
      <c r="I31" s="145"/>
      <c r="J31" s="12">
        <v>27</v>
      </c>
      <c r="K31" s="12">
        <v>953</v>
      </c>
      <c r="L31" s="12">
        <v>1820</v>
      </c>
      <c r="M31" s="13">
        <v>0.49099999999999999</v>
      </c>
    </row>
    <row r="32" spans="1:13">
      <c r="A32" s="145" t="s">
        <v>50</v>
      </c>
      <c r="B32" s="145"/>
      <c r="C32" s="12">
        <v>4</v>
      </c>
      <c r="D32" s="12">
        <v>153</v>
      </c>
      <c r="E32" s="12">
        <v>270</v>
      </c>
      <c r="F32" s="26">
        <f>E32/$E$37</f>
        <v>8.0026082575061497E-3</v>
      </c>
      <c r="H32" s="145" t="s">
        <v>51</v>
      </c>
      <c r="I32" s="145"/>
      <c r="J32" s="12">
        <v>2</v>
      </c>
      <c r="K32" s="12">
        <v>37</v>
      </c>
      <c r="L32" s="12">
        <v>71</v>
      </c>
      <c r="M32" s="13">
        <v>1.9E-2</v>
      </c>
    </row>
    <row r="33" spans="1:13">
      <c r="A33" s="145" t="s">
        <v>52</v>
      </c>
      <c r="B33" s="145"/>
      <c r="C33" s="12">
        <v>24</v>
      </c>
      <c r="D33" s="12">
        <v>3134</v>
      </c>
      <c r="E33" s="12">
        <v>5885</v>
      </c>
      <c r="F33" s="26">
        <f>E33/$E$37</f>
        <v>0.17442722072379147</v>
      </c>
      <c r="H33" s="145"/>
      <c r="I33" s="145"/>
      <c r="J33" s="12"/>
      <c r="K33" s="12"/>
      <c r="L33" s="12"/>
      <c r="M33" s="13"/>
    </row>
    <row r="34" spans="1:13">
      <c r="A34" s="145" t="s">
        <v>54</v>
      </c>
      <c r="B34" s="145"/>
      <c r="C34" s="12">
        <v>51</v>
      </c>
      <c r="D34" s="12">
        <v>11038</v>
      </c>
      <c r="E34" s="12">
        <v>21027</v>
      </c>
      <c r="F34" s="26">
        <f>E34/$E$37</f>
        <v>0.62322534752067338</v>
      </c>
      <c r="H34" s="146" t="s">
        <v>53</v>
      </c>
      <c r="I34" s="146"/>
      <c r="J34" s="18">
        <v>66</v>
      </c>
      <c r="K34" s="18">
        <v>1977</v>
      </c>
      <c r="L34" s="18">
        <v>3706</v>
      </c>
      <c r="M34" s="19">
        <v>1</v>
      </c>
    </row>
    <row r="35" spans="1:13">
      <c r="A35" s="145" t="s">
        <v>91</v>
      </c>
      <c r="B35" s="145"/>
      <c r="C35" s="12">
        <v>18</v>
      </c>
      <c r="D35" s="12">
        <v>3145</v>
      </c>
      <c r="E35" s="12">
        <v>6050</v>
      </c>
      <c r="F35" s="26">
        <f>E35/$E$37</f>
        <v>0.179317703547823</v>
      </c>
      <c r="H35" s="147"/>
      <c r="I35" s="147"/>
      <c r="J35" s="15"/>
      <c r="K35" s="15"/>
      <c r="L35" s="15"/>
      <c r="M35" s="25"/>
    </row>
    <row r="36" spans="1:13">
      <c r="A36" s="145" t="s">
        <v>57</v>
      </c>
      <c r="B36" s="145"/>
      <c r="C36" s="12">
        <v>4</v>
      </c>
      <c r="D36" s="12">
        <v>255</v>
      </c>
      <c r="E36" s="12">
        <v>507</v>
      </c>
      <c r="F36" s="26">
        <f>E36/$E$37</f>
        <v>1.5027119950205992E-2</v>
      </c>
      <c r="H36" s="146" t="s">
        <v>56</v>
      </c>
      <c r="I36" s="146"/>
      <c r="J36" s="18">
        <v>28</v>
      </c>
      <c r="K36" s="18">
        <v>296</v>
      </c>
      <c r="L36" s="18">
        <v>539</v>
      </c>
      <c r="M36" s="19">
        <v>1</v>
      </c>
    </row>
    <row r="37" spans="1:13">
      <c r="A37" s="146" t="s">
        <v>61</v>
      </c>
      <c r="B37" s="146"/>
      <c r="C37" s="18">
        <v>101</v>
      </c>
      <c r="D37" s="18">
        <v>17725</v>
      </c>
      <c r="E37" s="18">
        <v>33739</v>
      </c>
      <c r="F37" s="23">
        <v>1</v>
      </c>
      <c r="H37" s="146" t="s">
        <v>58</v>
      </c>
      <c r="I37" s="146"/>
      <c r="J37" s="18">
        <v>3</v>
      </c>
      <c r="K37" s="18">
        <v>49</v>
      </c>
      <c r="L37" s="18">
        <v>89</v>
      </c>
      <c r="M37" s="19">
        <v>1</v>
      </c>
    </row>
    <row r="38" spans="1:13">
      <c r="A38" s="147"/>
      <c r="B38" s="147"/>
      <c r="C38" s="15"/>
      <c r="D38" s="15"/>
      <c r="E38" s="15"/>
      <c r="F38" s="24"/>
      <c r="H38" s="146" t="s">
        <v>60</v>
      </c>
      <c r="I38" s="146"/>
      <c r="J38" s="18"/>
      <c r="K38" s="18"/>
      <c r="L38" s="18"/>
      <c r="M38" s="19"/>
    </row>
    <row r="39" spans="1:13">
      <c r="A39" s="145" t="s">
        <v>62</v>
      </c>
      <c r="B39" s="145"/>
      <c r="C39" s="12">
        <v>7</v>
      </c>
      <c r="D39" s="12">
        <v>316</v>
      </c>
      <c r="E39" s="12">
        <v>581</v>
      </c>
      <c r="F39" s="26">
        <v>0.20599999999999999</v>
      </c>
      <c r="H39" s="145"/>
      <c r="I39" s="145"/>
      <c r="J39" s="12"/>
      <c r="K39" s="12"/>
      <c r="L39" s="12"/>
      <c r="M39" s="25"/>
    </row>
    <row r="40" spans="1:13">
      <c r="A40" s="145" t="s">
        <v>63</v>
      </c>
      <c r="B40" s="145"/>
      <c r="C40" s="12">
        <v>9</v>
      </c>
      <c r="D40" s="12">
        <v>705</v>
      </c>
      <c r="E40" s="12">
        <v>1311</v>
      </c>
      <c r="F40" s="26">
        <v>0.46400000000000002</v>
      </c>
      <c r="H40" s="145"/>
      <c r="I40" s="145"/>
      <c r="J40" s="12"/>
      <c r="K40" s="12"/>
      <c r="L40" s="12"/>
      <c r="M40" s="12"/>
    </row>
    <row r="41" spans="1:13">
      <c r="A41" s="145" t="s">
        <v>64</v>
      </c>
      <c r="B41" s="145"/>
      <c r="C41" s="12">
        <v>5</v>
      </c>
      <c r="D41" s="12">
        <v>394</v>
      </c>
      <c r="E41" s="12">
        <v>713</v>
      </c>
      <c r="F41" s="26">
        <v>0.253</v>
      </c>
      <c r="H41" s="147"/>
      <c r="I41" s="147"/>
      <c r="J41" s="12"/>
      <c r="K41" s="12"/>
      <c r="L41" s="12"/>
      <c r="M41" s="12"/>
    </row>
    <row r="42" spans="1:13">
      <c r="A42" s="145" t="s">
        <v>93</v>
      </c>
      <c r="B42" s="145"/>
      <c r="C42" s="12">
        <v>2</v>
      </c>
      <c r="D42" s="12">
        <v>126</v>
      </c>
      <c r="E42" s="12">
        <v>218</v>
      </c>
      <c r="F42" s="26">
        <v>7.6999999999999999E-2</v>
      </c>
      <c r="H42" s="11"/>
      <c r="I42" s="11"/>
      <c r="J42" s="12"/>
      <c r="K42" s="12"/>
      <c r="L42" s="12"/>
      <c r="M42" s="14"/>
    </row>
    <row r="43" spans="1:13">
      <c r="A43" s="145" t="s">
        <v>67</v>
      </c>
      <c r="B43" s="145"/>
      <c r="C43" s="12"/>
      <c r="D43" s="12"/>
      <c r="E43" s="12"/>
      <c r="F43" s="26"/>
      <c r="H43" s="146" t="s">
        <v>65</v>
      </c>
      <c r="I43" s="146"/>
      <c r="J43" s="18">
        <v>552</v>
      </c>
      <c r="K43" s="18">
        <v>35125</v>
      </c>
      <c r="L43" s="18">
        <v>80319</v>
      </c>
      <c r="M43" s="12"/>
    </row>
    <row r="44" spans="1:13">
      <c r="A44" s="146" t="s">
        <v>68</v>
      </c>
      <c r="B44" s="146"/>
      <c r="C44" s="18">
        <v>23</v>
      </c>
      <c r="D44" s="18">
        <v>1541</v>
      </c>
      <c r="E44" s="18">
        <v>2823</v>
      </c>
      <c r="F44" s="19">
        <v>1</v>
      </c>
      <c r="H44" s="147"/>
      <c r="I44" s="147"/>
      <c r="J44" s="15"/>
      <c r="K44" s="15"/>
      <c r="L44" s="15"/>
      <c r="M44" s="13"/>
    </row>
  </sheetData>
  <sheetProtection algorithmName="SHA-512" hashValue="d3flUMiI2fajo+77R7Rb/jAIetYsmZCsIhnPJydomXzNT+Ii+g9lCRXpIw8lVtxcA6PEZRNBzfUZCB8mGUOcSw==" saltValue="TZMQ/EH5bvBPQXDGalPN2g==" spinCount="100000" sheet="1"/>
  <mergeCells count="73">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H39:I39"/>
    <mergeCell ref="H36:I36"/>
    <mergeCell ref="H37:I37"/>
    <mergeCell ref="A33:B33"/>
    <mergeCell ref="H33:I33"/>
    <mergeCell ref="A34:B34"/>
    <mergeCell ref="H34:I34"/>
    <mergeCell ref="A35:B35"/>
    <mergeCell ref="H35:I35"/>
    <mergeCell ref="A44:B44"/>
    <mergeCell ref="H44:I44"/>
    <mergeCell ref="A8:B8"/>
    <mergeCell ref="H8:I8"/>
    <mergeCell ref="A40:B40"/>
    <mergeCell ref="H40:I40"/>
    <mergeCell ref="A41:B41"/>
    <mergeCell ref="H41:I41"/>
    <mergeCell ref="A42:B42"/>
    <mergeCell ref="A43:B43"/>
    <mergeCell ref="H43:I43"/>
    <mergeCell ref="A36:B36"/>
    <mergeCell ref="A37:B37"/>
    <mergeCell ref="A38:B38"/>
    <mergeCell ref="H38:I38"/>
    <mergeCell ref="A39:B39"/>
  </mergeCells>
  <pageMargins left="0.70866141732283472" right="0.70866141732283472" top="0.74803149606299213" bottom="0.74803149606299213" header="0.31496062992125984" footer="0.31496062992125984"/>
  <pageSetup paperSize="8"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3:CC18"/>
  <sheetViews>
    <sheetView showGridLines="0" zoomScaleNormal="100" zoomScaleSheetLayoutView="91" workbookViewId="0"/>
  </sheetViews>
  <sheetFormatPr baseColWidth="10" defaultRowHeight="15"/>
  <cols>
    <col min="1" max="1" width="80.42578125" customWidth="1"/>
    <col min="2" max="75" width="8.7109375" customWidth="1"/>
    <col min="76" max="76" width="41" customWidth="1"/>
  </cols>
  <sheetData>
    <row r="3" spans="1:81" ht="16.5">
      <c r="A3" s="5" t="s">
        <v>95</v>
      </c>
      <c r="B3" s="27"/>
    </row>
    <row r="4" spans="1:81" ht="16.5">
      <c r="A4" s="30" t="s">
        <v>96</v>
      </c>
      <c r="B4" s="27"/>
    </row>
    <row r="5" spans="1:81" ht="16.5">
      <c r="A5" s="30" t="s">
        <v>97</v>
      </c>
      <c r="B5" s="27"/>
    </row>
    <row r="7" spans="1:81">
      <c r="A7" s="144" t="s">
        <v>129</v>
      </c>
      <c r="B7" s="152" t="s">
        <v>72</v>
      </c>
      <c r="C7" s="152"/>
      <c r="D7" s="152" t="s">
        <v>73</v>
      </c>
      <c r="E7" s="152"/>
      <c r="F7" s="152" t="s">
        <v>74</v>
      </c>
      <c r="G7" s="152"/>
      <c r="H7" s="152" t="s">
        <v>75</v>
      </c>
      <c r="I7" s="152"/>
      <c r="J7" s="152" t="s">
        <v>26</v>
      </c>
      <c r="K7" s="152"/>
      <c r="L7" s="152" t="s">
        <v>27</v>
      </c>
      <c r="M7" s="152"/>
      <c r="N7" s="152" t="s">
        <v>32</v>
      </c>
      <c r="O7" s="152"/>
      <c r="P7" s="152" t="s">
        <v>34</v>
      </c>
      <c r="Q7" s="152"/>
      <c r="R7" s="152" t="s">
        <v>36</v>
      </c>
      <c r="S7" s="152"/>
      <c r="T7" s="152" t="s">
        <v>44</v>
      </c>
      <c r="U7" s="152"/>
      <c r="V7" s="152" t="s">
        <v>46</v>
      </c>
      <c r="W7" s="152"/>
      <c r="X7" s="152" t="s">
        <v>50</v>
      </c>
      <c r="Y7" s="152"/>
      <c r="Z7" s="152" t="s">
        <v>52</v>
      </c>
      <c r="AA7" s="152"/>
      <c r="AB7" s="152" t="s">
        <v>54</v>
      </c>
      <c r="AC7" s="152"/>
      <c r="AD7" s="152" t="s">
        <v>55</v>
      </c>
      <c r="AE7" s="152"/>
      <c r="AF7" s="152" t="s">
        <v>57</v>
      </c>
      <c r="AG7" s="152"/>
      <c r="AH7" s="152" t="s">
        <v>62</v>
      </c>
      <c r="AI7" s="152"/>
      <c r="AJ7" s="152" t="s">
        <v>63</v>
      </c>
      <c r="AK7" s="152"/>
      <c r="AL7" s="152" t="s">
        <v>64</v>
      </c>
      <c r="AM7" s="152"/>
      <c r="AN7" s="152" t="s">
        <v>66</v>
      </c>
      <c r="AO7" s="152"/>
      <c r="AP7" s="152" t="s">
        <v>16</v>
      </c>
      <c r="AQ7" s="152"/>
      <c r="AR7" s="152" t="s">
        <v>18</v>
      </c>
      <c r="AS7" s="152"/>
      <c r="AT7" s="152" t="s">
        <v>20</v>
      </c>
      <c r="AU7" s="152"/>
      <c r="AV7" s="152" t="s">
        <v>22</v>
      </c>
      <c r="AW7" s="152"/>
      <c r="AX7" s="152" t="s">
        <v>28</v>
      </c>
      <c r="AY7" s="152"/>
      <c r="AZ7" s="152" t="s">
        <v>30</v>
      </c>
      <c r="BA7" s="152"/>
      <c r="BB7" s="152" t="s">
        <v>31</v>
      </c>
      <c r="BC7" s="152"/>
      <c r="BD7" s="152" t="s">
        <v>33</v>
      </c>
      <c r="BE7" s="152"/>
      <c r="BF7" s="152" t="s">
        <v>40</v>
      </c>
      <c r="BG7" s="152"/>
      <c r="BH7" s="152" t="s">
        <v>41</v>
      </c>
      <c r="BI7" s="152"/>
      <c r="BJ7" s="152" t="s">
        <v>43</v>
      </c>
      <c r="BK7" s="152"/>
      <c r="BL7" s="152" t="s">
        <v>48</v>
      </c>
      <c r="BM7" s="152"/>
      <c r="BN7" s="152" t="s">
        <v>49</v>
      </c>
      <c r="BO7" s="152"/>
      <c r="BP7" s="152" t="s">
        <v>51</v>
      </c>
      <c r="BQ7" s="152"/>
      <c r="BR7" s="152" t="s">
        <v>56</v>
      </c>
      <c r="BS7" s="152"/>
      <c r="BT7" s="152" t="s">
        <v>58</v>
      </c>
      <c r="BU7" s="152"/>
      <c r="BV7" s="152" t="s">
        <v>65</v>
      </c>
      <c r="BW7" s="152"/>
    </row>
    <row r="8" spans="1:81">
      <c r="A8" s="14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row>
    <row r="9" spans="1:81" s="28" customForma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s="38" t="s">
        <v>82</v>
      </c>
      <c r="BW9" s="38" t="s">
        <v>83</v>
      </c>
      <c r="BX9"/>
    </row>
    <row r="10" spans="1:81">
      <c r="A10" s="37" t="s">
        <v>217</v>
      </c>
      <c r="B10" s="46">
        <v>33</v>
      </c>
      <c r="C10" s="46">
        <v>2146</v>
      </c>
      <c r="D10" s="46">
        <v>15</v>
      </c>
      <c r="E10" s="46">
        <v>1241</v>
      </c>
      <c r="F10" s="46">
        <v>5</v>
      </c>
      <c r="G10" s="46">
        <v>1200</v>
      </c>
      <c r="H10" s="47"/>
      <c r="I10" s="47"/>
      <c r="J10" s="47"/>
      <c r="K10" s="47"/>
      <c r="L10" s="47"/>
      <c r="M10" s="47"/>
      <c r="N10" s="47"/>
      <c r="O10" s="47"/>
      <c r="P10" s="47"/>
      <c r="Q10" s="47"/>
      <c r="R10" s="47"/>
      <c r="S10" s="47"/>
      <c r="T10" s="47">
        <v>1</v>
      </c>
      <c r="U10" s="47">
        <v>1042</v>
      </c>
      <c r="V10" s="47"/>
      <c r="W10" s="47"/>
      <c r="X10" s="46">
        <v>2</v>
      </c>
      <c r="Y10" s="46">
        <v>84</v>
      </c>
      <c r="Z10" s="46">
        <v>9</v>
      </c>
      <c r="AA10" s="46">
        <v>2144</v>
      </c>
      <c r="AB10" s="46">
        <v>5</v>
      </c>
      <c r="AC10" s="46">
        <v>2409</v>
      </c>
      <c r="AD10" s="46">
        <v>8</v>
      </c>
      <c r="AE10" s="46">
        <v>2731</v>
      </c>
      <c r="AF10" s="47">
        <v>2</v>
      </c>
      <c r="AG10" s="47">
        <v>46</v>
      </c>
      <c r="AH10" s="46">
        <v>2</v>
      </c>
      <c r="AI10" s="46">
        <v>169</v>
      </c>
      <c r="AJ10" s="46">
        <v>3</v>
      </c>
      <c r="AK10" s="46">
        <v>411</v>
      </c>
      <c r="AL10" s="47">
        <v>1</v>
      </c>
      <c r="AM10" s="47">
        <v>277</v>
      </c>
      <c r="AN10" s="46">
        <v>1</v>
      </c>
      <c r="AO10" s="46">
        <v>199</v>
      </c>
      <c r="AP10" s="47"/>
      <c r="AQ10" s="47"/>
      <c r="AR10" s="46">
        <v>1</v>
      </c>
      <c r="AS10" s="46">
        <v>213</v>
      </c>
      <c r="AT10" s="46">
        <v>2</v>
      </c>
      <c r="AU10" s="46">
        <v>1113</v>
      </c>
      <c r="AV10" s="47"/>
      <c r="AW10" s="47"/>
      <c r="AX10" s="47"/>
      <c r="AY10" s="47"/>
      <c r="AZ10" s="47"/>
      <c r="BA10" s="47"/>
      <c r="BB10" s="47"/>
      <c r="BC10" s="47"/>
      <c r="BD10" s="47"/>
      <c r="BE10" s="47"/>
      <c r="BF10" s="46">
        <v>3</v>
      </c>
      <c r="BG10" s="46">
        <v>127</v>
      </c>
      <c r="BH10" s="46">
        <v>1</v>
      </c>
      <c r="BI10" s="46">
        <v>75</v>
      </c>
      <c r="BJ10" s="47">
        <v>1</v>
      </c>
      <c r="BK10" s="47">
        <v>184</v>
      </c>
      <c r="BL10" s="46">
        <v>11</v>
      </c>
      <c r="BM10" s="46">
        <v>409</v>
      </c>
      <c r="BN10" s="46">
        <v>5</v>
      </c>
      <c r="BO10" s="46">
        <v>180</v>
      </c>
      <c r="BP10" s="46">
        <v>2</v>
      </c>
      <c r="BQ10" s="46">
        <v>71</v>
      </c>
      <c r="BR10" s="46">
        <v>15</v>
      </c>
      <c r="BS10" s="46">
        <v>270</v>
      </c>
      <c r="BT10" s="47"/>
      <c r="BU10" s="47"/>
      <c r="BV10" s="56">
        <v>128</v>
      </c>
      <c r="BW10" s="56">
        <v>16741</v>
      </c>
    </row>
    <row r="11" spans="1:81">
      <c r="A11" s="37" t="s">
        <v>84</v>
      </c>
      <c r="B11" s="46">
        <v>39</v>
      </c>
      <c r="C11" s="46">
        <v>2611</v>
      </c>
      <c r="D11" s="46">
        <v>15</v>
      </c>
      <c r="E11" s="46">
        <v>1817</v>
      </c>
      <c r="F11" s="46">
        <v>3</v>
      </c>
      <c r="G11" s="46">
        <v>152</v>
      </c>
      <c r="H11" s="47"/>
      <c r="I11" s="47"/>
      <c r="J11" s="46">
        <v>1</v>
      </c>
      <c r="K11" s="46">
        <v>28</v>
      </c>
      <c r="L11" s="46">
        <v>2</v>
      </c>
      <c r="M11" s="46">
        <v>44</v>
      </c>
      <c r="N11" s="47"/>
      <c r="O11" s="47"/>
      <c r="P11" s="47">
        <v>1</v>
      </c>
      <c r="Q11" s="47">
        <v>274</v>
      </c>
      <c r="R11" s="47"/>
      <c r="S11" s="47"/>
      <c r="T11" s="47"/>
      <c r="U11" s="47"/>
      <c r="V11" s="47"/>
      <c r="W11" s="47"/>
      <c r="X11" s="46">
        <v>2</v>
      </c>
      <c r="Y11" s="46">
        <v>186</v>
      </c>
      <c r="Z11" s="46">
        <v>6</v>
      </c>
      <c r="AA11" s="46">
        <v>2002</v>
      </c>
      <c r="AB11" s="46">
        <v>11</v>
      </c>
      <c r="AC11" s="46">
        <v>3007</v>
      </c>
      <c r="AD11" s="46">
        <v>2</v>
      </c>
      <c r="AE11" s="46">
        <v>588</v>
      </c>
      <c r="AF11" s="47"/>
      <c r="AG11" s="47"/>
      <c r="AH11" s="46">
        <v>5</v>
      </c>
      <c r="AI11" s="46">
        <v>412</v>
      </c>
      <c r="AJ11" s="46">
        <v>4</v>
      </c>
      <c r="AK11" s="46">
        <v>676</v>
      </c>
      <c r="AL11" s="47"/>
      <c r="AM11" s="47"/>
      <c r="AN11" s="47"/>
      <c r="AO11" s="47"/>
      <c r="AP11" s="46">
        <v>1</v>
      </c>
      <c r="AQ11" s="46">
        <v>104</v>
      </c>
      <c r="AR11" s="47"/>
      <c r="AS11" s="47"/>
      <c r="AT11" s="46">
        <v>2</v>
      </c>
      <c r="AU11" s="46">
        <v>923</v>
      </c>
      <c r="AV11" s="46">
        <v>2</v>
      </c>
      <c r="AW11" s="46">
        <v>338</v>
      </c>
      <c r="AX11" s="47"/>
      <c r="AY11" s="47"/>
      <c r="AZ11" s="46">
        <v>1</v>
      </c>
      <c r="BA11" s="46">
        <v>184</v>
      </c>
      <c r="BB11" s="47"/>
      <c r="BC11" s="47"/>
      <c r="BD11" s="47"/>
      <c r="BE11" s="47"/>
      <c r="BF11" s="46">
        <v>1</v>
      </c>
      <c r="BG11" s="46">
        <v>36</v>
      </c>
      <c r="BH11" s="46">
        <v>3</v>
      </c>
      <c r="BI11" s="46">
        <v>301</v>
      </c>
      <c r="BJ11" s="46"/>
      <c r="BK11" s="46"/>
      <c r="BL11" s="46">
        <v>16</v>
      </c>
      <c r="BM11" s="46">
        <v>1029</v>
      </c>
      <c r="BN11" s="46">
        <v>13</v>
      </c>
      <c r="BO11" s="46">
        <v>1088</v>
      </c>
      <c r="BP11" s="47"/>
      <c r="BQ11" s="47"/>
      <c r="BR11" s="46">
        <v>9</v>
      </c>
      <c r="BS11" s="46">
        <v>212</v>
      </c>
      <c r="BT11" s="47"/>
      <c r="BU11" s="47"/>
      <c r="BV11" s="56">
        <v>139</v>
      </c>
      <c r="BW11" s="56">
        <v>16012</v>
      </c>
    </row>
    <row r="12" spans="1:81">
      <c r="A12" s="37" t="s">
        <v>85</v>
      </c>
      <c r="B12" s="46">
        <v>7</v>
      </c>
      <c r="C12" s="46">
        <v>594</v>
      </c>
      <c r="D12" s="46">
        <v>4</v>
      </c>
      <c r="E12" s="46">
        <v>339</v>
      </c>
      <c r="F12" s="46">
        <v>4</v>
      </c>
      <c r="G12" s="46">
        <v>298</v>
      </c>
      <c r="H12" s="47">
        <v>1</v>
      </c>
      <c r="I12" s="47">
        <v>29</v>
      </c>
      <c r="J12" s="47">
        <v>2</v>
      </c>
      <c r="K12" s="47">
        <v>48</v>
      </c>
      <c r="L12" s="46">
        <v>6</v>
      </c>
      <c r="M12" s="46">
        <v>94</v>
      </c>
      <c r="N12" s="47"/>
      <c r="O12" s="47"/>
      <c r="P12" s="47"/>
      <c r="Q12" s="47"/>
      <c r="R12" s="47"/>
      <c r="S12" s="47"/>
      <c r="T12" s="46"/>
      <c r="U12" s="46"/>
      <c r="V12" s="47">
        <v>2</v>
      </c>
      <c r="W12" s="47">
        <v>912</v>
      </c>
      <c r="X12" s="47"/>
      <c r="Y12" s="47"/>
      <c r="Z12" s="46"/>
      <c r="AA12" s="46"/>
      <c r="AB12" s="46">
        <v>8</v>
      </c>
      <c r="AC12" s="46">
        <v>2191</v>
      </c>
      <c r="AD12" s="46"/>
      <c r="AE12" s="46"/>
      <c r="AF12" s="47">
        <v>1</v>
      </c>
      <c r="AG12" s="47">
        <v>116</v>
      </c>
      <c r="AH12" s="47"/>
      <c r="AI12" s="47"/>
      <c r="AJ12" s="46"/>
      <c r="AK12" s="46"/>
      <c r="AL12" s="46"/>
      <c r="AM12" s="46"/>
      <c r="AN12" s="46"/>
      <c r="AO12" s="46"/>
      <c r="AP12" s="47"/>
      <c r="AQ12" s="47"/>
      <c r="AR12" s="46"/>
      <c r="AS12" s="46"/>
      <c r="AT12" s="46"/>
      <c r="AU12" s="46"/>
      <c r="AV12" s="46"/>
      <c r="AW12" s="46"/>
      <c r="AX12" s="46"/>
      <c r="AY12" s="46"/>
      <c r="AZ12" s="46"/>
      <c r="BA12" s="46"/>
      <c r="BB12" s="46"/>
      <c r="BC12" s="46"/>
      <c r="BD12" s="46"/>
      <c r="BE12" s="46"/>
      <c r="BF12" s="46">
        <v>1</v>
      </c>
      <c r="BG12" s="46">
        <v>20</v>
      </c>
      <c r="BH12" s="47">
        <v>1</v>
      </c>
      <c r="BI12" s="47">
        <v>21</v>
      </c>
      <c r="BJ12" s="46"/>
      <c r="BK12" s="46"/>
      <c r="BL12" s="46">
        <v>3</v>
      </c>
      <c r="BM12" s="46">
        <v>118</v>
      </c>
      <c r="BN12" s="47">
        <v>1</v>
      </c>
      <c r="BO12" s="47">
        <v>212</v>
      </c>
      <c r="BP12" s="47"/>
      <c r="BQ12" s="47"/>
      <c r="BR12" s="46">
        <v>2</v>
      </c>
      <c r="BS12" s="46">
        <v>17</v>
      </c>
      <c r="BT12" s="47"/>
      <c r="BU12" s="47"/>
      <c r="BV12" s="56">
        <v>43</v>
      </c>
      <c r="BW12" s="56">
        <v>5009</v>
      </c>
    </row>
    <row r="13" spans="1:81">
      <c r="A13" s="37" t="s">
        <v>86</v>
      </c>
      <c r="B13" s="46">
        <v>24</v>
      </c>
      <c r="C13" s="46"/>
      <c r="D13" s="46">
        <v>14</v>
      </c>
      <c r="E13" s="46">
        <v>2173</v>
      </c>
      <c r="F13" s="46">
        <v>15</v>
      </c>
      <c r="G13" s="46">
        <v>1959</v>
      </c>
      <c r="H13" s="47"/>
      <c r="I13" s="47"/>
      <c r="J13" s="46"/>
      <c r="K13" s="46"/>
      <c r="L13" s="46">
        <v>1</v>
      </c>
      <c r="M13" s="46">
        <v>8</v>
      </c>
      <c r="N13" s="47"/>
      <c r="O13" s="47"/>
      <c r="P13" s="47">
        <v>1</v>
      </c>
      <c r="Q13" s="47">
        <v>400</v>
      </c>
      <c r="R13" s="47"/>
      <c r="S13" s="47"/>
      <c r="T13" s="47">
        <v>1</v>
      </c>
      <c r="U13" s="47">
        <v>780</v>
      </c>
      <c r="V13" s="47"/>
      <c r="W13" s="47"/>
      <c r="X13" s="46"/>
      <c r="Y13" s="46"/>
      <c r="Z13" s="46">
        <v>6</v>
      </c>
      <c r="AA13" s="46">
        <v>1238</v>
      </c>
      <c r="AB13" s="46">
        <v>13</v>
      </c>
      <c r="AC13" s="46">
        <v>6926</v>
      </c>
      <c r="AD13" s="46">
        <v>3</v>
      </c>
      <c r="AE13" s="46">
        <v>1291</v>
      </c>
      <c r="AF13" s="47"/>
      <c r="AG13" s="47"/>
      <c r="AH13" s="46"/>
      <c r="AI13" s="46"/>
      <c r="AJ13" s="46">
        <v>1</v>
      </c>
      <c r="AK13" s="46">
        <v>84</v>
      </c>
      <c r="AL13" s="47">
        <v>1</v>
      </c>
      <c r="AM13" s="47">
        <v>19</v>
      </c>
      <c r="AN13" s="47">
        <v>1</v>
      </c>
      <c r="AO13" s="47">
        <v>19</v>
      </c>
      <c r="AP13" s="46"/>
      <c r="AQ13" s="46"/>
      <c r="AR13" s="47">
        <v>1</v>
      </c>
      <c r="AS13" s="47">
        <v>270</v>
      </c>
      <c r="AT13" s="46">
        <v>5</v>
      </c>
      <c r="AU13" s="46">
        <v>1672</v>
      </c>
      <c r="AV13" s="46">
        <v>3</v>
      </c>
      <c r="AW13" s="46">
        <v>1104</v>
      </c>
      <c r="AX13" s="47">
        <v>2</v>
      </c>
      <c r="AY13" s="47">
        <v>100</v>
      </c>
      <c r="AZ13" s="46">
        <v>1</v>
      </c>
      <c r="BA13" s="46">
        <v>180</v>
      </c>
      <c r="BB13" s="47">
        <v>1</v>
      </c>
      <c r="BC13" s="47">
        <v>258</v>
      </c>
      <c r="BD13" s="47">
        <v>1</v>
      </c>
      <c r="BE13" s="47">
        <v>42</v>
      </c>
      <c r="BF13" s="46">
        <v>3</v>
      </c>
      <c r="BG13" s="46">
        <v>44</v>
      </c>
      <c r="BH13" s="46"/>
      <c r="BI13" s="46"/>
      <c r="BJ13" s="46">
        <v>1</v>
      </c>
      <c r="BK13" s="46">
        <v>16</v>
      </c>
      <c r="BL13" s="46">
        <v>1</v>
      </c>
      <c r="BM13" s="46">
        <v>13</v>
      </c>
      <c r="BN13" s="46"/>
      <c r="BO13" s="46"/>
      <c r="BP13" s="47"/>
      <c r="BQ13" s="47"/>
      <c r="BR13" s="46">
        <v>1</v>
      </c>
      <c r="BS13" s="46">
        <v>12</v>
      </c>
      <c r="BT13" s="47"/>
      <c r="BU13" s="47"/>
      <c r="BV13" s="56">
        <v>101</v>
      </c>
      <c r="BW13" s="56">
        <v>20211</v>
      </c>
    </row>
    <row r="14" spans="1:81">
      <c r="A14" s="37" t="s">
        <v>87</v>
      </c>
      <c r="B14" s="46">
        <v>39</v>
      </c>
      <c r="C14" s="46">
        <v>2153</v>
      </c>
      <c r="D14" s="46">
        <v>17</v>
      </c>
      <c r="E14" s="46">
        <v>1898</v>
      </c>
      <c r="F14" s="46">
        <v>9</v>
      </c>
      <c r="G14" s="46">
        <v>3963</v>
      </c>
      <c r="H14" s="47"/>
      <c r="I14" s="47"/>
      <c r="J14" s="47"/>
      <c r="K14" s="47"/>
      <c r="L14" s="46">
        <v>10</v>
      </c>
      <c r="M14" s="46">
        <v>174</v>
      </c>
      <c r="N14" s="47">
        <v>1</v>
      </c>
      <c r="O14" s="47">
        <v>300</v>
      </c>
      <c r="P14" s="47">
        <v>1</v>
      </c>
      <c r="Q14" s="47">
        <v>375</v>
      </c>
      <c r="R14" s="47">
        <v>1</v>
      </c>
      <c r="S14" s="47">
        <v>249</v>
      </c>
      <c r="T14" s="46">
        <v>2</v>
      </c>
      <c r="U14" s="46">
        <v>959</v>
      </c>
      <c r="V14" s="46">
        <v>1</v>
      </c>
      <c r="W14" s="46">
        <v>400</v>
      </c>
      <c r="X14" s="47"/>
      <c r="Y14" s="47"/>
      <c r="Z14" s="46">
        <v>3</v>
      </c>
      <c r="AA14" s="46">
        <v>501</v>
      </c>
      <c r="AB14" s="46">
        <v>14</v>
      </c>
      <c r="AC14" s="46">
        <v>6494</v>
      </c>
      <c r="AD14" s="46">
        <v>5</v>
      </c>
      <c r="AE14" s="46">
        <v>1440</v>
      </c>
      <c r="AF14" s="46">
        <v>1</v>
      </c>
      <c r="AG14" s="46">
        <v>345</v>
      </c>
      <c r="AH14" s="47"/>
      <c r="AI14" s="47"/>
      <c r="AJ14" s="46">
        <v>1</v>
      </c>
      <c r="AK14" s="46">
        <v>140</v>
      </c>
      <c r="AL14" s="46">
        <v>3</v>
      </c>
      <c r="AM14" s="46">
        <v>417</v>
      </c>
      <c r="AN14" s="47"/>
      <c r="AO14" s="47"/>
      <c r="AP14" s="47"/>
      <c r="AQ14" s="47"/>
      <c r="AR14" s="47"/>
      <c r="AS14" s="47"/>
      <c r="AT14" s="46">
        <v>3</v>
      </c>
      <c r="AU14" s="46">
        <v>944</v>
      </c>
      <c r="AV14" s="46">
        <v>2</v>
      </c>
      <c r="AW14" s="46">
        <v>419</v>
      </c>
      <c r="AX14" s="47"/>
      <c r="AY14" s="47"/>
      <c r="AZ14" s="46">
        <v>1</v>
      </c>
      <c r="BA14" s="46">
        <v>84</v>
      </c>
      <c r="BB14" s="47"/>
      <c r="BC14" s="47"/>
      <c r="BD14" s="47"/>
      <c r="BE14" s="47"/>
      <c r="BF14" s="46">
        <v>5</v>
      </c>
      <c r="BG14" s="46">
        <v>126</v>
      </c>
      <c r="BH14" s="46">
        <v>4</v>
      </c>
      <c r="BI14" s="46">
        <v>262</v>
      </c>
      <c r="BJ14" s="47"/>
      <c r="BK14" s="47"/>
      <c r="BL14" s="46">
        <v>6</v>
      </c>
      <c r="BM14" s="46">
        <v>246</v>
      </c>
      <c r="BN14" s="46">
        <v>8</v>
      </c>
      <c r="BO14" s="46">
        <v>340</v>
      </c>
      <c r="BP14" s="47"/>
      <c r="BQ14" s="47"/>
      <c r="BR14" s="46">
        <v>1</v>
      </c>
      <c r="BS14" s="46">
        <v>28</v>
      </c>
      <c r="BT14" s="46">
        <v>3</v>
      </c>
      <c r="BU14" s="46">
        <v>89</v>
      </c>
      <c r="BV14" s="56">
        <v>141</v>
      </c>
      <c r="BW14" s="56">
        <v>22346</v>
      </c>
    </row>
    <row r="15" spans="1:81" s="44" customFormat="1">
      <c r="A15" s="45" t="s">
        <v>218</v>
      </c>
      <c r="B15" s="39">
        <v>142</v>
      </c>
      <c r="C15" s="39">
        <v>9107</v>
      </c>
      <c r="D15" s="39">
        <v>65</v>
      </c>
      <c r="E15" s="39">
        <v>7468</v>
      </c>
      <c r="F15" s="39">
        <v>36</v>
      </c>
      <c r="G15" s="39">
        <v>7572</v>
      </c>
      <c r="H15" s="39">
        <v>1</v>
      </c>
      <c r="I15" s="39">
        <v>29</v>
      </c>
      <c r="J15" s="39">
        <v>3</v>
      </c>
      <c r="K15" s="39">
        <v>76</v>
      </c>
      <c r="L15" s="39">
        <v>19</v>
      </c>
      <c r="M15" s="39">
        <v>320</v>
      </c>
      <c r="N15" s="39">
        <v>1</v>
      </c>
      <c r="O15" s="39">
        <v>300</v>
      </c>
      <c r="P15" s="39">
        <v>3</v>
      </c>
      <c r="Q15" s="39">
        <v>1049</v>
      </c>
      <c r="R15" s="39">
        <v>1</v>
      </c>
      <c r="S15" s="39">
        <v>249</v>
      </c>
      <c r="T15" s="39">
        <v>4</v>
      </c>
      <c r="U15" s="39">
        <v>2781</v>
      </c>
      <c r="V15" s="39">
        <v>3</v>
      </c>
      <c r="W15" s="39">
        <v>1312</v>
      </c>
      <c r="X15" s="39">
        <v>4</v>
      </c>
      <c r="Y15" s="39">
        <v>270</v>
      </c>
      <c r="Z15" s="39">
        <v>24</v>
      </c>
      <c r="AA15" s="39">
        <v>5885</v>
      </c>
      <c r="AB15" s="39">
        <v>51</v>
      </c>
      <c r="AC15" s="39">
        <v>21027</v>
      </c>
      <c r="AD15" s="39">
        <v>18</v>
      </c>
      <c r="AE15" s="39">
        <v>6050</v>
      </c>
      <c r="AF15" s="39">
        <v>4</v>
      </c>
      <c r="AG15" s="39">
        <v>507</v>
      </c>
      <c r="AH15" s="39">
        <v>7</v>
      </c>
      <c r="AI15" s="39">
        <v>581</v>
      </c>
      <c r="AJ15" s="39">
        <v>9</v>
      </c>
      <c r="AK15" s="39">
        <v>1311</v>
      </c>
      <c r="AL15" s="39">
        <v>5</v>
      </c>
      <c r="AM15" s="39">
        <v>713</v>
      </c>
      <c r="AN15" s="39">
        <v>2</v>
      </c>
      <c r="AO15" s="39">
        <v>218</v>
      </c>
      <c r="AP15" s="39">
        <v>1</v>
      </c>
      <c r="AQ15" s="39">
        <v>104</v>
      </c>
      <c r="AR15" s="39">
        <v>2</v>
      </c>
      <c r="AS15" s="39">
        <v>483</v>
      </c>
      <c r="AT15" s="39">
        <v>12</v>
      </c>
      <c r="AU15" s="39">
        <v>4652</v>
      </c>
      <c r="AV15" s="39">
        <v>7</v>
      </c>
      <c r="AW15" s="39">
        <v>1861</v>
      </c>
      <c r="AX15" s="39">
        <v>2</v>
      </c>
      <c r="AY15" s="39">
        <v>100</v>
      </c>
      <c r="AZ15" s="39">
        <v>3</v>
      </c>
      <c r="BA15" s="39">
        <v>448</v>
      </c>
      <c r="BB15" s="39">
        <v>1</v>
      </c>
      <c r="BC15" s="39">
        <v>258</v>
      </c>
      <c r="BD15" s="39">
        <v>1</v>
      </c>
      <c r="BE15" s="39">
        <v>42</v>
      </c>
      <c r="BF15" s="39">
        <v>13</v>
      </c>
      <c r="BG15" s="39">
        <v>353</v>
      </c>
      <c r="BH15" s="39">
        <v>9</v>
      </c>
      <c r="BI15" s="39">
        <v>659</v>
      </c>
      <c r="BJ15" s="39">
        <v>2</v>
      </c>
      <c r="BK15" s="39">
        <v>200</v>
      </c>
      <c r="BL15" s="39">
        <v>37</v>
      </c>
      <c r="BM15" s="39">
        <v>1815</v>
      </c>
      <c r="BN15" s="39">
        <v>27</v>
      </c>
      <c r="BO15" s="39">
        <v>1820</v>
      </c>
      <c r="BP15" s="39">
        <v>2</v>
      </c>
      <c r="BQ15" s="39">
        <v>71</v>
      </c>
      <c r="BR15" s="39">
        <v>28</v>
      </c>
      <c r="BS15" s="39">
        <v>539</v>
      </c>
      <c r="BT15" s="39">
        <v>3</v>
      </c>
      <c r="BU15" s="39">
        <v>89</v>
      </c>
      <c r="BV15" s="39">
        <v>552</v>
      </c>
      <c r="BW15" s="39">
        <v>80319</v>
      </c>
      <c r="BX15"/>
      <c r="CA15"/>
      <c r="CB15"/>
      <c r="CC15"/>
    </row>
    <row r="16" spans="1:81">
      <c r="A16" s="62" t="s">
        <v>134</v>
      </c>
      <c r="CA16" s="44"/>
      <c r="CB16" s="44"/>
      <c r="CC16" s="44"/>
    </row>
    <row r="17" spans="1:1">
      <c r="A17" s="63" t="s">
        <v>135</v>
      </c>
    </row>
    <row r="18" spans="1:1">
      <c r="A18" s="63" t="s">
        <v>136</v>
      </c>
    </row>
  </sheetData>
  <sheetProtection algorithmName="SHA-512" hashValue="5R88dnm55hGfr2E8n9WZaUhSun5hpbPJuO7wSmuOCT/48nVuZNGTcTsFehGg1Z7t9wK/nKljLBd9CnyfWxcpBw==" saltValue="tykgJxtpXNabhpw31BvsIw==" spinCount="100000" sheet="1" selectLockedCells="1" selectUnlockedCells="1"/>
  <mergeCells count="38">
    <mergeCell ref="BR7:BS7"/>
    <mergeCell ref="BT7:BU7"/>
    <mergeCell ref="BD7:BE7"/>
    <mergeCell ref="BF7:BG7"/>
    <mergeCell ref="BH7:BI7"/>
    <mergeCell ref="BJ7:BK7"/>
    <mergeCell ref="BL7:BM7"/>
    <mergeCell ref="BN7:BO7"/>
    <mergeCell ref="BP7:BQ7"/>
    <mergeCell ref="AX7:AY7"/>
    <mergeCell ref="AZ7:BA7"/>
    <mergeCell ref="BB7:BC7"/>
    <mergeCell ref="AJ7:AK7"/>
    <mergeCell ref="AL7:AM7"/>
    <mergeCell ref="AN7:AO7"/>
    <mergeCell ref="AP7:AQ7"/>
    <mergeCell ref="AR7:AS7"/>
    <mergeCell ref="T7:U7"/>
    <mergeCell ref="V7:W7"/>
    <mergeCell ref="A7:A8"/>
    <mergeCell ref="BV7:BW7"/>
    <mergeCell ref="B7:C7"/>
    <mergeCell ref="D7:E7"/>
    <mergeCell ref="F7:G7"/>
    <mergeCell ref="H7:I7"/>
    <mergeCell ref="X7:Y7"/>
    <mergeCell ref="Z7:AA7"/>
    <mergeCell ref="AB7:AC7"/>
    <mergeCell ref="AD7:AE7"/>
    <mergeCell ref="AF7:AG7"/>
    <mergeCell ref="AH7:AI7"/>
    <mergeCell ref="AT7:AU7"/>
    <mergeCell ref="AV7:AW7"/>
    <mergeCell ref="J7:K7"/>
    <mergeCell ref="L7:M7"/>
    <mergeCell ref="N7:O7"/>
    <mergeCell ref="P7:Q7"/>
    <mergeCell ref="R7:S7"/>
  </mergeCells>
  <conditionalFormatting sqref="A10:BW14">
    <cfRule type="expression" dxfId="5" priority="8" stopIfTrue="1">
      <formula>MOD(ROW(),2)=0</formula>
    </cfRule>
  </conditionalFormatting>
  <conditionalFormatting sqref="BV7:BW7 A7:BV9 BW8:BW9 BY9:IV9 A16:A18">
    <cfRule type="expression" priority="11">
      <formula>SI(0," ")</formula>
    </cfRule>
  </conditionalFormatting>
  <pageMargins left="0.70866141732283472" right="0.70866141732283472" top="0.74803149606299213" bottom="0.74803149606299213" header="0.31496062992125984" footer="0.31496062992125984"/>
  <pageSetup paperSize="8" scale="80" orientation="landscape" r:id="rId1"/>
  <colBreaks count="4" manualBreakCount="4">
    <brk id="17" max="1048575" man="1"/>
    <brk id="33" max="1048575" man="1"/>
    <brk id="49" max="1048575" man="1"/>
    <brk id="65"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H49"/>
  <sheetViews>
    <sheetView showGridLines="0" zoomScaleNormal="100" zoomScaleSheetLayoutView="91" workbookViewId="0"/>
  </sheetViews>
  <sheetFormatPr baseColWidth="10" defaultRowHeight="12.75"/>
  <cols>
    <col min="1" max="1" width="13.7109375" style="3" customWidth="1"/>
    <col min="2" max="2" width="11.42578125" style="3"/>
    <col min="3" max="3" width="17" style="4" bestFit="1" customWidth="1"/>
    <col min="4" max="4" width="15.140625" style="4" bestFit="1" customWidth="1"/>
    <col min="5" max="5" width="14" style="4" bestFit="1" customWidth="1"/>
    <col min="6" max="6" width="11.140625" style="4" bestFit="1" customWidth="1"/>
    <col min="7" max="7" width="11.42578125" style="4"/>
    <col min="8" max="8" width="13.7109375" style="3" customWidth="1"/>
    <col min="9" max="9" width="11.42578125" style="3"/>
    <col min="10" max="10" width="17" style="4" bestFit="1" customWidth="1"/>
    <col min="11" max="11" width="15.140625" style="4" bestFit="1" customWidth="1"/>
    <col min="12" max="12" width="14" style="4" bestFit="1" customWidth="1"/>
    <col min="13" max="13" width="11.140625" style="4" bestFit="1" customWidth="1"/>
    <col min="14" max="16384" width="11.42578125" style="4"/>
  </cols>
  <sheetData>
    <row r="1" spans="1:20" ht="16.5">
      <c r="A1" s="5"/>
    </row>
    <row r="2" spans="1:20" ht="16.5">
      <c r="A2" s="5"/>
      <c r="P2" s="6"/>
      <c r="Q2" s="6"/>
      <c r="R2" s="6"/>
      <c r="S2" s="6"/>
      <c r="T2" s="6"/>
    </row>
    <row r="3" spans="1:20" ht="16.5">
      <c r="A3" s="2" t="s">
        <v>98</v>
      </c>
    </row>
    <row r="4" spans="1:20" s="6" customFormat="1" ht="16.5">
      <c r="A4" s="7" t="s">
        <v>99</v>
      </c>
      <c r="B4" s="8"/>
      <c r="H4" s="8"/>
      <c r="I4" s="8"/>
      <c r="L4" s="9"/>
    </row>
    <row r="5" spans="1:20" s="6" customFormat="1" ht="16.5">
      <c r="A5" s="7" t="s">
        <v>100</v>
      </c>
      <c r="B5" s="8"/>
      <c r="H5" s="8"/>
      <c r="I5" s="8"/>
    </row>
    <row r="7" spans="1:20">
      <c r="A7" s="149" t="s">
        <v>0</v>
      </c>
      <c r="B7" s="149"/>
      <c r="C7" s="110" t="s">
        <v>1</v>
      </c>
      <c r="D7" s="110" t="s">
        <v>2</v>
      </c>
      <c r="E7" s="110" t="s">
        <v>3</v>
      </c>
      <c r="F7" s="110" t="s">
        <v>4</v>
      </c>
      <c r="H7" s="149" t="s">
        <v>0</v>
      </c>
      <c r="I7" s="149"/>
      <c r="J7" s="110" t="s">
        <v>1</v>
      </c>
      <c r="K7" s="110" t="s">
        <v>2</v>
      </c>
      <c r="L7" s="110" t="s">
        <v>3</v>
      </c>
      <c r="M7" s="110" t="s">
        <v>4</v>
      </c>
    </row>
    <row r="8" spans="1:20">
      <c r="A8" s="150" t="s">
        <v>5</v>
      </c>
      <c r="B8" s="150"/>
      <c r="C8" s="111" t="s">
        <v>6</v>
      </c>
      <c r="D8" s="111" t="s">
        <v>7</v>
      </c>
      <c r="E8" s="111" t="s">
        <v>8</v>
      </c>
      <c r="F8" s="111" t="s">
        <v>9</v>
      </c>
      <c r="G8" s="6"/>
      <c r="H8" s="150" t="s">
        <v>5</v>
      </c>
      <c r="I8" s="150"/>
      <c r="J8" s="111" t="s">
        <v>6</v>
      </c>
      <c r="K8" s="111" t="s">
        <v>7</v>
      </c>
      <c r="L8" s="111" t="s">
        <v>8</v>
      </c>
      <c r="M8" s="111" t="s">
        <v>9</v>
      </c>
    </row>
    <row r="9" spans="1:20">
      <c r="A9" s="150" t="s">
        <v>10</v>
      </c>
      <c r="B9" s="150"/>
      <c r="C9" s="111" t="s">
        <v>11</v>
      </c>
      <c r="D9" s="111" t="s">
        <v>12</v>
      </c>
      <c r="E9" s="111" t="s">
        <v>13</v>
      </c>
      <c r="F9" s="111" t="s">
        <v>14</v>
      </c>
      <c r="G9" s="6"/>
      <c r="H9" s="150" t="s">
        <v>10</v>
      </c>
      <c r="I9" s="150"/>
      <c r="J9" s="111" t="s">
        <v>11</v>
      </c>
      <c r="K9" s="111" t="s">
        <v>12</v>
      </c>
      <c r="L9" s="111" t="s">
        <v>13</v>
      </c>
      <c r="M9" s="111" t="s">
        <v>14</v>
      </c>
    </row>
    <row r="10" spans="1:20" ht="15">
      <c r="A10" s="145" t="s">
        <v>15</v>
      </c>
      <c r="B10" s="145"/>
      <c r="C10" s="12">
        <v>141</v>
      </c>
      <c r="D10" s="12">
        <v>3126</v>
      </c>
      <c r="E10" s="12">
        <v>9511</v>
      </c>
      <c r="F10" s="13">
        <v>0.40993922675746736</v>
      </c>
      <c r="G10" s="10"/>
      <c r="H10" s="145" t="s">
        <v>16</v>
      </c>
      <c r="I10" s="145"/>
      <c r="J10" s="12">
        <v>1</v>
      </c>
      <c r="K10" s="12">
        <v>54</v>
      </c>
      <c r="L10" s="12">
        <v>104</v>
      </c>
      <c r="M10" s="13">
        <v>1.5044119774338203E-2</v>
      </c>
    </row>
    <row r="11" spans="1:20" ht="15">
      <c r="A11" s="145" t="s">
        <v>17</v>
      </c>
      <c r="B11" s="145"/>
      <c r="C11" s="12">
        <v>70</v>
      </c>
      <c r="D11" s="12">
        <v>3030</v>
      </c>
      <c r="E11" s="12">
        <v>8486</v>
      </c>
      <c r="F11" s="13">
        <v>0.36576009654756259</v>
      </c>
      <c r="G11" s="10"/>
      <c r="H11" s="145" t="s">
        <v>18</v>
      </c>
      <c r="I11" s="145"/>
      <c r="J11" s="12">
        <v>2</v>
      </c>
      <c r="K11" s="12">
        <v>219</v>
      </c>
      <c r="L11" s="12">
        <v>483</v>
      </c>
      <c r="M11" s="13">
        <v>6.9868363951974544E-2</v>
      </c>
    </row>
    <row r="12" spans="1:20" ht="15">
      <c r="A12" s="145" t="s">
        <v>19</v>
      </c>
      <c r="B12" s="145"/>
      <c r="C12" s="12">
        <v>37</v>
      </c>
      <c r="D12" s="12">
        <v>1711</v>
      </c>
      <c r="E12" s="12">
        <v>5175</v>
      </c>
      <c r="F12" s="13">
        <v>0.22305073057195809</v>
      </c>
      <c r="G12" s="10"/>
      <c r="H12" s="145" t="s">
        <v>20</v>
      </c>
      <c r="I12" s="145"/>
      <c r="J12" s="12">
        <v>13</v>
      </c>
      <c r="K12" s="12">
        <v>2319</v>
      </c>
      <c r="L12" s="12">
        <v>4836</v>
      </c>
      <c r="M12" s="13">
        <v>0.69955156950672648</v>
      </c>
    </row>
    <row r="13" spans="1:20" ht="15">
      <c r="A13" s="145" t="s">
        <v>21</v>
      </c>
      <c r="B13" s="145"/>
      <c r="C13" s="12">
        <v>1</v>
      </c>
      <c r="D13" s="12">
        <v>9</v>
      </c>
      <c r="E13" s="12">
        <v>29</v>
      </c>
      <c r="F13" s="13">
        <v>1.2499461230119392E-3</v>
      </c>
      <c r="G13" s="10"/>
      <c r="H13" s="145" t="s">
        <v>22</v>
      </c>
      <c r="I13" s="145"/>
      <c r="J13" s="12">
        <v>6</v>
      </c>
      <c r="K13" s="12">
        <v>686</v>
      </c>
      <c r="L13" s="12">
        <v>1490</v>
      </c>
      <c r="M13" s="13">
        <v>0.21553594676696081</v>
      </c>
    </row>
    <row r="14" spans="1:20" ht="15">
      <c r="A14" s="146" t="s">
        <v>23</v>
      </c>
      <c r="B14" s="146"/>
      <c r="C14" s="17">
        <v>249</v>
      </c>
      <c r="D14" s="18">
        <v>7876</v>
      </c>
      <c r="E14" s="18">
        <v>23201</v>
      </c>
      <c r="F14" s="19">
        <v>1</v>
      </c>
      <c r="G14" s="10"/>
      <c r="H14" s="145" t="s">
        <v>24</v>
      </c>
      <c r="I14" s="145"/>
      <c r="J14" s="12"/>
      <c r="K14" s="12"/>
      <c r="L14" s="12"/>
      <c r="M14" s="13"/>
    </row>
    <row r="15" spans="1:20" ht="15">
      <c r="A15" s="145"/>
      <c r="B15" s="145"/>
      <c r="C15" s="12"/>
      <c r="D15" s="12"/>
      <c r="E15" s="12"/>
      <c r="F15" s="13"/>
      <c r="G15" s="10"/>
      <c r="H15" s="146" t="s">
        <v>25</v>
      </c>
      <c r="I15" s="146"/>
      <c r="J15" s="18">
        <v>22</v>
      </c>
      <c r="K15" s="18">
        <v>3278</v>
      </c>
      <c r="L15" s="18">
        <v>6913</v>
      </c>
      <c r="M15" s="19">
        <v>1</v>
      </c>
    </row>
    <row r="16" spans="1:20" ht="15">
      <c r="A16" s="146" t="s">
        <v>26</v>
      </c>
      <c r="B16" s="146"/>
      <c r="C16" s="18">
        <v>3</v>
      </c>
      <c r="D16" s="18">
        <v>38</v>
      </c>
      <c r="E16" s="18">
        <v>76</v>
      </c>
      <c r="F16" s="19">
        <v>1</v>
      </c>
      <c r="G16" s="10"/>
      <c r="H16" s="145"/>
      <c r="I16" s="145"/>
      <c r="J16" s="12"/>
      <c r="K16" s="12"/>
      <c r="L16" s="12"/>
      <c r="M16" s="13"/>
    </row>
    <row r="17" spans="1:13" ht="15">
      <c r="A17" s="146" t="s">
        <v>27</v>
      </c>
      <c r="B17" s="146"/>
      <c r="C17" s="18">
        <v>14</v>
      </c>
      <c r="D17" s="18">
        <v>101</v>
      </c>
      <c r="E17" s="18">
        <v>226</v>
      </c>
      <c r="F17" s="19">
        <v>1</v>
      </c>
      <c r="G17" s="10"/>
      <c r="H17" s="145" t="s">
        <v>28</v>
      </c>
      <c r="I17" s="145"/>
      <c r="J17" s="12">
        <v>2</v>
      </c>
      <c r="K17" s="12">
        <v>50</v>
      </c>
      <c r="L17" s="12">
        <v>100</v>
      </c>
      <c r="M17" s="13">
        <v>0.11792452830188679</v>
      </c>
    </row>
    <row r="18" spans="1:13" ht="15">
      <c r="A18" s="146" t="s">
        <v>29</v>
      </c>
      <c r="B18" s="146"/>
      <c r="C18" s="18"/>
      <c r="D18" s="18"/>
      <c r="E18" s="18"/>
      <c r="F18" s="19"/>
      <c r="G18" s="10"/>
      <c r="H18" s="145" t="s">
        <v>30</v>
      </c>
      <c r="I18" s="145"/>
      <c r="J18" s="12">
        <v>3</v>
      </c>
      <c r="K18" s="12">
        <v>196</v>
      </c>
      <c r="L18" s="12">
        <v>448</v>
      </c>
      <c r="M18" s="13">
        <v>0.52830188679245282</v>
      </c>
    </row>
    <row r="19" spans="1:13" ht="15">
      <c r="A19" s="147"/>
      <c r="B19" s="147"/>
      <c r="C19" s="12"/>
      <c r="D19" s="12"/>
      <c r="E19" s="12"/>
      <c r="F19" s="13"/>
      <c r="G19" s="10"/>
      <c r="H19" s="145" t="s">
        <v>31</v>
      </c>
      <c r="I19" s="145"/>
      <c r="J19" s="12">
        <v>1</v>
      </c>
      <c r="K19" s="12">
        <v>103</v>
      </c>
      <c r="L19" s="12">
        <v>258</v>
      </c>
      <c r="M19" s="13">
        <v>0.30424528301886794</v>
      </c>
    </row>
    <row r="20" spans="1:13" ht="15">
      <c r="A20" s="145" t="s">
        <v>32</v>
      </c>
      <c r="B20" s="145"/>
      <c r="C20" s="12">
        <v>1</v>
      </c>
      <c r="D20" s="1"/>
      <c r="E20" s="12">
        <v>300</v>
      </c>
      <c r="F20" s="13">
        <v>0.24529844644317253</v>
      </c>
      <c r="G20" s="10"/>
      <c r="H20" s="145" t="s">
        <v>33</v>
      </c>
      <c r="I20" s="145"/>
      <c r="J20" s="12">
        <v>1</v>
      </c>
      <c r="K20" s="12">
        <v>21</v>
      </c>
      <c r="L20" s="12">
        <v>42</v>
      </c>
      <c r="M20" s="13">
        <v>4.9528301886792456E-2</v>
      </c>
    </row>
    <row r="21" spans="1:13" ht="15">
      <c r="A21" s="145" t="s">
        <v>34</v>
      </c>
      <c r="B21" s="145"/>
      <c r="C21" s="12">
        <v>3</v>
      </c>
      <c r="D21" s="1"/>
      <c r="E21" s="12">
        <v>923</v>
      </c>
      <c r="F21" s="13">
        <v>0.75470155355682744</v>
      </c>
      <c r="G21" s="10"/>
      <c r="H21" s="145" t="s">
        <v>35</v>
      </c>
      <c r="I21" s="145"/>
      <c r="J21" s="12"/>
      <c r="K21" s="12"/>
      <c r="L21" s="12"/>
      <c r="M21" s="13"/>
    </row>
    <row r="22" spans="1:13" ht="15">
      <c r="A22" s="145" t="s">
        <v>36</v>
      </c>
      <c r="B22" s="145"/>
      <c r="C22" s="12"/>
      <c r="D22" s="12"/>
      <c r="E22" s="12"/>
      <c r="F22" s="13"/>
      <c r="G22" s="10"/>
      <c r="H22" s="146" t="s">
        <v>37</v>
      </c>
      <c r="I22" s="146"/>
      <c r="J22" s="18">
        <v>7</v>
      </c>
      <c r="K22" s="18">
        <v>370</v>
      </c>
      <c r="L22" s="18">
        <v>848</v>
      </c>
      <c r="M22" s="20">
        <v>1</v>
      </c>
    </row>
    <row r="23" spans="1:13" ht="15">
      <c r="A23" s="145" t="s">
        <v>38</v>
      </c>
      <c r="B23" s="145"/>
      <c r="C23" s="12"/>
      <c r="D23" s="12"/>
      <c r="E23" s="12"/>
      <c r="F23" s="21"/>
      <c r="G23" s="10"/>
      <c r="H23" s="145"/>
      <c r="I23" s="145"/>
      <c r="J23" s="12"/>
      <c r="K23" s="12"/>
      <c r="L23" s="12"/>
      <c r="M23" s="13"/>
    </row>
    <row r="24" spans="1:13" ht="15">
      <c r="A24" s="146" t="s">
        <v>39</v>
      </c>
      <c r="B24" s="146"/>
      <c r="C24" s="18">
        <v>4</v>
      </c>
      <c r="D24" s="18"/>
      <c r="E24" s="18">
        <v>1223</v>
      </c>
      <c r="F24" s="19">
        <v>1</v>
      </c>
      <c r="G24" s="10"/>
      <c r="H24" s="145" t="s">
        <v>40</v>
      </c>
      <c r="I24" s="145"/>
      <c r="J24" s="12">
        <v>13</v>
      </c>
      <c r="K24" s="12">
        <v>209</v>
      </c>
      <c r="L24" s="12">
        <v>395</v>
      </c>
      <c r="M24" s="13">
        <v>0.36915887850467288</v>
      </c>
    </row>
    <row r="25" spans="1:13" ht="15">
      <c r="A25" s="145"/>
      <c r="B25" s="145"/>
      <c r="C25" s="12"/>
      <c r="D25" s="12"/>
      <c r="E25" s="12"/>
      <c r="F25" s="13"/>
      <c r="G25" s="10"/>
      <c r="H25" s="145" t="s">
        <v>41</v>
      </c>
      <c r="I25" s="145"/>
      <c r="J25" s="12">
        <v>9</v>
      </c>
      <c r="K25" s="12">
        <v>356</v>
      </c>
      <c r="L25" s="12">
        <v>659</v>
      </c>
      <c r="M25" s="13">
        <v>0.61588785046728967</v>
      </c>
    </row>
    <row r="26" spans="1:13" ht="15">
      <c r="A26" s="145" t="s">
        <v>42</v>
      </c>
      <c r="B26" s="145"/>
      <c r="C26" s="12"/>
      <c r="D26" s="12"/>
      <c r="E26" s="12"/>
      <c r="F26" s="13"/>
      <c r="G26" s="10"/>
      <c r="H26" s="145" t="s">
        <v>43</v>
      </c>
      <c r="I26" s="145"/>
      <c r="J26" s="12">
        <v>1</v>
      </c>
      <c r="K26" s="12">
        <v>8</v>
      </c>
      <c r="L26" s="12">
        <v>16</v>
      </c>
      <c r="M26" s="13">
        <v>1.4953271028037384E-2</v>
      </c>
    </row>
    <row r="27" spans="1:13" ht="15">
      <c r="A27" s="145" t="s">
        <v>44</v>
      </c>
      <c r="B27" s="145"/>
      <c r="C27" s="12">
        <v>4</v>
      </c>
      <c r="D27" s="12">
        <v>1022</v>
      </c>
      <c r="E27" s="12">
        <v>2781</v>
      </c>
      <c r="F27" s="13">
        <v>0.67945272416320546</v>
      </c>
      <c r="G27" s="10"/>
      <c r="H27" s="146" t="s">
        <v>45</v>
      </c>
      <c r="I27" s="146"/>
      <c r="J27" s="18">
        <v>23</v>
      </c>
      <c r="K27" s="18">
        <v>573</v>
      </c>
      <c r="L27" s="18">
        <v>1070</v>
      </c>
      <c r="M27" s="19">
        <v>1</v>
      </c>
    </row>
    <row r="28" spans="1:13" ht="15">
      <c r="A28" s="145" t="s">
        <v>46</v>
      </c>
      <c r="B28" s="145"/>
      <c r="C28" s="12">
        <v>3</v>
      </c>
      <c r="D28" s="12">
        <v>618</v>
      </c>
      <c r="E28" s="12">
        <v>1312</v>
      </c>
      <c r="F28" s="13">
        <v>0.32054727583679454</v>
      </c>
      <c r="G28" s="10"/>
      <c r="H28" s="145"/>
      <c r="I28" s="145"/>
      <c r="J28" s="12"/>
      <c r="K28" s="12"/>
      <c r="L28" s="12"/>
      <c r="M28" s="13"/>
    </row>
    <row r="29" spans="1:13" ht="15">
      <c r="A29" s="146" t="s">
        <v>47</v>
      </c>
      <c r="B29" s="146"/>
      <c r="C29" s="18">
        <v>7</v>
      </c>
      <c r="D29" s="18">
        <v>1640</v>
      </c>
      <c r="E29" s="18">
        <v>4093</v>
      </c>
      <c r="F29" s="19">
        <v>1</v>
      </c>
      <c r="G29" s="10"/>
      <c r="H29" s="145" t="s">
        <v>48</v>
      </c>
      <c r="I29" s="145"/>
      <c r="J29" s="12">
        <v>38</v>
      </c>
      <c r="K29" s="12">
        <v>1031</v>
      </c>
      <c r="L29" s="12">
        <v>1889</v>
      </c>
      <c r="M29" s="13">
        <v>0.507250268528464</v>
      </c>
    </row>
    <row r="30" spans="1:13" ht="15">
      <c r="A30" s="145"/>
      <c r="B30" s="145"/>
      <c r="C30" s="12"/>
      <c r="D30" s="12"/>
      <c r="E30" s="12"/>
      <c r="F30" s="13"/>
      <c r="G30" s="10"/>
      <c r="H30" s="145" t="s">
        <v>49</v>
      </c>
      <c r="I30" s="145"/>
      <c r="J30" s="12">
        <v>26</v>
      </c>
      <c r="K30" s="12">
        <v>925</v>
      </c>
      <c r="L30" s="12">
        <v>1764</v>
      </c>
      <c r="M30" s="13">
        <v>0.47368421052631576</v>
      </c>
    </row>
    <row r="31" spans="1:13" ht="15">
      <c r="A31" s="145" t="s">
        <v>50</v>
      </c>
      <c r="B31" s="145"/>
      <c r="C31" s="12">
        <v>6</v>
      </c>
      <c r="D31" s="12">
        <v>307</v>
      </c>
      <c r="E31" s="12">
        <v>554</v>
      </c>
      <c r="F31" s="13">
        <v>1.5749822316986496E-2</v>
      </c>
      <c r="G31" s="10"/>
      <c r="H31" s="145" t="s">
        <v>51</v>
      </c>
      <c r="I31" s="145"/>
      <c r="J31" s="12">
        <v>2</v>
      </c>
      <c r="K31" s="12">
        <v>37</v>
      </c>
      <c r="L31" s="12">
        <v>71</v>
      </c>
      <c r="M31" s="13">
        <v>1.9065520945220193E-2</v>
      </c>
    </row>
    <row r="32" spans="1:13" ht="15">
      <c r="A32" s="145" t="s">
        <v>52</v>
      </c>
      <c r="B32" s="145"/>
      <c r="C32" s="12">
        <v>24</v>
      </c>
      <c r="D32" s="12">
        <v>3556</v>
      </c>
      <c r="E32" s="12">
        <v>6684</v>
      </c>
      <c r="F32" s="13">
        <v>0.19002132196162047</v>
      </c>
      <c r="G32" s="10"/>
      <c r="H32" s="146" t="s">
        <v>53</v>
      </c>
      <c r="I32" s="146"/>
      <c r="J32" s="18">
        <v>66</v>
      </c>
      <c r="K32" s="18">
        <v>1993</v>
      </c>
      <c r="L32" s="18">
        <v>3724</v>
      </c>
      <c r="M32" s="19">
        <v>1</v>
      </c>
    </row>
    <row r="33" spans="1:13" ht="15">
      <c r="A33" s="145" t="s">
        <v>54</v>
      </c>
      <c r="B33" s="145"/>
      <c r="C33" s="12">
        <v>53</v>
      </c>
      <c r="D33" s="12">
        <v>11658</v>
      </c>
      <c r="E33" s="12">
        <v>21798</v>
      </c>
      <c r="F33" s="13">
        <v>0.61970149253731344</v>
      </c>
      <c r="G33" s="10"/>
      <c r="H33" s="145"/>
      <c r="I33" s="145"/>
    </row>
    <row r="34" spans="1:13" ht="15">
      <c r="A34" s="145" t="s">
        <v>91</v>
      </c>
      <c r="B34" s="145"/>
      <c r="C34" s="12">
        <v>15</v>
      </c>
      <c r="D34" s="12">
        <v>2958</v>
      </c>
      <c r="E34" s="12">
        <v>5678</v>
      </c>
      <c r="F34" s="13">
        <v>0.16142146410803127</v>
      </c>
      <c r="G34" s="10"/>
      <c r="H34" s="146" t="s">
        <v>56</v>
      </c>
      <c r="I34" s="146"/>
      <c r="J34" s="18">
        <v>28</v>
      </c>
      <c r="K34" s="18">
        <v>296</v>
      </c>
      <c r="L34" s="18">
        <v>539</v>
      </c>
      <c r="M34" s="19">
        <v>1</v>
      </c>
    </row>
    <row r="35" spans="1:13" ht="15">
      <c r="A35" s="145" t="s">
        <v>57</v>
      </c>
      <c r="B35" s="145"/>
      <c r="C35" s="12">
        <v>2</v>
      </c>
      <c r="D35" s="12">
        <v>231</v>
      </c>
      <c r="E35" s="12">
        <v>461</v>
      </c>
      <c r="F35" s="13">
        <v>1.310589907604833E-2</v>
      </c>
      <c r="G35" s="10"/>
      <c r="H35" s="146" t="s">
        <v>58</v>
      </c>
      <c r="I35" s="146"/>
      <c r="J35" s="18">
        <v>3</v>
      </c>
      <c r="K35" s="18">
        <v>49</v>
      </c>
      <c r="L35" s="18">
        <v>89</v>
      </c>
      <c r="M35" s="19">
        <v>1</v>
      </c>
    </row>
    <row r="36" spans="1:13" ht="15">
      <c r="A36" s="145"/>
      <c r="B36" s="148"/>
      <c r="C36" s="12"/>
      <c r="D36" s="12"/>
      <c r="E36" s="12"/>
      <c r="F36" s="13"/>
      <c r="G36" s="10"/>
      <c r="H36" s="146" t="s">
        <v>60</v>
      </c>
      <c r="I36" s="146"/>
      <c r="J36" s="18"/>
      <c r="K36" s="18"/>
      <c r="L36" s="18"/>
      <c r="M36" s="19"/>
    </row>
    <row r="37" spans="1:13" ht="15">
      <c r="A37" s="146" t="s">
        <v>61</v>
      </c>
      <c r="B37" s="146"/>
      <c r="C37" s="18">
        <v>100</v>
      </c>
      <c r="D37" s="18">
        <v>18710</v>
      </c>
      <c r="E37" s="18">
        <v>35175</v>
      </c>
      <c r="F37" s="19">
        <v>1</v>
      </c>
      <c r="G37" s="10"/>
      <c r="H37" s="145"/>
      <c r="I37" s="145"/>
      <c r="J37" s="12"/>
      <c r="K37" s="12"/>
      <c r="L37" s="12"/>
      <c r="M37" s="12"/>
    </row>
    <row r="38" spans="1:13" ht="15">
      <c r="A38" s="145"/>
      <c r="B38" s="145"/>
      <c r="C38" s="12"/>
      <c r="D38" s="12"/>
      <c r="E38" s="12"/>
      <c r="F38" s="13"/>
      <c r="G38" s="10"/>
      <c r="H38" s="145"/>
      <c r="I38" s="145"/>
      <c r="J38" s="12"/>
      <c r="K38" s="12"/>
      <c r="L38" s="12"/>
      <c r="M38" s="12"/>
    </row>
    <row r="39" spans="1:13" ht="15">
      <c r="A39" s="145" t="s">
        <v>62</v>
      </c>
      <c r="B39" s="145"/>
      <c r="C39" s="12">
        <v>7</v>
      </c>
      <c r="D39" s="12">
        <v>316</v>
      </c>
      <c r="E39" s="12">
        <v>581</v>
      </c>
      <c r="F39" s="13">
        <v>0.20580942260007085</v>
      </c>
      <c r="G39" s="10"/>
      <c r="H39" s="147"/>
      <c r="I39" s="147"/>
      <c r="J39" s="12"/>
      <c r="K39" s="12"/>
      <c r="L39" s="12"/>
      <c r="M39" s="12"/>
    </row>
    <row r="40" spans="1:13" ht="15">
      <c r="A40" s="145" t="s">
        <v>63</v>
      </c>
      <c r="B40" s="145"/>
      <c r="C40" s="12">
        <v>9</v>
      </c>
      <c r="D40" s="12">
        <v>705</v>
      </c>
      <c r="E40" s="12">
        <v>1311</v>
      </c>
      <c r="F40" s="13">
        <v>0.46439957492029754</v>
      </c>
      <c r="G40" s="10"/>
      <c r="H40" s="11"/>
      <c r="I40" s="11"/>
      <c r="J40" s="12"/>
      <c r="K40" s="12"/>
      <c r="L40" s="12"/>
      <c r="M40" s="14"/>
    </row>
    <row r="41" spans="1:13" ht="15">
      <c r="A41" s="145" t="s">
        <v>64</v>
      </c>
      <c r="B41" s="145"/>
      <c r="C41" s="12">
        <v>5</v>
      </c>
      <c r="D41" s="12">
        <v>394</v>
      </c>
      <c r="E41" s="12">
        <v>713</v>
      </c>
      <c r="F41" s="13">
        <v>0.25256818986893376</v>
      </c>
      <c r="G41" s="10"/>
      <c r="H41" s="146" t="s">
        <v>65</v>
      </c>
      <c r="I41" s="146"/>
      <c r="J41" s="18">
        <v>549</v>
      </c>
      <c r="K41" s="18">
        <v>36465</v>
      </c>
      <c r="L41" s="18">
        <v>80000</v>
      </c>
      <c r="M41" s="12"/>
    </row>
    <row r="42" spans="1:13" ht="15">
      <c r="A42" s="145" t="s">
        <v>93</v>
      </c>
      <c r="B42" s="145"/>
      <c r="C42" s="12">
        <v>2</v>
      </c>
      <c r="D42" s="12">
        <v>126</v>
      </c>
      <c r="E42" s="12">
        <v>218</v>
      </c>
      <c r="F42" s="13">
        <v>7.7222812610697841E-2</v>
      </c>
      <c r="G42" s="10"/>
      <c r="H42" s="11"/>
      <c r="I42" s="11"/>
      <c r="J42" s="12"/>
      <c r="K42" s="12"/>
      <c r="L42" s="12"/>
      <c r="M42" s="14"/>
    </row>
    <row r="43" spans="1:13" ht="15">
      <c r="A43" s="145" t="s">
        <v>67</v>
      </c>
      <c r="B43" s="145"/>
      <c r="C43" s="12"/>
      <c r="D43" s="12"/>
      <c r="E43" s="12"/>
      <c r="F43" s="13"/>
      <c r="G43" s="10"/>
      <c r="H43" s="11"/>
      <c r="I43" s="11"/>
      <c r="J43" s="14"/>
      <c r="K43" s="14"/>
      <c r="L43" s="14"/>
      <c r="M43" s="14"/>
    </row>
    <row r="44" spans="1:13" ht="15">
      <c r="A44" s="146" t="s">
        <v>68</v>
      </c>
      <c r="B44" s="146"/>
      <c r="C44" s="18">
        <v>23</v>
      </c>
      <c r="D44" s="18">
        <v>1541</v>
      </c>
      <c r="E44" s="18">
        <v>2823</v>
      </c>
      <c r="F44" s="19">
        <v>1</v>
      </c>
      <c r="G44" s="10"/>
      <c r="H44" s="11"/>
      <c r="I44" s="11"/>
      <c r="J44" s="14"/>
      <c r="K44" s="14"/>
      <c r="L44" s="14"/>
      <c r="M44" s="14"/>
    </row>
    <row r="45" spans="1:13" ht="15">
      <c r="A45" s="145"/>
      <c r="B45" s="145"/>
      <c r="C45" s="15"/>
      <c r="D45" s="15"/>
      <c r="E45" s="15"/>
      <c r="F45" s="15"/>
      <c r="G45" s="10"/>
      <c r="H45" s="16"/>
      <c r="I45" s="16"/>
      <c r="J45" s="10"/>
      <c r="K45" s="10"/>
      <c r="L45" s="10"/>
      <c r="M45" s="10"/>
    </row>
    <row r="46" spans="1:13" ht="15">
      <c r="A46" s="16"/>
      <c r="B46" s="16"/>
      <c r="C46" s="10"/>
      <c r="D46" s="10"/>
      <c r="E46" s="10"/>
      <c r="F46" s="10"/>
      <c r="G46" s="10"/>
      <c r="H46" s="16"/>
      <c r="I46" s="16"/>
      <c r="J46" s="10"/>
      <c r="K46" s="10"/>
      <c r="L46" s="10"/>
      <c r="M46" s="10"/>
    </row>
    <row r="49" spans="44:60">
      <c r="AR49" s="4">
        <v>2</v>
      </c>
      <c r="AS49" s="4">
        <v>231</v>
      </c>
      <c r="AT49" s="4">
        <v>461</v>
      </c>
      <c r="BF49" s="4">
        <v>0</v>
      </c>
      <c r="BG49" s="4">
        <v>0</v>
      </c>
      <c r="BH49" s="4">
        <v>0</v>
      </c>
    </row>
  </sheetData>
  <sheetProtection algorithmName="SHA-512" hashValue="EcGVqBbg24Pet4AHO05cQVAUXC5sO3RyMnwCumKEyu5bnp6Yyukpuvrg1BPnzEt/XUexy3nKrp4Ua+kS0J5NiA==" saltValue="i/VzRcpAVeyYklmw0ULp+A==" spinCount="100000" sheet="1"/>
  <mergeCells count="73">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5:B45"/>
    <mergeCell ref="A40:B40"/>
    <mergeCell ref="A41:B41"/>
    <mergeCell ref="H41:I41"/>
    <mergeCell ref="A42:B42"/>
    <mergeCell ref="A43:B43"/>
    <mergeCell ref="A44:B44"/>
  </mergeCells>
  <pageMargins left="0.70866141732283472" right="0.70866141732283472" top="0.74803149606299213" bottom="0.74803149606299213" header="0.31496062992125984" footer="0.31496062992125984"/>
  <pageSetup paperSize="8" scale="8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3:BV18"/>
  <sheetViews>
    <sheetView showGridLines="0" zoomScaleNormal="100" zoomScaleSheetLayoutView="91" workbookViewId="0"/>
  </sheetViews>
  <sheetFormatPr baseColWidth="10" defaultColWidth="11.42578125" defaultRowHeight="15"/>
  <cols>
    <col min="1" max="1" width="80.28515625" customWidth="1"/>
    <col min="2" max="73" width="8.7109375" customWidth="1"/>
    <col min="74" max="74" width="43.140625" customWidth="1"/>
  </cols>
  <sheetData>
    <row r="3" spans="1:74" ht="16.5">
      <c r="A3" s="5" t="s">
        <v>101</v>
      </c>
      <c r="B3" s="27"/>
    </row>
    <row r="4" spans="1:74" ht="16.5">
      <c r="A4" s="30" t="s">
        <v>102</v>
      </c>
      <c r="B4" s="27"/>
    </row>
    <row r="5" spans="1:74" ht="16.5">
      <c r="A5" s="30" t="s">
        <v>103</v>
      </c>
      <c r="B5" s="27"/>
    </row>
    <row r="7" spans="1:74" s="27" customFormat="1" ht="12.75" customHeight="1">
      <c r="A7" s="58" t="s">
        <v>128</v>
      </c>
      <c r="B7" s="152" t="s">
        <v>72</v>
      </c>
      <c r="C7" s="152"/>
      <c r="D7" s="152" t="s">
        <v>73</v>
      </c>
      <c r="E7" s="152"/>
      <c r="F7" s="152" t="s">
        <v>74</v>
      </c>
      <c r="G7" s="152"/>
      <c r="H7" s="152" t="s">
        <v>75</v>
      </c>
      <c r="I7" s="152"/>
      <c r="J7" s="152" t="s">
        <v>26</v>
      </c>
      <c r="K7" s="152"/>
      <c r="L7" s="152" t="s">
        <v>27</v>
      </c>
      <c r="M7" s="152"/>
      <c r="N7" s="152" t="s">
        <v>34</v>
      </c>
      <c r="O7" s="152"/>
      <c r="P7" s="152" t="s">
        <v>32</v>
      </c>
      <c r="Q7" s="152"/>
      <c r="R7" s="152" t="s">
        <v>44</v>
      </c>
      <c r="S7" s="152"/>
      <c r="T7" s="152" t="s">
        <v>46</v>
      </c>
      <c r="U7" s="152"/>
      <c r="V7" s="152" t="s">
        <v>50</v>
      </c>
      <c r="W7" s="152"/>
      <c r="X7" s="152" t="s">
        <v>52</v>
      </c>
      <c r="Y7" s="152"/>
      <c r="Z7" s="152" t="s">
        <v>54</v>
      </c>
      <c r="AA7" s="152"/>
      <c r="AB7" s="152" t="s">
        <v>55</v>
      </c>
      <c r="AC7" s="152"/>
      <c r="AD7" s="152" t="s">
        <v>57</v>
      </c>
      <c r="AE7" s="152"/>
      <c r="AF7" s="152" t="s">
        <v>62</v>
      </c>
      <c r="AG7" s="152"/>
      <c r="AH7" s="152" t="s">
        <v>63</v>
      </c>
      <c r="AI7" s="152"/>
      <c r="AJ7" s="152" t="s">
        <v>64</v>
      </c>
      <c r="AK7" s="152"/>
      <c r="AL7" s="152" t="s">
        <v>66</v>
      </c>
      <c r="AM7" s="152"/>
      <c r="AN7" s="152" t="s">
        <v>16</v>
      </c>
      <c r="AO7" s="152"/>
      <c r="AP7" s="152" t="s">
        <v>18</v>
      </c>
      <c r="AQ7" s="152"/>
      <c r="AR7" s="152" t="s">
        <v>20</v>
      </c>
      <c r="AS7" s="152"/>
      <c r="AT7" s="152" t="s">
        <v>22</v>
      </c>
      <c r="AU7" s="152"/>
      <c r="AV7" s="152" t="s">
        <v>28</v>
      </c>
      <c r="AW7" s="152"/>
      <c r="AX7" s="152" t="s">
        <v>30</v>
      </c>
      <c r="AY7" s="152"/>
      <c r="AZ7" s="152" t="s">
        <v>31</v>
      </c>
      <c r="BA7" s="152"/>
      <c r="BB7" s="152" t="s">
        <v>33</v>
      </c>
      <c r="BC7" s="152"/>
      <c r="BD7" s="152" t="s">
        <v>40</v>
      </c>
      <c r="BE7" s="152"/>
      <c r="BF7" s="152" t="s">
        <v>41</v>
      </c>
      <c r="BG7" s="152"/>
      <c r="BH7" s="152" t="s">
        <v>43</v>
      </c>
      <c r="BI7" s="152"/>
      <c r="BJ7" s="152" t="s">
        <v>48</v>
      </c>
      <c r="BK7" s="152"/>
      <c r="BL7" s="152" t="s">
        <v>49</v>
      </c>
      <c r="BM7" s="152"/>
      <c r="BN7" s="152" t="s">
        <v>51</v>
      </c>
      <c r="BO7" s="152"/>
      <c r="BP7" s="152" t="s">
        <v>56</v>
      </c>
      <c r="BQ7" s="152"/>
      <c r="BR7" s="152" t="s">
        <v>58</v>
      </c>
      <c r="BS7" s="152"/>
      <c r="BT7" s="152" t="s">
        <v>65</v>
      </c>
      <c r="BU7" s="152"/>
      <c r="BV7"/>
    </row>
    <row r="8" spans="1:74" s="27" customFormat="1" ht="12.75" customHeight="1">
      <c r="A8" s="58"/>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row>
    <row r="9" spans="1:74" s="27" customFormat="1">
      <c r="A9" s="73" t="s">
        <v>81</v>
      </c>
      <c r="B9" s="38" t="s">
        <v>82</v>
      </c>
      <c r="C9" s="38" t="s">
        <v>83</v>
      </c>
      <c r="D9" s="38" t="s">
        <v>82</v>
      </c>
      <c r="E9" s="38" t="s">
        <v>83</v>
      </c>
      <c r="F9" s="38" t="s">
        <v>82</v>
      </c>
      <c r="G9" s="38" t="s">
        <v>83</v>
      </c>
      <c r="H9" s="38" t="s">
        <v>82</v>
      </c>
      <c r="I9" s="38" t="s">
        <v>83</v>
      </c>
      <c r="J9" s="38" t="s">
        <v>82</v>
      </c>
      <c r="K9" s="38" t="s">
        <v>83</v>
      </c>
      <c r="L9" s="38" t="s">
        <v>82</v>
      </c>
      <c r="M9" s="38" t="s">
        <v>83</v>
      </c>
      <c r="N9" s="38" t="s">
        <v>82</v>
      </c>
      <c r="O9" s="38" t="s">
        <v>83</v>
      </c>
      <c r="P9" s="38" t="s">
        <v>82</v>
      </c>
      <c r="Q9" s="38" t="s">
        <v>83</v>
      </c>
      <c r="R9" s="38" t="s">
        <v>82</v>
      </c>
      <c r="S9" s="38" t="s">
        <v>83</v>
      </c>
      <c r="T9" s="38" t="s">
        <v>82</v>
      </c>
      <c r="U9" s="38" t="s">
        <v>83</v>
      </c>
      <c r="V9" s="38" t="s">
        <v>82</v>
      </c>
      <c r="W9" s="38" t="s">
        <v>83</v>
      </c>
      <c r="X9" s="38" t="s">
        <v>82</v>
      </c>
      <c r="Y9" s="38" t="s">
        <v>83</v>
      </c>
      <c r="Z9" s="38" t="s">
        <v>82</v>
      </c>
      <c r="AA9" s="38" t="s">
        <v>83</v>
      </c>
      <c r="AB9" s="38" t="s">
        <v>82</v>
      </c>
      <c r="AC9" s="38" t="s">
        <v>83</v>
      </c>
      <c r="AD9" s="38" t="s">
        <v>82</v>
      </c>
      <c r="AE9" s="38" t="s">
        <v>83</v>
      </c>
      <c r="AF9" s="38" t="s">
        <v>82</v>
      </c>
      <c r="AG9" s="38" t="s">
        <v>83</v>
      </c>
      <c r="AH9" s="38" t="s">
        <v>82</v>
      </c>
      <c r="AI9" s="38" t="s">
        <v>83</v>
      </c>
      <c r="AJ9" s="38" t="s">
        <v>82</v>
      </c>
      <c r="AK9" s="38" t="s">
        <v>83</v>
      </c>
      <c r="AL9" s="38" t="s">
        <v>82</v>
      </c>
      <c r="AM9" s="38" t="s">
        <v>83</v>
      </c>
      <c r="AN9" s="38" t="s">
        <v>82</v>
      </c>
      <c r="AO9" s="38" t="s">
        <v>83</v>
      </c>
      <c r="AP9" s="38" t="s">
        <v>82</v>
      </c>
      <c r="AQ9" s="38" t="s">
        <v>83</v>
      </c>
      <c r="AR9" s="38" t="s">
        <v>82</v>
      </c>
      <c r="AS9" s="38" t="s">
        <v>83</v>
      </c>
      <c r="AT9" s="38" t="s">
        <v>82</v>
      </c>
      <c r="AU9" s="38" t="s">
        <v>83</v>
      </c>
      <c r="AV9" s="38" t="s">
        <v>82</v>
      </c>
      <c r="AW9" s="38" t="s">
        <v>83</v>
      </c>
      <c r="AX9" s="38" t="s">
        <v>82</v>
      </c>
      <c r="AY9" s="38" t="s">
        <v>83</v>
      </c>
      <c r="AZ9" s="38" t="s">
        <v>82</v>
      </c>
      <c r="BA9" s="38" t="s">
        <v>83</v>
      </c>
      <c r="BB9" s="38" t="s">
        <v>82</v>
      </c>
      <c r="BC9" s="38" t="s">
        <v>83</v>
      </c>
      <c r="BD9" s="38" t="s">
        <v>82</v>
      </c>
      <c r="BE9" s="38" t="s">
        <v>83</v>
      </c>
      <c r="BF9" s="38" t="s">
        <v>82</v>
      </c>
      <c r="BG9" s="38" t="s">
        <v>83</v>
      </c>
      <c r="BH9" s="38" t="s">
        <v>82</v>
      </c>
      <c r="BI9" s="38" t="s">
        <v>83</v>
      </c>
      <c r="BJ9" s="38" t="s">
        <v>82</v>
      </c>
      <c r="BK9" s="38" t="s">
        <v>83</v>
      </c>
      <c r="BL9" s="38" t="s">
        <v>82</v>
      </c>
      <c r="BM9" s="38" t="s">
        <v>83</v>
      </c>
      <c r="BN9" s="38" t="s">
        <v>82</v>
      </c>
      <c r="BO9" s="38" t="s">
        <v>83</v>
      </c>
      <c r="BP9" s="38" t="s">
        <v>82</v>
      </c>
      <c r="BQ9" s="38" t="s">
        <v>83</v>
      </c>
      <c r="BR9" s="38" t="s">
        <v>82</v>
      </c>
      <c r="BS9" s="38" t="s">
        <v>83</v>
      </c>
      <c r="BT9" s="38" t="s">
        <v>82</v>
      </c>
      <c r="BU9" s="38" t="s">
        <v>83</v>
      </c>
      <c r="BV9"/>
    </row>
    <row r="10" spans="1:74" s="27" customFormat="1">
      <c r="A10" s="37" t="s">
        <v>217</v>
      </c>
      <c r="B10" s="46">
        <v>29</v>
      </c>
      <c r="C10" s="46">
        <v>1955</v>
      </c>
      <c r="D10" s="46">
        <v>16</v>
      </c>
      <c r="E10" s="46">
        <v>1733</v>
      </c>
      <c r="F10" s="46">
        <v>4</v>
      </c>
      <c r="G10" s="46">
        <v>1168</v>
      </c>
      <c r="H10" s="47"/>
      <c r="I10" s="47"/>
      <c r="J10" s="47"/>
      <c r="K10" s="47"/>
      <c r="L10" s="47"/>
      <c r="M10" s="47"/>
      <c r="N10" s="47"/>
      <c r="O10" s="47"/>
      <c r="P10" s="47"/>
      <c r="Q10" s="47"/>
      <c r="R10" s="47"/>
      <c r="S10" s="47"/>
      <c r="T10" s="47"/>
      <c r="U10" s="47"/>
      <c r="V10" s="46">
        <v>3</v>
      </c>
      <c r="W10" s="46">
        <v>294</v>
      </c>
      <c r="X10" s="46">
        <v>7</v>
      </c>
      <c r="Y10" s="46">
        <v>2062</v>
      </c>
      <c r="Z10" s="46">
        <v>5</v>
      </c>
      <c r="AA10" s="46">
        <v>1992</v>
      </c>
      <c r="AB10" s="46">
        <v>6</v>
      </c>
      <c r="AC10" s="46">
        <v>2195</v>
      </c>
      <c r="AD10" s="47"/>
      <c r="AE10" s="47"/>
      <c r="AF10" s="46">
        <v>2</v>
      </c>
      <c r="AG10" s="46">
        <v>169</v>
      </c>
      <c r="AH10" s="46">
        <v>3</v>
      </c>
      <c r="AI10" s="46">
        <v>411</v>
      </c>
      <c r="AJ10" s="47"/>
      <c r="AK10" s="47"/>
      <c r="AL10" s="46">
        <v>1</v>
      </c>
      <c r="AM10" s="46">
        <v>199</v>
      </c>
      <c r="AN10" s="47"/>
      <c r="AO10" s="47"/>
      <c r="AP10" s="46">
        <v>1</v>
      </c>
      <c r="AQ10" s="46">
        <v>213</v>
      </c>
      <c r="AR10" s="46">
        <v>1</v>
      </c>
      <c r="AS10" s="46">
        <v>517</v>
      </c>
      <c r="AT10" s="47"/>
      <c r="AU10" s="47"/>
      <c r="AV10" s="47"/>
      <c r="AW10" s="47"/>
      <c r="AX10" s="47"/>
      <c r="AY10" s="47"/>
      <c r="AZ10" s="47"/>
      <c r="BA10" s="47"/>
      <c r="BB10" s="47"/>
      <c r="BC10" s="47"/>
      <c r="BD10" s="46">
        <v>2</v>
      </c>
      <c r="BE10" s="46">
        <v>101</v>
      </c>
      <c r="BF10" s="46">
        <v>1</v>
      </c>
      <c r="BG10" s="46">
        <v>75</v>
      </c>
      <c r="BH10" s="47"/>
      <c r="BI10" s="47"/>
      <c r="BJ10" s="46">
        <v>11</v>
      </c>
      <c r="BK10" s="46">
        <v>452</v>
      </c>
      <c r="BL10" s="46">
        <v>5</v>
      </c>
      <c r="BM10" s="46">
        <v>180</v>
      </c>
      <c r="BN10" s="46">
        <v>2</v>
      </c>
      <c r="BO10" s="46">
        <v>71</v>
      </c>
      <c r="BP10" s="46">
        <v>14</v>
      </c>
      <c r="BQ10" s="46">
        <v>232</v>
      </c>
      <c r="BR10" s="47"/>
      <c r="BS10" s="47"/>
      <c r="BT10" s="56">
        <v>113</v>
      </c>
      <c r="BU10" s="56">
        <v>14019</v>
      </c>
      <c r="BV10"/>
    </row>
    <row r="11" spans="1:74" s="27" customFormat="1">
      <c r="A11" s="37" t="s">
        <v>84</v>
      </c>
      <c r="B11" s="46">
        <v>39</v>
      </c>
      <c r="C11" s="46">
        <v>2802</v>
      </c>
      <c r="D11" s="46">
        <v>14</v>
      </c>
      <c r="E11" s="46">
        <v>1793</v>
      </c>
      <c r="F11" s="46">
        <v>2</v>
      </c>
      <c r="G11" s="46">
        <v>60</v>
      </c>
      <c r="H11" s="47"/>
      <c r="I11" s="47"/>
      <c r="J11" s="46">
        <v>1</v>
      </c>
      <c r="K11" s="46">
        <v>28</v>
      </c>
      <c r="L11" s="46">
        <v>2</v>
      </c>
      <c r="M11" s="46">
        <v>44</v>
      </c>
      <c r="N11" s="47">
        <v>1</v>
      </c>
      <c r="O11" s="47">
        <v>274</v>
      </c>
      <c r="P11" s="47"/>
      <c r="Q11" s="47"/>
      <c r="R11" s="47"/>
      <c r="S11" s="47"/>
      <c r="T11" s="47"/>
      <c r="U11" s="47"/>
      <c r="V11" s="46">
        <v>3</v>
      </c>
      <c r="W11" s="46">
        <v>260</v>
      </c>
      <c r="X11" s="46">
        <v>6</v>
      </c>
      <c r="Y11" s="46">
        <v>2002</v>
      </c>
      <c r="Z11" s="46">
        <v>10</v>
      </c>
      <c r="AA11" s="46">
        <v>2970</v>
      </c>
      <c r="AB11" s="46">
        <v>2</v>
      </c>
      <c r="AC11" s="46">
        <v>588</v>
      </c>
      <c r="AD11" s="47"/>
      <c r="AE11" s="47"/>
      <c r="AF11" s="46">
        <v>5</v>
      </c>
      <c r="AG11" s="46">
        <v>412</v>
      </c>
      <c r="AH11" s="46">
        <v>4</v>
      </c>
      <c r="AI11" s="46">
        <v>676</v>
      </c>
      <c r="AJ11" s="47"/>
      <c r="AK11" s="47"/>
      <c r="AL11" s="47"/>
      <c r="AM11" s="47"/>
      <c r="AN11" s="46">
        <v>1</v>
      </c>
      <c r="AO11" s="46">
        <v>104</v>
      </c>
      <c r="AP11" s="47"/>
      <c r="AQ11" s="47"/>
      <c r="AR11" s="46">
        <v>3</v>
      </c>
      <c r="AS11" s="46">
        <v>1107</v>
      </c>
      <c r="AT11" s="46">
        <v>2</v>
      </c>
      <c r="AU11" s="46">
        <v>338</v>
      </c>
      <c r="AV11" s="47"/>
      <c r="AW11" s="47"/>
      <c r="AX11" s="46">
        <v>1</v>
      </c>
      <c r="AY11" s="46">
        <v>184</v>
      </c>
      <c r="AZ11" s="47"/>
      <c r="BA11" s="47"/>
      <c r="BB11" s="47"/>
      <c r="BC11" s="47"/>
      <c r="BD11" s="46">
        <v>2</v>
      </c>
      <c r="BE11" s="46">
        <v>76</v>
      </c>
      <c r="BF11" s="46">
        <v>3</v>
      </c>
      <c r="BG11" s="46">
        <v>301</v>
      </c>
      <c r="BH11" s="46"/>
      <c r="BI11" s="46"/>
      <c r="BJ11" s="46">
        <v>17</v>
      </c>
      <c r="BK11" s="46">
        <v>1060</v>
      </c>
      <c r="BL11" s="46">
        <v>13</v>
      </c>
      <c r="BM11" s="46">
        <v>1089</v>
      </c>
      <c r="BN11" s="47"/>
      <c r="BO11" s="47"/>
      <c r="BP11" s="46">
        <v>11</v>
      </c>
      <c r="BQ11" s="46">
        <v>259</v>
      </c>
      <c r="BR11" s="47"/>
      <c r="BS11" s="47"/>
      <c r="BT11" s="56">
        <v>142</v>
      </c>
      <c r="BU11" s="56">
        <v>16427</v>
      </c>
      <c r="BV11"/>
    </row>
    <row r="12" spans="1:74" s="27" customFormat="1">
      <c r="A12" s="37" t="s">
        <v>85</v>
      </c>
      <c r="B12" s="46">
        <v>6</v>
      </c>
      <c r="C12" s="46">
        <v>514</v>
      </c>
      <c r="D12" s="46">
        <v>6</v>
      </c>
      <c r="E12" s="46">
        <v>513</v>
      </c>
      <c r="F12" s="46">
        <v>4</v>
      </c>
      <c r="G12" s="46">
        <v>298</v>
      </c>
      <c r="H12" s="47">
        <v>1</v>
      </c>
      <c r="I12" s="47">
        <v>29</v>
      </c>
      <c r="J12" s="47">
        <v>2</v>
      </c>
      <c r="K12" s="47">
        <v>48</v>
      </c>
      <c r="L12" s="46">
        <v>6</v>
      </c>
      <c r="M12" s="46">
        <v>94</v>
      </c>
      <c r="N12" s="47"/>
      <c r="O12" s="47"/>
      <c r="P12" s="47"/>
      <c r="Q12" s="47"/>
      <c r="R12" s="46"/>
      <c r="S12" s="46"/>
      <c r="T12" s="47">
        <v>2</v>
      </c>
      <c r="U12" s="47">
        <v>912</v>
      </c>
      <c r="V12" s="47"/>
      <c r="W12" s="47"/>
      <c r="X12" s="46"/>
      <c r="Y12" s="46"/>
      <c r="Z12" s="46">
        <v>8</v>
      </c>
      <c r="AA12" s="46">
        <v>2191</v>
      </c>
      <c r="AB12" s="46"/>
      <c r="AC12" s="46"/>
      <c r="AD12" s="47">
        <v>1</v>
      </c>
      <c r="AE12" s="47">
        <v>116</v>
      </c>
      <c r="AF12" s="47"/>
      <c r="AG12" s="47"/>
      <c r="AH12" s="46"/>
      <c r="AI12" s="46"/>
      <c r="AJ12" s="46"/>
      <c r="AK12" s="46"/>
      <c r="AL12" s="46"/>
      <c r="AM12" s="46"/>
      <c r="AN12" s="47"/>
      <c r="AO12" s="47"/>
      <c r="AP12" s="46"/>
      <c r="AQ12" s="46"/>
      <c r="AR12" s="46"/>
      <c r="AS12" s="46"/>
      <c r="AT12" s="46"/>
      <c r="AU12" s="46"/>
      <c r="AV12" s="46"/>
      <c r="AW12" s="46"/>
      <c r="AX12" s="46"/>
      <c r="AY12" s="46"/>
      <c r="AZ12" s="46"/>
      <c r="BA12" s="46"/>
      <c r="BB12" s="46"/>
      <c r="BC12" s="46"/>
      <c r="BD12" s="46">
        <v>1</v>
      </c>
      <c r="BE12" s="46">
        <v>20</v>
      </c>
      <c r="BF12" s="47">
        <v>1</v>
      </c>
      <c r="BG12" s="47">
        <v>21</v>
      </c>
      <c r="BH12" s="46"/>
      <c r="BI12" s="46"/>
      <c r="BJ12" s="46">
        <v>3</v>
      </c>
      <c r="BK12" s="46">
        <v>118</v>
      </c>
      <c r="BL12" s="47">
        <v>1</v>
      </c>
      <c r="BM12" s="47">
        <v>212</v>
      </c>
      <c r="BN12" s="47"/>
      <c r="BO12" s="47"/>
      <c r="BP12" s="46">
        <v>1</v>
      </c>
      <c r="BQ12" s="46">
        <v>8</v>
      </c>
      <c r="BR12" s="47"/>
      <c r="BS12" s="47"/>
      <c r="BT12" s="56">
        <v>43</v>
      </c>
      <c r="BU12" s="56">
        <v>5094</v>
      </c>
      <c r="BV12"/>
    </row>
    <row r="13" spans="1:74" s="27" customFormat="1">
      <c r="A13" s="37" t="s">
        <v>86</v>
      </c>
      <c r="B13" s="46">
        <v>28</v>
      </c>
      <c r="C13" s="46">
        <v>2086</v>
      </c>
      <c r="D13" s="46">
        <v>15</v>
      </c>
      <c r="E13" s="46">
        <v>2197</v>
      </c>
      <c r="F13" s="46">
        <v>17</v>
      </c>
      <c r="G13" s="46">
        <v>2083</v>
      </c>
      <c r="H13" s="47"/>
      <c r="I13" s="47"/>
      <c r="J13" s="46"/>
      <c r="K13" s="46"/>
      <c r="L13" s="46">
        <v>1</v>
      </c>
      <c r="M13" s="46">
        <v>8</v>
      </c>
      <c r="N13" s="47">
        <v>1</v>
      </c>
      <c r="O13" s="47">
        <v>400</v>
      </c>
      <c r="P13" s="47"/>
      <c r="Q13" s="47"/>
      <c r="R13" s="47">
        <v>1</v>
      </c>
      <c r="S13" s="47">
        <v>780</v>
      </c>
      <c r="T13" s="47"/>
      <c r="U13" s="47"/>
      <c r="V13" s="46"/>
      <c r="W13" s="46"/>
      <c r="X13" s="46">
        <v>6</v>
      </c>
      <c r="Y13" s="46">
        <v>1238</v>
      </c>
      <c r="Z13" s="46">
        <v>15</v>
      </c>
      <c r="AA13" s="46">
        <v>8103</v>
      </c>
      <c r="AB13" s="46">
        <v>4</v>
      </c>
      <c r="AC13" s="46">
        <v>1611</v>
      </c>
      <c r="AD13" s="47"/>
      <c r="AE13" s="47"/>
      <c r="AF13" s="46"/>
      <c r="AG13" s="46"/>
      <c r="AH13" s="46">
        <v>1</v>
      </c>
      <c r="AI13" s="46">
        <v>84</v>
      </c>
      <c r="AJ13" s="47">
        <v>2</v>
      </c>
      <c r="AK13" s="47">
        <v>296</v>
      </c>
      <c r="AL13" s="47">
        <v>1</v>
      </c>
      <c r="AM13" s="47">
        <v>19</v>
      </c>
      <c r="AN13" s="46"/>
      <c r="AO13" s="46"/>
      <c r="AP13" s="47">
        <v>1</v>
      </c>
      <c r="AQ13" s="47">
        <v>270</v>
      </c>
      <c r="AR13" s="46">
        <v>6</v>
      </c>
      <c r="AS13" s="46">
        <v>2268</v>
      </c>
      <c r="AT13" s="46">
        <v>3</v>
      </c>
      <c r="AU13" s="46">
        <v>1104</v>
      </c>
      <c r="AV13" s="47">
        <v>2</v>
      </c>
      <c r="AW13" s="47">
        <v>100</v>
      </c>
      <c r="AX13" s="46">
        <v>1</v>
      </c>
      <c r="AY13" s="46">
        <v>180</v>
      </c>
      <c r="AZ13" s="47">
        <v>1</v>
      </c>
      <c r="BA13" s="47">
        <v>258</v>
      </c>
      <c r="BB13" s="47">
        <v>1</v>
      </c>
      <c r="BC13" s="47">
        <v>42</v>
      </c>
      <c r="BD13" s="46">
        <v>3</v>
      </c>
      <c r="BE13" s="46">
        <v>44</v>
      </c>
      <c r="BF13" s="46"/>
      <c r="BG13" s="46"/>
      <c r="BH13" s="46">
        <v>1</v>
      </c>
      <c r="BI13" s="46">
        <v>16</v>
      </c>
      <c r="BJ13" s="46">
        <v>1</v>
      </c>
      <c r="BK13" s="46">
        <v>13</v>
      </c>
      <c r="BL13" s="46"/>
      <c r="BM13" s="46"/>
      <c r="BN13" s="47"/>
      <c r="BO13" s="47"/>
      <c r="BP13" s="46">
        <v>1</v>
      </c>
      <c r="BQ13" s="46">
        <v>12</v>
      </c>
      <c r="BR13" s="47"/>
      <c r="BS13" s="47"/>
      <c r="BT13" s="56">
        <v>113</v>
      </c>
      <c r="BU13" s="56">
        <v>23212</v>
      </c>
      <c r="BV13"/>
    </row>
    <row r="14" spans="1:74" s="27" customFormat="1">
      <c r="A14" s="37" t="s">
        <v>87</v>
      </c>
      <c r="B14" s="46">
        <v>39</v>
      </c>
      <c r="C14" s="46">
        <v>2154</v>
      </c>
      <c r="D14" s="46">
        <v>19</v>
      </c>
      <c r="E14" s="46">
        <v>2250</v>
      </c>
      <c r="F14" s="46">
        <v>10</v>
      </c>
      <c r="G14" s="46">
        <v>1566</v>
      </c>
      <c r="H14" s="47"/>
      <c r="I14" s="47"/>
      <c r="J14" s="47"/>
      <c r="K14" s="47"/>
      <c r="L14" s="46">
        <v>5</v>
      </c>
      <c r="M14" s="46">
        <v>80</v>
      </c>
      <c r="N14" s="47">
        <v>1</v>
      </c>
      <c r="O14" s="47">
        <v>249</v>
      </c>
      <c r="P14" s="47">
        <v>1</v>
      </c>
      <c r="Q14" s="47">
        <v>300</v>
      </c>
      <c r="R14" s="46">
        <v>3</v>
      </c>
      <c r="S14" s="46">
        <v>2001</v>
      </c>
      <c r="T14" s="46">
        <v>1</v>
      </c>
      <c r="U14" s="46">
        <v>400</v>
      </c>
      <c r="V14" s="47"/>
      <c r="W14" s="47"/>
      <c r="X14" s="46">
        <v>5</v>
      </c>
      <c r="Y14" s="46">
        <v>1382</v>
      </c>
      <c r="Z14" s="46">
        <v>15</v>
      </c>
      <c r="AA14" s="46">
        <v>6542</v>
      </c>
      <c r="AB14" s="46">
        <v>3</v>
      </c>
      <c r="AC14" s="46">
        <v>1284</v>
      </c>
      <c r="AD14" s="46">
        <v>1</v>
      </c>
      <c r="AE14" s="46">
        <v>345</v>
      </c>
      <c r="AF14" s="47"/>
      <c r="AG14" s="47"/>
      <c r="AH14" s="46">
        <v>1</v>
      </c>
      <c r="AI14" s="46">
        <v>140</v>
      </c>
      <c r="AJ14" s="46">
        <v>3</v>
      </c>
      <c r="AK14" s="46">
        <v>417</v>
      </c>
      <c r="AL14" s="47"/>
      <c r="AM14" s="47"/>
      <c r="AN14" s="47"/>
      <c r="AO14" s="47"/>
      <c r="AP14" s="47"/>
      <c r="AQ14" s="47"/>
      <c r="AR14" s="46">
        <v>3</v>
      </c>
      <c r="AS14" s="46">
        <v>944</v>
      </c>
      <c r="AT14" s="46">
        <v>1</v>
      </c>
      <c r="AU14" s="46">
        <v>48</v>
      </c>
      <c r="AV14" s="47"/>
      <c r="AW14" s="47"/>
      <c r="AX14" s="46">
        <v>1</v>
      </c>
      <c r="AY14" s="46">
        <v>84</v>
      </c>
      <c r="AZ14" s="47"/>
      <c r="BA14" s="47"/>
      <c r="BB14" s="47"/>
      <c r="BC14" s="47"/>
      <c r="BD14" s="46">
        <v>5</v>
      </c>
      <c r="BE14" s="46">
        <v>154</v>
      </c>
      <c r="BF14" s="46">
        <v>4</v>
      </c>
      <c r="BG14" s="46">
        <v>262</v>
      </c>
      <c r="BH14" s="47"/>
      <c r="BI14" s="47"/>
      <c r="BJ14" s="46">
        <v>6</v>
      </c>
      <c r="BK14" s="46">
        <v>246</v>
      </c>
      <c r="BL14" s="46">
        <v>7</v>
      </c>
      <c r="BM14" s="46">
        <v>283</v>
      </c>
      <c r="BN14" s="47"/>
      <c r="BO14" s="47"/>
      <c r="BP14" s="46">
        <v>1</v>
      </c>
      <c r="BQ14" s="46">
        <v>28</v>
      </c>
      <c r="BR14" s="46">
        <v>3</v>
      </c>
      <c r="BS14" s="46">
        <v>89</v>
      </c>
      <c r="BT14" s="56">
        <v>138</v>
      </c>
      <c r="BU14" s="56">
        <v>21248</v>
      </c>
      <c r="BV14"/>
    </row>
    <row r="15" spans="1:74" s="27" customFormat="1">
      <c r="A15" s="45" t="s">
        <v>218</v>
      </c>
      <c r="B15" s="39">
        <v>141</v>
      </c>
      <c r="C15" s="39">
        <v>9511</v>
      </c>
      <c r="D15" s="39">
        <v>70</v>
      </c>
      <c r="E15" s="39">
        <v>8486</v>
      </c>
      <c r="F15" s="39">
        <v>37</v>
      </c>
      <c r="G15" s="39">
        <v>5175</v>
      </c>
      <c r="H15" s="39">
        <v>1</v>
      </c>
      <c r="I15" s="39">
        <v>29</v>
      </c>
      <c r="J15" s="39">
        <v>3</v>
      </c>
      <c r="K15" s="39">
        <v>76</v>
      </c>
      <c r="L15" s="39">
        <v>14</v>
      </c>
      <c r="M15" s="39">
        <v>226</v>
      </c>
      <c r="N15" s="39">
        <v>3</v>
      </c>
      <c r="O15" s="39">
        <v>923</v>
      </c>
      <c r="P15" s="39">
        <v>1</v>
      </c>
      <c r="Q15" s="39">
        <v>300</v>
      </c>
      <c r="R15" s="39">
        <v>4</v>
      </c>
      <c r="S15" s="39">
        <v>2781</v>
      </c>
      <c r="T15" s="39">
        <v>3</v>
      </c>
      <c r="U15" s="39">
        <v>1312</v>
      </c>
      <c r="V15" s="39">
        <v>6</v>
      </c>
      <c r="W15" s="39">
        <v>554</v>
      </c>
      <c r="X15" s="39">
        <v>24</v>
      </c>
      <c r="Y15" s="39">
        <v>6684</v>
      </c>
      <c r="Z15" s="39">
        <v>53</v>
      </c>
      <c r="AA15" s="39">
        <v>21798</v>
      </c>
      <c r="AB15" s="39">
        <v>15</v>
      </c>
      <c r="AC15" s="39">
        <v>5678</v>
      </c>
      <c r="AD15" s="39">
        <v>2</v>
      </c>
      <c r="AE15" s="39">
        <v>461</v>
      </c>
      <c r="AF15" s="39">
        <v>7</v>
      </c>
      <c r="AG15" s="39">
        <v>581</v>
      </c>
      <c r="AH15" s="39">
        <v>9</v>
      </c>
      <c r="AI15" s="39">
        <v>1311</v>
      </c>
      <c r="AJ15" s="39">
        <v>5</v>
      </c>
      <c r="AK15" s="39">
        <v>713</v>
      </c>
      <c r="AL15" s="39">
        <v>2</v>
      </c>
      <c r="AM15" s="39">
        <v>218</v>
      </c>
      <c r="AN15" s="39">
        <v>1</v>
      </c>
      <c r="AO15" s="39">
        <v>104</v>
      </c>
      <c r="AP15" s="39">
        <v>2</v>
      </c>
      <c r="AQ15" s="39">
        <v>483</v>
      </c>
      <c r="AR15" s="39">
        <v>13</v>
      </c>
      <c r="AS15" s="39">
        <v>4836</v>
      </c>
      <c r="AT15" s="39">
        <v>6</v>
      </c>
      <c r="AU15" s="39">
        <v>1490</v>
      </c>
      <c r="AV15" s="39">
        <v>2</v>
      </c>
      <c r="AW15" s="39">
        <v>100</v>
      </c>
      <c r="AX15" s="39">
        <v>3</v>
      </c>
      <c r="AY15" s="39">
        <v>448</v>
      </c>
      <c r="AZ15" s="39">
        <v>1</v>
      </c>
      <c r="BA15" s="39">
        <v>258</v>
      </c>
      <c r="BB15" s="39">
        <v>1</v>
      </c>
      <c r="BC15" s="39">
        <v>42</v>
      </c>
      <c r="BD15" s="39">
        <v>13</v>
      </c>
      <c r="BE15" s="39">
        <v>395</v>
      </c>
      <c r="BF15" s="39">
        <v>9</v>
      </c>
      <c r="BG15" s="39">
        <v>659</v>
      </c>
      <c r="BH15" s="39">
        <v>1</v>
      </c>
      <c r="BI15" s="39">
        <v>16</v>
      </c>
      <c r="BJ15" s="39">
        <v>38</v>
      </c>
      <c r="BK15" s="39">
        <v>1889</v>
      </c>
      <c r="BL15" s="39">
        <v>26</v>
      </c>
      <c r="BM15" s="39">
        <v>1764</v>
      </c>
      <c r="BN15" s="39">
        <v>2</v>
      </c>
      <c r="BO15" s="39">
        <v>71</v>
      </c>
      <c r="BP15" s="39">
        <v>28</v>
      </c>
      <c r="BQ15" s="39">
        <v>539</v>
      </c>
      <c r="BR15" s="39">
        <v>3</v>
      </c>
      <c r="BS15" s="39">
        <v>89</v>
      </c>
      <c r="BT15" s="39">
        <v>549</v>
      </c>
      <c r="BU15" s="39">
        <v>80000</v>
      </c>
      <c r="BV15"/>
    </row>
    <row r="16" spans="1:74">
      <c r="A16" s="62" t="s">
        <v>134</v>
      </c>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row>
    <row r="17" spans="1:1">
      <c r="A17" s="63" t="s">
        <v>135</v>
      </c>
    </row>
    <row r="18" spans="1:1">
      <c r="A18" s="63" t="s">
        <v>136</v>
      </c>
    </row>
  </sheetData>
  <sheetProtection algorithmName="SHA-512" hashValue="tGHhO8AmnmN+ift4Z5RiAjFKlGzD1yhDD0lIflCTvEtnpFws2uvTMbc7FzZwnEcEdiMWQCXl5pB7u50NK4uMzA==" saltValue="AXo+B0Lou3XvygKeuWvWKg==" spinCount="100000" sheet="1" selectLockedCells="1" selectUnlockedCells="1"/>
  <mergeCells count="36">
    <mergeCell ref="AP7:AQ7"/>
    <mergeCell ref="AR7:AS7"/>
    <mergeCell ref="BN7:BO7"/>
    <mergeCell ref="BP7:BQ7"/>
    <mergeCell ref="BR7:BS7"/>
    <mergeCell ref="BD7:BE7"/>
    <mergeCell ref="BF7:BG7"/>
    <mergeCell ref="BH7:BI7"/>
    <mergeCell ref="BJ7:BK7"/>
    <mergeCell ref="BL7:BM7"/>
    <mergeCell ref="V7:W7"/>
    <mergeCell ref="BT7:BU7"/>
    <mergeCell ref="X7:Y7"/>
    <mergeCell ref="Z7:AA7"/>
    <mergeCell ref="AB7:AC7"/>
    <mergeCell ref="AD7:AE7"/>
    <mergeCell ref="AF7:AG7"/>
    <mergeCell ref="AH7:AI7"/>
    <mergeCell ref="AT7:AU7"/>
    <mergeCell ref="AV7:AW7"/>
    <mergeCell ref="AX7:AY7"/>
    <mergeCell ref="AZ7:BA7"/>
    <mergeCell ref="BB7:BC7"/>
    <mergeCell ref="AJ7:AK7"/>
    <mergeCell ref="AL7:AM7"/>
    <mergeCell ref="AN7:AO7"/>
    <mergeCell ref="L7:M7"/>
    <mergeCell ref="N7:O7"/>
    <mergeCell ref="P7:Q7"/>
    <mergeCell ref="R7:S7"/>
    <mergeCell ref="T7:U7"/>
    <mergeCell ref="B7:C7"/>
    <mergeCell ref="D7:E7"/>
    <mergeCell ref="F7:G7"/>
    <mergeCell ref="H7:I7"/>
    <mergeCell ref="J7:K7"/>
  </mergeCells>
  <conditionalFormatting sqref="A7:BU8 A9 T9:AO9 A16:A18">
    <cfRule type="expression" priority="17">
      <formula>SI(0," ")</formula>
    </cfRule>
  </conditionalFormatting>
  <conditionalFormatting sqref="A10:BU14">
    <cfRule type="expression" dxfId="4" priority="5" stopIfTrue="1">
      <formula>MOD(ROW(),2)=0</formula>
    </cfRule>
  </conditionalFormatting>
  <conditionalFormatting sqref="AT9:BU9">
    <cfRule type="expression" priority="3">
      <formula>SI(0," ")</formula>
    </cfRule>
  </conditionalFormatting>
  <pageMargins left="0.70866141732283472" right="0.70866141732283472" top="0.74803149606299213" bottom="0.74803149606299213" header="0.31496062992125984" footer="0.31496062992125984"/>
  <pageSetup paperSize="8" scale="8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46"/>
  <sheetViews>
    <sheetView showGridLines="0" zoomScaleNormal="100" zoomScaleSheetLayoutView="91" workbookViewId="0"/>
  </sheetViews>
  <sheetFormatPr baseColWidth="10" defaultRowHeight="12.75"/>
  <cols>
    <col min="1" max="1" width="13.7109375" style="3" customWidth="1"/>
    <col min="2" max="2" width="11.42578125" style="3"/>
    <col min="3" max="3" width="17" style="4" bestFit="1" customWidth="1"/>
    <col min="4" max="4" width="15.140625" style="4" bestFit="1" customWidth="1"/>
    <col min="5" max="5" width="14" style="4" bestFit="1" customWidth="1"/>
    <col min="6" max="6" width="11.140625" style="4" bestFit="1" customWidth="1"/>
    <col min="7" max="7" width="11.42578125" style="4"/>
    <col min="8" max="8" width="13.7109375" style="3" customWidth="1"/>
    <col min="9" max="9" width="11.42578125" style="3"/>
    <col min="10" max="10" width="17" style="4" bestFit="1" customWidth="1"/>
    <col min="11" max="11" width="15.140625" style="4" bestFit="1" customWidth="1"/>
    <col min="12" max="12" width="14" style="4" bestFit="1" customWidth="1"/>
    <col min="13" max="13" width="11.140625" style="4" bestFit="1" customWidth="1"/>
    <col min="14" max="16384" width="11.42578125" style="4"/>
  </cols>
  <sheetData>
    <row r="1" spans="1:20" ht="16.5">
      <c r="A1" s="5"/>
    </row>
    <row r="2" spans="1:20" ht="16.5">
      <c r="A2" s="5"/>
      <c r="P2" s="6"/>
      <c r="Q2" s="6"/>
      <c r="R2" s="6"/>
      <c r="S2" s="6"/>
      <c r="T2" s="6"/>
    </row>
    <row r="3" spans="1:20" ht="16.5">
      <c r="A3" s="2" t="s">
        <v>104</v>
      </c>
    </row>
    <row r="4" spans="1:20" s="6" customFormat="1" ht="16.5">
      <c r="A4" s="7" t="s">
        <v>105</v>
      </c>
      <c r="B4" s="8"/>
      <c r="H4" s="8"/>
      <c r="I4" s="8"/>
      <c r="L4" s="9"/>
    </row>
    <row r="5" spans="1:20" s="6" customFormat="1" ht="16.5">
      <c r="A5" s="7" t="s">
        <v>106</v>
      </c>
      <c r="B5" s="8"/>
      <c r="H5" s="8"/>
      <c r="I5" s="8"/>
    </row>
    <row r="7" spans="1:20">
      <c r="A7" s="149" t="s">
        <v>0</v>
      </c>
      <c r="B7" s="149"/>
      <c r="C7" s="110" t="s">
        <v>1</v>
      </c>
      <c r="D7" s="110" t="s">
        <v>2</v>
      </c>
      <c r="E7" s="110" t="s">
        <v>3</v>
      </c>
      <c r="F7" s="110" t="s">
        <v>4</v>
      </c>
      <c r="H7" s="149" t="s">
        <v>0</v>
      </c>
      <c r="I7" s="149"/>
      <c r="J7" s="110" t="s">
        <v>1</v>
      </c>
      <c r="K7" s="110" t="s">
        <v>2</v>
      </c>
      <c r="L7" s="110" t="s">
        <v>3</v>
      </c>
      <c r="M7" s="110" t="s">
        <v>4</v>
      </c>
    </row>
    <row r="8" spans="1:20">
      <c r="A8" s="150" t="s">
        <v>5</v>
      </c>
      <c r="B8" s="150"/>
      <c r="C8" s="111" t="s">
        <v>6</v>
      </c>
      <c r="D8" s="111" t="s">
        <v>7</v>
      </c>
      <c r="E8" s="111" t="s">
        <v>8</v>
      </c>
      <c r="F8" s="111" t="s">
        <v>9</v>
      </c>
      <c r="G8" s="6"/>
      <c r="H8" s="150" t="s">
        <v>5</v>
      </c>
      <c r="I8" s="150"/>
      <c r="J8" s="111" t="s">
        <v>6</v>
      </c>
      <c r="K8" s="111" t="s">
        <v>7</v>
      </c>
      <c r="L8" s="111" t="s">
        <v>8</v>
      </c>
      <c r="M8" s="111" t="s">
        <v>9</v>
      </c>
    </row>
    <row r="9" spans="1:20">
      <c r="A9" s="150" t="s">
        <v>10</v>
      </c>
      <c r="B9" s="150"/>
      <c r="C9" s="111" t="s">
        <v>11</v>
      </c>
      <c r="D9" s="111" t="s">
        <v>12</v>
      </c>
      <c r="E9" s="111" t="s">
        <v>13</v>
      </c>
      <c r="F9" s="111" t="s">
        <v>14</v>
      </c>
      <c r="G9" s="6"/>
      <c r="H9" s="150" t="s">
        <v>10</v>
      </c>
      <c r="I9" s="150"/>
      <c r="J9" s="111" t="s">
        <v>11</v>
      </c>
      <c r="K9" s="111" t="s">
        <v>12</v>
      </c>
      <c r="L9" s="111" t="s">
        <v>13</v>
      </c>
      <c r="M9" s="111" t="s">
        <v>14</v>
      </c>
    </row>
    <row r="10" spans="1:20" ht="15">
      <c r="A10" s="145" t="s">
        <v>15</v>
      </c>
      <c r="B10" s="145"/>
      <c r="C10" s="12">
        <v>144</v>
      </c>
      <c r="D10" s="12">
        <v>3230</v>
      </c>
      <c r="E10" s="12">
        <v>9775</v>
      </c>
      <c r="F10" s="13">
        <v>0.42099142943279211</v>
      </c>
      <c r="G10" s="10"/>
      <c r="H10" s="145" t="s">
        <v>16</v>
      </c>
      <c r="I10" s="145"/>
      <c r="J10" s="12">
        <v>1</v>
      </c>
      <c r="K10" s="12">
        <v>54</v>
      </c>
      <c r="L10" s="12">
        <v>104</v>
      </c>
      <c r="M10" s="13">
        <v>1.5455491157675732E-2</v>
      </c>
    </row>
    <row r="11" spans="1:20" ht="15">
      <c r="A11" s="145" t="s">
        <v>17</v>
      </c>
      <c r="B11" s="145"/>
      <c r="C11" s="12">
        <v>68</v>
      </c>
      <c r="D11" s="12">
        <v>2958</v>
      </c>
      <c r="E11" s="12">
        <v>8312</v>
      </c>
      <c r="F11" s="13">
        <v>0.35798268659287652</v>
      </c>
      <c r="G11" s="10"/>
      <c r="H11" s="145" t="s">
        <v>18</v>
      </c>
      <c r="I11" s="145"/>
      <c r="J11" s="12">
        <v>2</v>
      </c>
      <c r="K11" s="12">
        <v>219</v>
      </c>
      <c r="L11" s="12">
        <v>483</v>
      </c>
      <c r="M11" s="13">
        <v>7.1778867588051715E-2</v>
      </c>
    </row>
    <row r="12" spans="1:20" ht="15">
      <c r="A12" s="145" t="s">
        <v>19</v>
      </c>
      <c r="B12" s="145"/>
      <c r="C12" s="12">
        <v>36</v>
      </c>
      <c r="D12" s="12">
        <v>1687</v>
      </c>
      <c r="E12" s="12">
        <v>5103</v>
      </c>
      <c r="F12" s="13">
        <v>0.21977690684353332</v>
      </c>
      <c r="G12" s="10"/>
      <c r="H12" s="145" t="s">
        <v>20</v>
      </c>
      <c r="I12" s="145"/>
      <c r="J12" s="12">
        <v>12</v>
      </c>
      <c r="K12" s="12">
        <v>2235</v>
      </c>
      <c r="L12" s="12">
        <v>4652</v>
      </c>
      <c r="M12" s="13">
        <v>0.69133600832218756</v>
      </c>
    </row>
    <row r="13" spans="1:20" ht="15">
      <c r="A13" s="145" t="s">
        <v>21</v>
      </c>
      <c r="B13" s="145"/>
      <c r="C13" s="12">
        <v>1</v>
      </c>
      <c r="D13" s="12">
        <v>9</v>
      </c>
      <c r="E13" s="12">
        <v>29</v>
      </c>
      <c r="F13" s="13">
        <v>1.2489771307980532E-3</v>
      </c>
      <c r="G13" s="10"/>
      <c r="H13" s="145" t="s">
        <v>22</v>
      </c>
      <c r="I13" s="145"/>
      <c r="J13" s="12">
        <v>6</v>
      </c>
      <c r="K13" s="12">
        <v>686</v>
      </c>
      <c r="L13" s="12">
        <v>1490</v>
      </c>
      <c r="M13" s="13">
        <v>0.22142963293208501</v>
      </c>
    </row>
    <row r="14" spans="1:20" ht="15">
      <c r="A14" s="146" t="s">
        <v>23</v>
      </c>
      <c r="B14" s="146"/>
      <c r="C14" s="17">
        <v>249</v>
      </c>
      <c r="D14" s="18">
        <v>7884</v>
      </c>
      <c r="E14" s="18">
        <v>23219</v>
      </c>
      <c r="F14" s="19">
        <v>1</v>
      </c>
      <c r="G14" s="10"/>
      <c r="H14" s="145" t="s">
        <v>24</v>
      </c>
      <c r="I14" s="145"/>
      <c r="J14" s="12"/>
      <c r="K14" s="12"/>
      <c r="L14" s="12"/>
      <c r="M14" s="13"/>
    </row>
    <row r="15" spans="1:20" ht="15">
      <c r="A15" s="145"/>
      <c r="B15" s="145"/>
      <c r="C15" s="12"/>
      <c r="D15" s="12"/>
      <c r="E15" s="12"/>
      <c r="F15" s="13"/>
      <c r="G15" s="10"/>
      <c r="H15" s="146" t="s">
        <v>25</v>
      </c>
      <c r="I15" s="146"/>
      <c r="J15" s="18">
        <v>21</v>
      </c>
      <c r="K15" s="18">
        <v>3194</v>
      </c>
      <c r="L15" s="18">
        <v>6729</v>
      </c>
      <c r="M15" s="19">
        <v>1</v>
      </c>
    </row>
    <row r="16" spans="1:20" ht="15">
      <c r="A16" s="146" t="s">
        <v>26</v>
      </c>
      <c r="B16" s="146"/>
      <c r="C16" s="18">
        <v>3</v>
      </c>
      <c r="D16" s="18">
        <v>38</v>
      </c>
      <c r="E16" s="18">
        <v>76</v>
      </c>
      <c r="F16" s="19">
        <v>1</v>
      </c>
      <c r="G16" s="10"/>
      <c r="H16" s="145"/>
      <c r="I16" s="145"/>
      <c r="J16" s="12"/>
      <c r="K16" s="12"/>
      <c r="L16" s="12"/>
      <c r="M16" s="13"/>
    </row>
    <row r="17" spans="1:13" ht="15">
      <c r="A17" s="146" t="s">
        <v>27</v>
      </c>
      <c r="B17" s="146"/>
      <c r="C17" s="18">
        <v>14</v>
      </c>
      <c r="D17" s="18">
        <v>101</v>
      </c>
      <c r="E17" s="18">
        <v>226</v>
      </c>
      <c r="F17" s="19">
        <v>1</v>
      </c>
      <c r="G17" s="10"/>
      <c r="H17" s="145" t="s">
        <v>28</v>
      </c>
      <c r="I17" s="145"/>
      <c r="J17" s="12">
        <v>2</v>
      </c>
      <c r="K17" s="12">
        <v>50</v>
      </c>
      <c r="L17" s="12">
        <v>100</v>
      </c>
      <c r="M17" s="13">
        <v>0.11792452830188679</v>
      </c>
    </row>
    <row r="18" spans="1:13" ht="15">
      <c r="A18" s="146" t="s">
        <v>29</v>
      </c>
      <c r="B18" s="146"/>
      <c r="C18" s="18"/>
      <c r="D18" s="18"/>
      <c r="E18" s="18"/>
      <c r="F18" s="19"/>
      <c r="G18" s="10"/>
      <c r="H18" s="145" t="s">
        <v>30</v>
      </c>
      <c r="I18" s="145"/>
      <c r="J18" s="12">
        <v>3</v>
      </c>
      <c r="K18" s="12">
        <v>196</v>
      </c>
      <c r="L18" s="12">
        <v>448</v>
      </c>
      <c r="M18" s="13">
        <v>0.52830188679245282</v>
      </c>
    </row>
    <row r="19" spans="1:13" ht="15">
      <c r="A19" s="147"/>
      <c r="B19" s="147"/>
      <c r="C19" s="12"/>
      <c r="D19" s="12"/>
      <c r="E19" s="12"/>
      <c r="F19" s="13"/>
      <c r="G19" s="10"/>
      <c r="H19" s="145" t="s">
        <v>31</v>
      </c>
      <c r="I19" s="145"/>
      <c r="J19" s="12">
        <v>1</v>
      </c>
      <c r="K19" s="12">
        <v>103</v>
      </c>
      <c r="L19" s="12">
        <v>258</v>
      </c>
      <c r="M19" s="13">
        <v>0.30424528301886794</v>
      </c>
    </row>
    <row r="20" spans="1:13" ht="15">
      <c r="A20" s="145" t="s">
        <v>32</v>
      </c>
      <c r="B20" s="145"/>
      <c r="C20" s="12">
        <v>1</v>
      </c>
      <c r="D20" s="1"/>
      <c r="E20" s="12">
        <v>300</v>
      </c>
      <c r="F20" s="13">
        <v>0.24529844644317253</v>
      </c>
      <c r="G20" s="10"/>
      <c r="H20" s="145" t="s">
        <v>33</v>
      </c>
      <c r="I20" s="145"/>
      <c r="J20" s="12">
        <v>1</v>
      </c>
      <c r="K20" s="12">
        <v>21</v>
      </c>
      <c r="L20" s="12">
        <v>42</v>
      </c>
      <c r="M20" s="13">
        <v>4.9528301886792456E-2</v>
      </c>
    </row>
    <row r="21" spans="1:13" ht="15">
      <c r="A21" s="145" t="s">
        <v>34</v>
      </c>
      <c r="B21" s="145"/>
      <c r="C21" s="12">
        <v>3</v>
      </c>
      <c r="D21" s="1"/>
      <c r="E21" s="12">
        <v>923</v>
      </c>
      <c r="F21" s="13">
        <v>0.75470155355682744</v>
      </c>
      <c r="G21" s="10"/>
      <c r="H21" s="145" t="s">
        <v>35</v>
      </c>
      <c r="I21" s="145"/>
      <c r="J21" s="12"/>
      <c r="K21" s="12"/>
      <c r="L21" s="12"/>
      <c r="M21" s="13"/>
    </row>
    <row r="22" spans="1:13" ht="15">
      <c r="A22" s="145" t="s">
        <v>36</v>
      </c>
      <c r="B22" s="145"/>
      <c r="C22" s="12"/>
      <c r="D22" s="12"/>
      <c r="E22" s="12"/>
      <c r="F22" s="13"/>
      <c r="G22" s="10"/>
      <c r="H22" s="146" t="s">
        <v>37</v>
      </c>
      <c r="I22" s="146"/>
      <c r="J22" s="18">
        <v>7</v>
      </c>
      <c r="K22" s="18">
        <v>370</v>
      </c>
      <c r="L22" s="18">
        <v>848</v>
      </c>
      <c r="M22" s="19">
        <v>1</v>
      </c>
    </row>
    <row r="23" spans="1:13" ht="15">
      <c r="A23" s="145" t="s">
        <v>38</v>
      </c>
      <c r="B23" s="145"/>
      <c r="C23" s="12"/>
      <c r="D23" s="12"/>
      <c r="E23" s="12"/>
      <c r="F23" s="21"/>
      <c r="G23" s="10"/>
      <c r="H23" s="145"/>
      <c r="I23" s="145"/>
      <c r="J23" s="12"/>
      <c r="K23" s="12"/>
      <c r="L23" s="12"/>
      <c r="M23" s="13"/>
    </row>
    <row r="24" spans="1:13" ht="15">
      <c r="A24" s="146" t="s">
        <v>39</v>
      </c>
      <c r="B24" s="146"/>
      <c r="C24" s="18">
        <v>4</v>
      </c>
      <c r="D24" s="18"/>
      <c r="E24" s="18">
        <v>1223</v>
      </c>
      <c r="F24" s="19">
        <v>1</v>
      </c>
      <c r="G24" s="10"/>
      <c r="H24" s="145" t="s">
        <v>40</v>
      </c>
      <c r="I24" s="145"/>
      <c r="J24" s="12">
        <v>13</v>
      </c>
      <c r="K24" s="12">
        <v>209</v>
      </c>
      <c r="L24" s="12">
        <v>395</v>
      </c>
      <c r="M24" s="13">
        <v>0.31499202551834132</v>
      </c>
    </row>
    <row r="25" spans="1:13" ht="15">
      <c r="A25" s="145"/>
      <c r="B25" s="145"/>
      <c r="C25" s="12"/>
      <c r="D25" s="12"/>
      <c r="E25" s="12"/>
      <c r="F25" s="13"/>
      <c r="G25" s="10"/>
      <c r="H25" s="145" t="s">
        <v>41</v>
      </c>
      <c r="I25" s="145"/>
      <c r="J25" s="12">
        <v>9</v>
      </c>
      <c r="K25" s="12">
        <v>356</v>
      </c>
      <c r="L25" s="12">
        <v>659</v>
      </c>
      <c r="M25" s="13">
        <v>0.52551834130781494</v>
      </c>
    </row>
    <row r="26" spans="1:13" ht="15">
      <c r="A26" s="145" t="s">
        <v>42</v>
      </c>
      <c r="B26" s="145"/>
      <c r="C26" s="12"/>
      <c r="D26" s="12"/>
      <c r="E26" s="12"/>
      <c r="F26" s="13"/>
      <c r="G26" s="10"/>
      <c r="H26" s="145" t="s">
        <v>43</v>
      </c>
      <c r="I26" s="145"/>
      <c r="J26" s="12">
        <v>2</v>
      </c>
      <c r="K26" s="12">
        <v>97</v>
      </c>
      <c r="L26" s="12">
        <v>200</v>
      </c>
      <c r="M26" s="13">
        <v>0.15948963317384371</v>
      </c>
    </row>
    <row r="27" spans="1:13" ht="15">
      <c r="A27" s="145" t="s">
        <v>44</v>
      </c>
      <c r="B27" s="145"/>
      <c r="C27" s="12">
        <v>4</v>
      </c>
      <c r="D27" s="12">
        <v>1022</v>
      </c>
      <c r="E27" s="12">
        <v>2781</v>
      </c>
      <c r="F27" s="13">
        <v>0.67945272416320546</v>
      </c>
      <c r="G27" s="10"/>
      <c r="H27" s="146" t="s">
        <v>45</v>
      </c>
      <c r="I27" s="146"/>
      <c r="J27" s="18">
        <v>24</v>
      </c>
      <c r="K27" s="18">
        <v>662</v>
      </c>
      <c r="L27" s="18">
        <v>1254</v>
      </c>
      <c r="M27" s="19">
        <v>1</v>
      </c>
    </row>
    <row r="28" spans="1:13" ht="15">
      <c r="A28" s="145" t="s">
        <v>46</v>
      </c>
      <c r="B28" s="145"/>
      <c r="C28" s="12">
        <v>3</v>
      </c>
      <c r="D28" s="12">
        <v>618</v>
      </c>
      <c r="E28" s="12">
        <v>1312</v>
      </c>
      <c r="F28" s="13">
        <v>0.32054727583679454</v>
      </c>
      <c r="G28" s="10"/>
      <c r="H28" s="145"/>
      <c r="I28" s="145"/>
      <c r="J28" s="12"/>
      <c r="K28" s="12"/>
      <c r="L28" s="12"/>
      <c r="M28" s="13"/>
    </row>
    <row r="29" spans="1:13" ht="15">
      <c r="A29" s="146" t="s">
        <v>47</v>
      </c>
      <c r="B29" s="146"/>
      <c r="C29" s="18">
        <v>7</v>
      </c>
      <c r="D29" s="18">
        <v>1640</v>
      </c>
      <c r="E29" s="18">
        <v>4093</v>
      </c>
      <c r="F29" s="19">
        <v>1</v>
      </c>
      <c r="G29" s="10"/>
      <c r="H29" s="145" t="s">
        <v>48</v>
      </c>
      <c r="I29" s="145"/>
      <c r="J29" s="12">
        <v>38</v>
      </c>
      <c r="K29" s="12">
        <v>1031</v>
      </c>
      <c r="L29" s="12">
        <v>1889</v>
      </c>
      <c r="M29" s="13">
        <v>0.50535045478865703</v>
      </c>
    </row>
    <row r="30" spans="1:13" ht="15">
      <c r="A30" s="145"/>
      <c r="B30" s="145"/>
      <c r="C30" s="12"/>
      <c r="D30" s="12"/>
      <c r="E30" s="12"/>
      <c r="F30" s="13"/>
      <c r="G30" s="10"/>
      <c r="H30" s="145" t="s">
        <v>49</v>
      </c>
      <c r="I30" s="145"/>
      <c r="J30" s="12">
        <v>27</v>
      </c>
      <c r="K30" s="12">
        <v>932</v>
      </c>
      <c r="L30" s="12">
        <v>1778</v>
      </c>
      <c r="M30" s="13">
        <v>0.47565543071161048</v>
      </c>
    </row>
    <row r="31" spans="1:13" ht="15">
      <c r="A31" s="145" t="s">
        <v>50</v>
      </c>
      <c r="B31" s="145"/>
      <c r="C31" s="12">
        <v>6</v>
      </c>
      <c r="D31" s="12">
        <v>307</v>
      </c>
      <c r="E31" s="12">
        <v>554</v>
      </c>
      <c r="F31" s="13">
        <v>1.5749822316986496E-2</v>
      </c>
      <c r="G31" s="10"/>
      <c r="H31" s="145" t="s">
        <v>51</v>
      </c>
      <c r="I31" s="145"/>
      <c r="J31" s="12">
        <v>2</v>
      </c>
      <c r="K31" s="12">
        <v>37</v>
      </c>
      <c r="L31" s="12">
        <v>71</v>
      </c>
      <c r="M31" s="13">
        <v>1.8994114499732477E-2</v>
      </c>
    </row>
    <row r="32" spans="1:13" ht="15">
      <c r="A32" s="145" t="s">
        <v>52</v>
      </c>
      <c r="B32" s="145"/>
      <c r="C32" s="12">
        <v>26</v>
      </c>
      <c r="D32" s="12">
        <v>3851</v>
      </c>
      <c r="E32" s="12">
        <v>7254</v>
      </c>
      <c r="F32" s="13">
        <v>0.20622601279317698</v>
      </c>
      <c r="G32" s="10"/>
      <c r="H32" s="146" t="s">
        <v>53</v>
      </c>
      <c r="I32" s="146"/>
      <c r="J32" s="18">
        <v>67</v>
      </c>
      <c r="K32" s="18">
        <v>2000</v>
      </c>
      <c r="L32" s="18">
        <v>3738</v>
      </c>
      <c r="M32" s="19">
        <v>1</v>
      </c>
    </row>
    <row r="33" spans="1:13" ht="15">
      <c r="A33" s="145" t="s">
        <v>54</v>
      </c>
      <c r="B33" s="145"/>
      <c r="C33" s="12">
        <v>51</v>
      </c>
      <c r="D33" s="12">
        <v>11363</v>
      </c>
      <c r="E33" s="12">
        <v>21228</v>
      </c>
      <c r="F33" s="13">
        <v>0.60349680170575692</v>
      </c>
      <c r="G33" s="10"/>
      <c r="H33" s="145"/>
      <c r="I33" s="145"/>
    </row>
    <row r="34" spans="1:13" ht="15">
      <c r="A34" s="145" t="s">
        <v>91</v>
      </c>
      <c r="B34" s="145"/>
      <c r="C34" s="12">
        <v>15</v>
      </c>
      <c r="D34" s="12">
        <v>2958</v>
      </c>
      <c r="E34" s="12">
        <v>5678</v>
      </c>
      <c r="F34" s="13">
        <v>0.16142146410803127</v>
      </c>
      <c r="G34" s="10"/>
      <c r="H34" s="146" t="s">
        <v>56</v>
      </c>
      <c r="I34" s="146"/>
      <c r="J34" s="18">
        <v>28</v>
      </c>
      <c r="K34" s="18">
        <v>296</v>
      </c>
      <c r="L34" s="18">
        <v>539</v>
      </c>
      <c r="M34" s="19">
        <v>1</v>
      </c>
    </row>
    <row r="35" spans="1:13" ht="15">
      <c r="A35" s="145" t="s">
        <v>57</v>
      </c>
      <c r="B35" s="145"/>
      <c r="C35" s="12">
        <v>2</v>
      </c>
      <c r="D35" s="12">
        <v>231</v>
      </c>
      <c r="E35" s="12">
        <v>461</v>
      </c>
      <c r="F35" s="13">
        <v>1.310589907604833E-2</v>
      </c>
      <c r="G35" s="10"/>
      <c r="H35" s="146" t="s">
        <v>58</v>
      </c>
      <c r="I35" s="146"/>
      <c r="J35" s="18">
        <v>3</v>
      </c>
      <c r="K35" s="18">
        <v>49</v>
      </c>
      <c r="L35" s="18">
        <v>89</v>
      </c>
      <c r="M35" s="19">
        <v>1</v>
      </c>
    </row>
    <row r="36" spans="1:13" ht="15">
      <c r="A36" s="145"/>
      <c r="B36" s="148"/>
      <c r="C36" s="12"/>
      <c r="D36" s="12"/>
      <c r="E36" s="12"/>
      <c r="F36" s="13"/>
      <c r="G36" s="10"/>
      <c r="H36" s="146" t="s">
        <v>60</v>
      </c>
      <c r="I36" s="146"/>
      <c r="J36" s="18"/>
      <c r="K36" s="18"/>
      <c r="L36" s="18"/>
      <c r="M36" s="19"/>
    </row>
    <row r="37" spans="1:13" ht="15">
      <c r="A37" s="146" t="s">
        <v>61</v>
      </c>
      <c r="B37" s="146"/>
      <c r="C37" s="18">
        <v>100</v>
      </c>
      <c r="D37" s="18">
        <v>18710</v>
      </c>
      <c r="E37" s="18">
        <v>35175</v>
      </c>
      <c r="F37" s="19">
        <v>1</v>
      </c>
      <c r="G37" s="10"/>
      <c r="H37" s="145"/>
      <c r="I37" s="145"/>
      <c r="J37" s="12"/>
      <c r="K37" s="12"/>
      <c r="L37" s="12"/>
      <c r="M37" s="12"/>
    </row>
    <row r="38" spans="1:13" ht="15">
      <c r="A38" s="145"/>
      <c r="B38" s="145"/>
      <c r="C38" s="12"/>
      <c r="D38" s="12"/>
      <c r="E38" s="12"/>
      <c r="F38" s="13"/>
      <c r="G38" s="10"/>
      <c r="H38" s="145"/>
      <c r="I38" s="145"/>
      <c r="J38" s="12"/>
      <c r="K38" s="12"/>
      <c r="L38" s="12"/>
      <c r="M38" s="12"/>
    </row>
    <row r="39" spans="1:13" ht="15">
      <c r="A39" s="145" t="s">
        <v>62</v>
      </c>
      <c r="B39" s="145"/>
      <c r="C39" s="12">
        <v>7</v>
      </c>
      <c r="D39" s="12">
        <v>316</v>
      </c>
      <c r="E39" s="12">
        <v>581</v>
      </c>
      <c r="F39" s="13">
        <v>0.20580942260007085</v>
      </c>
      <c r="G39" s="10"/>
      <c r="H39" s="147"/>
      <c r="I39" s="147"/>
      <c r="J39" s="12"/>
      <c r="K39" s="12"/>
      <c r="L39" s="12"/>
      <c r="M39" s="12"/>
    </row>
    <row r="40" spans="1:13" ht="15">
      <c r="A40" s="145" t="s">
        <v>63</v>
      </c>
      <c r="B40" s="145"/>
      <c r="C40" s="12">
        <v>9</v>
      </c>
      <c r="D40" s="12">
        <v>705</v>
      </c>
      <c r="E40" s="12">
        <v>1311</v>
      </c>
      <c r="F40" s="13">
        <v>0.46439957492029754</v>
      </c>
      <c r="G40" s="10"/>
      <c r="H40" s="11"/>
      <c r="I40" s="11"/>
      <c r="J40" s="12"/>
      <c r="K40" s="12"/>
      <c r="L40" s="12"/>
      <c r="M40" s="14"/>
    </row>
    <row r="41" spans="1:13" ht="15">
      <c r="A41" s="145" t="s">
        <v>64</v>
      </c>
      <c r="B41" s="145"/>
      <c r="C41" s="12">
        <v>5</v>
      </c>
      <c r="D41" s="12">
        <v>394</v>
      </c>
      <c r="E41" s="12">
        <v>713</v>
      </c>
      <c r="F41" s="13">
        <v>0.25256818986893376</v>
      </c>
      <c r="G41" s="10"/>
      <c r="H41" s="146" t="s">
        <v>65</v>
      </c>
      <c r="I41" s="146"/>
      <c r="J41" s="18">
        <v>550</v>
      </c>
      <c r="K41" s="18">
        <v>36485</v>
      </c>
      <c r="L41" s="18">
        <v>80032</v>
      </c>
      <c r="M41" s="12"/>
    </row>
    <row r="42" spans="1:13" ht="15">
      <c r="A42" s="145" t="s">
        <v>93</v>
      </c>
      <c r="B42" s="145"/>
      <c r="C42" s="12">
        <v>2</v>
      </c>
      <c r="D42" s="12">
        <v>126</v>
      </c>
      <c r="E42" s="12">
        <v>218</v>
      </c>
      <c r="F42" s="13">
        <v>7.7222812610697841E-2</v>
      </c>
      <c r="G42" s="10"/>
      <c r="H42" s="11"/>
      <c r="I42" s="11"/>
      <c r="J42" s="12"/>
      <c r="K42" s="12"/>
      <c r="L42" s="12"/>
      <c r="M42" s="14"/>
    </row>
    <row r="43" spans="1:13" ht="15">
      <c r="A43" s="145" t="s">
        <v>67</v>
      </c>
      <c r="B43" s="145"/>
      <c r="C43" s="12"/>
      <c r="D43" s="12"/>
      <c r="E43" s="12"/>
      <c r="F43" s="13"/>
      <c r="G43" s="10"/>
      <c r="H43" s="11"/>
      <c r="I43" s="11"/>
      <c r="J43" s="14"/>
      <c r="K43" s="14"/>
      <c r="L43" s="14"/>
      <c r="M43" s="14"/>
    </row>
    <row r="44" spans="1:13" ht="15">
      <c r="A44" s="146" t="s">
        <v>68</v>
      </c>
      <c r="B44" s="146"/>
      <c r="C44" s="18">
        <v>23</v>
      </c>
      <c r="D44" s="18">
        <v>1541</v>
      </c>
      <c r="E44" s="18">
        <v>2823</v>
      </c>
      <c r="F44" s="19">
        <v>1</v>
      </c>
      <c r="G44" s="10"/>
      <c r="H44" s="11"/>
      <c r="I44" s="11"/>
      <c r="J44" s="14"/>
      <c r="K44" s="14"/>
      <c r="L44" s="14"/>
      <c r="M44" s="14"/>
    </row>
    <row r="45" spans="1:13" ht="15">
      <c r="A45" s="145"/>
      <c r="B45" s="145"/>
      <c r="C45" s="15"/>
      <c r="D45" s="15"/>
      <c r="E45" s="15"/>
      <c r="F45" s="15"/>
      <c r="G45" s="10"/>
      <c r="H45" s="16"/>
      <c r="I45" s="16"/>
      <c r="J45" s="10"/>
      <c r="K45" s="10"/>
      <c r="L45" s="10"/>
      <c r="M45" s="10"/>
    </row>
    <row r="46" spans="1:13" ht="15">
      <c r="A46" s="16"/>
      <c r="B46" s="16"/>
      <c r="C46" s="10"/>
      <c r="D46" s="10"/>
      <c r="E46" s="10"/>
      <c r="F46" s="10"/>
      <c r="G46" s="10"/>
      <c r="H46" s="16"/>
      <c r="I46" s="16"/>
      <c r="J46" s="10"/>
      <c r="K46" s="10"/>
      <c r="L46" s="10"/>
      <c r="M46" s="10"/>
    </row>
  </sheetData>
  <sheetProtection algorithmName="SHA-512" hashValue="f0T87rnq1Ce17wh9MM0GgupqSQsU+135LJVWHaqY8270NutCU1a3aQmSFwlyl96Ev8Btt5pLF1/PGZNBIdd5xg==" saltValue="weZa49qthas+p7Zx/RnwbQ==" spinCount="100000" sheet="1"/>
  <mergeCells count="73">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5:B45"/>
    <mergeCell ref="A40:B40"/>
    <mergeCell ref="A41:B41"/>
    <mergeCell ref="H41:I41"/>
    <mergeCell ref="A42:B42"/>
    <mergeCell ref="A43:B43"/>
    <mergeCell ref="A44:B44"/>
  </mergeCells>
  <pageMargins left="0.70866141732283472" right="0.70866141732283472" top="0.74803149606299213" bottom="0.74803149606299213" header="0.31496062992125984" footer="0.31496062992125984"/>
  <pageSetup paperSize="8" scale="8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GJ17"/>
  <sheetViews>
    <sheetView showGridLines="0" zoomScaleNormal="100" zoomScaleSheetLayoutView="101" workbookViewId="0"/>
  </sheetViews>
  <sheetFormatPr baseColWidth="10" defaultRowHeight="15"/>
  <cols>
    <col min="1" max="1" width="80.28515625" customWidth="1"/>
    <col min="2" max="2" width="9.7109375" customWidth="1"/>
    <col min="3" max="3" width="8.42578125" customWidth="1"/>
    <col min="4" max="4" width="9.7109375" customWidth="1"/>
    <col min="5" max="5" width="8.42578125" customWidth="1"/>
    <col min="6" max="6" width="9.7109375" customWidth="1"/>
    <col min="7" max="7" width="8.42578125" customWidth="1"/>
    <col min="8" max="8" width="9.7109375" customWidth="1"/>
    <col min="9" max="9" width="8.42578125" customWidth="1"/>
    <col min="10" max="10" width="9.7109375" customWidth="1"/>
    <col min="11" max="11" width="8.42578125" customWidth="1"/>
    <col min="12" max="12" width="9.7109375" customWidth="1"/>
    <col min="13" max="13" width="8.42578125" customWidth="1"/>
    <col min="14" max="14" width="9.7109375" customWidth="1"/>
    <col min="15" max="15" width="8.42578125" customWidth="1"/>
    <col min="16" max="16" width="9.7109375" customWidth="1"/>
    <col min="17" max="17" width="8.42578125" customWidth="1"/>
    <col min="18" max="18" width="9.7109375" customWidth="1"/>
    <col min="19" max="19" width="8.42578125" customWidth="1"/>
    <col min="20" max="20" width="9.7109375" customWidth="1"/>
    <col min="21" max="21" width="8.42578125" customWidth="1"/>
    <col min="22" max="22" width="9.7109375" customWidth="1"/>
    <col min="23" max="23" width="8.42578125" customWidth="1"/>
    <col min="24" max="24" width="9.7109375" customWidth="1"/>
    <col min="25" max="25" width="8.42578125" customWidth="1"/>
    <col min="26" max="26" width="9.7109375" customWidth="1"/>
    <col min="27" max="27" width="8.42578125" customWidth="1"/>
    <col min="28" max="28" width="9.7109375" customWidth="1"/>
    <col min="29" max="29" width="8.42578125" customWidth="1"/>
    <col min="30" max="30" width="9.7109375" customWidth="1"/>
    <col min="31" max="31" width="8.42578125" customWidth="1"/>
    <col min="32" max="32" width="9.7109375" customWidth="1"/>
    <col min="33" max="33" width="8.42578125" customWidth="1"/>
    <col min="34" max="34" width="9.7109375" customWidth="1"/>
    <col min="35" max="35" width="8.42578125" customWidth="1"/>
    <col min="36" max="36" width="9.7109375" customWidth="1"/>
    <col min="37" max="37" width="8.42578125" customWidth="1"/>
    <col min="38" max="38" width="9.7109375" customWidth="1"/>
    <col min="39" max="39" width="8.42578125" customWidth="1"/>
    <col min="40" max="40" width="9.7109375" customWidth="1"/>
    <col min="41" max="41" width="8.42578125" customWidth="1"/>
    <col min="42" max="42" width="9.7109375" customWidth="1"/>
    <col min="43" max="43" width="8.42578125" customWidth="1"/>
    <col min="44" max="44" width="9.7109375" customWidth="1"/>
    <col min="45" max="45" width="8.42578125" customWidth="1"/>
    <col min="46" max="46" width="9.7109375" customWidth="1"/>
    <col min="47" max="47" width="8.42578125" customWidth="1"/>
    <col min="48" max="48" width="9.7109375" customWidth="1"/>
    <col min="49" max="49" width="8.42578125" customWidth="1"/>
    <col min="50" max="50" width="9.7109375" customWidth="1"/>
    <col min="51" max="51" width="8.42578125" customWidth="1"/>
    <col min="52" max="52" width="9.7109375" customWidth="1"/>
    <col min="53" max="53" width="8.42578125" customWidth="1"/>
    <col min="54" max="54" width="9.7109375" customWidth="1"/>
    <col min="55" max="55" width="8.42578125" customWidth="1"/>
    <col min="56" max="56" width="9.7109375" customWidth="1"/>
    <col min="57" max="57" width="8.42578125" customWidth="1"/>
    <col min="58" max="58" width="9.7109375" customWidth="1"/>
    <col min="59" max="59" width="8.42578125" customWidth="1"/>
    <col min="60" max="60" width="9.7109375" customWidth="1"/>
    <col min="61" max="61" width="8.42578125" customWidth="1"/>
    <col min="62" max="62" width="9.7109375" customWidth="1"/>
    <col min="63" max="63" width="8.42578125" customWidth="1"/>
    <col min="64" max="64" width="9.7109375" customWidth="1"/>
    <col min="65" max="65" width="8.42578125" customWidth="1"/>
    <col min="66" max="66" width="9.7109375" customWidth="1"/>
    <col min="67" max="67" width="8.42578125" customWidth="1"/>
    <col min="68" max="68" width="9.7109375" customWidth="1"/>
    <col min="69" max="69" width="8.42578125" customWidth="1"/>
    <col min="70" max="70" width="9.7109375" customWidth="1"/>
    <col min="71" max="71" width="8.42578125" customWidth="1"/>
    <col min="72" max="72" width="9.7109375" customWidth="1"/>
    <col min="73" max="73" width="8.42578125" customWidth="1"/>
  </cols>
  <sheetData>
    <row r="2" spans="1:192" ht="16.5">
      <c r="A2" s="5" t="s">
        <v>107</v>
      </c>
      <c r="B2" s="27"/>
    </row>
    <row r="3" spans="1:192" ht="16.5">
      <c r="A3" s="30" t="s">
        <v>108</v>
      </c>
      <c r="B3" s="27"/>
    </row>
    <row r="4" spans="1:192" ht="16.5">
      <c r="A4" s="30" t="s">
        <v>109</v>
      </c>
      <c r="B4" s="27"/>
    </row>
    <row r="5" spans="1:192" ht="19.5" customHeight="1"/>
    <row r="6" spans="1:192">
      <c r="A6" s="58" t="s">
        <v>129</v>
      </c>
      <c r="B6" s="152" t="s">
        <v>72</v>
      </c>
      <c r="C6" s="152"/>
      <c r="D6" s="152" t="s">
        <v>73</v>
      </c>
      <c r="E6" s="152"/>
      <c r="F6" s="152" t="s">
        <v>74</v>
      </c>
      <c r="G6" s="152"/>
      <c r="H6" s="152" t="s">
        <v>75</v>
      </c>
      <c r="I6" s="152"/>
      <c r="J6" s="152" t="s">
        <v>26</v>
      </c>
      <c r="K6" s="152"/>
      <c r="L6" s="152" t="s">
        <v>27</v>
      </c>
      <c r="M6" s="152"/>
      <c r="N6" s="152" t="s">
        <v>34</v>
      </c>
      <c r="O6" s="152"/>
      <c r="P6" s="152" t="s">
        <v>32</v>
      </c>
      <c r="Q6" s="152"/>
      <c r="R6" s="152" t="s">
        <v>44</v>
      </c>
      <c r="S6" s="152"/>
      <c r="T6" s="152" t="s">
        <v>46</v>
      </c>
      <c r="U6" s="152"/>
      <c r="V6" s="152" t="s">
        <v>50</v>
      </c>
      <c r="W6" s="152"/>
      <c r="X6" s="152" t="s">
        <v>52</v>
      </c>
      <c r="Y6" s="152"/>
      <c r="Z6" s="152" t="s">
        <v>54</v>
      </c>
      <c r="AA6" s="152"/>
      <c r="AB6" s="152" t="s">
        <v>55</v>
      </c>
      <c r="AC6" s="152"/>
      <c r="AD6" s="152" t="s">
        <v>57</v>
      </c>
      <c r="AE6" s="152"/>
      <c r="AF6" s="152" t="s">
        <v>62</v>
      </c>
      <c r="AG6" s="152"/>
      <c r="AH6" s="152" t="s">
        <v>63</v>
      </c>
      <c r="AI6" s="152"/>
      <c r="AJ6" s="152" t="s">
        <v>64</v>
      </c>
      <c r="AK6" s="152"/>
      <c r="AL6" s="152" t="s">
        <v>66</v>
      </c>
      <c r="AM6" s="152"/>
      <c r="AN6" s="152" t="s">
        <v>16</v>
      </c>
      <c r="AO6" s="152"/>
      <c r="AP6" s="152" t="s">
        <v>18</v>
      </c>
      <c r="AQ6" s="152"/>
      <c r="AR6" s="152" t="s">
        <v>20</v>
      </c>
      <c r="AS6" s="152"/>
      <c r="AT6" s="152" t="s">
        <v>22</v>
      </c>
      <c r="AU6" s="152"/>
      <c r="AV6" s="152" t="s">
        <v>28</v>
      </c>
      <c r="AW6" s="152"/>
      <c r="AX6" s="152" t="s">
        <v>30</v>
      </c>
      <c r="AY6" s="152"/>
      <c r="AZ6" s="152" t="s">
        <v>31</v>
      </c>
      <c r="BA6" s="152"/>
      <c r="BB6" s="152" t="s">
        <v>33</v>
      </c>
      <c r="BC6" s="152"/>
      <c r="BD6" s="152" t="s">
        <v>40</v>
      </c>
      <c r="BE6" s="152"/>
      <c r="BF6" s="152" t="s">
        <v>41</v>
      </c>
      <c r="BG6" s="152"/>
      <c r="BH6" s="152" t="s">
        <v>43</v>
      </c>
      <c r="BI6" s="152"/>
      <c r="BJ6" s="152" t="s">
        <v>48</v>
      </c>
      <c r="BK6" s="152"/>
      <c r="BL6" s="152" t="s">
        <v>49</v>
      </c>
      <c r="BM6" s="152"/>
      <c r="BN6" s="152" t="s">
        <v>51</v>
      </c>
      <c r="BO6" s="152"/>
      <c r="BP6" s="152" t="s">
        <v>56</v>
      </c>
      <c r="BQ6" s="152"/>
      <c r="BR6" s="152" t="s">
        <v>58</v>
      </c>
      <c r="BS6" s="152"/>
      <c r="BT6" s="152" t="s">
        <v>65</v>
      </c>
      <c r="BU6" s="152"/>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7"/>
      <c r="FM6" s="57"/>
      <c r="FN6" s="57"/>
      <c r="FO6" s="57"/>
      <c r="FP6" s="57"/>
      <c r="FQ6" s="57"/>
      <c r="FR6" s="57"/>
      <c r="FS6" s="57"/>
      <c r="FT6" s="57"/>
      <c r="FU6" s="57"/>
      <c r="FV6" s="57"/>
      <c r="FW6" s="57"/>
      <c r="FX6" s="57"/>
      <c r="FY6" s="57"/>
      <c r="FZ6" s="57"/>
      <c r="GA6" s="57"/>
      <c r="GB6" s="57"/>
      <c r="GC6" s="57"/>
      <c r="GD6" s="57"/>
      <c r="GE6" s="57"/>
      <c r="GF6" s="57"/>
      <c r="GG6" s="57"/>
      <c r="GH6" s="57"/>
      <c r="GI6" s="57"/>
      <c r="GJ6" s="57"/>
    </row>
    <row r="7" spans="1:192">
      <c r="A7" s="58"/>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row>
    <row r="8" spans="1:192">
      <c r="A8" s="73" t="s">
        <v>81</v>
      </c>
      <c r="B8" s="38" t="s">
        <v>82</v>
      </c>
      <c r="C8" s="38" t="s">
        <v>83</v>
      </c>
      <c r="D8" s="38" t="s">
        <v>82</v>
      </c>
      <c r="E8" s="38" t="s">
        <v>83</v>
      </c>
      <c r="F8" s="38" t="s">
        <v>82</v>
      </c>
      <c r="G8" s="38" t="s">
        <v>83</v>
      </c>
      <c r="H8" s="38" t="s">
        <v>82</v>
      </c>
      <c r="I8" s="38" t="s">
        <v>83</v>
      </c>
      <c r="J8" s="38" t="s">
        <v>82</v>
      </c>
      <c r="K8" s="38" t="s">
        <v>83</v>
      </c>
      <c r="L8" s="38" t="s">
        <v>82</v>
      </c>
      <c r="M8" s="38" t="s">
        <v>83</v>
      </c>
      <c r="N8" s="38" t="s">
        <v>82</v>
      </c>
      <c r="O8" s="38" t="s">
        <v>83</v>
      </c>
      <c r="P8" s="38" t="s">
        <v>82</v>
      </c>
      <c r="Q8" s="38" t="s">
        <v>83</v>
      </c>
      <c r="R8" s="38" t="s">
        <v>82</v>
      </c>
      <c r="S8" s="38" t="s">
        <v>83</v>
      </c>
      <c r="T8" s="38" t="s">
        <v>82</v>
      </c>
      <c r="U8" s="38" t="s">
        <v>83</v>
      </c>
      <c r="V8" s="38" t="s">
        <v>82</v>
      </c>
      <c r="W8" s="38" t="s">
        <v>83</v>
      </c>
      <c r="X8" s="38" t="s">
        <v>82</v>
      </c>
      <c r="Y8" s="38" t="s">
        <v>83</v>
      </c>
      <c r="Z8" s="38" t="s">
        <v>82</v>
      </c>
      <c r="AA8" s="38" t="s">
        <v>83</v>
      </c>
      <c r="AB8" s="38" t="s">
        <v>82</v>
      </c>
      <c r="AC8" s="38" t="s">
        <v>83</v>
      </c>
      <c r="AD8" s="38" t="s">
        <v>82</v>
      </c>
      <c r="AE8" s="38" t="s">
        <v>83</v>
      </c>
      <c r="AF8" s="38" t="s">
        <v>82</v>
      </c>
      <c r="AG8" s="38" t="s">
        <v>83</v>
      </c>
      <c r="AH8" s="38" t="s">
        <v>82</v>
      </c>
      <c r="AI8" s="38" t="s">
        <v>83</v>
      </c>
      <c r="AJ8" s="38" t="s">
        <v>82</v>
      </c>
      <c r="AK8" s="38" t="s">
        <v>83</v>
      </c>
      <c r="AL8" s="38" t="s">
        <v>82</v>
      </c>
      <c r="AM8" s="38" t="s">
        <v>83</v>
      </c>
      <c r="AN8" s="38" t="s">
        <v>82</v>
      </c>
      <c r="AO8" s="38" t="s">
        <v>83</v>
      </c>
      <c r="AP8" s="38" t="s">
        <v>82</v>
      </c>
      <c r="AQ8" s="38" t="s">
        <v>83</v>
      </c>
      <c r="AR8" s="38" t="s">
        <v>82</v>
      </c>
      <c r="AS8" s="38" t="s">
        <v>83</v>
      </c>
      <c r="AT8" s="38" t="s">
        <v>82</v>
      </c>
      <c r="AU8" s="38" t="s">
        <v>83</v>
      </c>
      <c r="AV8" s="38" t="s">
        <v>82</v>
      </c>
      <c r="AW8" s="38" t="s">
        <v>83</v>
      </c>
      <c r="AX8" s="38" t="s">
        <v>82</v>
      </c>
      <c r="AY8" s="38" t="s">
        <v>83</v>
      </c>
      <c r="AZ8" s="38" t="s">
        <v>82</v>
      </c>
      <c r="BA8" s="38" t="s">
        <v>83</v>
      </c>
      <c r="BB8" s="38" t="s">
        <v>82</v>
      </c>
      <c r="BC8" s="38" t="s">
        <v>83</v>
      </c>
      <c r="BD8" s="38" t="s">
        <v>82</v>
      </c>
      <c r="BE8" s="38" t="s">
        <v>83</v>
      </c>
      <c r="BF8" s="38" t="s">
        <v>82</v>
      </c>
      <c r="BG8" s="38" t="s">
        <v>83</v>
      </c>
      <c r="BH8" s="38" t="s">
        <v>82</v>
      </c>
      <c r="BI8" s="38" t="s">
        <v>83</v>
      </c>
      <c r="BJ8" s="38" t="s">
        <v>82</v>
      </c>
      <c r="BK8" s="38" t="s">
        <v>83</v>
      </c>
      <c r="BL8" s="38" t="s">
        <v>82</v>
      </c>
      <c r="BM8" s="38" t="s">
        <v>83</v>
      </c>
      <c r="BN8" s="38" t="s">
        <v>82</v>
      </c>
      <c r="BO8" s="38" t="s">
        <v>83</v>
      </c>
      <c r="BP8" s="38" t="s">
        <v>82</v>
      </c>
      <c r="BQ8" s="38" t="s">
        <v>83</v>
      </c>
      <c r="BR8" s="38" t="s">
        <v>82</v>
      </c>
      <c r="BS8" s="38" t="s">
        <v>83</v>
      </c>
      <c r="BT8" s="38" t="s">
        <v>82</v>
      </c>
      <c r="BU8" s="38" t="s">
        <v>83</v>
      </c>
      <c r="BV8" s="57"/>
      <c r="BW8" s="57"/>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row>
    <row r="9" spans="1:192" s="27" customFormat="1">
      <c r="A9" s="37" t="s">
        <v>217</v>
      </c>
      <c r="B9" s="46">
        <v>29</v>
      </c>
      <c r="C9" s="46">
        <v>1971</v>
      </c>
      <c r="D9" s="46">
        <v>16</v>
      </c>
      <c r="E9" s="46">
        <v>1733</v>
      </c>
      <c r="F9" s="46">
        <v>4</v>
      </c>
      <c r="G9" s="46">
        <v>1168</v>
      </c>
      <c r="H9" s="47"/>
      <c r="I9" s="47"/>
      <c r="J9" s="47"/>
      <c r="K9" s="47"/>
      <c r="L9" s="47"/>
      <c r="M9" s="47"/>
      <c r="N9" s="47"/>
      <c r="O9" s="47"/>
      <c r="P9" s="47"/>
      <c r="Q9" s="47"/>
      <c r="R9" s="47"/>
      <c r="S9" s="47"/>
      <c r="T9" s="47"/>
      <c r="U9" s="47"/>
      <c r="V9" s="46">
        <v>3</v>
      </c>
      <c r="W9" s="46">
        <v>294</v>
      </c>
      <c r="X9" s="46">
        <v>8</v>
      </c>
      <c r="Y9" s="46">
        <v>2326</v>
      </c>
      <c r="Z9" s="46">
        <v>4</v>
      </c>
      <c r="AA9" s="46">
        <v>1728</v>
      </c>
      <c r="AB9" s="46">
        <v>6</v>
      </c>
      <c r="AC9" s="46">
        <v>2195</v>
      </c>
      <c r="AD9" s="47"/>
      <c r="AE9" s="47"/>
      <c r="AF9" s="46">
        <v>2</v>
      </c>
      <c r="AG9" s="46">
        <v>169</v>
      </c>
      <c r="AH9" s="46">
        <v>3</v>
      </c>
      <c r="AI9" s="46">
        <v>411</v>
      </c>
      <c r="AJ9" s="47"/>
      <c r="AK9" s="47"/>
      <c r="AL9" s="46">
        <v>1</v>
      </c>
      <c r="AM9" s="46">
        <v>199</v>
      </c>
      <c r="AN9" s="47"/>
      <c r="AO9" s="47"/>
      <c r="AP9" s="46">
        <v>1</v>
      </c>
      <c r="AQ9" s="46">
        <v>213</v>
      </c>
      <c r="AR9" s="46">
        <v>1</v>
      </c>
      <c r="AS9" s="46">
        <v>517</v>
      </c>
      <c r="AT9" s="47"/>
      <c r="AU9" s="47"/>
      <c r="AV9" s="47"/>
      <c r="AW9" s="47"/>
      <c r="AX9" s="47"/>
      <c r="AY9" s="47"/>
      <c r="AZ9" s="47"/>
      <c r="BA9" s="47"/>
      <c r="BB9" s="47"/>
      <c r="BC9" s="47"/>
      <c r="BD9" s="46">
        <v>2</v>
      </c>
      <c r="BE9" s="46">
        <v>101</v>
      </c>
      <c r="BF9" s="46">
        <v>1</v>
      </c>
      <c r="BG9" s="46">
        <v>75</v>
      </c>
      <c r="BH9" s="47"/>
      <c r="BI9" s="47"/>
      <c r="BJ9" s="46">
        <v>11</v>
      </c>
      <c r="BK9" s="46">
        <v>452</v>
      </c>
      <c r="BL9" s="46">
        <v>5</v>
      </c>
      <c r="BM9" s="46">
        <v>180</v>
      </c>
      <c r="BN9" s="46">
        <v>2</v>
      </c>
      <c r="BO9" s="46">
        <v>71</v>
      </c>
      <c r="BP9" s="46">
        <v>14</v>
      </c>
      <c r="BQ9" s="46">
        <v>232</v>
      </c>
      <c r="BR9" s="47"/>
      <c r="BS9" s="47"/>
      <c r="BT9" s="56">
        <v>113</v>
      </c>
      <c r="BU9" s="56">
        <v>14035</v>
      </c>
    </row>
    <row r="10" spans="1:192" s="27" customFormat="1">
      <c r="A10" s="37" t="s">
        <v>84</v>
      </c>
      <c r="B10" s="46">
        <v>39</v>
      </c>
      <c r="C10" s="46">
        <v>2802</v>
      </c>
      <c r="D10" s="46">
        <v>14</v>
      </c>
      <c r="E10" s="46">
        <v>1793</v>
      </c>
      <c r="F10" s="46">
        <v>2</v>
      </c>
      <c r="G10" s="46">
        <v>60</v>
      </c>
      <c r="H10" s="47"/>
      <c r="I10" s="47"/>
      <c r="J10" s="46">
        <v>1</v>
      </c>
      <c r="K10" s="46">
        <v>28</v>
      </c>
      <c r="L10" s="46">
        <v>2</v>
      </c>
      <c r="M10" s="46">
        <v>44</v>
      </c>
      <c r="N10" s="47">
        <v>1</v>
      </c>
      <c r="O10" s="47">
        <v>274</v>
      </c>
      <c r="P10" s="47"/>
      <c r="Q10" s="47"/>
      <c r="R10" s="47"/>
      <c r="S10" s="47"/>
      <c r="T10" s="47"/>
      <c r="U10" s="47"/>
      <c r="V10" s="46">
        <v>3</v>
      </c>
      <c r="W10" s="46">
        <v>260</v>
      </c>
      <c r="X10" s="46">
        <v>7</v>
      </c>
      <c r="Y10" s="46">
        <v>2308</v>
      </c>
      <c r="Z10" s="46">
        <v>9</v>
      </c>
      <c r="AA10" s="46">
        <v>2664</v>
      </c>
      <c r="AB10" s="46">
        <v>2</v>
      </c>
      <c r="AC10" s="46">
        <v>588</v>
      </c>
      <c r="AD10" s="47"/>
      <c r="AE10" s="47"/>
      <c r="AF10" s="46">
        <v>5</v>
      </c>
      <c r="AG10" s="46">
        <v>412</v>
      </c>
      <c r="AH10" s="46">
        <v>4</v>
      </c>
      <c r="AI10" s="46">
        <v>676</v>
      </c>
      <c r="AJ10" s="47"/>
      <c r="AK10" s="47"/>
      <c r="AL10" s="47"/>
      <c r="AM10" s="47"/>
      <c r="AN10" s="46">
        <v>1</v>
      </c>
      <c r="AO10" s="46">
        <v>104</v>
      </c>
      <c r="AP10" s="47"/>
      <c r="AQ10" s="47"/>
      <c r="AR10" s="46">
        <v>2</v>
      </c>
      <c r="AS10" s="46">
        <v>923</v>
      </c>
      <c r="AT10" s="46">
        <v>2</v>
      </c>
      <c r="AU10" s="46">
        <v>338</v>
      </c>
      <c r="AV10" s="47"/>
      <c r="AW10" s="47"/>
      <c r="AX10" s="46">
        <v>1</v>
      </c>
      <c r="AY10" s="46">
        <v>184</v>
      </c>
      <c r="AZ10" s="47"/>
      <c r="BA10" s="47"/>
      <c r="BB10" s="47"/>
      <c r="BC10" s="47"/>
      <c r="BD10" s="46">
        <v>2</v>
      </c>
      <c r="BE10" s="46">
        <v>76</v>
      </c>
      <c r="BF10" s="46">
        <v>3</v>
      </c>
      <c r="BG10" s="46">
        <v>301</v>
      </c>
      <c r="BH10" s="46">
        <v>1</v>
      </c>
      <c r="BI10" s="46">
        <v>184</v>
      </c>
      <c r="BJ10" s="46">
        <v>17</v>
      </c>
      <c r="BK10" s="46">
        <v>1060</v>
      </c>
      <c r="BL10" s="46">
        <v>13</v>
      </c>
      <c r="BM10" s="46">
        <v>1089</v>
      </c>
      <c r="BN10" s="47"/>
      <c r="BO10" s="47"/>
      <c r="BP10" s="46">
        <v>11</v>
      </c>
      <c r="BQ10" s="46">
        <v>259</v>
      </c>
      <c r="BR10" s="47"/>
      <c r="BS10" s="47"/>
      <c r="BT10" s="56">
        <v>142</v>
      </c>
      <c r="BU10" s="56">
        <v>16427</v>
      </c>
    </row>
    <row r="11" spans="1:192" s="27" customFormat="1">
      <c r="A11" s="37" t="s">
        <v>85</v>
      </c>
      <c r="B11" s="46">
        <v>8</v>
      </c>
      <c r="C11" s="46">
        <v>690</v>
      </c>
      <c r="D11" s="46">
        <v>4</v>
      </c>
      <c r="E11" s="46">
        <v>339</v>
      </c>
      <c r="F11" s="46">
        <v>4</v>
      </c>
      <c r="G11" s="46">
        <v>298</v>
      </c>
      <c r="H11" s="47">
        <v>1</v>
      </c>
      <c r="I11" s="47">
        <v>29</v>
      </c>
      <c r="J11" s="47">
        <v>2</v>
      </c>
      <c r="K11" s="47">
        <v>48</v>
      </c>
      <c r="L11" s="46">
        <v>6</v>
      </c>
      <c r="M11" s="46">
        <v>94</v>
      </c>
      <c r="N11" s="47"/>
      <c r="O11" s="47"/>
      <c r="P11" s="47"/>
      <c r="Q11" s="47"/>
      <c r="R11" s="46"/>
      <c r="S11" s="46"/>
      <c r="T11" s="47">
        <v>2</v>
      </c>
      <c r="U11" s="47">
        <v>912</v>
      </c>
      <c r="V11" s="47"/>
      <c r="W11" s="47"/>
      <c r="X11" s="46"/>
      <c r="Y11" s="46"/>
      <c r="Z11" s="46">
        <v>8</v>
      </c>
      <c r="AA11" s="46">
        <v>2191</v>
      </c>
      <c r="AB11" s="46"/>
      <c r="AC11" s="46"/>
      <c r="AD11" s="47">
        <v>1</v>
      </c>
      <c r="AE11" s="47">
        <v>116</v>
      </c>
      <c r="AF11" s="47"/>
      <c r="AG11" s="47"/>
      <c r="AH11" s="46"/>
      <c r="AI11" s="46"/>
      <c r="AJ11" s="46"/>
      <c r="AK11" s="46"/>
      <c r="AL11" s="46"/>
      <c r="AM11" s="46"/>
      <c r="AN11" s="47"/>
      <c r="AO11" s="47"/>
      <c r="AP11" s="46"/>
      <c r="AQ11" s="46"/>
      <c r="AR11" s="46"/>
      <c r="AS11" s="46"/>
      <c r="AT11" s="46"/>
      <c r="AU11" s="46"/>
      <c r="AV11" s="46"/>
      <c r="AW11" s="46"/>
      <c r="AX11" s="46"/>
      <c r="AY11" s="46"/>
      <c r="AZ11" s="46"/>
      <c r="BA11" s="46"/>
      <c r="BB11" s="46"/>
      <c r="BC11" s="46"/>
      <c r="BD11" s="46">
        <v>1</v>
      </c>
      <c r="BE11" s="46">
        <v>20</v>
      </c>
      <c r="BF11" s="47">
        <v>1</v>
      </c>
      <c r="BG11" s="47">
        <v>21</v>
      </c>
      <c r="BH11" s="46"/>
      <c r="BI11" s="46"/>
      <c r="BJ11" s="46">
        <v>3</v>
      </c>
      <c r="BK11" s="46">
        <v>118</v>
      </c>
      <c r="BL11" s="47">
        <v>1</v>
      </c>
      <c r="BM11" s="47">
        <v>212</v>
      </c>
      <c r="BN11" s="47"/>
      <c r="BO11" s="47"/>
      <c r="BP11" s="46">
        <v>1</v>
      </c>
      <c r="BQ11" s="46">
        <v>8</v>
      </c>
      <c r="BR11" s="47"/>
      <c r="BS11" s="47"/>
      <c r="BT11" s="56">
        <v>43</v>
      </c>
      <c r="BU11" s="56">
        <v>5096</v>
      </c>
    </row>
    <row r="12" spans="1:192" s="27" customFormat="1">
      <c r="A12" s="37" t="s">
        <v>86</v>
      </c>
      <c r="B12" s="46">
        <v>28</v>
      </c>
      <c r="C12" s="46">
        <v>2086</v>
      </c>
      <c r="D12" s="46">
        <v>15</v>
      </c>
      <c r="E12" s="46">
        <v>2197</v>
      </c>
      <c r="F12" s="46">
        <v>17</v>
      </c>
      <c r="G12" s="46">
        <v>2083</v>
      </c>
      <c r="H12" s="47"/>
      <c r="I12" s="47"/>
      <c r="J12" s="46"/>
      <c r="K12" s="46"/>
      <c r="L12" s="46">
        <v>1</v>
      </c>
      <c r="M12" s="46">
        <v>8</v>
      </c>
      <c r="N12" s="47">
        <v>1</v>
      </c>
      <c r="O12" s="47">
        <v>400</v>
      </c>
      <c r="P12" s="47"/>
      <c r="Q12" s="47"/>
      <c r="R12" s="47">
        <v>1</v>
      </c>
      <c r="S12" s="47">
        <v>780</v>
      </c>
      <c r="T12" s="47"/>
      <c r="U12" s="47"/>
      <c r="V12" s="46"/>
      <c r="W12" s="46"/>
      <c r="X12" s="46">
        <v>6</v>
      </c>
      <c r="Y12" s="46">
        <v>1238</v>
      </c>
      <c r="Z12" s="46">
        <v>15</v>
      </c>
      <c r="AA12" s="46">
        <v>8103</v>
      </c>
      <c r="AB12" s="46">
        <v>4</v>
      </c>
      <c r="AC12" s="46">
        <v>1611</v>
      </c>
      <c r="AD12" s="47"/>
      <c r="AE12" s="47"/>
      <c r="AF12" s="46"/>
      <c r="AG12" s="46"/>
      <c r="AH12" s="46">
        <v>1</v>
      </c>
      <c r="AI12" s="46">
        <v>84</v>
      </c>
      <c r="AJ12" s="47">
        <v>2</v>
      </c>
      <c r="AK12" s="47">
        <v>296</v>
      </c>
      <c r="AL12" s="47">
        <v>1</v>
      </c>
      <c r="AM12" s="47">
        <v>19</v>
      </c>
      <c r="AN12" s="46"/>
      <c r="AO12" s="46"/>
      <c r="AP12" s="47">
        <v>1</v>
      </c>
      <c r="AQ12" s="47">
        <v>270</v>
      </c>
      <c r="AR12" s="46">
        <v>6</v>
      </c>
      <c r="AS12" s="46">
        <v>2268</v>
      </c>
      <c r="AT12" s="46">
        <v>3</v>
      </c>
      <c r="AU12" s="46">
        <v>1104</v>
      </c>
      <c r="AV12" s="47">
        <v>2</v>
      </c>
      <c r="AW12" s="47">
        <v>100</v>
      </c>
      <c r="AX12" s="46">
        <v>1</v>
      </c>
      <c r="AY12" s="46">
        <v>180</v>
      </c>
      <c r="AZ12" s="47">
        <v>1</v>
      </c>
      <c r="BA12" s="47">
        <v>258</v>
      </c>
      <c r="BB12" s="47">
        <v>1</v>
      </c>
      <c r="BC12" s="47">
        <v>42</v>
      </c>
      <c r="BD12" s="46">
        <v>3</v>
      </c>
      <c r="BE12" s="46">
        <v>44</v>
      </c>
      <c r="BF12" s="46"/>
      <c r="BG12" s="46"/>
      <c r="BH12" s="46">
        <v>1</v>
      </c>
      <c r="BI12" s="46">
        <v>16</v>
      </c>
      <c r="BJ12" s="46">
        <v>1</v>
      </c>
      <c r="BK12" s="46">
        <v>13</v>
      </c>
      <c r="BL12" s="46"/>
      <c r="BM12" s="46"/>
      <c r="BN12" s="47"/>
      <c r="BO12" s="47"/>
      <c r="BP12" s="46">
        <v>1</v>
      </c>
      <c r="BQ12" s="46">
        <v>12</v>
      </c>
      <c r="BR12" s="47"/>
      <c r="BS12" s="47"/>
      <c r="BT12" s="56">
        <v>113</v>
      </c>
      <c r="BU12" s="56">
        <v>23212</v>
      </c>
    </row>
    <row r="13" spans="1:192" s="27" customFormat="1">
      <c r="A13" s="37" t="s">
        <v>87</v>
      </c>
      <c r="B13" s="46">
        <v>40</v>
      </c>
      <c r="C13" s="46">
        <v>2226</v>
      </c>
      <c r="D13" s="46">
        <v>19</v>
      </c>
      <c r="E13" s="46">
        <v>2250</v>
      </c>
      <c r="F13" s="46">
        <v>9</v>
      </c>
      <c r="G13" s="46">
        <v>1494</v>
      </c>
      <c r="H13" s="47"/>
      <c r="I13" s="47"/>
      <c r="J13" s="47"/>
      <c r="K13" s="47"/>
      <c r="L13" s="46">
        <v>5</v>
      </c>
      <c r="M13" s="46">
        <v>80</v>
      </c>
      <c r="N13" s="47">
        <v>1</v>
      </c>
      <c r="O13" s="47">
        <v>249</v>
      </c>
      <c r="P13" s="47">
        <v>1</v>
      </c>
      <c r="Q13" s="47">
        <v>300</v>
      </c>
      <c r="R13" s="46">
        <v>3</v>
      </c>
      <c r="S13" s="46">
        <v>2001</v>
      </c>
      <c r="T13" s="46">
        <v>1</v>
      </c>
      <c r="U13" s="46">
        <v>400</v>
      </c>
      <c r="V13" s="47"/>
      <c r="W13" s="47"/>
      <c r="X13" s="46">
        <v>5</v>
      </c>
      <c r="Y13" s="46">
        <v>1382</v>
      </c>
      <c r="Z13" s="46">
        <v>15</v>
      </c>
      <c r="AA13" s="46">
        <v>6542</v>
      </c>
      <c r="AB13" s="46">
        <v>3</v>
      </c>
      <c r="AC13" s="46">
        <v>1284</v>
      </c>
      <c r="AD13" s="46">
        <v>1</v>
      </c>
      <c r="AE13" s="46">
        <v>345</v>
      </c>
      <c r="AF13" s="47"/>
      <c r="AG13" s="47"/>
      <c r="AH13" s="46">
        <v>1</v>
      </c>
      <c r="AI13" s="46">
        <v>140</v>
      </c>
      <c r="AJ13" s="46">
        <v>3</v>
      </c>
      <c r="AK13" s="46">
        <v>417</v>
      </c>
      <c r="AL13" s="47"/>
      <c r="AM13" s="47"/>
      <c r="AN13" s="47"/>
      <c r="AO13" s="47"/>
      <c r="AP13" s="47"/>
      <c r="AQ13" s="47"/>
      <c r="AR13" s="46">
        <v>3</v>
      </c>
      <c r="AS13" s="46">
        <v>944</v>
      </c>
      <c r="AT13" s="46">
        <v>1</v>
      </c>
      <c r="AU13" s="46">
        <v>48</v>
      </c>
      <c r="AV13" s="47"/>
      <c r="AW13" s="47"/>
      <c r="AX13" s="46">
        <v>1</v>
      </c>
      <c r="AY13" s="46">
        <v>84</v>
      </c>
      <c r="AZ13" s="47"/>
      <c r="BA13" s="47"/>
      <c r="BB13" s="47"/>
      <c r="BC13" s="47"/>
      <c r="BD13" s="46">
        <v>5</v>
      </c>
      <c r="BE13" s="46">
        <v>154</v>
      </c>
      <c r="BF13" s="46">
        <v>4</v>
      </c>
      <c r="BG13" s="46">
        <v>262</v>
      </c>
      <c r="BH13" s="47"/>
      <c r="BI13" s="47"/>
      <c r="BJ13" s="46">
        <v>6</v>
      </c>
      <c r="BK13" s="46">
        <v>246</v>
      </c>
      <c r="BL13" s="46">
        <v>8</v>
      </c>
      <c r="BM13" s="46">
        <v>297</v>
      </c>
      <c r="BN13" s="47"/>
      <c r="BO13" s="47"/>
      <c r="BP13" s="46">
        <v>1</v>
      </c>
      <c r="BQ13" s="46">
        <v>28</v>
      </c>
      <c r="BR13" s="46">
        <v>3</v>
      </c>
      <c r="BS13" s="46">
        <v>89</v>
      </c>
      <c r="BT13" s="56">
        <v>139</v>
      </c>
      <c r="BU13" s="56">
        <v>21262</v>
      </c>
    </row>
    <row r="14" spans="1:192" s="27" customFormat="1">
      <c r="A14" s="45" t="s">
        <v>218</v>
      </c>
      <c r="B14" s="39">
        <v>144</v>
      </c>
      <c r="C14" s="39">
        <v>9775</v>
      </c>
      <c r="D14" s="39">
        <v>68</v>
      </c>
      <c r="E14" s="39">
        <v>8312</v>
      </c>
      <c r="F14" s="39">
        <v>36</v>
      </c>
      <c r="G14" s="39">
        <v>5103</v>
      </c>
      <c r="H14" s="39">
        <v>1</v>
      </c>
      <c r="I14" s="39">
        <v>29</v>
      </c>
      <c r="J14" s="39">
        <v>3</v>
      </c>
      <c r="K14" s="39">
        <v>76</v>
      </c>
      <c r="L14" s="39">
        <v>14</v>
      </c>
      <c r="M14" s="39">
        <v>226</v>
      </c>
      <c r="N14" s="39">
        <v>3</v>
      </c>
      <c r="O14" s="39">
        <v>923</v>
      </c>
      <c r="P14" s="39">
        <v>1</v>
      </c>
      <c r="Q14" s="39">
        <v>300</v>
      </c>
      <c r="R14" s="39">
        <v>4</v>
      </c>
      <c r="S14" s="39">
        <v>2781</v>
      </c>
      <c r="T14" s="39">
        <v>3</v>
      </c>
      <c r="U14" s="39">
        <v>1312</v>
      </c>
      <c r="V14" s="39">
        <v>6</v>
      </c>
      <c r="W14" s="39">
        <v>554</v>
      </c>
      <c r="X14" s="39">
        <v>26</v>
      </c>
      <c r="Y14" s="39">
        <v>7254</v>
      </c>
      <c r="Z14" s="39">
        <v>51</v>
      </c>
      <c r="AA14" s="39">
        <v>21228</v>
      </c>
      <c r="AB14" s="39">
        <v>15</v>
      </c>
      <c r="AC14" s="39">
        <v>5678</v>
      </c>
      <c r="AD14" s="39">
        <v>2</v>
      </c>
      <c r="AE14" s="39">
        <v>461</v>
      </c>
      <c r="AF14" s="39">
        <v>7</v>
      </c>
      <c r="AG14" s="39">
        <v>581</v>
      </c>
      <c r="AH14" s="39">
        <v>9</v>
      </c>
      <c r="AI14" s="39">
        <v>1311</v>
      </c>
      <c r="AJ14" s="39">
        <v>5</v>
      </c>
      <c r="AK14" s="39">
        <v>713</v>
      </c>
      <c r="AL14" s="39">
        <v>2</v>
      </c>
      <c r="AM14" s="39">
        <v>218</v>
      </c>
      <c r="AN14" s="39">
        <v>1</v>
      </c>
      <c r="AO14" s="39">
        <v>104</v>
      </c>
      <c r="AP14" s="39">
        <v>2</v>
      </c>
      <c r="AQ14" s="39">
        <v>483</v>
      </c>
      <c r="AR14" s="39">
        <v>12</v>
      </c>
      <c r="AS14" s="39">
        <v>4652</v>
      </c>
      <c r="AT14" s="39">
        <v>6</v>
      </c>
      <c r="AU14" s="39">
        <v>1490</v>
      </c>
      <c r="AV14" s="39">
        <v>2</v>
      </c>
      <c r="AW14" s="39">
        <v>100</v>
      </c>
      <c r="AX14" s="39">
        <v>3</v>
      </c>
      <c r="AY14" s="39">
        <v>448</v>
      </c>
      <c r="AZ14" s="39">
        <v>1</v>
      </c>
      <c r="BA14" s="39">
        <v>258</v>
      </c>
      <c r="BB14" s="39">
        <v>1</v>
      </c>
      <c r="BC14" s="39">
        <v>42</v>
      </c>
      <c r="BD14" s="39">
        <v>13</v>
      </c>
      <c r="BE14" s="39">
        <v>395</v>
      </c>
      <c r="BF14" s="39">
        <v>9</v>
      </c>
      <c r="BG14" s="39">
        <v>659</v>
      </c>
      <c r="BH14" s="39">
        <v>2</v>
      </c>
      <c r="BI14" s="39">
        <v>200</v>
      </c>
      <c r="BJ14" s="39">
        <v>38</v>
      </c>
      <c r="BK14" s="39">
        <v>1889</v>
      </c>
      <c r="BL14" s="39">
        <v>27</v>
      </c>
      <c r="BM14" s="39">
        <v>1778</v>
      </c>
      <c r="BN14" s="39">
        <v>2</v>
      </c>
      <c r="BO14" s="39">
        <v>71</v>
      </c>
      <c r="BP14" s="39">
        <v>28</v>
      </c>
      <c r="BQ14" s="39">
        <v>539</v>
      </c>
      <c r="BR14" s="39">
        <v>3</v>
      </c>
      <c r="BS14" s="39">
        <v>89</v>
      </c>
      <c r="BT14" s="39">
        <v>550</v>
      </c>
      <c r="BU14" s="39">
        <v>80032</v>
      </c>
    </row>
    <row r="15" spans="1:192">
      <c r="A15" s="62" t="s">
        <v>134</v>
      </c>
      <c r="BX15" s="27"/>
      <c r="BY15" s="27"/>
      <c r="BZ15" s="27"/>
    </row>
    <row r="16" spans="1:192">
      <c r="A16" s="63" t="s">
        <v>135</v>
      </c>
      <c r="BT16" s="33"/>
      <c r="BU16" s="33"/>
      <c r="BX16" s="27"/>
      <c r="BY16" s="27"/>
      <c r="BZ16" s="27"/>
    </row>
    <row r="17" spans="1:78">
      <c r="A17" s="63" t="s">
        <v>136</v>
      </c>
      <c r="B17" s="33"/>
      <c r="C17" s="33"/>
      <c r="BX17" s="27"/>
      <c r="BY17" s="27"/>
      <c r="BZ17" s="27"/>
    </row>
  </sheetData>
  <sheetProtection algorithmName="SHA-512" hashValue="dNIa5SwkfJxey+ywtQmt7NWkX8Nd/jXs9xGKLPDbhAF8UuXnqRKGWzNSAzPkbbWjSabtzXRX2qEBUvQ27fZTjw==" saltValue="RY314p6JvLybBFzFlALDEw==" spinCount="100000" sheet="1" selectLockedCells="1" selectUnlockedCells="1"/>
  <mergeCells count="36">
    <mergeCell ref="AP6:AQ6"/>
    <mergeCell ref="AR6:AS6"/>
    <mergeCell ref="BN6:BO6"/>
    <mergeCell ref="BP6:BQ6"/>
    <mergeCell ref="BR6:BS6"/>
    <mergeCell ref="BD6:BE6"/>
    <mergeCell ref="BF6:BG6"/>
    <mergeCell ref="BH6:BI6"/>
    <mergeCell ref="BJ6:BK6"/>
    <mergeCell ref="BL6:BM6"/>
    <mergeCell ref="V6:W6"/>
    <mergeCell ref="BT6:BU6"/>
    <mergeCell ref="X6:Y6"/>
    <mergeCell ref="Z6:AA6"/>
    <mergeCell ref="AB6:AC6"/>
    <mergeCell ref="AD6:AE6"/>
    <mergeCell ref="AF6:AG6"/>
    <mergeCell ref="AH6:AI6"/>
    <mergeCell ref="AT6:AU6"/>
    <mergeCell ref="AV6:AW6"/>
    <mergeCell ref="AX6:AY6"/>
    <mergeCell ref="AZ6:BA6"/>
    <mergeCell ref="BB6:BC6"/>
    <mergeCell ref="AJ6:AK6"/>
    <mergeCell ref="AL6:AM6"/>
    <mergeCell ref="AN6:AO6"/>
    <mergeCell ref="L6:M6"/>
    <mergeCell ref="N6:O6"/>
    <mergeCell ref="P6:Q6"/>
    <mergeCell ref="R6:S6"/>
    <mergeCell ref="T6:U6"/>
    <mergeCell ref="B6:C6"/>
    <mergeCell ref="D6:E6"/>
    <mergeCell ref="F6:G6"/>
    <mergeCell ref="H6:I6"/>
    <mergeCell ref="J6:K6"/>
  </mergeCells>
  <conditionalFormatting sqref="A6:BU7 A8 T8:AO8 AT8:BU8 A15:A17">
    <cfRule type="expression" priority="8">
      <formula>SI(0," ")</formula>
    </cfRule>
  </conditionalFormatting>
  <conditionalFormatting sqref="A9:BU13">
    <cfRule type="expression" dxfId="3" priority="5" stopIfTrue="1">
      <formula>MOD(ROW(),2)=0</formula>
    </cfRule>
  </conditionalFormatting>
  <pageMargins left="0.70866141732283472" right="0.70866141732283472" top="0.74803149606299213" bottom="0.74803149606299213" header="0.31496062992125984" footer="0.31496062992125984"/>
  <pageSetup paperSize="8" scale="80" orientation="landscape" r:id="rId1"/>
  <colBreaks count="4" manualBreakCount="4">
    <brk id="17" max="1048575" man="1"/>
    <brk id="33" max="1048575" man="1"/>
    <brk id="49" max="1048575" man="1"/>
    <brk id="65"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I48"/>
  <sheetViews>
    <sheetView showGridLines="0" zoomScaleNormal="100" zoomScaleSheetLayoutView="91" workbookViewId="0"/>
  </sheetViews>
  <sheetFormatPr baseColWidth="10" defaultRowHeight="12.75"/>
  <cols>
    <col min="1" max="1" width="13.7109375" style="3" customWidth="1"/>
    <col min="2" max="2" width="11.42578125" style="3"/>
    <col min="3" max="3" width="17" style="4" bestFit="1" customWidth="1"/>
    <col min="4" max="4" width="15.140625" style="4" bestFit="1" customWidth="1"/>
    <col min="5" max="5" width="14" style="4" bestFit="1" customWidth="1"/>
    <col min="6" max="6" width="11.140625" style="4" bestFit="1" customWidth="1"/>
    <col min="7" max="7" width="11.42578125" style="4"/>
    <col min="8" max="8" width="13.7109375" style="3" customWidth="1"/>
    <col min="9" max="9" width="11.42578125" style="3"/>
    <col min="10" max="10" width="17" style="4" bestFit="1" customWidth="1"/>
    <col min="11" max="11" width="15.140625" style="4" bestFit="1" customWidth="1"/>
    <col min="12" max="12" width="14" style="4" bestFit="1" customWidth="1"/>
    <col min="13" max="13" width="11.140625" style="4" bestFit="1" customWidth="1"/>
    <col min="14" max="16384" width="11.42578125" style="4"/>
  </cols>
  <sheetData>
    <row r="1" spans="1:20" ht="16.5">
      <c r="A1" s="5"/>
    </row>
    <row r="2" spans="1:20" ht="16.5">
      <c r="A2" s="5"/>
      <c r="P2" s="6"/>
      <c r="Q2" s="6"/>
      <c r="R2" s="6"/>
      <c r="S2" s="6"/>
      <c r="T2" s="6"/>
    </row>
    <row r="3" spans="1:20" ht="16.5">
      <c r="A3" s="2" t="s">
        <v>110</v>
      </c>
    </row>
    <row r="4" spans="1:20" s="6" customFormat="1" ht="16.5">
      <c r="A4" s="7" t="s">
        <v>111</v>
      </c>
      <c r="B4" s="8"/>
      <c r="H4" s="8"/>
      <c r="I4" s="8"/>
      <c r="L4" s="9"/>
    </row>
    <row r="5" spans="1:20" s="6" customFormat="1" ht="16.5">
      <c r="A5" s="7" t="s">
        <v>112</v>
      </c>
      <c r="B5" s="8"/>
      <c r="H5" s="8"/>
      <c r="I5" s="8"/>
    </row>
    <row r="7" spans="1:20">
      <c r="A7" s="149" t="s">
        <v>0</v>
      </c>
      <c r="B7" s="149"/>
      <c r="C7" s="110" t="s">
        <v>1</v>
      </c>
      <c r="D7" s="110" t="s">
        <v>2</v>
      </c>
      <c r="E7" s="110" t="s">
        <v>3</v>
      </c>
      <c r="F7" s="110" t="s">
        <v>4</v>
      </c>
      <c r="H7" s="149" t="s">
        <v>0</v>
      </c>
      <c r="I7" s="149"/>
      <c r="J7" s="110" t="s">
        <v>1</v>
      </c>
      <c r="K7" s="110" t="s">
        <v>2</v>
      </c>
      <c r="L7" s="110" t="s">
        <v>3</v>
      </c>
      <c r="M7" s="110" t="s">
        <v>4</v>
      </c>
    </row>
    <row r="8" spans="1:20">
      <c r="A8" s="150" t="s">
        <v>5</v>
      </c>
      <c r="B8" s="150"/>
      <c r="C8" s="111" t="s">
        <v>6</v>
      </c>
      <c r="D8" s="111" t="s">
        <v>7</v>
      </c>
      <c r="E8" s="111" t="s">
        <v>8</v>
      </c>
      <c r="F8" s="111" t="s">
        <v>9</v>
      </c>
      <c r="G8" s="6"/>
      <c r="H8" s="150" t="s">
        <v>5</v>
      </c>
      <c r="I8" s="150"/>
      <c r="J8" s="111" t="s">
        <v>6</v>
      </c>
      <c r="K8" s="111" t="s">
        <v>7</v>
      </c>
      <c r="L8" s="111" t="s">
        <v>8</v>
      </c>
      <c r="M8" s="111" t="s">
        <v>9</v>
      </c>
    </row>
    <row r="9" spans="1:20">
      <c r="A9" s="150" t="s">
        <v>10</v>
      </c>
      <c r="B9" s="150"/>
      <c r="C9" s="111" t="s">
        <v>11</v>
      </c>
      <c r="D9" s="111" t="s">
        <v>12</v>
      </c>
      <c r="E9" s="111" t="s">
        <v>13</v>
      </c>
      <c r="F9" s="111" t="s">
        <v>14</v>
      </c>
      <c r="G9" s="6"/>
      <c r="H9" s="150" t="s">
        <v>10</v>
      </c>
      <c r="I9" s="150"/>
      <c r="J9" s="111" t="s">
        <v>11</v>
      </c>
      <c r="K9" s="111" t="s">
        <v>12</v>
      </c>
      <c r="L9" s="111" t="s">
        <v>13</v>
      </c>
      <c r="M9" s="111" t="s">
        <v>14</v>
      </c>
    </row>
    <row r="10" spans="1:20" ht="15">
      <c r="A10" s="145" t="s">
        <v>15</v>
      </c>
      <c r="B10" s="145"/>
      <c r="C10" s="12">
        <v>143</v>
      </c>
      <c r="D10" s="12">
        <v>3224</v>
      </c>
      <c r="E10" s="12">
        <v>9745</v>
      </c>
      <c r="F10" s="13">
        <v>0.41336161187698833</v>
      </c>
      <c r="G10" s="10"/>
      <c r="H10" s="145" t="s">
        <v>16</v>
      </c>
      <c r="I10" s="145"/>
      <c r="J10" s="12">
        <v>1</v>
      </c>
      <c r="K10" s="12">
        <v>54</v>
      </c>
      <c r="L10" s="12">
        <v>104</v>
      </c>
      <c r="M10" s="13">
        <v>1.5455491157675732E-2</v>
      </c>
    </row>
    <row r="11" spans="1:20" ht="15">
      <c r="A11" s="145" t="s">
        <v>17</v>
      </c>
      <c r="B11" s="145"/>
      <c r="C11" s="12">
        <v>68</v>
      </c>
      <c r="D11" s="12">
        <v>2958</v>
      </c>
      <c r="E11" s="12">
        <v>8312</v>
      </c>
      <c r="F11" s="13">
        <v>0.35257688229056205</v>
      </c>
      <c r="G11" s="10"/>
      <c r="H11" s="145" t="s">
        <v>18</v>
      </c>
      <c r="I11" s="145"/>
      <c r="J11" s="12">
        <v>2</v>
      </c>
      <c r="K11" s="12">
        <v>219</v>
      </c>
      <c r="L11" s="12">
        <v>483</v>
      </c>
      <c r="M11" s="13">
        <v>7.1778867588051715E-2</v>
      </c>
    </row>
    <row r="12" spans="1:20" ht="15">
      <c r="A12" s="145" t="s">
        <v>19</v>
      </c>
      <c r="B12" s="145"/>
      <c r="C12" s="12">
        <v>37</v>
      </c>
      <c r="D12" s="12">
        <v>1867</v>
      </c>
      <c r="E12" s="12">
        <v>5489</v>
      </c>
      <c r="F12" s="13">
        <v>0.23283138918345705</v>
      </c>
      <c r="G12" s="10"/>
      <c r="H12" s="145" t="s">
        <v>20</v>
      </c>
      <c r="I12" s="145"/>
      <c r="J12" s="12">
        <v>12</v>
      </c>
      <c r="K12" s="12">
        <v>2235</v>
      </c>
      <c r="L12" s="12">
        <v>4652</v>
      </c>
      <c r="M12" s="13">
        <v>0.69133600832218756</v>
      </c>
    </row>
    <row r="13" spans="1:20" ht="15">
      <c r="A13" s="145" t="s">
        <v>21</v>
      </c>
      <c r="B13" s="145"/>
      <c r="C13" s="12">
        <v>1</v>
      </c>
      <c r="D13" s="12">
        <v>9</v>
      </c>
      <c r="E13" s="12">
        <v>29</v>
      </c>
      <c r="F13" s="13">
        <v>1.230116648992577E-3</v>
      </c>
      <c r="G13" s="10"/>
      <c r="H13" s="145" t="s">
        <v>22</v>
      </c>
      <c r="I13" s="145"/>
      <c r="J13" s="12">
        <v>6</v>
      </c>
      <c r="K13" s="12">
        <v>686</v>
      </c>
      <c r="L13" s="12">
        <v>1490</v>
      </c>
      <c r="M13" s="13">
        <v>0.22142963293208501</v>
      </c>
    </row>
    <row r="14" spans="1:20" ht="15">
      <c r="A14" s="146" t="s">
        <v>23</v>
      </c>
      <c r="B14" s="146"/>
      <c r="C14" s="17">
        <v>249</v>
      </c>
      <c r="D14" s="18">
        <v>8058</v>
      </c>
      <c r="E14" s="18">
        <v>23575</v>
      </c>
      <c r="F14" s="19">
        <v>1</v>
      </c>
      <c r="G14" s="10"/>
      <c r="H14" s="145" t="s">
        <v>24</v>
      </c>
      <c r="I14" s="145"/>
      <c r="J14" s="12"/>
      <c r="K14" s="12"/>
      <c r="L14" s="12"/>
      <c r="M14" s="13"/>
    </row>
    <row r="15" spans="1:20" ht="15">
      <c r="A15" s="145"/>
      <c r="B15" s="145"/>
      <c r="C15" s="12"/>
      <c r="D15" s="12"/>
      <c r="E15" s="12"/>
      <c r="F15" s="13"/>
      <c r="G15" s="10"/>
      <c r="H15" s="146" t="s">
        <v>25</v>
      </c>
      <c r="I15" s="146"/>
      <c r="J15" s="18">
        <v>21</v>
      </c>
      <c r="K15" s="18">
        <v>3194</v>
      </c>
      <c r="L15" s="18">
        <v>6729</v>
      </c>
      <c r="M15" s="19">
        <v>1</v>
      </c>
    </row>
    <row r="16" spans="1:20" ht="15">
      <c r="A16" s="146" t="s">
        <v>26</v>
      </c>
      <c r="B16" s="146"/>
      <c r="C16" s="18">
        <v>3</v>
      </c>
      <c r="D16" s="18">
        <v>38</v>
      </c>
      <c r="E16" s="18">
        <v>76</v>
      </c>
      <c r="F16" s="19">
        <v>1</v>
      </c>
      <c r="G16" s="10"/>
      <c r="H16" s="145"/>
      <c r="I16" s="145"/>
      <c r="J16" s="12"/>
      <c r="K16" s="12"/>
      <c r="L16" s="12"/>
      <c r="M16" s="13"/>
    </row>
    <row r="17" spans="1:13" ht="15">
      <c r="A17" s="146" t="s">
        <v>27</v>
      </c>
      <c r="B17" s="146"/>
      <c r="C17" s="18">
        <v>14</v>
      </c>
      <c r="D17" s="18">
        <v>101</v>
      </c>
      <c r="E17" s="18">
        <v>226</v>
      </c>
      <c r="F17" s="19">
        <v>1</v>
      </c>
      <c r="G17" s="10"/>
      <c r="H17" s="145" t="s">
        <v>28</v>
      </c>
      <c r="I17" s="145"/>
      <c r="J17" s="12">
        <v>2</v>
      </c>
      <c r="K17" s="12">
        <v>50</v>
      </c>
      <c r="L17" s="12">
        <v>100</v>
      </c>
      <c r="M17" s="13">
        <v>0.15060240963855423</v>
      </c>
    </row>
    <row r="18" spans="1:13" ht="15">
      <c r="A18" s="146" t="s">
        <v>29</v>
      </c>
      <c r="B18" s="146"/>
      <c r="C18" s="18"/>
      <c r="D18" s="18"/>
      <c r="E18" s="18"/>
      <c r="F18" s="19"/>
      <c r="G18" s="10"/>
      <c r="H18" s="145" t="s">
        <v>30</v>
      </c>
      <c r="I18" s="145"/>
      <c r="J18" s="12">
        <v>2</v>
      </c>
      <c r="K18" s="12">
        <v>104</v>
      </c>
      <c r="L18" s="12">
        <v>264</v>
      </c>
      <c r="M18" s="13">
        <v>0.39759036144578314</v>
      </c>
    </row>
    <row r="19" spans="1:13" ht="15">
      <c r="A19" s="147"/>
      <c r="B19" s="147"/>
      <c r="C19" s="12"/>
      <c r="D19" s="12"/>
      <c r="E19" s="12"/>
      <c r="F19" s="13"/>
      <c r="G19" s="10"/>
      <c r="H19" s="145" t="s">
        <v>31</v>
      </c>
      <c r="I19" s="145"/>
      <c r="J19" s="12">
        <v>1</v>
      </c>
      <c r="K19" s="12">
        <v>103</v>
      </c>
      <c r="L19" s="12">
        <v>258</v>
      </c>
      <c r="M19" s="13">
        <v>0.38855421686746988</v>
      </c>
    </row>
    <row r="20" spans="1:13" ht="15">
      <c r="A20" s="145" t="s">
        <v>32</v>
      </c>
      <c r="B20" s="145"/>
      <c r="C20" s="12">
        <v>1</v>
      </c>
      <c r="D20" s="1">
        <v>100</v>
      </c>
      <c r="E20" s="12">
        <v>300</v>
      </c>
      <c r="F20" s="13">
        <v>0.24529844644317253</v>
      </c>
      <c r="G20" s="10"/>
      <c r="H20" s="145" t="s">
        <v>33</v>
      </c>
      <c r="I20" s="145"/>
      <c r="J20" s="12">
        <v>1</v>
      </c>
      <c r="K20" s="12">
        <v>21</v>
      </c>
      <c r="L20" s="12">
        <v>42</v>
      </c>
      <c r="M20" s="13">
        <v>6.3253012048192767E-2</v>
      </c>
    </row>
    <row r="21" spans="1:13" ht="15">
      <c r="A21" s="145" t="s">
        <v>34</v>
      </c>
      <c r="B21" s="145"/>
      <c r="C21" s="12">
        <v>2</v>
      </c>
      <c r="D21" s="1">
        <v>203</v>
      </c>
      <c r="E21" s="12">
        <v>674</v>
      </c>
      <c r="F21" s="13">
        <v>0.55110384300899429</v>
      </c>
      <c r="G21" s="10"/>
      <c r="H21" s="145" t="s">
        <v>35</v>
      </c>
      <c r="I21" s="145"/>
      <c r="J21" s="12"/>
      <c r="K21" s="12"/>
      <c r="L21" s="12"/>
      <c r="M21" s="13"/>
    </row>
    <row r="22" spans="1:13" ht="15">
      <c r="A22" s="145" t="s">
        <v>36</v>
      </c>
      <c r="B22" s="145"/>
      <c r="C22" s="12">
        <v>1</v>
      </c>
      <c r="D22" s="12">
        <v>112</v>
      </c>
      <c r="E22" s="12">
        <v>249</v>
      </c>
      <c r="F22" s="13">
        <v>0.20359771054783321</v>
      </c>
      <c r="G22" s="10"/>
      <c r="H22" s="146" t="s">
        <v>37</v>
      </c>
      <c r="I22" s="146"/>
      <c r="J22" s="18">
        <v>6</v>
      </c>
      <c r="K22" s="18">
        <v>278</v>
      </c>
      <c r="L22" s="18">
        <v>664</v>
      </c>
      <c r="M22" s="19">
        <v>1</v>
      </c>
    </row>
    <row r="23" spans="1:13" ht="15">
      <c r="A23" s="145" t="s">
        <v>38</v>
      </c>
      <c r="B23" s="145"/>
      <c r="C23" s="12"/>
      <c r="D23" s="12"/>
      <c r="E23" s="12"/>
      <c r="F23" s="21"/>
      <c r="G23" s="10"/>
      <c r="H23" s="145"/>
      <c r="I23" s="145"/>
      <c r="J23" s="12"/>
      <c r="K23" s="12"/>
      <c r="L23" s="12"/>
      <c r="M23" s="13"/>
    </row>
    <row r="24" spans="1:13" ht="15">
      <c r="A24" s="146" t="s">
        <v>39</v>
      </c>
      <c r="B24" s="146"/>
      <c r="C24" s="18">
        <v>4</v>
      </c>
      <c r="D24" s="18">
        <v>415</v>
      </c>
      <c r="E24" s="18">
        <v>1223</v>
      </c>
      <c r="F24" s="19">
        <v>1</v>
      </c>
      <c r="G24" s="10"/>
      <c r="H24" s="145" t="s">
        <v>40</v>
      </c>
      <c r="I24" s="145"/>
      <c r="J24" s="12">
        <v>13</v>
      </c>
      <c r="K24" s="12">
        <v>209</v>
      </c>
      <c r="L24" s="12">
        <v>395</v>
      </c>
      <c r="M24" s="13">
        <v>0.31499202551834132</v>
      </c>
    </row>
    <row r="25" spans="1:13" ht="15">
      <c r="A25" s="145"/>
      <c r="B25" s="145"/>
      <c r="C25" s="12"/>
      <c r="D25" s="12"/>
      <c r="E25" s="12"/>
      <c r="F25" s="13"/>
      <c r="G25" s="10"/>
      <c r="H25" s="145" t="s">
        <v>41</v>
      </c>
      <c r="I25" s="145"/>
      <c r="J25" s="12">
        <v>9</v>
      </c>
      <c r="K25" s="12">
        <v>356</v>
      </c>
      <c r="L25" s="12">
        <v>659</v>
      </c>
      <c r="M25" s="13">
        <v>0.52551834130781494</v>
      </c>
    </row>
    <row r="26" spans="1:13" ht="15">
      <c r="A26" s="145" t="s">
        <v>42</v>
      </c>
      <c r="B26" s="145"/>
      <c r="C26" s="12"/>
      <c r="D26" s="12"/>
      <c r="E26" s="12"/>
      <c r="F26" s="13"/>
      <c r="G26" s="10"/>
      <c r="H26" s="145" t="s">
        <v>43</v>
      </c>
      <c r="I26" s="145"/>
      <c r="J26" s="12">
        <v>2</v>
      </c>
      <c r="K26" s="12">
        <v>97</v>
      </c>
      <c r="L26" s="12">
        <v>200</v>
      </c>
      <c r="M26" s="13">
        <v>0.15948963317384371</v>
      </c>
    </row>
    <row r="27" spans="1:13" ht="15">
      <c r="A27" s="145" t="s">
        <v>44</v>
      </c>
      <c r="B27" s="145"/>
      <c r="C27" s="12">
        <v>4</v>
      </c>
      <c r="D27" s="12">
        <v>1000</v>
      </c>
      <c r="E27" s="12">
        <v>2737</v>
      </c>
      <c r="F27" s="13">
        <v>0.67596937515435906</v>
      </c>
      <c r="G27" s="10"/>
      <c r="H27" s="146" t="s">
        <v>45</v>
      </c>
      <c r="I27" s="146"/>
      <c r="J27" s="18">
        <v>24</v>
      </c>
      <c r="K27" s="18">
        <v>662</v>
      </c>
      <c r="L27" s="18">
        <v>1254</v>
      </c>
      <c r="M27" s="19">
        <v>1</v>
      </c>
    </row>
    <row r="28" spans="1:13" ht="15">
      <c r="A28" s="145" t="s">
        <v>46</v>
      </c>
      <c r="B28" s="145"/>
      <c r="C28" s="12">
        <v>3</v>
      </c>
      <c r="D28" s="12">
        <v>618</v>
      </c>
      <c r="E28" s="12">
        <v>1312</v>
      </c>
      <c r="F28" s="13">
        <v>0.32403062484564088</v>
      </c>
      <c r="G28" s="10"/>
      <c r="H28" s="145"/>
      <c r="I28" s="145"/>
      <c r="J28" s="12"/>
      <c r="K28" s="12"/>
      <c r="L28" s="12"/>
      <c r="M28" s="13"/>
    </row>
    <row r="29" spans="1:13" ht="15">
      <c r="A29" s="146" t="s">
        <v>47</v>
      </c>
      <c r="B29" s="146"/>
      <c r="C29" s="18">
        <v>7</v>
      </c>
      <c r="D29" s="18">
        <v>1618</v>
      </c>
      <c r="E29" s="18">
        <v>4049</v>
      </c>
      <c r="F29" s="19">
        <v>1</v>
      </c>
      <c r="G29" s="10"/>
      <c r="H29" s="145" t="s">
        <v>48</v>
      </c>
      <c r="I29" s="145"/>
      <c r="J29" s="12">
        <v>38</v>
      </c>
      <c r="K29" s="12">
        <v>1031</v>
      </c>
      <c r="L29" s="12">
        <v>1889</v>
      </c>
      <c r="M29" s="13">
        <v>0.50535045478865703</v>
      </c>
    </row>
    <row r="30" spans="1:13" ht="15">
      <c r="A30" s="145"/>
      <c r="B30" s="145"/>
      <c r="C30" s="12"/>
      <c r="D30" s="12"/>
      <c r="E30" s="12"/>
      <c r="F30" s="13"/>
      <c r="G30" s="10"/>
      <c r="H30" s="145" t="s">
        <v>49</v>
      </c>
      <c r="I30" s="145"/>
      <c r="J30" s="12">
        <v>27</v>
      </c>
      <c r="K30" s="12">
        <v>932</v>
      </c>
      <c r="L30" s="12">
        <v>1778</v>
      </c>
      <c r="M30" s="13">
        <v>0.47565543071161048</v>
      </c>
    </row>
    <row r="31" spans="1:13" ht="15">
      <c r="A31" s="145" t="s">
        <v>50</v>
      </c>
      <c r="B31" s="145"/>
      <c r="C31" s="12">
        <v>5</v>
      </c>
      <c r="D31" s="12">
        <v>231</v>
      </c>
      <c r="E31" s="12">
        <v>417</v>
      </c>
      <c r="F31" s="13">
        <v>1.2119979073417428E-2</v>
      </c>
      <c r="G31" s="10"/>
      <c r="H31" s="145" t="s">
        <v>51</v>
      </c>
      <c r="I31" s="145"/>
      <c r="J31" s="12">
        <v>2</v>
      </c>
      <c r="K31" s="12">
        <v>37</v>
      </c>
      <c r="L31" s="12">
        <v>71</v>
      </c>
      <c r="M31" s="13">
        <v>1.8994114499732477E-2</v>
      </c>
    </row>
    <row r="32" spans="1:13" ht="15">
      <c r="A32" s="145" t="s">
        <v>52</v>
      </c>
      <c r="B32" s="145"/>
      <c r="C32" s="12">
        <v>26</v>
      </c>
      <c r="D32" s="12">
        <v>3851</v>
      </c>
      <c r="E32" s="12">
        <v>7254</v>
      </c>
      <c r="F32" s="13">
        <v>0.2108353194210312</v>
      </c>
      <c r="G32" s="10"/>
      <c r="H32" s="146" t="s">
        <v>53</v>
      </c>
      <c r="I32" s="146"/>
      <c r="J32" s="18">
        <v>67</v>
      </c>
      <c r="K32" s="18">
        <v>2000</v>
      </c>
      <c r="L32" s="18">
        <v>3738</v>
      </c>
      <c r="M32" s="19">
        <v>1</v>
      </c>
    </row>
    <row r="33" spans="1:61" ht="15">
      <c r="A33" s="145" t="s">
        <v>54</v>
      </c>
      <c r="B33" s="145"/>
      <c r="C33" s="12">
        <v>50</v>
      </c>
      <c r="D33" s="12">
        <v>11156</v>
      </c>
      <c r="E33" s="12">
        <v>21238</v>
      </c>
      <c r="F33" s="13">
        <v>0.61727605650177297</v>
      </c>
      <c r="G33" s="10"/>
      <c r="H33" s="145"/>
      <c r="I33" s="145"/>
    </row>
    <row r="34" spans="1:61" ht="15">
      <c r="A34" s="145" t="s">
        <v>91</v>
      </c>
      <c r="B34" s="145"/>
      <c r="C34" s="12">
        <v>14</v>
      </c>
      <c r="D34" s="12">
        <v>2798</v>
      </c>
      <c r="E34" s="12">
        <v>5381</v>
      </c>
      <c r="F34" s="13">
        <v>0.15639714003371505</v>
      </c>
      <c r="G34" s="10"/>
      <c r="H34" s="146" t="s">
        <v>56</v>
      </c>
      <c r="I34" s="146"/>
      <c r="J34" s="18">
        <v>29</v>
      </c>
      <c r="K34" s="18">
        <v>301</v>
      </c>
      <c r="L34" s="18">
        <v>546</v>
      </c>
      <c r="M34" s="19">
        <v>1</v>
      </c>
    </row>
    <row r="35" spans="1:61" ht="15">
      <c r="A35" s="145" t="s">
        <v>57</v>
      </c>
      <c r="B35" s="145"/>
      <c r="C35" s="12">
        <v>1</v>
      </c>
      <c r="D35" s="12">
        <v>59</v>
      </c>
      <c r="E35" s="12">
        <v>116</v>
      </c>
      <c r="F35" s="13">
        <v>3.3715049700633612E-3</v>
      </c>
      <c r="G35" s="10"/>
      <c r="H35" s="146" t="s">
        <v>58</v>
      </c>
      <c r="I35" s="146"/>
      <c r="J35" s="18">
        <v>3</v>
      </c>
      <c r="K35" s="18">
        <v>49</v>
      </c>
      <c r="L35" s="18">
        <v>89</v>
      </c>
      <c r="M35" s="19">
        <v>1</v>
      </c>
    </row>
    <row r="36" spans="1:61" ht="15">
      <c r="A36" s="145"/>
      <c r="B36" s="148"/>
      <c r="C36" s="12"/>
      <c r="D36" s="12"/>
      <c r="E36" s="12"/>
      <c r="F36" s="13"/>
      <c r="G36" s="10"/>
      <c r="H36" s="146" t="s">
        <v>60</v>
      </c>
      <c r="I36" s="146"/>
      <c r="J36" s="18"/>
      <c r="K36" s="18"/>
      <c r="L36" s="18"/>
      <c r="M36" s="19"/>
    </row>
    <row r="37" spans="1:61" ht="15">
      <c r="A37" s="146" t="s">
        <v>61</v>
      </c>
      <c r="B37" s="146"/>
      <c r="C37" s="18">
        <v>96</v>
      </c>
      <c r="D37" s="18">
        <v>18095</v>
      </c>
      <c r="E37" s="18">
        <v>34406</v>
      </c>
      <c r="F37" s="19">
        <v>1</v>
      </c>
      <c r="G37" s="10"/>
      <c r="H37" s="145"/>
      <c r="I37" s="145"/>
      <c r="J37" s="12"/>
      <c r="K37" s="12"/>
      <c r="L37" s="12"/>
      <c r="M37" s="12"/>
    </row>
    <row r="38" spans="1:61" ht="15">
      <c r="A38" s="145"/>
      <c r="B38" s="145"/>
      <c r="C38" s="12"/>
      <c r="D38" s="12"/>
      <c r="E38" s="12"/>
      <c r="F38" s="13"/>
      <c r="G38" s="10"/>
      <c r="H38" s="145"/>
      <c r="I38" s="145"/>
      <c r="J38" s="12"/>
      <c r="K38" s="12"/>
      <c r="L38" s="12"/>
      <c r="M38" s="12"/>
    </row>
    <row r="39" spans="1:61" ht="15">
      <c r="A39" s="145" t="s">
        <v>62</v>
      </c>
      <c r="B39" s="145"/>
      <c r="C39" s="12">
        <v>7</v>
      </c>
      <c r="D39" s="12">
        <v>316</v>
      </c>
      <c r="E39" s="12">
        <v>581</v>
      </c>
      <c r="F39" s="13">
        <v>0.20580942260007085</v>
      </c>
      <c r="G39" s="10"/>
      <c r="H39" s="147"/>
      <c r="I39" s="147"/>
      <c r="J39" s="12"/>
      <c r="K39" s="12"/>
      <c r="L39" s="12"/>
      <c r="M39" s="12"/>
    </row>
    <row r="40" spans="1:61" ht="15">
      <c r="A40" s="145" t="s">
        <v>63</v>
      </c>
      <c r="B40" s="145"/>
      <c r="C40" s="12">
        <v>9</v>
      </c>
      <c r="D40" s="12">
        <v>705</v>
      </c>
      <c r="E40" s="12">
        <v>1311</v>
      </c>
      <c r="F40" s="13">
        <v>0.46439957492029754</v>
      </c>
      <c r="G40" s="10"/>
      <c r="H40" s="11"/>
      <c r="I40" s="11"/>
      <c r="J40" s="12"/>
      <c r="K40" s="12"/>
      <c r="L40" s="12"/>
      <c r="M40" s="14"/>
    </row>
    <row r="41" spans="1:61" ht="15">
      <c r="A41" s="145" t="s">
        <v>64</v>
      </c>
      <c r="B41" s="145"/>
      <c r="C41" s="12">
        <v>5</v>
      </c>
      <c r="D41" s="12">
        <v>394</v>
      </c>
      <c r="E41" s="12">
        <v>713</v>
      </c>
      <c r="F41" s="13">
        <v>0.25256818986893376</v>
      </c>
      <c r="G41" s="10"/>
      <c r="H41" s="146" t="s">
        <v>65</v>
      </c>
      <c r="I41" s="146"/>
      <c r="J41" s="18">
        <v>546</v>
      </c>
      <c r="K41" s="18">
        <v>36350</v>
      </c>
      <c r="L41" s="18">
        <v>79398</v>
      </c>
      <c r="M41" s="12"/>
    </row>
    <row r="42" spans="1:61" ht="15">
      <c r="A42" s="145" t="s">
        <v>93</v>
      </c>
      <c r="B42" s="145"/>
      <c r="C42" s="12">
        <v>2</v>
      </c>
      <c r="D42" s="12">
        <v>126</v>
      </c>
      <c r="E42" s="12">
        <v>218</v>
      </c>
      <c r="F42" s="13">
        <v>7.7222812610697841E-2</v>
      </c>
      <c r="G42" s="10"/>
      <c r="H42" s="11"/>
      <c r="I42" s="11"/>
      <c r="J42" s="12"/>
      <c r="K42" s="12"/>
      <c r="L42" s="12"/>
      <c r="M42" s="14"/>
    </row>
    <row r="43" spans="1:61" ht="15">
      <c r="A43" s="145" t="s">
        <v>67</v>
      </c>
      <c r="B43" s="145"/>
      <c r="C43" s="12"/>
      <c r="D43" s="12"/>
      <c r="E43" s="12"/>
      <c r="F43" s="13"/>
      <c r="G43" s="10"/>
      <c r="H43" s="11"/>
      <c r="I43" s="11"/>
      <c r="J43" s="14"/>
      <c r="K43" s="14"/>
      <c r="L43" s="14"/>
      <c r="M43" s="14"/>
    </row>
    <row r="44" spans="1:61" ht="15">
      <c r="A44" s="146" t="s">
        <v>68</v>
      </c>
      <c r="B44" s="146"/>
      <c r="C44" s="18">
        <v>23</v>
      </c>
      <c r="D44" s="18">
        <v>1541</v>
      </c>
      <c r="E44" s="18">
        <v>2823</v>
      </c>
      <c r="F44" s="19">
        <v>1</v>
      </c>
      <c r="G44" s="10"/>
      <c r="H44" s="11"/>
      <c r="I44" s="11"/>
      <c r="J44" s="14"/>
      <c r="K44" s="14"/>
      <c r="L44" s="14"/>
      <c r="M44" s="14"/>
    </row>
    <row r="45" spans="1:61" ht="15">
      <c r="A45" s="145"/>
      <c r="B45" s="145"/>
      <c r="C45" s="15"/>
      <c r="D45" s="15"/>
      <c r="E45" s="15"/>
      <c r="F45" s="15"/>
      <c r="G45" s="10"/>
      <c r="H45" s="16"/>
      <c r="I45" s="16"/>
      <c r="J45" s="10"/>
      <c r="K45" s="10"/>
      <c r="L45" s="10"/>
      <c r="M45" s="10"/>
    </row>
    <row r="46" spans="1:61" ht="15">
      <c r="A46" s="16"/>
      <c r="B46" s="16"/>
      <c r="C46" s="10"/>
      <c r="D46" s="10"/>
      <c r="E46" s="10"/>
      <c r="F46" s="10"/>
      <c r="G46" s="10"/>
      <c r="H46" s="16"/>
      <c r="I46" s="16"/>
      <c r="J46" s="10"/>
      <c r="K46" s="10"/>
      <c r="L46" s="10"/>
      <c r="M46" s="10"/>
    </row>
    <row r="48" spans="1:61">
      <c r="B48" s="4"/>
      <c r="AR48" s="4">
        <v>1</v>
      </c>
      <c r="AS48" s="4">
        <v>59</v>
      </c>
      <c r="AT48" s="4">
        <v>116</v>
      </c>
      <c r="BG48" s="4">
        <v>0</v>
      </c>
      <c r="BH48" s="4">
        <v>0</v>
      </c>
      <c r="BI48" s="4">
        <v>0</v>
      </c>
    </row>
  </sheetData>
  <sheetProtection algorithmName="SHA-512" hashValue="mx1VF7ilv1OQ4V1hroS5xxYJp6B8WNssyyChJ2+UV9QdyAq8IjsDCl3EmWfANVrODwqaLwOG4EBq9mFMKElT0w==" saltValue="5BF0jnkoQn58rJU2qs/o+Q==" spinCount="100000" sheet="1"/>
  <mergeCells count="73">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5:B45"/>
    <mergeCell ref="A40:B40"/>
    <mergeCell ref="A41:B41"/>
    <mergeCell ref="H41:I41"/>
    <mergeCell ref="A42:B42"/>
    <mergeCell ref="A43:B43"/>
    <mergeCell ref="A44:B44"/>
  </mergeCells>
  <pageMargins left="0.70866141732283472" right="0.70866141732283472" top="0.74803149606299213" bottom="0.74803149606299213" header="0.31496062992125984" footer="0.31496062992125984"/>
  <pageSetup paperSize="8" scale="8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GL17"/>
  <sheetViews>
    <sheetView showGridLines="0" zoomScaleNormal="100" zoomScaleSheetLayoutView="91" workbookViewId="0"/>
  </sheetViews>
  <sheetFormatPr baseColWidth="10" defaultRowHeight="15"/>
  <cols>
    <col min="1" max="1" width="80.5703125" customWidth="1"/>
    <col min="2" max="75" width="8.7109375" customWidth="1"/>
  </cols>
  <sheetData>
    <row r="2" spans="1:194" ht="16.5">
      <c r="A2" s="5" t="s">
        <v>113</v>
      </c>
      <c r="B2" s="27"/>
    </row>
    <row r="3" spans="1:194" ht="16.5">
      <c r="A3" s="30" t="s">
        <v>114</v>
      </c>
      <c r="B3" s="27"/>
    </row>
    <row r="4" spans="1:194" ht="16.5">
      <c r="A4" s="30" t="s">
        <v>115</v>
      </c>
      <c r="B4" s="27"/>
    </row>
    <row r="5" spans="1:194" ht="19.5" customHeight="1"/>
    <row r="6" spans="1:194">
      <c r="A6" s="58" t="s">
        <v>129</v>
      </c>
      <c r="B6" s="152" t="s">
        <v>72</v>
      </c>
      <c r="C6" s="152"/>
      <c r="D6" s="152" t="s">
        <v>73</v>
      </c>
      <c r="E6" s="152"/>
      <c r="F6" s="152" t="s">
        <v>74</v>
      </c>
      <c r="G6" s="152"/>
      <c r="H6" s="152" t="s">
        <v>75</v>
      </c>
      <c r="I6" s="152"/>
      <c r="J6" s="152" t="s">
        <v>26</v>
      </c>
      <c r="K6" s="152"/>
      <c r="L6" s="152" t="s">
        <v>27</v>
      </c>
      <c r="M6" s="152"/>
      <c r="N6" s="152" t="s">
        <v>36</v>
      </c>
      <c r="O6" s="152"/>
      <c r="P6" s="152" t="s">
        <v>34</v>
      </c>
      <c r="Q6" s="152"/>
      <c r="R6" s="152" t="s">
        <v>32</v>
      </c>
      <c r="S6" s="152"/>
      <c r="T6" s="152" t="s">
        <v>44</v>
      </c>
      <c r="U6" s="152"/>
      <c r="V6" s="152" t="s">
        <v>46</v>
      </c>
      <c r="W6" s="152"/>
      <c r="X6" s="152" t="s">
        <v>50</v>
      </c>
      <c r="Y6" s="152"/>
      <c r="Z6" s="152" t="s">
        <v>52</v>
      </c>
      <c r="AA6" s="152"/>
      <c r="AB6" s="152" t="s">
        <v>54</v>
      </c>
      <c r="AC6" s="152"/>
      <c r="AD6" s="152" t="s">
        <v>55</v>
      </c>
      <c r="AE6" s="152"/>
      <c r="AF6" s="152" t="s">
        <v>57</v>
      </c>
      <c r="AG6" s="152"/>
      <c r="AH6" s="152" t="s">
        <v>62</v>
      </c>
      <c r="AI6" s="152"/>
      <c r="AJ6" s="152" t="s">
        <v>63</v>
      </c>
      <c r="AK6" s="152"/>
      <c r="AL6" s="152" t="s">
        <v>64</v>
      </c>
      <c r="AM6" s="152"/>
      <c r="AN6" s="152" t="s">
        <v>66</v>
      </c>
      <c r="AO6" s="152"/>
      <c r="AP6" s="152" t="s">
        <v>16</v>
      </c>
      <c r="AQ6" s="152"/>
      <c r="AR6" s="152" t="s">
        <v>18</v>
      </c>
      <c r="AS6" s="152"/>
      <c r="AT6" s="152" t="s">
        <v>20</v>
      </c>
      <c r="AU6" s="152"/>
      <c r="AV6" s="152" t="s">
        <v>22</v>
      </c>
      <c r="AW6" s="152"/>
      <c r="AX6" s="152" t="s">
        <v>28</v>
      </c>
      <c r="AY6" s="152"/>
      <c r="AZ6" s="152" t="s">
        <v>30</v>
      </c>
      <c r="BA6" s="152"/>
      <c r="BB6" s="152" t="s">
        <v>31</v>
      </c>
      <c r="BC6" s="152"/>
      <c r="BD6" s="152" t="s">
        <v>33</v>
      </c>
      <c r="BE6" s="152"/>
      <c r="BF6" s="152" t="s">
        <v>40</v>
      </c>
      <c r="BG6" s="152"/>
      <c r="BH6" s="152" t="s">
        <v>41</v>
      </c>
      <c r="BI6" s="152"/>
      <c r="BJ6" s="152" t="s">
        <v>43</v>
      </c>
      <c r="BK6" s="152"/>
      <c r="BL6" s="152" t="s">
        <v>48</v>
      </c>
      <c r="BM6" s="152"/>
      <c r="BN6" s="152" t="s">
        <v>49</v>
      </c>
      <c r="BO6" s="152"/>
      <c r="BP6" s="152" t="s">
        <v>51</v>
      </c>
      <c r="BQ6" s="152"/>
      <c r="BR6" s="152" t="s">
        <v>56</v>
      </c>
      <c r="BS6" s="152"/>
      <c r="BT6" s="152" t="s">
        <v>58</v>
      </c>
      <c r="BU6" s="152"/>
      <c r="BV6" s="152" t="s">
        <v>65</v>
      </c>
      <c r="BW6" s="152"/>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7"/>
      <c r="FM6" s="57"/>
      <c r="FN6" s="57"/>
      <c r="FO6" s="57"/>
      <c r="FP6" s="57"/>
      <c r="FQ6" s="57"/>
      <c r="FR6" s="57"/>
      <c r="FS6" s="57"/>
      <c r="FT6" s="57"/>
      <c r="FU6" s="57"/>
      <c r="FV6" s="57"/>
      <c r="FW6" s="57"/>
      <c r="FX6" s="57"/>
      <c r="FY6" s="57"/>
      <c r="FZ6" s="57"/>
      <c r="GA6" s="57"/>
      <c r="GB6" s="57"/>
      <c r="GC6" s="57"/>
      <c r="GD6" s="57"/>
      <c r="GE6" s="57"/>
      <c r="GF6" s="57"/>
      <c r="GG6" s="57"/>
      <c r="GH6" s="57"/>
      <c r="GI6" s="57"/>
      <c r="GJ6" s="57"/>
      <c r="GK6" s="57"/>
      <c r="GL6" s="57"/>
    </row>
    <row r="7" spans="1:194">
      <c r="A7" s="58"/>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row>
    <row r="8" spans="1:194">
      <c r="A8" s="73" t="s">
        <v>81</v>
      </c>
      <c r="B8" s="38" t="s">
        <v>82</v>
      </c>
      <c r="C8" s="38" t="s">
        <v>83</v>
      </c>
      <c r="D8" s="38" t="s">
        <v>82</v>
      </c>
      <c r="E8" s="38" t="s">
        <v>83</v>
      </c>
      <c r="F8" s="38" t="s">
        <v>82</v>
      </c>
      <c r="G8" s="38" t="s">
        <v>83</v>
      </c>
      <c r="H8" s="38" t="s">
        <v>82</v>
      </c>
      <c r="I8" s="38" t="s">
        <v>83</v>
      </c>
      <c r="J8" s="38" t="s">
        <v>82</v>
      </c>
      <c r="K8" s="38" t="s">
        <v>83</v>
      </c>
      <c r="L8" s="38" t="s">
        <v>82</v>
      </c>
      <c r="M8" s="38" t="s">
        <v>83</v>
      </c>
      <c r="N8" s="38" t="s">
        <v>82</v>
      </c>
      <c r="O8" s="38" t="s">
        <v>83</v>
      </c>
      <c r="P8" s="38" t="s">
        <v>82</v>
      </c>
      <c r="Q8" s="38" t="s">
        <v>83</v>
      </c>
      <c r="R8" s="38" t="s">
        <v>82</v>
      </c>
      <c r="S8" s="38" t="s">
        <v>83</v>
      </c>
      <c r="T8" s="38" t="s">
        <v>82</v>
      </c>
      <c r="U8" s="38" t="s">
        <v>83</v>
      </c>
      <c r="V8" s="38" t="s">
        <v>82</v>
      </c>
      <c r="W8" s="38" t="s">
        <v>83</v>
      </c>
      <c r="X8" s="38" t="s">
        <v>82</v>
      </c>
      <c r="Y8" s="38" t="s">
        <v>83</v>
      </c>
      <c r="Z8" s="38" t="s">
        <v>82</v>
      </c>
      <c r="AA8" s="38" t="s">
        <v>83</v>
      </c>
      <c r="AB8" s="38" t="s">
        <v>82</v>
      </c>
      <c r="AC8" s="38" t="s">
        <v>83</v>
      </c>
      <c r="AD8" s="38" t="s">
        <v>82</v>
      </c>
      <c r="AE8" s="38" t="s">
        <v>83</v>
      </c>
      <c r="AF8" s="38" t="s">
        <v>82</v>
      </c>
      <c r="AG8" s="38" t="s">
        <v>83</v>
      </c>
      <c r="AH8" s="38" t="s">
        <v>82</v>
      </c>
      <c r="AI8" s="38" t="s">
        <v>83</v>
      </c>
      <c r="AJ8" s="38" t="s">
        <v>82</v>
      </c>
      <c r="AK8" s="38" t="s">
        <v>83</v>
      </c>
      <c r="AL8" s="38" t="s">
        <v>82</v>
      </c>
      <c r="AM8" s="38" t="s">
        <v>83</v>
      </c>
      <c r="AN8" s="38" t="s">
        <v>82</v>
      </c>
      <c r="AO8" s="38" t="s">
        <v>83</v>
      </c>
      <c r="AP8" s="38" t="s">
        <v>82</v>
      </c>
      <c r="AQ8" s="38" t="s">
        <v>83</v>
      </c>
      <c r="AR8" s="38" t="s">
        <v>82</v>
      </c>
      <c r="AS8" s="38" t="s">
        <v>83</v>
      </c>
      <c r="AT8" s="38" t="s">
        <v>82</v>
      </c>
      <c r="AU8" s="38" t="s">
        <v>83</v>
      </c>
      <c r="AV8" s="38" t="s">
        <v>82</v>
      </c>
      <c r="AW8" s="38" t="s">
        <v>83</v>
      </c>
      <c r="AX8" s="38" t="s">
        <v>82</v>
      </c>
      <c r="AY8" s="38" t="s">
        <v>83</v>
      </c>
      <c r="AZ8" s="38" t="s">
        <v>82</v>
      </c>
      <c r="BA8" s="38" t="s">
        <v>83</v>
      </c>
      <c r="BB8" s="38" t="s">
        <v>82</v>
      </c>
      <c r="BC8" s="38" t="s">
        <v>83</v>
      </c>
      <c r="BD8" s="38" t="s">
        <v>82</v>
      </c>
      <c r="BE8" s="38" t="s">
        <v>83</v>
      </c>
      <c r="BF8" s="38" t="s">
        <v>82</v>
      </c>
      <c r="BG8" s="38" t="s">
        <v>83</v>
      </c>
      <c r="BH8" s="38" t="s">
        <v>82</v>
      </c>
      <c r="BI8" s="38" t="s">
        <v>83</v>
      </c>
      <c r="BJ8" s="38" t="s">
        <v>82</v>
      </c>
      <c r="BK8" s="38" t="s">
        <v>83</v>
      </c>
      <c r="BL8" s="38" t="s">
        <v>82</v>
      </c>
      <c r="BM8" s="38" t="s">
        <v>83</v>
      </c>
      <c r="BN8" s="38" t="s">
        <v>82</v>
      </c>
      <c r="BO8" s="38" t="s">
        <v>83</v>
      </c>
      <c r="BP8" s="38" t="s">
        <v>82</v>
      </c>
      <c r="BQ8" s="38" t="s">
        <v>83</v>
      </c>
      <c r="BR8" s="38" t="s">
        <v>82</v>
      </c>
      <c r="BS8" s="38" t="s">
        <v>83</v>
      </c>
      <c r="BT8" s="38" t="s">
        <v>82</v>
      </c>
      <c r="BU8" s="38" t="s">
        <v>83</v>
      </c>
      <c r="BV8" s="38" t="s">
        <v>82</v>
      </c>
      <c r="BW8" s="38" t="s">
        <v>83</v>
      </c>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row>
    <row r="9" spans="1:194" s="27" customFormat="1">
      <c r="A9" s="37" t="s">
        <v>217</v>
      </c>
      <c r="B9" s="46">
        <v>29</v>
      </c>
      <c r="C9" s="46">
        <v>1971</v>
      </c>
      <c r="D9" s="46">
        <v>16</v>
      </c>
      <c r="E9" s="46">
        <v>1733</v>
      </c>
      <c r="F9" s="46">
        <v>4</v>
      </c>
      <c r="G9" s="46">
        <v>1168</v>
      </c>
      <c r="H9" s="47"/>
      <c r="I9" s="47"/>
      <c r="J9" s="47"/>
      <c r="K9" s="47"/>
      <c r="L9" s="47"/>
      <c r="M9" s="47"/>
      <c r="N9" s="47"/>
      <c r="O9" s="47"/>
      <c r="P9" s="47"/>
      <c r="Q9" s="47"/>
      <c r="R9" s="47"/>
      <c r="S9" s="47"/>
      <c r="T9" s="47"/>
      <c r="U9" s="47"/>
      <c r="V9" s="47"/>
      <c r="W9" s="47"/>
      <c r="X9" s="46">
        <v>2</v>
      </c>
      <c r="Y9" s="46">
        <v>157</v>
      </c>
      <c r="Z9" s="46">
        <v>8</v>
      </c>
      <c r="AA9" s="46">
        <v>2326</v>
      </c>
      <c r="AB9" s="46">
        <v>3</v>
      </c>
      <c r="AC9" s="46">
        <v>1440</v>
      </c>
      <c r="AD9" s="46">
        <v>6</v>
      </c>
      <c r="AE9" s="46">
        <v>2195</v>
      </c>
      <c r="AF9" s="47"/>
      <c r="AG9" s="47"/>
      <c r="AH9" s="46">
        <v>2</v>
      </c>
      <c r="AI9" s="46">
        <v>169</v>
      </c>
      <c r="AJ9" s="46">
        <v>3</v>
      </c>
      <c r="AK9" s="46">
        <v>411</v>
      </c>
      <c r="AL9" s="47"/>
      <c r="AM9" s="47"/>
      <c r="AN9" s="46">
        <v>1</v>
      </c>
      <c r="AO9" s="46">
        <v>199</v>
      </c>
      <c r="AP9" s="47"/>
      <c r="AQ9" s="47"/>
      <c r="AR9" s="46">
        <v>1</v>
      </c>
      <c r="AS9" s="46">
        <v>213</v>
      </c>
      <c r="AT9" s="46">
        <v>1</v>
      </c>
      <c r="AU9" s="46">
        <v>517</v>
      </c>
      <c r="AV9" s="47"/>
      <c r="AW9" s="47"/>
      <c r="AX9" s="47"/>
      <c r="AY9" s="47"/>
      <c r="AZ9" s="47"/>
      <c r="BA9" s="47"/>
      <c r="BB9" s="47"/>
      <c r="BC9" s="47"/>
      <c r="BD9" s="47"/>
      <c r="BE9" s="47"/>
      <c r="BF9" s="46">
        <v>2</v>
      </c>
      <c r="BG9" s="46">
        <v>101</v>
      </c>
      <c r="BH9" s="46">
        <v>1</v>
      </c>
      <c r="BI9" s="46">
        <v>75</v>
      </c>
      <c r="BJ9" s="47"/>
      <c r="BK9" s="47"/>
      <c r="BL9" s="46">
        <v>11</v>
      </c>
      <c r="BM9" s="46">
        <v>452</v>
      </c>
      <c r="BN9" s="46">
        <v>5</v>
      </c>
      <c r="BO9" s="46">
        <v>180</v>
      </c>
      <c r="BP9" s="46">
        <v>2</v>
      </c>
      <c r="BQ9" s="46">
        <v>71</v>
      </c>
      <c r="BR9" s="46">
        <v>15</v>
      </c>
      <c r="BS9" s="46">
        <v>239</v>
      </c>
      <c r="BT9" s="47"/>
      <c r="BU9" s="47"/>
      <c r="BV9" s="56">
        <v>112</v>
      </c>
      <c r="BW9" s="56">
        <v>13617</v>
      </c>
    </row>
    <row r="10" spans="1:194" s="27" customFormat="1">
      <c r="A10" s="37" t="s">
        <v>84</v>
      </c>
      <c r="B10" s="46">
        <v>39</v>
      </c>
      <c r="C10" s="46">
        <v>2802</v>
      </c>
      <c r="D10" s="46">
        <v>14</v>
      </c>
      <c r="E10" s="46">
        <v>1793</v>
      </c>
      <c r="F10" s="46">
        <v>2</v>
      </c>
      <c r="G10" s="46">
        <v>60</v>
      </c>
      <c r="H10" s="47"/>
      <c r="I10" s="47"/>
      <c r="J10" s="46">
        <v>1</v>
      </c>
      <c r="K10" s="46">
        <v>28</v>
      </c>
      <c r="L10" s="46">
        <v>2</v>
      </c>
      <c r="M10" s="46">
        <v>44</v>
      </c>
      <c r="N10" s="47"/>
      <c r="O10" s="47"/>
      <c r="P10" s="47">
        <v>1</v>
      </c>
      <c r="Q10" s="47">
        <v>274</v>
      </c>
      <c r="R10" s="47"/>
      <c r="S10" s="47"/>
      <c r="T10" s="47"/>
      <c r="U10" s="47"/>
      <c r="V10" s="47"/>
      <c r="W10" s="47"/>
      <c r="X10" s="46">
        <v>3</v>
      </c>
      <c r="Y10" s="46">
        <v>260</v>
      </c>
      <c r="Z10" s="46">
        <v>7</v>
      </c>
      <c r="AA10" s="46">
        <v>2308</v>
      </c>
      <c r="AB10" s="46">
        <v>10</v>
      </c>
      <c r="AC10" s="46">
        <v>2962</v>
      </c>
      <c r="AD10" s="46">
        <v>1</v>
      </c>
      <c r="AE10" s="46">
        <v>291</v>
      </c>
      <c r="AF10" s="47"/>
      <c r="AG10" s="47"/>
      <c r="AH10" s="46">
        <v>5</v>
      </c>
      <c r="AI10" s="46">
        <v>412</v>
      </c>
      <c r="AJ10" s="46">
        <v>4</v>
      </c>
      <c r="AK10" s="46">
        <v>676</v>
      </c>
      <c r="AL10" s="47"/>
      <c r="AM10" s="47"/>
      <c r="AN10" s="47"/>
      <c r="AO10" s="47"/>
      <c r="AP10" s="46">
        <v>1</v>
      </c>
      <c r="AQ10" s="46">
        <v>104</v>
      </c>
      <c r="AR10" s="47"/>
      <c r="AS10" s="47"/>
      <c r="AT10" s="46">
        <v>2</v>
      </c>
      <c r="AU10" s="46">
        <v>923</v>
      </c>
      <c r="AV10" s="46">
        <v>2</v>
      </c>
      <c r="AW10" s="46">
        <v>338</v>
      </c>
      <c r="AX10" s="47"/>
      <c r="AY10" s="47"/>
      <c r="AZ10" s="46"/>
      <c r="BA10" s="46"/>
      <c r="BB10" s="47"/>
      <c r="BC10" s="47"/>
      <c r="BD10" s="47"/>
      <c r="BE10" s="47"/>
      <c r="BF10" s="46">
        <v>2</v>
      </c>
      <c r="BG10" s="46">
        <v>76</v>
      </c>
      <c r="BH10" s="46">
        <v>3</v>
      </c>
      <c r="BI10" s="46">
        <v>301</v>
      </c>
      <c r="BJ10" s="46">
        <v>1</v>
      </c>
      <c r="BK10" s="46">
        <v>184</v>
      </c>
      <c r="BL10" s="46">
        <v>17</v>
      </c>
      <c r="BM10" s="46">
        <v>1060</v>
      </c>
      <c r="BN10" s="46">
        <v>13</v>
      </c>
      <c r="BO10" s="46">
        <v>1089</v>
      </c>
      <c r="BP10" s="47"/>
      <c r="BQ10" s="47"/>
      <c r="BR10" s="46">
        <v>11</v>
      </c>
      <c r="BS10" s="46">
        <v>259</v>
      </c>
      <c r="BT10" s="47"/>
      <c r="BU10" s="47"/>
      <c r="BV10" s="56">
        <v>141</v>
      </c>
      <c r="BW10" s="56">
        <v>16244</v>
      </c>
    </row>
    <row r="11" spans="1:194" s="27" customFormat="1">
      <c r="A11" s="37" t="s">
        <v>86</v>
      </c>
      <c r="B11" s="46">
        <v>27</v>
      </c>
      <c r="C11" s="46">
        <v>2056</v>
      </c>
      <c r="D11" s="46">
        <v>15</v>
      </c>
      <c r="E11" s="46">
        <v>2197</v>
      </c>
      <c r="F11" s="46">
        <v>18</v>
      </c>
      <c r="G11" s="46">
        <v>2469</v>
      </c>
      <c r="H11" s="47"/>
      <c r="I11" s="47"/>
      <c r="J11" s="47"/>
      <c r="K11" s="47"/>
      <c r="L11" s="46">
        <v>1</v>
      </c>
      <c r="M11" s="46">
        <v>8</v>
      </c>
      <c r="N11" s="47"/>
      <c r="O11" s="47"/>
      <c r="P11" s="47">
        <v>1</v>
      </c>
      <c r="Q11" s="47">
        <v>400</v>
      </c>
      <c r="R11" s="47"/>
      <c r="S11" s="47"/>
      <c r="T11" s="46">
        <v>1</v>
      </c>
      <c r="U11" s="46">
        <v>736</v>
      </c>
      <c r="V11" s="47"/>
      <c r="W11" s="47"/>
      <c r="X11" s="47"/>
      <c r="Y11" s="47"/>
      <c r="Z11" s="46">
        <v>6</v>
      </c>
      <c r="AA11" s="46">
        <v>1238</v>
      </c>
      <c r="AB11" s="46">
        <v>15</v>
      </c>
      <c r="AC11" s="46">
        <v>8103</v>
      </c>
      <c r="AD11" s="46">
        <v>4</v>
      </c>
      <c r="AE11" s="46">
        <v>1611</v>
      </c>
      <c r="AF11" s="47"/>
      <c r="AG11" s="47"/>
      <c r="AH11" s="47"/>
      <c r="AI11" s="47"/>
      <c r="AJ11" s="46">
        <v>1</v>
      </c>
      <c r="AK11" s="46">
        <v>84</v>
      </c>
      <c r="AL11" s="46">
        <v>2</v>
      </c>
      <c r="AM11" s="46">
        <v>296</v>
      </c>
      <c r="AN11" s="46">
        <v>1</v>
      </c>
      <c r="AO11" s="46">
        <v>19</v>
      </c>
      <c r="AP11" s="47"/>
      <c r="AQ11" s="47"/>
      <c r="AR11" s="46">
        <v>1</v>
      </c>
      <c r="AS11" s="46">
        <v>270</v>
      </c>
      <c r="AT11" s="46">
        <v>6</v>
      </c>
      <c r="AU11" s="46">
        <v>2268</v>
      </c>
      <c r="AV11" s="46">
        <v>3</v>
      </c>
      <c r="AW11" s="46">
        <v>1104</v>
      </c>
      <c r="AX11" s="46">
        <v>2</v>
      </c>
      <c r="AY11" s="46">
        <v>100</v>
      </c>
      <c r="AZ11" s="46">
        <v>1</v>
      </c>
      <c r="BA11" s="46">
        <v>180</v>
      </c>
      <c r="BB11" s="46">
        <v>1</v>
      </c>
      <c r="BC11" s="46">
        <v>258</v>
      </c>
      <c r="BD11" s="46">
        <v>1</v>
      </c>
      <c r="BE11" s="46">
        <v>42</v>
      </c>
      <c r="BF11" s="46">
        <v>3</v>
      </c>
      <c r="BG11" s="46">
        <v>44</v>
      </c>
      <c r="BH11" s="47"/>
      <c r="BI11" s="47"/>
      <c r="BJ11" s="46">
        <v>1</v>
      </c>
      <c r="BK11" s="46">
        <v>16</v>
      </c>
      <c r="BL11" s="46">
        <v>1</v>
      </c>
      <c r="BM11" s="46">
        <v>13</v>
      </c>
      <c r="BN11" s="47"/>
      <c r="BO11" s="47"/>
      <c r="BP11" s="47"/>
      <c r="BQ11" s="47"/>
      <c r="BR11" s="46">
        <v>1</v>
      </c>
      <c r="BS11" s="46">
        <v>12</v>
      </c>
      <c r="BT11" s="47"/>
      <c r="BU11" s="47"/>
      <c r="BV11" s="56">
        <v>113</v>
      </c>
      <c r="BW11" s="56">
        <v>23524</v>
      </c>
    </row>
    <row r="12" spans="1:194" s="27" customFormat="1">
      <c r="A12" s="37" t="s">
        <v>85</v>
      </c>
      <c r="B12" s="46">
        <v>8</v>
      </c>
      <c r="C12" s="46">
        <v>690</v>
      </c>
      <c r="D12" s="46">
        <v>4</v>
      </c>
      <c r="E12" s="46">
        <v>339</v>
      </c>
      <c r="F12" s="46">
        <v>4</v>
      </c>
      <c r="G12" s="46">
        <v>298</v>
      </c>
      <c r="H12" s="47">
        <v>1</v>
      </c>
      <c r="I12" s="47">
        <v>29</v>
      </c>
      <c r="J12" s="46">
        <v>2</v>
      </c>
      <c r="K12" s="46">
        <v>48</v>
      </c>
      <c r="L12" s="46">
        <v>6</v>
      </c>
      <c r="M12" s="46">
        <v>94</v>
      </c>
      <c r="N12" s="47"/>
      <c r="O12" s="47"/>
      <c r="P12" s="47"/>
      <c r="Q12" s="47"/>
      <c r="R12" s="47"/>
      <c r="S12" s="47"/>
      <c r="T12" s="47"/>
      <c r="U12" s="47"/>
      <c r="V12" s="47">
        <v>2</v>
      </c>
      <c r="W12" s="47">
        <v>912</v>
      </c>
      <c r="X12" s="46"/>
      <c r="Y12" s="46"/>
      <c r="Z12" s="46"/>
      <c r="AA12" s="46"/>
      <c r="AB12" s="46">
        <v>7</v>
      </c>
      <c r="AC12" s="46">
        <v>2191</v>
      </c>
      <c r="AD12" s="46"/>
      <c r="AE12" s="46"/>
      <c r="AF12" s="47">
        <v>1</v>
      </c>
      <c r="AG12" s="47">
        <v>116</v>
      </c>
      <c r="AH12" s="46"/>
      <c r="AI12" s="46"/>
      <c r="AJ12" s="46"/>
      <c r="AK12" s="46"/>
      <c r="AL12" s="47"/>
      <c r="AM12" s="47"/>
      <c r="AN12" s="47"/>
      <c r="AO12" s="47"/>
      <c r="AP12" s="46"/>
      <c r="AQ12" s="46"/>
      <c r="AR12" s="47"/>
      <c r="AS12" s="47"/>
      <c r="AT12" s="46"/>
      <c r="AU12" s="46"/>
      <c r="AV12" s="46"/>
      <c r="AW12" s="46"/>
      <c r="AX12" s="47"/>
      <c r="AY12" s="47"/>
      <c r="AZ12" s="46"/>
      <c r="BA12" s="46"/>
      <c r="BB12" s="47"/>
      <c r="BC12" s="47"/>
      <c r="BD12" s="47"/>
      <c r="BE12" s="47"/>
      <c r="BF12" s="46">
        <v>1</v>
      </c>
      <c r="BG12" s="46">
        <v>20</v>
      </c>
      <c r="BH12" s="46">
        <v>1</v>
      </c>
      <c r="BI12" s="46">
        <v>21</v>
      </c>
      <c r="BJ12" s="46"/>
      <c r="BK12" s="46"/>
      <c r="BL12" s="46">
        <v>3</v>
      </c>
      <c r="BM12" s="46">
        <v>118</v>
      </c>
      <c r="BN12" s="46">
        <v>1</v>
      </c>
      <c r="BO12" s="46">
        <v>212</v>
      </c>
      <c r="BP12" s="47"/>
      <c r="BQ12" s="47"/>
      <c r="BR12" s="46">
        <v>1</v>
      </c>
      <c r="BS12" s="46">
        <v>8</v>
      </c>
      <c r="BT12" s="47"/>
      <c r="BU12" s="47"/>
      <c r="BV12" s="56">
        <v>42</v>
      </c>
      <c r="BW12" s="56">
        <v>5096</v>
      </c>
    </row>
    <row r="13" spans="1:194" s="27" customFormat="1">
      <c r="A13" s="37" t="s">
        <v>87</v>
      </c>
      <c r="B13" s="46">
        <v>40</v>
      </c>
      <c r="C13" s="46">
        <v>2226</v>
      </c>
      <c r="D13" s="46">
        <v>19</v>
      </c>
      <c r="E13" s="46">
        <v>2250</v>
      </c>
      <c r="F13" s="46">
        <v>9</v>
      </c>
      <c r="G13" s="46">
        <v>1494</v>
      </c>
      <c r="H13" s="47"/>
      <c r="I13" s="47"/>
      <c r="J13" s="47"/>
      <c r="K13" s="47"/>
      <c r="L13" s="46">
        <v>5</v>
      </c>
      <c r="M13" s="46">
        <v>80</v>
      </c>
      <c r="N13" s="47">
        <v>1</v>
      </c>
      <c r="O13" s="47">
        <v>249</v>
      </c>
      <c r="P13" s="47"/>
      <c r="Q13" s="47"/>
      <c r="R13" s="47">
        <v>1</v>
      </c>
      <c r="S13" s="47">
        <v>300</v>
      </c>
      <c r="T13" s="46">
        <v>3</v>
      </c>
      <c r="U13" s="46">
        <v>2001</v>
      </c>
      <c r="V13" s="46">
        <v>1</v>
      </c>
      <c r="W13" s="46">
        <v>400</v>
      </c>
      <c r="X13" s="47"/>
      <c r="Y13" s="47"/>
      <c r="Z13" s="46">
        <v>5</v>
      </c>
      <c r="AA13" s="46">
        <v>1382</v>
      </c>
      <c r="AB13" s="46">
        <v>15</v>
      </c>
      <c r="AC13" s="46">
        <v>6542</v>
      </c>
      <c r="AD13" s="46">
        <v>3</v>
      </c>
      <c r="AE13" s="46">
        <v>1284</v>
      </c>
      <c r="AF13" s="46"/>
      <c r="AG13" s="46"/>
      <c r="AH13" s="47"/>
      <c r="AI13" s="47"/>
      <c r="AJ13" s="46">
        <v>1</v>
      </c>
      <c r="AK13" s="46">
        <v>140</v>
      </c>
      <c r="AL13" s="46">
        <v>3</v>
      </c>
      <c r="AM13" s="46">
        <v>417</v>
      </c>
      <c r="AN13" s="47"/>
      <c r="AO13" s="47"/>
      <c r="AP13" s="47"/>
      <c r="AQ13" s="47"/>
      <c r="AR13" s="47"/>
      <c r="AS13" s="47"/>
      <c r="AT13" s="46">
        <v>3</v>
      </c>
      <c r="AU13" s="46">
        <v>944</v>
      </c>
      <c r="AV13" s="46">
        <v>1</v>
      </c>
      <c r="AW13" s="46">
        <v>48</v>
      </c>
      <c r="AX13" s="47"/>
      <c r="AY13" s="47"/>
      <c r="AZ13" s="46">
        <v>1</v>
      </c>
      <c r="BA13" s="46">
        <v>84</v>
      </c>
      <c r="BB13" s="47"/>
      <c r="BC13" s="47"/>
      <c r="BD13" s="47"/>
      <c r="BE13" s="47"/>
      <c r="BF13" s="46">
        <v>5</v>
      </c>
      <c r="BG13" s="46">
        <v>154</v>
      </c>
      <c r="BH13" s="46">
        <v>4</v>
      </c>
      <c r="BI13" s="46">
        <v>262</v>
      </c>
      <c r="BJ13" s="47"/>
      <c r="BK13" s="47"/>
      <c r="BL13" s="46">
        <v>6</v>
      </c>
      <c r="BM13" s="46">
        <v>246</v>
      </c>
      <c r="BN13" s="46">
        <v>8</v>
      </c>
      <c r="BO13" s="46">
        <v>297</v>
      </c>
      <c r="BP13" s="47"/>
      <c r="BQ13" s="47"/>
      <c r="BR13" s="46">
        <v>1</v>
      </c>
      <c r="BS13" s="46">
        <v>28</v>
      </c>
      <c r="BT13" s="46">
        <v>3</v>
      </c>
      <c r="BU13" s="46">
        <v>89</v>
      </c>
      <c r="BV13" s="56">
        <v>138</v>
      </c>
      <c r="BW13" s="56">
        <v>20917</v>
      </c>
    </row>
    <row r="14" spans="1:194" s="27" customFormat="1">
      <c r="A14" s="45" t="s">
        <v>218</v>
      </c>
      <c r="B14" s="39">
        <v>143</v>
      </c>
      <c r="C14" s="39">
        <v>9745</v>
      </c>
      <c r="D14" s="39">
        <v>68</v>
      </c>
      <c r="E14" s="39">
        <v>8312</v>
      </c>
      <c r="F14" s="39">
        <v>37</v>
      </c>
      <c r="G14" s="39">
        <v>5489</v>
      </c>
      <c r="H14" s="39">
        <v>1</v>
      </c>
      <c r="I14" s="39">
        <v>29</v>
      </c>
      <c r="J14" s="39">
        <v>3</v>
      </c>
      <c r="K14" s="39">
        <v>76</v>
      </c>
      <c r="L14" s="39">
        <v>14</v>
      </c>
      <c r="M14" s="39">
        <v>226</v>
      </c>
      <c r="N14" s="39">
        <v>1</v>
      </c>
      <c r="O14" s="39">
        <v>249</v>
      </c>
      <c r="P14" s="39">
        <v>2</v>
      </c>
      <c r="Q14" s="39">
        <v>674</v>
      </c>
      <c r="R14" s="39">
        <v>1</v>
      </c>
      <c r="S14" s="39">
        <v>300</v>
      </c>
      <c r="T14" s="39">
        <v>4</v>
      </c>
      <c r="U14" s="39">
        <v>2737</v>
      </c>
      <c r="V14" s="39">
        <v>3</v>
      </c>
      <c r="W14" s="39">
        <v>1312</v>
      </c>
      <c r="X14" s="39">
        <v>5</v>
      </c>
      <c r="Y14" s="39">
        <v>417</v>
      </c>
      <c r="Z14" s="39">
        <v>26</v>
      </c>
      <c r="AA14" s="39">
        <v>7254</v>
      </c>
      <c r="AB14" s="39">
        <v>50</v>
      </c>
      <c r="AC14" s="39">
        <v>21238</v>
      </c>
      <c r="AD14" s="39">
        <v>14</v>
      </c>
      <c r="AE14" s="39">
        <v>5381</v>
      </c>
      <c r="AF14" s="39">
        <v>1</v>
      </c>
      <c r="AG14" s="39">
        <v>116</v>
      </c>
      <c r="AH14" s="39">
        <v>7</v>
      </c>
      <c r="AI14" s="39">
        <v>581</v>
      </c>
      <c r="AJ14" s="39">
        <v>9</v>
      </c>
      <c r="AK14" s="39">
        <v>1311</v>
      </c>
      <c r="AL14" s="39">
        <v>5</v>
      </c>
      <c r="AM14" s="39">
        <v>713</v>
      </c>
      <c r="AN14" s="39">
        <v>2</v>
      </c>
      <c r="AO14" s="39">
        <v>218</v>
      </c>
      <c r="AP14" s="39">
        <v>1</v>
      </c>
      <c r="AQ14" s="39">
        <v>104</v>
      </c>
      <c r="AR14" s="39">
        <v>2</v>
      </c>
      <c r="AS14" s="39">
        <v>483</v>
      </c>
      <c r="AT14" s="39">
        <v>12</v>
      </c>
      <c r="AU14" s="39">
        <v>4652</v>
      </c>
      <c r="AV14" s="39">
        <v>6</v>
      </c>
      <c r="AW14" s="39">
        <v>1490</v>
      </c>
      <c r="AX14" s="39">
        <v>2</v>
      </c>
      <c r="AY14" s="39">
        <v>100</v>
      </c>
      <c r="AZ14" s="39">
        <v>2</v>
      </c>
      <c r="BA14" s="39">
        <v>264</v>
      </c>
      <c r="BB14" s="39">
        <v>1</v>
      </c>
      <c r="BC14" s="39">
        <v>258</v>
      </c>
      <c r="BD14" s="39">
        <v>1</v>
      </c>
      <c r="BE14" s="39">
        <v>42</v>
      </c>
      <c r="BF14" s="39">
        <v>13</v>
      </c>
      <c r="BG14" s="39">
        <v>395</v>
      </c>
      <c r="BH14" s="39">
        <v>9</v>
      </c>
      <c r="BI14" s="39">
        <v>659</v>
      </c>
      <c r="BJ14" s="39">
        <v>2</v>
      </c>
      <c r="BK14" s="39">
        <v>200</v>
      </c>
      <c r="BL14" s="39">
        <v>38</v>
      </c>
      <c r="BM14" s="39">
        <v>1889</v>
      </c>
      <c r="BN14" s="39">
        <v>27</v>
      </c>
      <c r="BO14" s="39">
        <v>1778</v>
      </c>
      <c r="BP14" s="39">
        <v>2</v>
      </c>
      <c r="BQ14" s="39">
        <v>71</v>
      </c>
      <c r="BR14" s="39">
        <v>29</v>
      </c>
      <c r="BS14" s="39">
        <v>546</v>
      </c>
      <c r="BT14" s="39">
        <v>3</v>
      </c>
      <c r="BU14" s="39">
        <v>89</v>
      </c>
      <c r="BV14" s="39">
        <v>546</v>
      </c>
      <c r="BW14" s="39">
        <v>79398</v>
      </c>
    </row>
    <row r="15" spans="1:194">
      <c r="A15" s="62" t="s">
        <v>134</v>
      </c>
    </row>
    <row r="16" spans="1:194">
      <c r="A16" s="63" t="s">
        <v>135</v>
      </c>
    </row>
    <row r="17" spans="1:1">
      <c r="A17" s="63" t="s">
        <v>136</v>
      </c>
    </row>
  </sheetData>
  <sheetProtection password="C1A8" sheet="1" selectLockedCells="1" selectUnlockedCells="1"/>
  <mergeCells count="37">
    <mergeCell ref="BT6:BU6"/>
    <mergeCell ref="BD6:BE6"/>
    <mergeCell ref="BF6:BG6"/>
    <mergeCell ref="BH6:BI6"/>
    <mergeCell ref="BJ6:BK6"/>
    <mergeCell ref="BL6:BM6"/>
    <mergeCell ref="AP6:AQ6"/>
    <mergeCell ref="AR6:AS6"/>
    <mergeCell ref="BN6:BO6"/>
    <mergeCell ref="BP6:BQ6"/>
    <mergeCell ref="BR6:BS6"/>
    <mergeCell ref="V6:W6"/>
    <mergeCell ref="BV6:BW6"/>
    <mergeCell ref="X6:Y6"/>
    <mergeCell ref="Z6:AA6"/>
    <mergeCell ref="AB6:AC6"/>
    <mergeCell ref="AD6:AE6"/>
    <mergeCell ref="AF6:AG6"/>
    <mergeCell ref="AH6:AI6"/>
    <mergeCell ref="AT6:AU6"/>
    <mergeCell ref="AV6:AW6"/>
    <mergeCell ref="AX6:AY6"/>
    <mergeCell ref="AZ6:BA6"/>
    <mergeCell ref="BB6:BC6"/>
    <mergeCell ref="AJ6:AK6"/>
    <mergeCell ref="AL6:AM6"/>
    <mergeCell ref="AN6:AO6"/>
    <mergeCell ref="L6:M6"/>
    <mergeCell ref="N6:O6"/>
    <mergeCell ref="P6:Q6"/>
    <mergeCell ref="R6:S6"/>
    <mergeCell ref="T6:U6"/>
    <mergeCell ref="B6:C6"/>
    <mergeCell ref="D6:E6"/>
    <mergeCell ref="F6:G6"/>
    <mergeCell ref="H6:I6"/>
    <mergeCell ref="J6:K6"/>
  </mergeCells>
  <conditionalFormatting sqref="A6:BW7 A8 V8:AQ8 AV8:BW8 A15:A17">
    <cfRule type="expression" priority="6">
      <formula>SI(0," ")</formula>
    </cfRule>
  </conditionalFormatting>
  <conditionalFormatting sqref="A9:BW13">
    <cfRule type="expression" dxfId="2" priority="5" stopIfTrue="1">
      <formula>MOD(ROW(),2)=0</formula>
    </cfRule>
  </conditionalFormatting>
  <pageMargins left="0.70866141732283472" right="0.70866141732283472" top="0.74803149606299213" bottom="0.74803149606299213" header="0.31496062992125984" footer="0.31496062992125984"/>
  <pageSetup paperSize="8" scale="80" orientation="landscape" r:id="rId1"/>
  <colBreaks count="4" manualBreakCount="4">
    <brk id="17" max="1048575" man="1"/>
    <brk id="33" max="1048575" man="1"/>
    <brk id="49" max="1048575" man="1"/>
    <brk id="65"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46"/>
  <sheetViews>
    <sheetView showGridLines="0" zoomScaleNormal="100" zoomScaleSheetLayoutView="91" workbookViewId="0">
      <selection activeCell="K36" sqref="K36"/>
    </sheetView>
  </sheetViews>
  <sheetFormatPr baseColWidth="10" defaultRowHeight="12.75"/>
  <cols>
    <col min="1" max="1" width="13.7109375" style="3" customWidth="1"/>
    <col min="2" max="2" width="11.42578125" style="3"/>
    <col min="3" max="3" width="17" style="4" bestFit="1" customWidth="1"/>
    <col min="4" max="4" width="15.140625" style="4" bestFit="1" customWidth="1"/>
    <col min="5" max="5" width="14" style="4" bestFit="1" customWidth="1"/>
    <col min="6" max="6" width="11.140625" style="4" bestFit="1" customWidth="1"/>
    <col min="7" max="7" width="11.42578125" style="4"/>
    <col min="8" max="8" width="13.7109375" style="3" customWidth="1"/>
    <col min="9" max="9" width="11.42578125" style="3"/>
    <col min="10" max="10" width="17" style="4" bestFit="1" customWidth="1"/>
    <col min="11" max="11" width="15.140625" style="4" bestFit="1" customWidth="1"/>
    <col min="12" max="12" width="14" style="4" bestFit="1" customWidth="1"/>
    <col min="13" max="13" width="11.140625" style="4" bestFit="1" customWidth="1"/>
    <col min="14" max="16384" width="11.42578125" style="4"/>
  </cols>
  <sheetData>
    <row r="1" spans="1:20" ht="16.5">
      <c r="A1" s="5"/>
    </row>
    <row r="2" spans="1:20" ht="16.5">
      <c r="A2" s="5"/>
      <c r="P2" s="6"/>
      <c r="Q2" s="6"/>
      <c r="R2" s="6"/>
      <c r="S2" s="6"/>
      <c r="T2" s="6"/>
    </row>
    <row r="3" spans="1:20" ht="16.5">
      <c r="A3" s="2" t="s">
        <v>116</v>
      </c>
    </row>
    <row r="4" spans="1:20" s="6" customFormat="1" ht="16.5">
      <c r="A4" s="7" t="s">
        <v>117</v>
      </c>
      <c r="B4" s="8"/>
      <c r="H4" s="8"/>
      <c r="I4" s="8"/>
      <c r="L4" s="9"/>
    </row>
    <row r="5" spans="1:20" s="6" customFormat="1" ht="16.5">
      <c r="A5" s="7" t="s">
        <v>118</v>
      </c>
      <c r="B5" s="8"/>
      <c r="H5" s="8"/>
      <c r="I5" s="8"/>
    </row>
    <row r="7" spans="1:20">
      <c r="A7" s="149" t="s">
        <v>0</v>
      </c>
      <c r="B7" s="149"/>
      <c r="C7" s="110" t="s">
        <v>1</v>
      </c>
      <c r="D7" s="110" t="s">
        <v>2</v>
      </c>
      <c r="E7" s="110" t="s">
        <v>3</v>
      </c>
      <c r="F7" s="110" t="s">
        <v>4</v>
      </c>
      <c r="H7" s="149" t="s">
        <v>0</v>
      </c>
      <c r="I7" s="149"/>
      <c r="J7" s="110" t="s">
        <v>1</v>
      </c>
      <c r="K7" s="110" t="s">
        <v>2</v>
      </c>
      <c r="L7" s="110" t="s">
        <v>3</v>
      </c>
      <c r="M7" s="110" t="s">
        <v>4</v>
      </c>
    </row>
    <row r="8" spans="1:20">
      <c r="A8" s="150" t="s">
        <v>5</v>
      </c>
      <c r="B8" s="150"/>
      <c r="C8" s="111" t="s">
        <v>6</v>
      </c>
      <c r="D8" s="111" t="s">
        <v>7</v>
      </c>
      <c r="E8" s="111" t="s">
        <v>8</v>
      </c>
      <c r="F8" s="111" t="s">
        <v>9</v>
      </c>
      <c r="G8" s="6"/>
      <c r="H8" s="150" t="s">
        <v>5</v>
      </c>
      <c r="I8" s="150"/>
      <c r="J8" s="111" t="s">
        <v>6</v>
      </c>
      <c r="K8" s="111" t="s">
        <v>7</v>
      </c>
      <c r="L8" s="111" t="s">
        <v>8</v>
      </c>
      <c r="M8" s="111" t="s">
        <v>9</v>
      </c>
    </row>
    <row r="9" spans="1:20">
      <c r="A9" s="150" t="s">
        <v>10</v>
      </c>
      <c r="B9" s="150"/>
      <c r="C9" s="111" t="s">
        <v>11</v>
      </c>
      <c r="D9" s="111" t="s">
        <v>12</v>
      </c>
      <c r="E9" s="111" t="s">
        <v>13</v>
      </c>
      <c r="F9" s="111" t="s">
        <v>14</v>
      </c>
      <c r="G9" s="6"/>
      <c r="H9" s="150" t="s">
        <v>10</v>
      </c>
      <c r="I9" s="150"/>
      <c r="J9" s="111" t="s">
        <v>11</v>
      </c>
      <c r="K9" s="111" t="s">
        <v>12</v>
      </c>
      <c r="L9" s="111" t="s">
        <v>13</v>
      </c>
      <c r="M9" s="111" t="s">
        <v>14</v>
      </c>
    </row>
    <row r="10" spans="1:20" ht="15">
      <c r="A10" s="145" t="s">
        <v>15</v>
      </c>
      <c r="B10" s="145"/>
      <c r="C10" s="12">
        <v>146</v>
      </c>
      <c r="D10" s="12">
        <v>3293</v>
      </c>
      <c r="E10" s="12">
        <v>9946</v>
      </c>
      <c r="F10" s="13">
        <v>0.41554209316899937</v>
      </c>
      <c r="G10" s="10"/>
      <c r="H10" s="145" t="s">
        <v>16</v>
      </c>
      <c r="I10" s="145"/>
      <c r="J10" s="12">
        <v>1</v>
      </c>
      <c r="K10" s="12">
        <v>54</v>
      </c>
      <c r="L10" s="12">
        <v>104</v>
      </c>
      <c r="M10" s="13">
        <v>1.5455491157675732E-2</v>
      </c>
    </row>
    <row r="11" spans="1:20" ht="15">
      <c r="A11" s="145" t="s">
        <v>17</v>
      </c>
      <c r="B11" s="145"/>
      <c r="C11" s="12">
        <v>69</v>
      </c>
      <c r="D11" s="12">
        <v>3000</v>
      </c>
      <c r="E11" s="12">
        <v>8435</v>
      </c>
      <c r="F11" s="13">
        <v>0.35241278462502612</v>
      </c>
      <c r="G11" s="10"/>
      <c r="H11" s="145" t="s">
        <v>18</v>
      </c>
      <c r="I11" s="145"/>
      <c r="J11" s="12">
        <v>2</v>
      </c>
      <c r="K11" s="12">
        <v>219</v>
      </c>
      <c r="L11" s="12">
        <v>483</v>
      </c>
      <c r="M11" s="13">
        <v>7.1778867588051715E-2</v>
      </c>
    </row>
    <row r="12" spans="1:20" ht="15">
      <c r="A12" s="145" t="s">
        <v>19</v>
      </c>
      <c r="B12" s="145"/>
      <c r="C12" s="12">
        <v>38</v>
      </c>
      <c r="D12" s="12">
        <v>1879</v>
      </c>
      <c r="E12" s="12">
        <v>5525</v>
      </c>
      <c r="F12" s="13">
        <v>0.2308335074159181</v>
      </c>
      <c r="G12" s="10"/>
      <c r="H12" s="145" t="s">
        <v>20</v>
      </c>
      <c r="I12" s="145"/>
      <c r="J12" s="12">
        <v>12</v>
      </c>
      <c r="K12" s="12">
        <v>2235</v>
      </c>
      <c r="L12" s="12">
        <v>4652</v>
      </c>
      <c r="M12" s="13">
        <v>0.69133600832218756</v>
      </c>
    </row>
    <row r="13" spans="1:20" ht="15">
      <c r="A13" s="145" t="s">
        <v>21</v>
      </c>
      <c r="B13" s="145"/>
      <c r="C13" s="12">
        <v>1</v>
      </c>
      <c r="D13" s="12">
        <v>9</v>
      </c>
      <c r="E13" s="12">
        <v>29</v>
      </c>
      <c r="F13" s="13">
        <v>1.2116147900564029E-3</v>
      </c>
      <c r="G13" s="10"/>
      <c r="H13" s="145" t="s">
        <v>22</v>
      </c>
      <c r="I13" s="145"/>
      <c r="J13" s="12">
        <v>6</v>
      </c>
      <c r="K13" s="12">
        <v>686</v>
      </c>
      <c r="L13" s="12">
        <v>1490</v>
      </c>
      <c r="M13" s="13">
        <v>0.22142963293208501</v>
      </c>
    </row>
    <row r="14" spans="1:20" ht="15">
      <c r="A14" s="146" t="s">
        <v>23</v>
      </c>
      <c r="B14" s="146"/>
      <c r="C14" s="17">
        <v>254</v>
      </c>
      <c r="D14" s="18">
        <v>8181</v>
      </c>
      <c r="E14" s="18">
        <v>23935</v>
      </c>
      <c r="F14" s="19">
        <v>1</v>
      </c>
      <c r="G14" s="10"/>
      <c r="H14" s="145" t="s">
        <v>24</v>
      </c>
      <c r="I14" s="145"/>
      <c r="J14" s="12"/>
      <c r="K14" s="12"/>
      <c r="L14" s="12"/>
      <c r="M14" s="13"/>
    </row>
    <row r="15" spans="1:20" ht="15">
      <c r="A15" s="145"/>
      <c r="B15" s="145"/>
      <c r="C15" s="12"/>
      <c r="D15" s="12"/>
      <c r="E15" s="12"/>
      <c r="F15" s="13"/>
      <c r="G15" s="10"/>
      <c r="H15" s="146" t="s">
        <v>25</v>
      </c>
      <c r="I15" s="146"/>
      <c r="J15" s="18">
        <v>21</v>
      </c>
      <c r="K15" s="18">
        <v>3194</v>
      </c>
      <c r="L15" s="18">
        <v>6729</v>
      </c>
      <c r="M15" s="19">
        <v>1</v>
      </c>
    </row>
    <row r="16" spans="1:20" ht="15">
      <c r="A16" s="146" t="s">
        <v>26</v>
      </c>
      <c r="B16" s="146"/>
      <c r="C16" s="18">
        <v>3</v>
      </c>
      <c r="D16" s="18">
        <v>38</v>
      </c>
      <c r="E16" s="18">
        <v>76</v>
      </c>
      <c r="F16" s="19">
        <v>1</v>
      </c>
      <c r="G16" s="10"/>
      <c r="H16" s="145"/>
      <c r="I16" s="145"/>
      <c r="J16" s="12"/>
      <c r="K16" s="12"/>
      <c r="L16" s="12"/>
      <c r="M16" s="13"/>
    </row>
    <row r="17" spans="1:13" ht="15">
      <c r="A17" s="146" t="s">
        <v>27</v>
      </c>
      <c r="B17" s="146"/>
      <c r="C17" s="18">
        <v>14</v>
      </c>
      <c r="D17" s="18">
        <v>101</v>
      </c>
      <c r="E17" s="18">
        <v>210</v>
      </c>
      <c r="F17" s="19">
        <v>1</v>
      </c>
      <c r="G17" s="10"/>
      <c r="H17" s="145" t="s">
        <v>28</v>
      </c>
      <c r="I17" s="145"/>
      <c r="J17" s="12">
        <v>2</v>
      </c>
      <c r="K17" s="12">
        <v>50</v>
      </c>
      <c r="L17" s="12">
        <v>100</v>
      </c>
      <c r="M17" s="13">
        <v>0.15060240963855423</v>
      </c>
    </row>
    <row r="18" spans="1:13" ht="15">
      <c r="A18" s="146" t="s">
        <v>29</v>
      </c>
      <c r="B18" s="146"/>
      <c r="C18" s="18"/>
      <c r="D18" s="18"/>
      <c r="E18" s="18"/>
      <c r="F18" s="19"/>
      <c r="G18" s="10"/>
      <c r="H18" s="145" t="s">
        <v>30</v>
      </c>
      <c r="I18" s="145"/>
      <c r="J18" s="12">
        <v>2</v>
      </c>
      <c r="K18" s="12">
        <v>104</v>
      </c>
      <c r="L18" s="12">
        <v>264</v>
      </c>
      <c r="M18" s="13">
        <v>0.39759036144578314</v>
      </c>
    </row>
    <row r="19" spans="1:13" ht="15">
      <c r="A19" s="147"/>
      <c r="B19" s="147"/>
      <c r="C19" s="12"/>
      <c r="D19" s="12"/>
      <c r="E19" s="12"/>
      <c r="F19" s="13"/>
      <c r="G19" s="10"/>
      <c r="H19" s="145" t="s">
        <v>31</v>
      </c>
      <c r="I19" s="145"/>
      <c r="J19" s="12">
        <v>1</v>
      </c>
      <c r="K19" s="12">
        <v>103</v>
      </c>
      <c r="L19" s="12">
        <v>258</v>
      </c>
      <c r="M19" s="13">
        <v>0.38855421686746988</v>
      </c>
    </row>
    <row r="20" spans="1:13" ht="15">
      <c r="A20" s="145" t="s">
        <v>32</v>
      </c>
      <c r="B20" s="145"/>
      <c r="C20" s="12"/>
      <c r="D20" s="1"/>
      <c r="E20" s="12"/>
      <c r="F20" s="13"/>
      <c r="G20" s="10"/>
      <c r="H20" s="145" t="s">
        <v>33</v>
      </c>
      <c r="I20" s="145"/>
      <c r="J20" s="12">
        <v>1</v>
      </c>
      <c r="K20" s="12">
        <v>21</v>
      </c>
      <c r="L20" s="12">
        <v>42</v>
      </c>
      <c r="M20" s="13">
        <v>6.3253012048192767E-2</v>
      </c>
    </row>
    <row r="21" spans="1:13" ht="15">
      <c r="A21" s="145" t="s">
        <v>34</v>
      </c>
      <c r="B21" s="145"/>
      <c r="C21" s="12">
        <v>3</v>
      </c>
      <c r="D21" s="1"/>
      <c r="E21" s="12">
        <v>1049</v>
      </c>
      <c r="F21" s="13">
        <v>0.80816640986132515</v>
      </c>
      <c r="G21" s="10"/>
      <c r="H21" s="145" t="s">
        <v>35</v>
      </c>
      <c r="I21" s="145"/>
      <c r="J21" s="12"/>
      <c r="K21" s="12"/>
      <c r="L21" s="12"/>
      <c r="M21" s="13"/>
    </row>
    <row r="22" spans="1:13" ht="15">
      <c r="A22" s="145" t="s">
        <v>36</v>
      </c>
      <c r="B22" s="145"/>
      <c r="C22" s="12">
        <v>1</v>
      </c>
      <c r="D22" s="12"/>
      <c r="E22" s="12">
        <v>249</v>
      </c>
      <c r="F22" s="13">
        <v>0.19183359013867488</v>
      </c>
      <c r="G22" s="10"/>
      <c r="H22" s="146" t="s">
        <v>37</v>
      </c>
      <c r="I22" s="146"/>
      <c r="J22" s="18">
        <v>6</v>
      </c>
      <c r="K22" s="18">
        <v>278</v>
      </c>
      <c r="L22" s="18">
        <v>664</v>
      </c>
      <c r="M22" s="19">
        <v>1</v>
      </c>
    </row>
    <row r="23" spans="1:13" ht="15">
      <c r="A23" s="145" t="s">
        <v>38</v>
      </c>
      <c r="B23" s="145"/>
      <c r="C23" s="12"/>
      <c r="D23" s="12"/>
      <c r="E23" s="12"/>
      <c r="F23" s="21"/>
      <c r="G23" s="10"/>
      <c r="H23" s="145"/>
      <c r="I23" s="145"/>
      <c r="J23" s="12"/>
      <c r="K23" s="12"/>
      <c r="L23" s="12"/>
      <c r="M23" s="13"/>
    </row>
    <row r="24" spans="1:13" ht="15">
      <c r="A24" s="146" t="s">
        <v>39</v>
      </c>
      <c r="B24" s="146"/>
      <c r="C24" s="18">
        <v>4</v>
      </c>
      <c r="D24" s="18"/>
      <c r="E24" s="18">
        <v>1298</v>
      </c>
      <c r="F24" s="19">
        <v>1</v>
      </c>
      <c r="G24" s="10"/>
      <c r="H24" s="145" t="s">
        <v>40</v>
      </c>
      <c r="I24" s="145"/>
      <c r="J24" s="12">
        <v>13</v>
      </c>
      <c r="K24" s="12">
        <v>209</v>
      </c>
      <c r="L24" s="12">
        <v>395</v>
      </c>
      <c r="M24" s="13">
        <v>0.31499202551834132</v>
      </c>
    </row>
    <row r="25" spans="1:13" ht="15">
      <c r="A25" s="145"/>
      <c r="B25" s="145"/>
      <c r="C25" s="12"/>
      <c r="D25" s="12"/>
      <c r="E25" s="12"/>
      <c r="F25" s="13"/>
      <c r="G25" s="10"/>
      <c r="H25" s="145" t="s">
        <v>41</v>
      </c>
      <c r="I25" s="145"/>
      <c r="J25" s="12">
        <v>9</v>
      </c>
      <c r="K25" s="12">
        <v>356</v>
      </c>
      <c r="L25" s="12">
        <v>659</v>
      </c>
      <c r="M25" s="13">
        <v>0.52551834130781494</v>
      </c>
    </row>
    <row r="26" spans="1:13" ht="15">
      <c r="A26" s="145" t="s">
        <v>42</v>
      </c>
      <c r="B26" s="145"/>
      <c r="C26" s="12">
        <v>1</v>
      </c>
      <c r="D26" s="12">
        <v>281</v>
      </c>
      <c r="E26" s="12">
        <v>562</v>
      </c>
      <c r="F26" s="13">
        <v>0.13879970363052604</v>
      </c>
      <c r="G26" s="10"/>
      <c r="H26" s="145" t="s">
        <v>43</v>
      </c>
      <c r="I26" s="145"/>
      <c r="J26" s="12">
        <v>2</v>
      </c>
      <c r="K26" s="12">
        <v>97</v>
      </c>
      <c r="L26" s="12">
        <v>200</v>
      </c>
      <c r="M26" s="13">
        <v>0.15948963317384371</v>
      </c>
    </row>
    <row r="27" spans="1:13" ht="15">
      <c r="A27" s="145" t="s">
        <v>44</v>
      </c>
      <c r="B27" s="145"/>
      <c r="C27" s="12">
        <v>4</v>
      </c>
      <c r="D27" s="12">
        <v>1000</v>
      </c>
      <c r="E27" s="12">
        <v>2737</v>
      </c>
      <c r="F27" s="13">
        <v>0.67596937515435906</v>
      </c>
      <c r="G27" s="10"/>
      <c r="H27" s="146" t="s">
        <v>45</v>
      </c>
      <c r="I27" s="146"/>
      <c r="J27" s="18">
        <v>24</v>
      </c>
      <c r="K27" s="18">
        <v>662</v>
      </c>
      <c r="L27" s="18">
        <v>1254</v>
      </c>
      <c r="M27" s="19">
        <v>1</v>
      </c>
    </row>
    <row r="28" spans="1:13" ht="15">
      <c r="A28" s="145" t="s">
        <v>46</v>
      </c>
      <c r="B28" s="145"/>
      <c r="C28" s="12">
        <v>2</v>
      </c>
      <c r="D28" s="12">
        <v>375</v>
      </c>
      <c r="E28" s="12">
        <v>750</v>
      </c>
      <c r="F28" s="13">
        <v>0.18523092121511484</v>
      </c>
      <c r="G28" s="10"/>
      <c r="H28" s="145"/>
      <c r="I28" s="145"/>
      <c r="J28" s="12"/>
      <c r="K28" s="12"/>
      <c r="L28" s="12"/>
      <c r="M28" s="13"/>
    </row>
    <row r="29" spans="1:13" ht="15">
      <c r="A29" s="146" t="s">
        <v>47</v>
      </c>
      <c r="B29" s="146"/>
      <c r="C29" s="18">
        <v>7</v>
      </c>
      <c r="D29" s="18">
        <v>1656</v>
      </c>
      <c r="E29" s="18">
        <v>4049</v>
      </c>
      <c r="F29" s="19">
        <v>1</v>
      </c>
      <c r="G29" s="10"/>
      <c r="H29" s="145" t="s">
        <v>48</v>
      </c>
      <c r="I29" s="145"/>
      <c r="J29" s="12">
        <v>38</v>
      </c>
      <c r="K29" s="12">
        <v>1031</v>
      </c>
      <c r="L29" s="12">
        <v>1889</v>
      </c>
      <c r="M29" s="13">
        <v>0.500662602703419</v>
      </c>
    </row>
    <row r="30" spans="1:13" ht="15">
      <c r="A30" s="145"/>
      <c r="B30" s="145"/>
      <c r="C30" s="12"/>
      <c r="D30" s="12"/>
      <c r="E30" s="12"/>
      <c r="F30" s="13"/>
      <c r="G30" s="10"/>
      <c r="H30" s="145" t="s">
        <v>49</v>
      </c>
      <c r="I30" s="145"/>
      <c r="J30" s="12">
        <v>28</v>
      </c>
      <c r="K30" s="12">
        <v>952</v>
      </c>
      <c r="L30" s="12">
        <v>1813</v>
      </c>
      <c r="M30" s="13">
        <v>0.48051948051948051</v>
      </c>
    </row>
    <row r="31" spans="1:13" ht="15">
      <c r="A31" s="145" t="s">
        <v>50</v>
      </c>
      <c r="B31" s="145"/>
      <c r="C31" s="12">
        <v>5</v>
      </c>
      <c r="D31" s="12">
        <v>231</v>
      </c>
      <c r="E31" s="12">
        <v>417</v>
      </c>
      <c r="F31" s="13">
        <v>1.2115753384856761E-2</v>
      </c>
      <c r="G31" s="10"/>
      <c r="H31" s="145" t="s">
        <v>51</v>
      </c>
      <c r="I31" s="145"/>
      <c r="J31" s="12">
        <v>2</v>
      </c>
      <c r="K31" s="12">
        <v>37</v>
      </c>
      <c r="L31" s="12">
        <v>71</v>
      </c>
      <c r="M31" s="13">
        <v>1.881791677710045E-2</v>
      </c>
    </row>
    <row r="32" spans="1:13" ht="15">
      <c r="A32" s="145" t="s">
        <v>52</v>
      </c>
      <c r="B32" s="145"/>
      <c r="C32" s="12">
        <v>28</v>
      </c>
      <c r="D32" s="12">
        <v>4263</v>
      </c>
      <c r="E32" s="12">
        <v>8049</v>
      </c>
      <c r="F32" s="13">
        <v>0.23386018943576037</v>
      </c>
      <c r="G32" s="10"/>
      <c r="H32" s="146" t="s">
        <v>53</v>
      </c>
      <c r="I32" s="146"/>
      <c r="J32" s="18">
        <v>68</v>
      </c>
      <c r="K32" s="18">
        <v>2020</v>
      </c>
      <c r="L32" s="18">
        <v>3773</v>
      </c>
      <c r="M32" s="19">
        <v>1</v>
      </c>
    </row>
    <row r="33" spans="1:13" ht="15">
      <c r="A33" s="145" t="s">
        <v>54</v>
      </c>
      <c r="B33" s="145"/>
      <c r="C33" s="12">
        <v>48</v>
      </c>
      <c r="D33" s="12">
        <v>10748</v>
      </c>
      <c r="E33" s="12">
        <v>20455</v>
      </c>
      <c r="F33" s="13">
        <v>0.59431111627636701</v>
      </c>
      <c r="G33" s="10"/>
      <c r="H33" s="145"/>
      <c r="I33" s="145"/>
    </row>
    <row r="34" spans="1:13" ht="15">
      <c r="A34" s="145" t="s">
        <v>91</v>
      </c>
      <c r="B34" s="145"/>
      <c r="C34" s="12">
        <v>14</v>
      </c>
      <c r="D34" s="12">
        <v>2798</v>
      </c>
      <c r="E34" s="12">
        <v>5381</v>
      </c>
      <c r="F34" s="13">
        <v>0.15634261142425476</v>
      </c>
      <c r="G34" s="10"/>
      <c r="H34" s="146" t="s">
        <v>56</v>
      </c>
      <c r="I34" s="146"/>
      <c r="J34" s="18">
        <v>29</v>
      </c>
      <c r="K34" s="18">
        <v>201</v>
      </c>
      <c r="L34" s="18">
        <v>546</v>
      </c>
      <c r="M34" s="19">
        <v>1</v>
      </c>
    </row>
    <row r="35" spans="1:13" ht="15">
      <c r="A35" s="145" t="s">
        <v>57</v>
      </c>
      <c r="B35" s="145"/>
      <c r="C35" s="12">
        <v>1</v>
      </c>
      <c r="D35" s="12">
        <v>59</v>
      </c>
      <c r="E35" s="12">
        <v>116</v>
      </c>
      <c r="F35" s="13">
        <v>3.3703294787611133E-3</v>
      </c>
      <c r="G35" s="10"/>
      <c r="H35" s="146" t="s">
        <v>58</v>
      </c>
      <c r="I35" s="146"/>
      <c r="J35" s="18">
        <v>3</v>
      </c>
      <c r="K35" s="18">
        <v>49</v>
      </c>
      <c r="L35" s="18">
        <v>89</v>
      </c>
      <c r="M35" s="19">
        <v>1</v>
      </c>
    </row>
    <row r="36" spans="1:13" ht="15">
      <c r="A36" s="145"/>
      <c r="B36" s="148"/>
      <c r="C36" s="12"/>
      <c r="D36" s="12"/>
      <c r="E36" s="12"/>
      <c r="F36" s="13"/>
      <c r="G36" s="10"/>
      <c r="H36" s="146" t="s">
        <v>60</v>
      </c>
      <c r="I36" s="146"/>
      <c r="J36" s="18"/>
      <c r="K36" s="18"/>
      <c r="L36" s="18"/>
      <c r="M36" s="19"/>
    </row>
    <row r="37" spans="1:13" ht="15">
      <c r="A37" s="146" t="s">
        <v>61</v>
      </c>
      <c r="B37" s="146"/>
      <c r="C37" s="18">
        <v>96</v>
      </c>
      <c r="D37" s="18">
        <v>18099</v>
      </c>
      <c r="E37" s="18">
        <v>34418</v>
      </c>
      <c r="F37" s="19">
        <v>1</v>
      </c>
      <c r="G37" s="10"/>
      <c r="H37" s="145"/>
      <c r="I37" s="145"/>
      <c r="J37" s="12"/>
      <c r="K37" s="12"/>
      <c r="L37" s="12"/>
      <c r="M37" s="12"/>
    </row>
    <row r="38" spans="1:13" ht="15">
      <c r="A38" s="145"/>
      <c r="B38" s="145"/>
      <c r="C38" s="12"/>
      <c r="D38" s="12"/>
      <c r="E38" s="12"/>
      <c r="F38" s="13"/>
      <c r="G38" s="10"/>
      <c r="H38" s="145"/>
      <c r="I38" s="145"/>
      <c r="J38" s="12"/>
      <c r="K38" s="12"/>
      <c r="L38" s="12"/>
      <c r="M38" s="12"/>
    </row>
    <row r="39" spans="1:13" ht="15">
      <c r="A39" s="145" t="s">
        <v>62</v>
      </c>
      <c r="B39" s="145"/>
      <c r="C39" s="12">
        <v>7</v>
      </c>
      <c r="D39" s="12">
        <v>316</v>
      </c>
      <c r="E39" s="12">
        <v>581</v>
      </c>
      <c r="F39" s="13">
        <v>0.20580942260007085</v>
      </c>
      <c r="G39" s="10"/>
      <c r="H39" s="147"/>
      <c r="I39" s="147"/>
      <c r="J39" s="12"/>
      <c r="K39" s="12"/>
      <c r="L39" s="12"/>
      <c r="M39" s="12"/>
    </row>
    <row r="40" spans="1:13" ht="15">
      <c r="A40" s="145" t="s">
        <v>63</v>
      </c>
      <c r="B40" s="145"/>
      <c r="C40" s="12">
        <v>9</v>
      </c>
      <c r="D40" s="12">
        <v>705</v>
      </c>
      <c r="E40" s="12">
        <v>1311</v>
      </c>
      <c r="F40" s="13">
        <v>0.46439957492029754</v>
      </c>
      <c r="G40" s="10"/>
      <c r="H40" s="11"/>
      <c r="I40" s="11"/>
      <c r="J40" s="12"/>
      <c r="K40" s="12"/>
      <c r="L40" s="12"/>
      <c r="M40" s="14"/>
    </row>
    <row r="41" spans="1:13" ht="15">
      <c r="A41" s="145" t="s">
        <v>64</v>
      </c>
      <c r="B41" s="145"/>
      <c r="C41" s="12">
        <v>5</v>
      </c>
      <c r="D41" s="12">
        <v>394</v>
      </c>
      <c r="E41" s="12">
        <v>713</v>
      </c>
      <c r="F41" s="13">
        <v>0.25256818986893376</v>
      </c>
      <c r="G41" s="10"/>
      <c r="H41" s="146" t="s">
        <v>65</v>
      </c>
      <c r="I41" s="146"/>
      <c r="J41" s="18">
        <v>552</v>
      </c>
      <c r="K41" s="18">
        <v>36020</v>
      </c>
      <c r="L41" s="18">
        <v>79864</v>
      </c>
      <c r="M41" s="12"/>
    </row>
    <row r="42" spans="1:13" ht="15">
      <c r="A42" s="145" t="s">
        <v>93</v>
      </c>
      <c r="B42" s="145"/>
      <c r="C42" s="12">
        <v>2</v>
      </c>
      <c r="D42" s="12">
        <v>126</v>
      </c>
      <c r="E42" s="12">
        <v>218</v>
      </c>
      <c r="F42" s="13">
        <v>7.7222812610697841E-2</v>
      </c>
      <c r="G42" s="10"/>
      <c r="H42" s="11"/>
      <c r="I42" s="11"/>
      <c r="J42" s="12"/>
      <c r="K42" s="12"/>
      <c r="L42" s="12"/>
      <c r="M42" s="14"/>
    </row>
    <row r="43" spans="1:13" ht="15">
      <c r="A43" s="145" t="s">
        <v>67</v>
      </c>
      <c r="B43" s="145"/>
      <c r="C43" s="12"/>
      <c r="D43" s="12"/>
      <c r="E43" s="12"/>
      <c r="F43" s="13"/>
      <c r="G43" s="10"/>
      <c r="H43" s="11"/>
      <c r="I43" s="11"/>
      <c r="J43" s="14"/>
      <c r="K43" s="14"/>
      <c r="L43" s="14"/>
      <c r="M43" s="14"/>
    </row>
    <row r="44" spans="1:13" ht="15">
      <c r="A44" s="146" t="s">
        <v>68</v>
      </c>
      <c r="B44" s="146"/>
      <c r="C44" s="18">
        <v>23</v>
      </c>
      <c r="D44" s="18">
        <v>1541</v>
      </c>
      <c r="E44" s="18">
        <v>2823</v>
      </c>
      <c r="F44" s="19">
        <v>1</v>
      </c>
      <c r="G44" s="10"/>
      <c r="H44" s="11"/>
      <c r="I44" s="11"/>
      <c r="J44" s="14"/>
      <c r="K44" s="14"/>
      <c r="L44" s="14"/>
      <c r="M44" s="14"/>
    </row>
    <row r="45" spans="1:13" ht="15">
      <c r="A45" s="145"/>
      <c r="B45" s="145"/>
      <c r="C45" s="15"/>
      <c r="D45" s="15"/>
      <c r="E45" s="15"/>
      <c r="F45" s="15"/>
      <c r="G45" s="10"/>
      <c r="H45" s="16"/>
      <c r="I45" s="16"/>
      <c r="J45" s="10"/>
      <c r="K45" s="10"/>
      <c r="L45" s="10"/>
      <c r="M45" s="10"/>
    </row>
    <row r="46" spans="1:13" ht="15">
      <c r="A46" s="16"/>
      <c r="B46" s="16"/>
      <c r="C46" s="10"/>
      <c r="D46" s="10"/>
      <c r="E46" s="10"/>
      <c r="F46" s="10"/>
      <c r="G46" s="10"/>
      <c r="H46" s="16"/>
      <c r="I46" s="16"/>
      <c r="J46" s="10"/>
      <c r="K46" s="10"/>
      <c r="L46" s="10"/>
      <c r="M46" s="10"/>
    </row>
  </sheetData>
  <sheetProtection algorithmName="SHA-512" hashValue="FLjHDf0HfxUoPZdiLJ5I+x8HCS8TfYyqorcoNxu3FPPgDw1ntHt93aj3K7lyUEwv/ZpvcMNE6tP+JBqyCxOAQQ==" saltValue="tLPe64gdw4+wlNJXNv2UWg==" spinCount="100000" sheet="1"/>
  <mergeCells count="73">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5:B45"/>
    <mergeCell ref="A40:B40"/>
    <mergeCell ref="A41:B41"/>
    <mergeCell ref="H41:I41"/>
    <mergeCell ref="A42:B42"/>
    <mergeCell ref="A43:B43"/>
    <mergeCell ref="A44:B44"/>
  </mergeCells>
  <pageMargins left="0.70866141732283472" right="0.70866141732283472" top="0.74803149606299213" bottom="0.74803149606299213" header="0.31496062992125984" footer="0.31496062992125984"/>
  <pageSetup paperSize="8" scale="8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2:GL17"/>
  <sheetViews>
    <sheetView showGridLines="0" zoomScaleNormal="100" zoomScaleSheetLayoutView="91" workbookViewId="0"/>
  </sheetViews>
  <sheetFormatPr baseColWidth="10" defaultRowHeight="15"/>
  <cols>
    <col min="1" max="1" width="80.28515625" customWidth="1"/>
    <col min="2" max="74" width="8.7109375" customWidth="1"/>
    <col min="75" max="75" width="12.5703125" bestFit="1" customWidth="1"/>
  </cols>
  <sheetData>
    <row r="2" spans="1:194" ht="16.5">
      <c r="A2" s="5" t="s">
        <v>119</v>
      </c>
      <c r="B2" s="27"/>
    </row>
    <row r="3" spans="1:194" ht="16.5">
      <c r="A3" s="30" t="s">
        <v>120</v>
      </c>
      <c r="B3" s="27"/>
    </row>
    <row r="4" spans="1:194" ht="16.5">
      <c r="A4" s="30" t="s">
        <v>121</v>
      </c>
      <c r="B4" s="27"/>
    </row>
    <row r="5" spans="1:194" ht="19.5" customHeight="1"/>
    <row r="6" spans="1:194">
      <c r="A6" s="58" t="s">
        <v>128</v>
      </c>
      <c r="B6" s="152" t="s">
        <v>72</v>
      </c>
      <c r="C6" s="152"/>
      <c r="D6" s="152" t="s">
        <v>73</v>
      </c>
      <c r="E6" s="152"/>
      <c r="F6" s="152" t="s">
        <v>74</v>
      </c>
      <c r="G6" s="152"/>
      <c r="H6" s="152" t="s">
        <v>75</v>
      </c>
      <c r="I6" s="152"/>
      <c r="J6" s="152" t="s">
        <v>26</v>
      </c>
      <c r="K6" s="152"/>
      <c r="L6" s="152" t="s">
        <v>27</v>
      </c>
      <c r="M6" s="152"/>
      <c r="N6" s="152" t="s">
        <v>36</v>
      </c>
      <c r="O6" s="152"/>
      <c r="P6" s="152" t="s">
        <v>34</v>
      </c>
      <c r="Q6" s="152"/>
      <c r="R6" s="152" t="s">
        <v>42</v>
      </c>
      <c r="S6" s="152"/>
      <c r="T6" s="152" t="s">
        <v>44</v>
      </c>
      <c r="U6" s="152"/>
      <c r="V6" s="152" t="s">
        <v>46</v>
      </c>
      <c r="W6" s="152"/>
      <c r="X6" s="152" t="s">
        <v>50</v>
      </c>
      <c r="Y6" s="152"/>
      <c r="Z6" s="152" t="s">
        <v>52</v>
      </c>
      <c r="AA6" s="152"/>
      <c r="AB6" s="152" t="s">
        <v>54</v>
      </c>
      <c r="AC6" s="152"/>
      <c r="AD6" s="152" t="s">
        <v>55</v>
      </c>
      <c r="AE6" s="152"/>
      <c r="AF6" s="152" t="s">
        <v>57</v>
      </c>
      <c r="AG6" s="152"/>
      <c r="AH6" s="152" t="s">
        <v>62</v>
      </c>
      <c r="AI6" s="152"/>
      <c r="AJ6" s="152" t="s">
        <v>63</v>
      </c>
      <c r="AK6" s="152"/>
      <c r="AL6" s="152" t="s">
        <v>64</v>
      </c>
      <c r="AM6" s="152"/>
      <c r="AN6" s="152" t="s">
        <v>66</v>
      </c>
      <c r="AO6" s="152"/>
      <c r="AP6" s="152" t="s">
        <v>16</v>
      </c>
      <c r="AQ6" s="152"/>
      <c r="AR6" s="152" t="s">
        <v>18</v>
      </c>
      <c r="AS6" s="152"/>
      <c r="AT6" s="152" t="s">
        <v>20</v>
      </c>
      <c r="AU6" s="152"/>
      <c r="AV6" s="152" t="s">
        <v>22</v>
      </c>
      <c r="AW6" s="152"/>
      <c r="AX6" s="152" t="s">
        <v>28</v>
      </c>
      <c r="AY6" s="152"/>
      <c r="AZ6" s="152" t="s">
        <v>30</v>
      </c>
      <c r="BA6" s="152"/>
      <c r="BB6" s="152" t="s">
        <v>31</v>
      </c>
      <c r="BC6" s="152"/>
      <c r="BD6" s="152" t="s">
        <v>33</v>
      </c>
      <c r="BE6" s="152"/>
      <c r="BF6" s="152" t="s">
        <v>40</v>
      </c>
      <c r="BG6" s="152"/>
      <c r="BH6" s="152" t="s">
        <v>41</v>
      </c>
      <c r="BI6" s="152"/>
      <c r="BJ6" s="152" t="s">
        <v>43</v>
      </c>
      <c r="BK6" s="152"/>
      <c r="BL6" s="152" t="s">
        <v>48</v>
      </c>
      <c r="BM6" s="152"/>
      <c r="BN6" s="152" t="s">
        <v>49</v>
      </c>
      <c r="BO6" s="152"/>
      <c r="BP6" s="152" t="s">
        <v>51</v>
      </c>
      <c r="BQ6" s="152"/>
      <c r="BR6" s="152" t="s">
        <v>56</v>
      </c>
      <c r="BS6" s="152"/>
      <c r="BT6" s="152" t="s">
        <v>58</v>
      </c>
      <c r="BU6" s="152"/>
      <c r="BV6" s="152" t="s">
        <v>65</v>
      </c>
      <c r="BW6" s="152"/>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7"/>
      <c r="FM6" s="57"/>
      <c r="FN6" s="57"/>
      <c r="FO6" s="57"/>
      <c r="FP6" s="57"/>
      <c r="FQ6" s="57"/>
      <c r="FR6" s="57"/>
      <c r="FS6" s="57"/>
      <c r="FT6" s="57"/>
      <c r="FU6" s="57"/>
      <c r="FV6" s="57"/>
      <c r="FW6" s="57"/>
      <c r="FX6" s="57"/>
      <c r="FY6" s="57"/>
      <c r="FZ6" s="57"/>
      <c r="GA6" s="57"/>
      <c r="GB6" s="57"/>
      <c r="GC6" s="57"/>
      <c r="GD6" s="57"/>
      <c r="GE6" s="57"/>
      <c r="GF6" s="57"/>
      <c r="GG6" s="57"/>
      <c r="GH6" s="57"/>
      <c r="GI6" s="57"/>
      <c r="GJ6" s="57"/>
      <c r="GK6" s="57"/>
      <c r="GL6" s="57"/>
    </row>
    <row r="7" spans="1:194">
      <c r="A7" s="58"/>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row>
    <row r="8" spans="1:194">
      <c r="A8" s="73" t="s">
        <v>81</v>
      </c>
      <c r="B8" s="38" t="s">
        <v>82</v>
      </c>
      <c r="C8" s="38" t="s">
        <v>83</v>
      </c>
      <c r="D8" s="38" t="s">
        <v>82</v>
      </c>
      <c r="E8" s="38" t="s">
        <v>83</v>
      </c>
      <c r="F8" s="38" t="s">
        <v>82</v>
      </c>
      <c r="G8" s="38" t="s">
        <v>83</v>
      </c>
      <c r="H8" s="38" t="s">
        <v>82</v>
      </c>
      <c r="I8" s="38" t="s">
        <v>83</v>
      </c>
      <c r="J8" s="38" t="s">
        <v>82</v>
      </c>
      <c r="K8" s="38" t="s">
        <v>83</v>
      </c>
      <c r="L8" s="38" t="s">
        <v>82</v>
      </c>
      <c r="M8" s="38" t="s">
        <v>83</v>
      </c>
      <c r="N8" s="38" t="s">
        <v>82</v>
      </c>
      <c r="O8" s="38" t="s">
        <v>83</v>
      </c>
      <c r="P8" s="38" t="s">
        <v>82</v>
      </c>
      <c r="Q8" s="38" t="s">
        <v>83</v>
      </c>
      <c r="R8" s="38" t="s">
        <v>82</v>
      </c>
      <c r="S8" s="38" t="s">
        <v>83</v>
      </c>
      <c r="T8" s="38" t="s">
        <v>82</v>
      </c>
      <c r="U8" s="38" t="s">
        <v>83</v>
      </c>
      <c r="V8" s="38" t="s">
        <v>82</v>
      </c>
      <c r="W8" s="38" t="s">
        <v>83</v>
      </c>
      <c r="X8" s="38" t="s">
        <v>82</v>
      </c>
      <c r="Y8" s="38" t="s">
        <v>83</v>
      </c>
      <c r="Z8" s="38" t="s">
        <v>82</v>
      </c>
      <c r="AA8" s="38" t="s">
        <v>83</v>
      </c>
      <c r="AB8" s="38" t="s">
        <v>82</v>
      </c>
      <c r="AC8" s="38" t="s">
        <v>83</v>
      </c>
      <c r="AD8" s="38" t="s">
        <v>82</v>
      </c>
      <c r="AE8" s="38" t="s">
        <v>83</v>
      </c>
      <c r="AF8" s="38" t="s">
        <v>82</v>
      </c>
      <c r="AG8" s="38" t="s">
        <v>83</v>
      </c>
      <c r="AH8" s="38" t="s">
        <v>82</v>
      </c>
      <c r="AI8" s="38" t="s">
        <v>83</v>
      </c>
      <c r="AJ8" s="38" t="s">
        <v>82</v>
      </c>
      <c r="AK8" s="38" t="s">
        <v>83</v>
      </c>
      <c r="AL8" s="38" t="s">
        <v>82</v>
      </c>
      <c r="AM8" s="38" t="s">
        <v>83</v>
      </c>
      <c r="AN8" s="38" t="s">
        <v>82</v>
      </c>
      <c r="AO8" s="38" t="s">
        <v>83</v>
      </c>
      <c r="AP8" s="38" t="s">
        <v>82</v>
      </c>
      <c r="AQ8" s="38" t="s">
        <v>83</v>
      </c>
      <c r="AR8" s="38" t="s">
        <v>82</v>
      </c>
      <c r="AS8" s="38" t="s">
        <v>83</v>
      </c>
      <c r="AT8" s="38" t="s">
        <v>82</v>
      </c>
      <c r="AU8" s="38" t="s">
        <v>83</v>
      </c>
      <c r="AV8" s="38" t="s">
        <v>82</v>
      </c>
      <c r="AW8" s="38" t="s">
        <v>83</v>
      </c>
      <c r="AX8" s="38" t="s">
        <v>82</v>
      </c>
      <c r="AY8" s="38" t="s">
        <v>83</v>
      </c>
      <c r="AZ8" s="38" t="s">
        <v>82</v>
      </c>
      <c r="BA8" s="38" t="s">
        <v>83</v>
      </c>
      <c r="BB8" s="38" t="s">
        <v>82</v>
      </c>
      <c r="BC8" s="38" t="s">
        <v>83</v>
      </c>
      <c r="BD8" s="38" t="s">
        <v>82</v>
      </c>
      <c r="BE8" s="38" t="s">
        <v>83</v>
      </c>
      <c r="BF8" s="38" t="s">
        <v>82</v>
      </c>
      <c r="BG8" s="38" t="s">
        <v>83</v>
      </c>
      <c r="BH8" s="38" t="s">
        <v>82</v>
      </c>
      <c r="BI8" s="38" t="s">
        <v>83</v>
      </c>
      <c r="BJ8" s="38" t="s">
        <v>82</v>
      </c>
      <c r="BK8" s="38" t="s">
        <v>83</v>
      </c>
      <c r="BL8" s="38" t="s">
        <v>82</v>
      </c>
      <c r="BM8" s="38" t="s">
        <v>83</v>
      </c>
      <c r="BN8" s="38" t="s">
        <v>82</v>
      </c>
      <c r="BO8" s="38" t="s">
        <v>83</v>
      </c>
      <c r="BP8" s="38" t="s">
        <v>82</v>
      </c>
      <c r="BQ8" s="38" t="s">
        <v>83</v>
      </c>
      <c r="BR8" s="38" t="s">
        <v>82</v>
      </c>
      <c r="BS8" s="38" t="s">
        <v>83</v>
      </c>
      <c r="BT8" s="38" t="s">
        <v>82</v>
      </c>
      <c r="BU8" s="38" t="s">
        <v>83</v>
      </c>
      <c r="BV8" s="38" t="s">
        <v>82</v>
      </c>
      <c r="BW8" s="38" t="s">
        <v>83</v>
      </c>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row>
    <row r="9" spans="1:194" s="27" customFormat="1">
      <c r="A9" s="37" t="s">
        <v>217</v>
      </c>
      <c r="B9" s="46">
        <v>29</v>
      </c>
      <c r="C9" s="46">
        <v>1971</v>
      </c>
      <c r="D9" s="46">
        <v>16</v>
      </c>
      <c r="E9" s="46">
        <v>1733</v>
      </c>
      <c r="F9" s="46">
        <v>5</v>
      </c>
      <c r="G9" s="46">
        <v>1204</v>
      </c>
      <c r="H9" s="47"/>
      <c r="I9" s="47"/>
      <c r="J9" s="47"/>
      <c r="K9" s="47"/>
      <c r="L9" s="47"/>
      <c r="M9" s="47"/>
      <c r="N9" s="47"/>
      <c r="O9" s="47"/>
      <c r="P9" s="47"/>
      <c r="Q9" s="47"/>
      <c r="R9" s="47"/>
      <c r="S9" s="47"/>
      <c r="T9" s="47"/>
      <c r="U9" s="47"/>
      <c r="V9" s="47"/>
      <c r="W9" s="47"/>
      <c r="X9" s="46">
        <v>2</v>
      </c>
      <c r="Y9" s="46">
        <v>157</v>
      </c>
      <c r="Z9" s="46">
        <v>8</v>
      </c>
      <c r="AA9" s="46">
        <v>2326</v>
      </c>
      <c r="AB9" s="46">
        <v>3</v>
      </c>
      <c r="AC9" s="46">
        <v>1440</v>
      </c>
      <c r="AD9" s="46">
        <v>6</v>
      </c>
      <c r="AE9" s="46">
        <v>2195</v>
      </c>
      <c r="AF9" s="47"/>
      <c r="AG9" s="47"/>
      <c r="AH9" s="46">
        <v>2</v>
      </c>
      <c r="AI9" s="46">
        <v>169</v>
      </c>
      <c r="AJ9" s="46">
        <v>3</v>
      </c>
      <c r="AK9" s="46">
        <v>411</v>
      </c>
      <c r="AL9" s="47"/>
      <c r="AM9" s="47"/>
      <c r="AN9" s="46">
        <v>1</v>
      </c>
      <c r="AO9" s="46">
        <v>199</v>
      </c>
      <c r="AP9" s="47"/>
      <c r="AQ9" s="47"/>
      <c r="AR9" s="46">
        <v>1</v>
      </c>
      <c r="AS9" s="46">
        <v>213</v>
      </c>
      <c r="AT9" s="46">
        <v>1</v>
      </c>
      <c r="AU9" s="46">
        <v>517</v>
      </c>
      <c r="AV9" s="47"/>
      <c r="AW9" s="47"/>
      <c r="AX9" s="47"/>
      <c r="AY9" s="47"/>
      <c r="AZ9" s="47"/>
      <c r="BA9" s="47"/>
      <c r="BB9" s="47"/>
      <c r="BC9" s="47"/>
      <c r="BD9" s="47"/>
      <c r="BE9" s="47"/>
      <c r="BF9" s="46">
        <v>2</v>
      </c>
      <c r="BG9" s="46">
        <v>101</v>
      </c>
      <c r="BH9" s="46">
        <v>1</v>
      </c>
      <c r="BI9" s="46">
        <v>75</v>
      </c>
      <c r="BJ9" s="47"/>
      <c r="BK9" s="47"/>
      <c r="BL9" s="46">
        <v>11</v>
      </c>
      <c r="BM9" s="46">
        <v>452</v>
      </c>
      <c r="BN9" s="46">
        <v>5</v>
      </c>
      <c r="BO9" s="46">
        <v>180</v>
      </c>
      <c r="BP9" s="46">
        <v>2</v>
      </c>
      <c r="BQ9" s="46">
        <v>71</v>
      </c>
      <c r="BR9" s="46">
        <v>15</v>
      </c>
      <c r="BS9" s="46">
        <v>239</v>
      </c>
      <c r="BT9" s="47"/>
      <c r="BU9" s="47"/>
      <c r="BV9" s="56">
        <v>113</v>
      </c>
      <c r="BW9" s="56">
        <v>13653</v>
      </c>
    </row>
    <row r="10" spans="1:194" s="27" customFormat="1">
      <c r="A10" s="37" t="s">
        <v>84</v>
      </c>
      <c r="B10" s="46">
        <v>42</v>
      </c>
      <c r="C10" s="46">
        <v>3003</v>
      </c>
      <c r="D10" s="46">
        <v>14</v>
      </c>
      <c r="E10" s="46">
        <v>1793</v>
      </c>
      <c r="F10" s="46">
        <v>2</v>
      </c>
      <c r="G10" s="46">
        <v>60</v>
      </c>
      <c r="H10" s="47"/>
      <c r="I10" s="47"/>
      <c r="J10" s="46">
        <v>1</v>
      </c>
      <c r="K10" s="46">
        <v>28</v>
      </c>
      <c r="L10" s="46">
        <v>2</v>
      </c>
      <c r="M10" s="46">
        <v>44</v>
      </c>
      <c r="N10" s="47"/>
      <c r="O10" s="47"/>
      <c r="P10" s="47">
        <v>1</v>
      </c>
      <c r="Q10" s="47">
        <v>274</v>
      </c>
      <c r="R10" s="47"/>
      <c r="S10" s="47"/>
      <c r="T10" s="47"/>
      <c r="U10" s="47"/>
      <c r="V10" s="47"/>
      <c r="W10" s="47"/>
      <c r="X10" s="46">
        <v>3</v>
      </c>
      <c r="Y10" s="46">
        <v>260</v>
      </c>
      <c r="Z10" s="46">
        <v>7</v>
      </c>
      <c r="AA10" s="46">
        <v>2308</v>
      </c>
      <c r="AB10" s="46">
        <v>10</v>
      </c>
      <c r="AC10" s="46">
        <v>2962</v>
      </c>
      <c r="AD10" s="46">
        <v>1</v>
      </c>
      <c r="AE10" s="46">
        <v>291</v>
      </c>
      <c r="AF10" s="47"/>
      <c r="AG10" s="47"/>
      <c r="AH10" s="46">
        <v>5</v>
      </c>
      <c r="AI10" s="46">
        <v>412</v>
      </c>
      <c r="AJ10" s="46">
        <v>4</v>
      </c>
      <c r="AK10" s="46">
        <v>676</v>
      </c>
      <c r="AL10" s="47"/>
      <c r="AM10" s="47"/>
      <c r="AN10" s="47"/>
      <c r="AO10" s="47"/>
      <c r="AP10" s="46">
        <v>1</v>
      </c>
      <c r="AQ10" s="46">
        <v>104</v>
      </c>
      <c r="AR10" s="47"/>
      <c r="AS10" s="47"/>
      <c r="AT10" s="46">
        <v>2</v>
      </c>
      <c r="AU10" s="46">
        <v>923</v>
      </c>
      <c r="AV10" s="46">
        <v>2</v>
      </c>
      <c r="AW10" s="46">
        <v>338</v>
      </c>
      <c r="AX10" s="47"/>
      <c r="AY10" s="47"/>
      <c r="AZ10" s="46"/>
      <c r="BA10" s="46"/>
      <c r="BB10" s="47"/>
      <c r="BC10" s="47"/>
      <c r="BD10" s="47"/>
      <c r="BE10" s="47"/>
      <c r="BF10" s="46">
        <v>2</v>
      </c>
      <c r="BG10" s="46">
        <v>76</v>
      </c>
      <c r="BH10" s="46">
        <v>3</v>
      </c>
      <c r="BI10" s="46">
        <v>301</v>
      </c>
      <c r="BJ10" s="46">
        <v>1</v>
      </c>
      <c r="BK10" s="46">
        <v>184</v>
      </c>
      <c r="BL10" s="46">
        <v>17</v>
      </c>
      <c r="BM10" s="46">
        <v>1060</v>
      </c>
      <c r="BN10" s="46">
        <v>13</v>
      </c>
      <c r="BO10" s="46">
        <v>1089</v>
      </c>
      <c r="BP10" s="47"/>
      <c r="BQ10" s="47"/>
      <c r="BR10" s="46">
        <v>11</v>
      </c>
      <c r="BS10" s="46">
        <v>259</v>
      </c>
      <c r="BT10" s="47"/>
      <c r="BU10" s="47"/>
      <c r="BV10" s="56">
        <v>144</v>
      </c>
      <c r="BW10" s="56">
        <v>16445</v>
      </c>
    </row>
    <row r="11" spans="1:194" s="27" customFormat="1">
      <c r="A11" s="37" t="s">
        <v>86</v>
      </c>
      <c r="B11" s="46">
        <v>27</v>
      </c>
      <c r="C11" s="46">
        <v>2056</v>
      </c>
      <c r="D11" s="46">
        <v>16</v>
      </c>
      <c r="E11" s="46">
        <v>2320</v>
      </c>
      <c r="F11" s="46">
        <v>18</v>
      </c>
      <c r="G11" s="46">
        <v>2469</v>
      </c>
      <c r="H11" s="47"/>
      <c r="I11" s="47"/>
      <c r="J11" s="47"/>
      <c r="K11" s="47"/>
      <c r="L11" s="46">
        <v>1</v>
      </c>
      <c r="M11" s="46">
        <v>8</v>
      </c>
      <c r="N11" s="47"/>
      <c r="O11" s="47"/>
      <c r="P11" s="47">
        <v>1</v>
      </c>
      <c r="Q11" s="47">
        <v>400</v>
      </c>
      <c r="R11" s="47"/>
      <c r="S11" s="47"/>
      <c r="T11" s="46">
        <v>1</v>
      </c>
      <c r="U11" s="46">
        <v>736</v>
      </c>
      <c r="V11" s="47"/>
      <c r="W11" s="47"/>
      <c r="X11" s="47"/>
      <c r="Y11" s="47"/>
      <c r="Z11" s="46">
        <v>7</v>
      </c>
      <c r="AA11" s="46">
        <v>1558</v>
      </c>
      <c r="AB11" s="46">
        <v>14</v>
      </c>
      <c r="AC11" s="46">
        <v>7783</v>
      </c>
      <c r="AD11" s="46">
        <v>4</v>
      </c>
      <c r="AE11" s="46">
        <v>1611</v>
      </c>
      <c r="AF11" s="47"/>
      <c r="AG11" s="47"/>
      <c r="AH11" s="47"/>
      <c r="AI11" s="47"/>
      <c r="AJ11" s="46">
        <v>1</v>
      </c>
      <c r="AK11" s="46">
        <v>84</v>
      </c>
      <c r="AL11" s="46">
        <v>2</v>
      </c>
      <c r="AM11" s="46">
        <v>296</v>
      </c>
      <c r="AN11" s="46">
        <v>1</v>
      </c>
      <c r="AO11" s="46">
        <v>19</v>
      </c>
      <c r="AP11" s="47"/>
      <c r="AQ11" s="47"/>
      <c r="AR11" s="46">
        <v>1</v>
      </c>
      <c r="AS11" s="46">
        <v>270</v>
      </c>
      <c r="AT11" s="46">
        <v>6</v>
      </c>
      <c r="AU11" s="46">
        <v>2268</v>
      </c>
      <c r="AV11" s="46">
        <v>3</v>
      </c>
      <c r="AW11" s="46">
        <v>1104</v>
      </c>
      <c r="AX11" s="46">
        <v>2</v>
      </c>
      <c r="AY11" s="46">
        <v>100</v>
      </c>
      <c r="AZ11" s="46">
        <v>1</v>
      </c>
      <c r="BA11" s="46">
        <v>180</v>
      </c>
      <c r="BB11" s="46">
        <v>1</v>
      </c>
      <c r="BC11" s="46">
        <v>258</v>
      </c>
      <c r="BD11" s="46">
        <v>1</v>
      </c>
      <c r="BE11" s="46">
        <v>42</v>
      </c>
      <c r="BF11" s="46">
        <v>3</v>
      </c>
      <c r="BG11" s="46">
        <v>44</v>
      </c>
      <c r="BH11" s="47"/>
      <c r="BI11" s="47"/>
      <c r="BJ11" s="46">
        <v>1</v>
      </c>
      <c r="BK11" s="46">
        <v>16</v>
      </c>
      <c r="BL11" s="46">
        <v>1</v>
      </c>
      <c r="BM11" s="46">
        <v>13</v>
      </c>
      <c r="BN11" s="47"/>
      <c r="BO11" s="47"/>
      <c r="BP11" s="47"/>
      <c r="BQ11" s="47"/>
      <c r="BR11" s="46">
        <v>1</v>
      </c>
      <c r="BS11" s="46">
        <v>12</v>
      </c>
      <c r="BT11" s="47"/>
      <c r="BU11" s="47"/>
      <c r="BV11" s="56">
        <v>114</v>
      </c>
      <c r="BW11" s="56">
        <v>23647</v>
      </c>
    </row>
    <row r="12" spans="1:194" s="27" customFormat="1">
      <c r="A12" s="37" t="s">
        <v>85</v>
      </c>
      <c r="B12" s="46">
        <v>8</v>
      </c>
      <c r="C12" s="46">
        <v>690</v>
      </c>
      <c r="D12" s="46">
        <v>4</v>
      </c>
      <c r="E12" s="46">
        <v>339</v>
      </c>
      <c r="F12" s="46">
        <v>4</v>
      </c>
      <c r="G12" s="46">
        <v>298</v>
      </c>
      <c r="H12" s="47">
        <v>1</v>
      </c>
      <c r="I12" s="47">
        <v>29</v>
      </c>
      <c r="J12" s="46">
        <v>2</v>
      </c>
      <c r="K12" s="46">
        <v>48</v>
      </c>
      <c r="L12" s="46">
        <v>6</v>
      </c>
      <c r="M12" s="46">
        <v>78</v>
      </c>
      <c r="N12" s="47"/>
      <c r="O12" s="47"/>
      <c r="P12" s="47"/>
      <c r="Q12" s="47"/>
      <c r="R12" s="47">
        <v>1</v>
      </c>
      <c r="S12" s="47">
        <v>562</v>
      </c>
      <c r="T12" s="47"/>
      <c r="U12" s="47"/>
      <c r="V12" s="47">
        <v>1</v>
      </c>
      <c r="W12" s="47">
        <v>350</v>
      </c>
      <c r="X12" s="46"/>
      <c r="Y12" s="46"/>
      <c r="Z12" s="46"/>
      <c r="AA12" s="46"/>
      <c r="AB12" s="46">
        <v>7</v>
      </c>
      <c r="AC12" s="46">
        <v>2191</v>
      </c>
      <c r="AD12" s="46"/>
      <c r="AE12" s="46"/>
      <c r="AF12" s="47">
        <v>1</v>
      </c>
      <c r="AG12" s="47">
        <v>116</v>
      </c>
      <c r="AH12" s="46"/>
      <c r="AI12" s="46"/>
      <c r="AJ12" s="46"/>
      <c r="AK12" s="46"/>
      <c r="AL12" s="47"/>
      <c r="AM12" s="47"/>
      <c r="AN12" s="47"/>
      <c r="AO12" s="47"/>
      <c r="AP12" s="46"/>
      <c r="AQ12" s="46"/>
      <c r="AR12" s="47"/>
      <c r="AS12" s="47"/>
      <c r="AT12" s="46"/>
      <c r="AU12" s="46"/>
      <c r="AV12" s="46"/>
      <c r="AW12" s="46"/>
      <c r="AX12" s="47"/>
      <c r="AY12" s="47"/>
      <c r="AZ12" s="46"/>
      <c r="BA12" s="46"/>
      <c r="BB12" s="47"/>
      <c r="BC12" s="47"/>
      <c r="BD12" s="47"/>
      <c r="BE12" s="47"/>
      <c r="BF12" s="46">
        <v>1</v>
      </c>
      <c r="BG12" s="46">
        <v>20</v>
      </c>
      <c r="BH12" s="46">
        <v>1</v>
      </c>
      <c r="BI12" s="46">
        <v>21</v>
      </c>
      <c r="BJ12" s="46"/>
      <c r="BK12" s="46"/>
      <c r="BL12" s="46">
        <v>3</v>
      </c>
      <c r="BM12" s="46">
        <v>118</v>
      </c>
      <c r="BN12" s="46">
        <v>1</v>
      </c>
      <c r="BO12" s="46">
        <v>212</v>
      </c>
      <c r="BP12" s="47"/>
      <c r="BQ12" s="47"/>
      <c r="BR12" s="46">
        <v>1</v>
      </c>
      <c r="BS12" s="46">
        <v>8</v>
      </c>
      <c r="BT12" s="47"/>
      <c r="BU12" s="47"/>
      <c r="BV12" s="56">
        <v>42</v>
      </c>
      <c r="BW12" s="56">
        <v>5080</v>
      </c>
    </row>
    <row r="13" spans="1:194" s="27" customFormat="1">
      <c r="A13" s="37" t="s">
        <v>87</v>
      </c>
      <c r="B13" s="46">
        <v>40</v>
      </c>
      <c r="C13" s="46">
        <v>2226</v>
      </c>
      <c r="D13" s="46">
        <v>19</v>
      </c>
      <c r="E13" s="46">
        <v>2250</v>
      </c>
      <c r="F13" s="46">
        <v>9</v>
      </c>
      <c r="G13" s="46">
        <v>1494</v>
      </c>
      <c r="H13" s="47"/>
      <c r="I13" s="47"/>
      <c r="J13" s="47"/>
      <c r="K13" s="47"/>
      <c r="L13" s="46">
        <v>5</v>
      </c>
      <c r="M13" s="46">
        <v>80</v>
      </c>
      <c r="N13" s="47">
        <v>1</v>
      </c>
      <c r="O13" s="47">
        <v>249</v>
      </c>
      <c r="P13" s="47">
        <v>1</v>
      </c>
      <c r="Q13" s="47">
        <v>375</v>
      </c>
      <c r="R13" s="47"/>
      <c r="S13" s="47"/>
      <c r="T13" s="46">
        <v>3</v>
      </c>
      <c r="U13" s="46">
        <v>2001</v>
      </c>
      <c r="V13" s="46">
        <v>1</v>
      </c>
      <c r="W13" s="46">
        <v>400</v>
      </c>
      <c r="X13" s="47"/>
      <c r="Y13" s="47"/>
      <c r="Z13" s="46">
        <v>6</v>
      </c>
      <c r="AA13" s="46">
        <v>1857</v>
      </c>
      <c r="AB13" s="46">
        <v>14</v>
      </c>
      <c r="AC13" s="46">
        <v>6079</v>
      </c>
      <c r="AD13" s="46">
        <v>3</v>
      </c>
      <c r="AE13" s="46">
        <v>1284</v>
      </c>
      <c r="AF13" s="46"/>
      <c r="AG13" s="46"/>
      <c r="AH13" s="47"/>
      <c r="AI13" s="47"/>
      <c r="AJ13" s="46">
        <v>1</v>
      </c>
      <c r="AK13" s="46">
        <v>140</v>
      </c>
      <c r="AL13" s="46">
        <v>3</v>
      </c>
      <c r="AM13" s="46">
        <v>417</v>
      </c>
      <c r="AN13" s="47"/>
      <c r="AO13" s="47"/>
      <c r="AP13" s="47"/>
      <c r="AQ13" s="47"/>
      <c r="AR13" s="47"/>
      <c r="AS13" s="47"/>
      <c r="AT13" s="46">
        <v>3</v>
      </c>
      <c r="AU13" s="46">
        <v>944</v>
      </c>
      <c r="AV13" s="46">
        <v>1</v>
      </c>
      <c r="AW13" s="46">
        <v>48</v>
      </c>
      <c r="AX13" s="47"/>
      <c r="AY13" s="47"/>
      <c r="AZ13" s="46">
        <v>1</v>
      </c>
      <c r="BA13" s="46">
        <v>84</v>
      </c>
      <c r="BB13" s="47"/>
      <c r="BC13" s="47"/>
      <c r="BD13" s="47"/>
      <c r="BE13" s="47"/>
      <c r="BF13" s="46">
        <v>5</v>
      </c>
      <c r="BG13" s="46">
        <v>154</v>
      </c>
      <c r="BH13" s="46">
        <v>4</v>
      </c>
      <c r="BI13" s="46">
        <v>262</v>
      </c>
      <c r="BJ13" s="47"/>
      <c r="BK13" s="47"/>
      <c r="BL13" s="46">
        <v>6</v>
      </c>
      <c r="BM13" s="46">
        <v>246</v>
      </c>
      <c r="BN13" s="46">
        <v>9</v>
      </c>
      <c r="BO13" s="46">
        <v>332</v>
      </c>
      <c r="BP13" s="47"/>
      <c r="BQ13" s="47"/>
      <c r="BR13" s="46">
        <v>1</v>
      </c>
      <c r="BS13" s="46">
        <v>28</v>
      </c>
      <c r="BT13" s="46">
        <v>3</v>
      </c>
      <c r="BU13" s="46">
        <v>89</v>
      </c>
      <c r="BV13" s="56">
        <v>139</v>
      </c>
      <c r="BW13" s="56">
        <v>21039</v>
      </c>
    </row>
    <row r="14" spans="1:194" s="27" customFormat="1">
      <c r="A14" s="45" t="s">
        <v>218</v>
      </c>
      <c r="B14" s="39">
        <v>146</v>
      </c>
      <c r="C14" s="39">
        <v>9946</v>
      </c>
      <c r="D14" s="39">
        <v>69</v>
      </c>
      <c r="E14" s="39">
        <v>8435</v>
      </c>
      <c r="F14" s="39">
        <v>38</v>
      </c>
      <c r="G14" s="39">
        <v>5525</v>
      </c>
      <c r="H14" s="39">
        <v>1</v>
      </c>
      <c r="I14" s="39">
        <v>29</v>
      </c>
      <c r="J14" s="39">
        <v>3</v>
      </c>
      <c r="K14" s="39">
        <v>76</v>
      </c>
      <c r="L14" s="39">
        <v>14</v>
      </c>
      <c r="M14" s="39">
        <v>210</v>
      </c>
      <c r="N14" s="39">
        <v>1</v>
      </c>
      <c r="O14" s="39">
        <v>249</v>
      </c>
      <c r="P14" s="39">
        <v>3</v>
      </c>
      <c r="Q14" s="39">
        <v>1049</v>
      </c>
      <c r="R14" s="39">
        <v>1</v>
      </c>
      <c r="S14" s="39">
        <v>562</v>
      </c>
      <c r="T14" s="39">
        <v>4</v>
      </c>
      <c r="U14" s="39">
        <v>2737</v>
      </c>
      <c r="V14" s="39">
        <v>2</v>
      </c>
      <c r="W14" s="39">
        <v>750</v>
      </c>
      <c r="X14" s="39">
        <v>5</v>
      </c>
      <c r="Y14" s="39">
        <v>417</v>
      </c>
      <c r="Z14" s="39">
        <v>28</v>
      </c>
      <c r="AA14" s="39">
        <v>8049</v>
      </c>
      <c r="AB14" s="39">
        <v>48</v>
      </c>
      <c r="AC14" s="39">
        <v>20455</v>
      </c>
      <c r="AD14" s="39">
        <v>14</v>
      </c>
      <c r="AE14" s="39">
        <v>5381</v>
      </c>
      <c r="AF14" s="39">
        <v>1</v>
      </c>
      <c r="AG14" s="39">
        <v>116</v>
      </c>
      <c r="AH14" s="39">
        <v>7</v>
      </c>
      <c r="AI14" s="39">
        <v>581</v>
      </c>
      <c r="AJ14" s="39">
        <v>9</v>
      </c>
      <c r="AK14" s="39">
        <v>1311</v>
      </c>
      <c r="AL14" s="39">
        <v>5</v>
      </c>
      <c r="AM14" s="39">
        <v>713</v>
      </c>
      <c r="AN14" s="39">
        <v>2</v>
      </c>
      <c r="AO14" s="39">
        <v>218</v>
      </c>
      <c r="AP14" s="39">
        <v>1</v>
      </c>
      <c r="AQ14" s="39">
        <v>104</v>
      </c>
      <c r="AR14" s="39">
        <v>2</v>
      </c>
      <c r="AS14" s="39">
        <v>483</v>
      </c>
      <c r="AT14" s="39">
        <v>12</v>
      </c>
      <c r="AU14" s="39">
        <v>4652</v>
      </c>
      <c r="AV14" s="39">
        <v>6</v>
      </c>
      <c r="AW14" s="39">
        <v>1490</v>
      </c>
      <c r="AX14" s="39">
        <v>2</v>
      </c>
      <c r="AY14" s="39">
        <v>100</v>
      </c>
      <c r="AZ14" s="39">
        <v>2</v>
      </c>
      <c r="BA14" s="39">
        <v>264</v>
      </c>
      <c r="BB14" s="39">
        <v>1</v>
      </c>
      <c r="BC14" s="39">
        <v>258</v>
      </c>
      <c r="BD14" s="39">
        <v>1</v>
      </c>
      <c r="BE14" s="39">
        <v>42</v>
      </c>
      <c r="BF14" s="39">
        <v>13</v>
      </c>
      <c r="BG14" s="39">
        <v>395</v>
      </c>
      <c r="BH14" s="39">
        <v>9</v>
      </c>
      <c r="BI14" s="39">
        <v>659</v>
      </c>
      <c r="BJ14" s="39">
        <v>2</v>
      </c>
      <c r="BK14" s="39">
        <v>200</v>
      </c>
      <c r="BL14" s="39">
        <v>38</v>
      </c>
      <c r="BM14" s="39">
        <v>1889</v>
      </c>
      <c r="BN14" s="39">
        <v>28</v>
      </c>
      <c r="BO14" s="39">
        <v>1813</v>
      </c>
      <c r="BP14" s="39">
        <v>2</v>
      </c>
      <c r="BQ14" s="39">
        <v>71</v>
      </c>
      <c r="BR14" s="39">
        <v>29</v>
      </c>
      <c r="BS14" s="39">
        <v>546</v>
      </c>
      <c r="BT14" s="39">
        <v>3</v>
      </c>
      <c r="BU14" s="39">
        <v>89</v>
      </c>
      <c r="BV14" s="39">
        <v>552</v>
      </c>
      <c r="BW14" s="39">
        <v>79864</v>
      </c>
    </row>
    <row r="15" spans="1:194">
      <c r="A15" s="62" t="s">
        <v>134</v>
      </c>
    </row>
    <row r="16" spans="1:194">
      <c r="A16" s="63" t="s">
        <v>135</v>
      </c>
      <c r="BV16" s="33"/>
      <c r="BW16" s="33"/>
    </row>
    <row r="17" spans="1:1">
      <c r="A17" s="63" t="s">
        <v>136</v>
      </c>
    </row>
  </sheetData>
  <sheetProtection password="C1A8" sheet="1" selectLockedCells="1" selectUnlockedCells="1"/>
  <mergeCells count="37">
    <mergeCell ref="BV6:BW6"/>
    <mergeCell ref="B6:C6"/>
    <mergeCell ref="D6:E6"/>
    <mergeCell ref="F6:G6"/>
    <mergeCell ref="H6:I6"/>
    <mergeCell ref="J6:K6"/>
    <mergeCell ref="L6:M6"/>
    <mergeCell ref="N6:O6"/>
    <mergeCell ref="P6:Q6"/>
    <mergeCell ref="R6:S6"/>
    <mergeCell ref="AP6:AQ6"/>
    <mergeCell ref="T6:U6"/>
    <mergeCell ref="V6:W6"/>
    <mergeCell ref="X6:Y6"/>
    <mergeCell ref="Z6:AA6"/>
    <mergeCell ref="AB6:AC6"/>
    <mergeCell ref="AD6:AE6"/>
    <mergeCell ref="AF6:AG6"/>
    <mergeCell ref="AH6:AI6"/>
    <mergeCell ref="AJ6:AK6"/>
    <mergeCell ref="AL6:AM6"/>
    <mergeCell ref="AN6:AO6"/>
    <mergeCell ref="AR6:AS6"/>
    <mergeCell ref="AT6:AU6"/>
    <mergeCell ref="BN6:BO6"/>
    <mergeCell ref="AV6:AW6"/>
    <mergeCell ref="AX6:AY6"/>
    <mergeCell ref="AZ6:BA6"/>
    <mergeCell ref="BB6:BC6"/>
    <mergeCell ref="BD6:BE6"/>
    <mergeCell ref="BP6:BQ6"/>
    <mergeCell ref="BR6:BS6"/>
    <mergeCell ref="BT6:BU6"/>
    <mergeCell ref="BF6:BG6"/>
    <mergeCell ref="BH6:BI6"/>
    <mergeCell ref="BJ6:BK6"/>
    <mergeCell ref="BL6:BM6"/>
  </mergeCells>
  <conditionalFormatting sqref="A6:BW7 A8 V8:AQ8 AV8:BW8 A15:A17">
    <cfRule type="expression" priority="6">
      <formula>SI(0," ")</formula>
    </cfRule>
  </conditionalFormatting>
  <conditionalFormatting sqref="A9:BW13">
    <cfRule type="expression" dxfId="1" priority="5" stopIfTrue="1">
      <formula>MOD(ROW(),2)=0</formula>
    </cfRule>
  </conditionalFormatting>
  <pageMargins left="0.70866141732283472" right="0.70866141732283472" top="0.74803149606299213" bottom="0.74803149606299213" header="0.31496062992125984" footer="0.31496062992125984"/>
  <pageSetup paperSize="8" scale="80" orientation="landscape" r:id="rId1"/>
  <colBreaks count="4" manualBreakCount="4">
    <brk id="17" max="1048575" man="1"/>
    <brk id="33" max="1048575" man="1"/>
    <brk id="49" max="1048575" man="1"/>
    <brk id="65"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45"/>
  <sheetViews>
    <sheetView showGridLines="0" zoomScaleNormal="100" zoomScaleSheetLayoutView="91" workbookViewId="0"/>
  </sheetViews>
  <sheetFormatPr baseColWidth="10" defaultRowHeight="12.75"/>
  <cols>
    <col min="1" max="1" width="13.7109375" style="3" customWidth="1"/>
    <col min="2" max="2" width="11.42578125" style="3"/>
    <col min="3" max="3" width="17" style="4" bestFit="1" customWidth="1"/>
    <col min="4" max="4" width="15.140625" style="4" bestFit="1" customWidth="1"/>
    <col min="5" max="5" width="14" style="4" bestFit="1" customWidth="1"/>
    <col min="6" max="6" width="11.140625" style="4" bestFit="1" customWidth="1"/>
    <col min="7" max="7" width="11.42578125" style="4"/>
    <col min="8" max="8" width="13.7109375" style="3" customWidth="1"/>
    <col min="9" max="9" width="11.42578125" style="3"/>
    <col min="10" max="10" width="17" style="4" bestFit="1" customWidth="1"/>
    <col min="11" max="11" width="15.140625" style="4" bestFit="1" customWidth="1"/>
    <col min="12" max="12" width="14" style="4" bestFit="1" customWidth="1"/>
    <col min="13" max="13" width="11.140625" style="4" bestFit="1" customWidth="1"/>
    <col min="14" max="16384" width="11.42578125" style="4"/>
  </cols>
  <sheetData>
    <row r="1" spans="1:20" ht="16.5">
      <c r="A1" s="5"/>
    </row>
    <row r="2" spans="1:20" ht="16.5">
      <c r="A2" s="5"/>
      <c r="P2" s="6"/>
      <c r="Q2" s="6"/>
      <c r="R2" s="6"/>
      <c r="S2" s="6"/>
      <c r="T2" s="6"/>
    </row>
    <row r="3" spans="1:20" ht="16.5">
      <c r="A3" s="2" t="s">
        <v>122</v>
      </c>
    </row>
    <row r="4" spans="1:20" s="6" customFormat="1" ht="16.5">
      <c r="A4" s="7" t="s">
        <v>123</v>
      </c>
      <c r="B4" s="8"/>
      <c r="H4" s="8"/>
      <c r="I4" s="8"/>
      <c r="L4" s="9"/>
    </row>
    <row r="5" spans="1:20" s="6" customFormat="1" ht="16.5">
      <c r="A5" s="7" t="s">
        <v>124</v>
      </c>
      <c r="B5" s="8"/>
      <c r="H5" s="8"/>
      <c r="I5" s="8"/>
    </row>
    <row r="7" spans="1:20">
      <c r="A7" s="149" t="s">
        <v>0</v>
      </c>
      <c r="B7" s="149"/>
      <c r="C7" s="110" t="s">
        <v>1</v>
      </c>
      <c r="D7" s="110" t="s">
        <v>2</v>
      </c>
      <c r="E7" s="110" t="s">
        <v>3</v>
      </c>
      <c r="F7" s="110" t="s">
        <v>4</v>
      </c>
      <c r="H7" s="149" t="s">
        <v>0</v>
      </c>
      <c r="I7" s="149"/>
      <c r="J7" s="110" t="s">
        <v>1</v>
      </c>
      <c r="K7" s="110" t="s">
        <v>2</v>
      </c>
      <c r="L7" s="110" t="s">
        <v>3</v>
      </c>
      <c r="M7" s="110" t="s">
        <v>4</v>
      </c>
    </row>
    <row r="8" spans="1:20">
      <c r="A8" s="150" t="s">
        <v>5</v>
      </c>
      <c r="B8" s="150"/>
      <c r="C8" s="111" t="s">
        <v>6</v>
      </c>
      <c r="D8" s="111" t="s">
        <v>7</v>
      </c>
      <c r="E8" s="111" t="s">
        <v>8</v>
      </c>
      <c r="F8" s="111" t="s">
        <v>9</v>
      </c>
      <c r="G8" s="6"/>
      <c r="H8" s="150" t="s">
        <v>5</v>
      </c>
      <c r="I8" s="150"/>
      <c r="J8" s="111" t="s">
        <v>6</v>
      </c>
      <c r="K8" s="111" t="s">
        <v>7</v>
      </c>
      <c r="L8" s="111" t="s">
        <v>8</v>
      </c>
      <c r="M8" s="111" t="s">
        <v>9</v>
      </c>
    </row>
    <row r="9" spans="1:20">
      <c r="A9" s="150" t="s">
        <v>10</v>
      </c>
      <c r="B9" s="150"/>
      <c r="C9" s="111" t="s">
        <v>11</v>
      </c>
      <c r="D9" s="111" t="s">
        <v>12</v>
      </c>
      <c r="E9" s="111" t="s">
        <v>13</v>
      </c>
      <c r="F9" s="111" t="s">
        <v>14</v>
      </c>
      <c r="G9" s="6"/>
      <c r="H9" s="150" t="s">
        <v>10</v>
      </c>
      <c r="I9" s="150"/>
      <c r="J9" s="111" t="s">
        <v>11</v>
      </c>
      <c r="K9" s="111" t="s">
        <v>12</v>
      </c>
      <c r="L9" s="111" t="s">
        <v>13</v>
      </c>
      <c r="M9" s="111" t="s">
        <v>14</v>
      </c>
    </row>
    <row r="10" spans="1:20" ht="15">
      <c r="A10" s="145" t="s">
        <v>15</v>
      </c>
      <c r="B10" s="145"/>
      <c r="C10" s="12">
        <v>148</v>
      </c>
      <c r="D10" s="12">
        <v>3305</v>
      </c>
      <c r="E10" s="12">
        <v>9986</v>
      </c>
      <c r="F10" s="13">
        <v>0.4119127170729695</v>
      </c>
      <c r="G10" s="10"/>
      <c r="H10" s="145" t="s">
        <v>16</v>
      </c>
      <c r="I10" s="145"/>
      <c r="J10" s="12">
        <v>1</v>
      </c>
      <c r="K10" s="12">
        <v>54</v>
      </c>
      <c r="L10" s="12">
        <v>104</v>
      </c>
      <c r="M10" s="13">
        <v>1.5455491157675732E-2</v>
      </c>
    </row>
    <row r="11" spans="1:20" ht="15">
      <c r="A11" s="145" t="s">
        <v>17</v>
      </c>
      <c r="B11" s="145"/>
      <c r="C11" s="12">
        <v>72</v>
      </c>
      <c r="D11" s="12">
        <v>3090</v>
      </c>
      <c r="E11" s="12">
        <v>8641</v>
      </c>
      <c r="F11" s="13">
        <v>0.35643278472136286</v>
      </c>
      <c r="G11" s="10"/>
      <c r="H11" s="145" t="s">
        <v>18</v>
      </c>
      <c r="I11" s="145"/>
      <c r="J11" s="12">
        <v>2</v>
      </c>
      <c r="K11" s="12">
        <v>219</v>
      </c>
      <c r="L11" s="12">
        <v>483</v>
      </c>
      <c r="M11" s="13">
        <v>7.1778867588051715E-2</v>
      </c>
    </row>
    <row r="12" spans="1:20" ht="15">
      <c r="A12" s="145" t="s">
        <v>19</v>
      </c>
      <c r="B12" s="145"/>
      <c r="C12" s="12">
        <v>40</v>
      </c>
      <c r="D12" s="12">
        <v>1897</v>
      </c>
      <c r="E12" s="12">
        <v>5587</v>
      </c>
      <c r="F12" s="13">
        <v>0.23045827661593038</v>
      </c>
      <c r="G12" s="10"/>
      <c r="H12" s="145" t="s">
        <v>20</v>
      </c>
      <c r="I12" s="145"/>
      <c r="J12" s="12">
        <v>12</v>
      </c>
      <c r="K12" s="12">
        <v>2235</v>
      </c>
      <c r="L12" s="12">
        <v>4652</v>
      </c>
      <c r="M12" s="13">
        <v>0.69133600832218756</v>
      </c>
    </row>
    <row r="13" spans="1:20" ht="15">
      <c r="A13" s="145" t="s">
        <v>21</v>
      </c>
      <c r="B13" s="145"/>
      <c r="C13" s="12">
        <v>1</v>
      </c>
      <c r="D13" s="12">
        <v>9</v>
      </c>
      <c r="E13" s="12">
        <v>29</v>
      </c>
      <c r="F13" s="13">
        <v>1.1962215897372438E-3</v>
      </c>
      <c r="G13" s="10"/>
      <c r="H13" s="145" t="s">
        <v>22</v>
      </c>
      <c r="I13" s="145"/>
      <c r="J13" s="12">
        <v>6</v>
      </c>
      <c r="K13" s="12">
        <v>686</v>
      </c>
      <c r="L13" s="12">
        <v>1490</v>
      </c>
      <c r="M13" s="13">
        <v>0.22142963293208501</v>
      </c>
    </row>
    <row r="14" spans="1:20" ht="15">
      <c r="A14" s="146" t="s">
        <v>23</v>
      </c>
      <c r="B14" s="146"/>
      <c r="C14" s="17">
        <v>261</v>
      </c>
      <c r="D14" s="18">
        <v>8301</v>
      </c>
      <c r="E14" s="18">
        <v>24243</v>
      </c>
      <c r="F14" s="19">
        <v>1</v>
      </c>
      <c r="G14" s="10"/>
      <c r="H14" s="145" t="s">
        <v>24</v>
      </c>
      <c r="I14" s="145"/>
      <c r="J14" s="12"/>
      <c r="K14" s="12"/>
      <c r="L14" s="12"/>
      <c r="M14" s="13"/>
    </row>
    <row r="15" spans="1:20" ht="15">
      <c r="A15" s="145"/>
      <c r="B15" s="145"/>
      <c r="C15" s="12"/>
      <c r="D15" s="12"/>
      <c r="E15" s="12"/>
      <c r="F15" s="13"/>
      <c r="G15" s="10"/>
      <c r="H15" s="146" t="s">
        <v>25</v>
      </c>
      <c r="I15" s="146"/>
      <c r="J15" s="18">
        <v>21</v>
      </c>
      <c r="K15" s="18">
        <v>3194</v>
      </c>
      <c r="L15" s="18">
        <v>6729</v>
      </c>
      <c r="M15" s="19">
        <v>1</v>
      </c>
    </row>
    <row r="16" spans="1:20" ht="15">
      <c r="A16" s="146" t="s">
        <v>26</v>
      </c>
      <c r="B16" s="146"/>
      <c r="C16" s="18">
        <v>2</v>
      </c>
      <c r="D16" s="18">
        <v>24</v>
      </c>
      <c r="E16" s="18">
        <v>48</v>
      </c>
      <c r="F16" s="19">
        <v>1</v>
      </c>
      <c r="G16" s="10"/>
      <c r="H16" s="145"/>
      <c r="I16" s="145"/>
      <c r="J16" s="12"/>
      <c r="K16" s="12"/>
      <c r="L16" s="12"/>
      <c r="M16" s="13"/>
    </row>
    <row r="17" spans="1:13" ht="15">
      <c r="A17" s="146" t="s">
        <v>27</v>
      </c>
      <c r="B17" s="146"/>
      <c r="C17" s="18">
        <v>13</v>
      </c>
      <c r="D17" s="18">
        <v>95</v>
      </c>
      <c r="E17" s="18">
        <v>193</v>
      </c>
      <c r="F17" s="19">
        <v>1</v>
      </c>
      <c r="G17" s="10"/>
      <c r="H17" s="145" t="s">
        <v>28</v>
      </c>
      <c r="I17" s="145"/>
      <c r="J17" s="12">
        <v>2</v>
      </c>
      <c r="K17" s="12">
        <v>50</v>
      </c>
      <c r="L17" s="12">
        <v>100</v>
      </c>
      <c r="M17" s="13">
        <v>0.11792452830188679</v>
      </c>
    </row>
    <row r="18" spans="1:13" ht="15">
      <c r="A18" s="146" t="s">
        <v>29</v>
      </c>
      <c r="B18" s="146"/>
      <c r="C18" s="18"/>
      <c r="D18" s="18"/>
      <c r="E18" s="18"/>
      <c r="F18" s="19"/>
      <c r="G18" s="10"/>
      <c r="H18" s="145" t="s">
        <v>30</v>
      </c>
      <c r="I18" s="145"/>
      <c r="J18" s="12">
        <v>3</v>
      </c>
      <c r="K18" s="12">
        <v>196</v>
      </c>
      <c r="L18" s="12">
        <v>448</v>
      </c>
      <c r="M18" s="13">
        <v>0.52830188679245282</v>
      </c>
    </row>
    <row r="19" spans="1:13" ht="15">
      <c r="A19" s="147"/>
      <c r="B19" s="147"/>
      <c r="C19" s="12"/>
      <c r="D19" s="12"/>
      <c r="E19" s="12"/>
      <c r="F19" s="13"/>
      <c r="G19" s="10"/>
      <c r="H19" s="145" t="s">
        <v>31</v>
      </c>
      <c r="I19" s="145"/>
      <c r="J19" s="12">
        <v>1</v>
      </c>
      <c r="K19" s="12">
        <v>103</v>
      </c>
      <c r="L19" s="12">
        <v>258</v>
      </c>
      <c r="M19" s="13">
        <v>0.30424528301886794</v>
      </c>
    </row>
    <row r="20" spans="1:13" ht="15">
      <c r="A20" s="145" t="s">
        <v>32</v>
      </c>
      <c r="B20" s="145"/>
      <c r="C20" s="12"/>
      <c r="D20" s="1"/>
      <c r="E20" s="12"/>
      <c r="F20" s="13"/>
      <c r="G20" s="10"/>
      <c r="H20" s="145" t="s">
        <v>33</v>
      </c>
      <c r="I20" s="145"/>
      <c r="J20" s="12">
        <v>1</v>
      </c>
      <c r="K20" s="12">
        <v>21</v>
      </c>
      <c r="L20" s="12">
        <v>42</v>
      </c>
      <c r="M20" s="13">
        <v>4.9528301886792456E-2</v>
      </c>
    </row>
    <row r="21" spans="1:13" ht="15">
      <c r="A21" s="145" t="s">
        <v>34</v>
      </c>
      <c r="B21" s="145"/>
      <c r="C21" s="12">
        <v>3</v>
      </c>
      <c r="D21" s="1"/>
      <c r="E21" s="12">
        <v>1049</v>
      </c>
      <c r="F21" s="13">
        <v>0.80816640986132515</v>
      </c>
      <c r="G21" s="10"/>
      <c r="H21" s="145" t="s">
        <v>35</v>
      </c>
      <c r="I21" s="145"/>
      <c r="J21" s="12"/>
      <c r="K21" s="12"/>
      <c r="L21" s="12"/>
      <c r="M21" s="13"/>
    </row>
    <row r="22" spans="1:13" ht="15">
      <c r="A22" s="145" t="s">
        <v>36</v>
      </c>
      <c r="B22" s="145"/>
      <c r="C22" s="12">
        <v>1</v>
      </c>
      <c r="D22" s="12"/>
      <c r="E22" s="12">
        <v>249</v>
      </c>
      <c r="F22" s="13">
        <v>0.19183359013867488</v>
      </c>
      <c r="G22" s="10"/>
      <c r="H22" s="146" t="s">
        <v>37</v>
      </c>
      <c r="I22" s="146"/>
      <c r="J22" s="18">
        <v>7</v>
      </c>
      <c r="K22" s="18">
        <v>370</v>
      </c>
      <c r="L22" s="18">
        <v>848</v>
      </c>
      <c r="M22" s="19">
        <v>1</v>
      </c>
    </row>
    <row r="23" spans="1:13" ht="15">
      <c r="A23" s="145" t="s">
        <v>38</v>
      </c>
      <c r="B23" s="145"/>
      <c r="C23" s="12"/>
      <c r="D23" s="12"/>
      <c r="E23" s="12"/>
      <c r="F23" s="21"/>
      <c r="G23" s="10"/>
      <c r="H23" s="145"/>
      <c r="I23" s="145"/>
      <c r="J23" s="12"/>
      <c r="K23" s="12"/>
      <c r="L23" s="12"/>
      <c r="M23" s="13"/>
    </row>
    <row r="24" spans="1:13" ht="15">
      <c r="A24" s="146" t="s">
        <v>39</v>
      </c>
      <c r="B24" s="146"/>
      <c r="C24" s="18">
        <v>4</v>
      </c>
      <c r="D24" s="18"/>
      <c r="E24" s="18">
        <v>1298</v>
      </c>
      <c r="F24" s="19">
        <v>1</v>
      </c>
      <c r="G24" s="10"/>
      <c r="H24" s="145" t="s">
        <v>40</v>
      </c>
      <c r="I24" s="145"/>
      <c r="J24" s="12">
        <v>13</v>
      </c>
      <c r="K24" s="12">
        <v>209</v>
      </c>
      <c r="L24" s="12">
        <v>395</v>
      </c>
      <c r="M24" s="13">
        <v>0.31499202551834132</v>
      </c>
    </row>
    <row r="25" spans="1:13" ht="15">
      <c r="A25" s="145"/>
      <c r="B25" s="145"/>
      <c r="C25" s="12"/>
      <c r="D25" s="12"/>
      <c r="E25" s="12"/>
      <c r="F25" s="13"/>
      <c r="G25" s="10"/>
      <c r="H25" s="145" t="s">
        <v>41</v>
      </c>
      <c r="I25" s="145"/>
      <c r="J25" s="12">
        <v>9</v>
      </c>
      <c r="K25" s="12">
        <v>356</v>
      </c>
      <c r="L25" s="12">
        <v>659</v>
      </c>
      <c r="M25" s="13">
        <v>0.52551834130781494</v>
      </c>
    </row>
    <row r="26" spans="1:13" ht="15">
      <c r="A26" s="145" t="s">
        <v>42</v>
      </c>
      <c r="B26" s="145"/>
      <c r="C26" s="12">
        <v>1</v>
      </c>
      <c r="D26" s="12">
        <v>281</v>
      </c>
      <c r="E26" s="12">
        <v>562</v>
      </c>
      <c r="F26" s="13">
        <v>0.13879970363052604</v>
      </c>
      <c r="G26" s="10"/>
      <c r="H26" s="145" t="s">
        <v>43</v>
      </c>
      <c r="I26" s="145"/>
      <c r="J26" s="12">
        <v>2</v>
      </c>
      <c r="K26" s="12">
        <v>97</v>
      </c>
      <c r="L26" s="12">
        <v>200</v>
      </c>
      <c r="M26" s="13">
        <v>0.15948963317384371</v>
      </c>
    </row>
    <row r="27" spans="1:13" ht="15">
      <c r="A27" s="145" t="s">
        <v>44</v>
      </c>
      <c r="B27" s="145"/>
      <c r="C27" s="12">
        <v>4</v>
      </c>
      <c r="D27" s="12">
        <v>1000</v>
      </c>
      <c r="E27" s="12">
        <v>2737</v>
      </c>
      <c r="F27" s="13">
        <v>0.67596937515435906</v>
      </c>
      <c r="G27" s="10"/>
      <c r="H27" s="146" t="s">
        <v>45</v>
      </c>
      <c r="I27" s="146"/>
      <c r="J27" s="18">
        <v>24</v>
      </c>
      <c r="K27" s="18">
        <v>662</v>
      </c>
      <c r="L27" s="18">
        <v>1254</v>
      </c>
      <c r="M27" s="19">
        <v>1</v>
      </c>
    </row>
    <row r="28" spans="1:13" ht="15">
      <c r="A28" s="145" t="s">
        <v>46</v>
      </c>
      <c r="B28" s="145"/>
      <c r="C28" s="12">
        <v>2</v>
      </c>
      <c r="D28" s="12">
        <v>375</v>
      </c>
      <c r="E28" s="12">
        <v>750</v>
      </c>
      <c r="F28" s="13">
        <v>0.18523092121511484</v>
      </c>
      <c r="G28" s="10"/>
      <c r="H28" s="145"/>
      <c r="I28" s="145"/>
      <c r="J28" s="12"/>
      <c r="K28" s="12"/>
      <c r="L28" s="12"/>
      <c r="M28" s="13"/>
    </row>
    <row r="29" spans="1:13" ht="15">
      <c r="A29" s="146" t="s">
        <v>47</v>
      </c>
      <c r="B29" s="146"/>
      <c r="C29" s="18">
        <v>7</v>
      </c>
      <c r="D29" s="18">
        <v>1656</v>
      </c>
      <c r="E29" s="18">
        <v>4049</v>
      </c>
      <c r="F29" s="19">
        <v>1</v>
      </c>
      <c r="G29" s="10"/>
      <c r="H29" s="145" t="s">
        <v>48</v>
      </c>
      <c r="I29" s="145"/>
      <c r="J29" s="12">
        <v>38</v>
      </c>
      <c r="K29" s="12">
        <v>1031</v>
      </c>
      <c r="L29" s="12">
        <v>1889</v>
      </c>
      <c r="M29" s="13">
        <v>0.500662602703419</v>
      </c>
    </row>
    <row r="30" spans="1:13" ht="15">
      <c r="A30" s="145"/>
      <c r="B30" s="145"/>
      <c r="C30" s="12"/>
      <c r="D30" s="12"/>
      <c r="E30" s="12"/>
      <c r="F30" s="13"/>
      <c r="G30" s="10"/>
      <c r="H30" s="145" t="s">
        <v>49</v>
      </c>
      <c r="I30" s="145"/>
      <c r="J30" s="12">
        <v>28</v>
      </c>
      <c r="K30" s="12">
        <v>952</v>
      </c>
      <c r="L30" s="12">
        <v>1813</v>
      </c>
      <c r="M30" s="13">
        <v>0.48051948051948051</v>
      </c>
    </row>
    <row r="31" spans="1:13" ht="15">
      <c r="A31" s="145" t="s">
        <v>50</v>
      </c>
      <c r="B31" s="145"/>
      <c r="C31" s="12">
        <v>6</v>
      </c>
      <c r="D31" s="12">
        <v>307</v>
      </c>
      <c r="E31" s="12">
        <v>554</v>
      </c>
      <c r="F31" s="13">
        <v>1.5895331822224773E-2</v>
      </c>
      <c r="G31" s="10"/>
      <c r="H31" s="145" t="s">
        <v>51</v>
      </c>
      <c r="I31" s="145"/>
      <c r="J31" s="12">
        <v>2</v>
      </c>
      <c r="K31" s="12">
        <v>37</v>
      </c>
      <c r="L31" s="12">
        <v>71</v>
      </c>
      <c r="M31" s="13">
        <v>1.881791677710045E-2</v>
      </c>
    </row>
    <row r="32" spans="1:13" ht="15">
      <c r="A32" s="145" t="s">
        <v>52</v>
      </c>
      <c r="B32" s="145"/>
      <c r="C32" s="12">
        <v>29</v>
      </c>
      <c r="D32" s="12">
        <v>4528</v>
      </c>
      <c r="E32" s="12">
        <v>8553</v>
      </c>
      <c r="F32" s="13">
        <v>0.24540211746478066</v>
      </c>
      <c r="G32" s="10"/>
      <c r="H32" s="146" t="s">
        <v>53</v>
      </c>
      <c r="I32" s="146"/>
      <c r="J32" s="18">
        <v>68</v>
      </c>
      <c r="K32" s="18">
        <v>2020</v>
      </c>
      <c r="L32" s="18">
        <v>3773</v>
      </c>
      <c r="M32" s="19">
        <v>1</v>
      </c>
    </row>
    <row r="33" spans="1:13" ht="15">
      <c r="A33" s="145" t="s">
        <v>54</v>
      </c>
      <c r="B33" s="145"/>
      <c r="C33" s="12">
        <v>50</v>
      </c>
      <c r="D33" s="12">
        <v>11005</v>
      </c>
      <c r="E33" s="12">
        <v>20934</v>
      </c>
      <c r="F33" s="13">
        <v>0.60063696095027685</v>
      </c>
      <c r="G33" s="10"/>
      <c r="H33" s="145"/>
      <c r="I33" s="145"/>
    </row>
    <row r="34" spans="1:13" ht="15">
      <c r="A34" s="145" t="s">
        <v>91</v>
      </c>
      <c r="B34" s="145"/>
      <c r="C34" s="12">
        <v>12</v>
      </c>
      <c r="D34" s="12">
        <v>2448</v>
      </c>
      <c r="E34" s="12">
        <v>4696</v>
      </c>
      <c r="F34" s="13">
        <v>0.13473732533784752</v>
      </c>
      <c r="G34" s="10"/>
      <c r="H34" s="146" t="s">
        <v>56</v>
      </c>
      <c r="I34" s="146"/>
      <c r="J34" s="18">
        <v>29</v>
      </c>
      <c r="K34" s="18">
        <v>301</v>
      </c>
      <c r="L34" s="18">
        <v>546</v>
      </c>
      <c r="M34" s="19">
        <v>1</v>
      </c>
    </row>
    <row r="35" spans="1:13" ht="15">
      <c r="A35" s="145" t="s">
        <v>57</v>
      </c>
      <c r="B35" s="145"/>
      <c r="C35" s="12">
        <v>1</v>
      </c>
      <c r="D35" s="12">
        <v>59</v>
      </c>
      <c r="E35" s="12">
        <v>116</v>
      </c>
      <c r="F35" s="13">
        <v>3.328264424870169E-3</v>
      </c>
      <c r="G35" s="10"/>
      <c r="H35" s="146" t="s">
        <v>58</v>
      </c>
      <c r="I35" s="146"/>
      <c r="J35" s="18">
        <v>3</v>
      </c>
      <c r="K35" s="18">
        <v>49</v>
      </c>
      <c r="L35" s="18">
        <v>89</v>
      </c>
      <c r="M35" s="19">
        <v>1</v>
      </c>
    </row>
    <row r="36" spans="1:13" ht="15">
      <c r="A36" s="145"/>
      <c r="B36" s="148"/>
      <c r="C36" s="12"/>
      <c r="D36" s="12"/>
      <c r="E36" s="12"/>
      <c r="F36" s="13"/>
      <c r="G36" s="10"/>
      <c r="H36" s="146" t="s">
        <v>60</v>
      </c>
      <c r="I36" s="146"/>
      <c r="J36" s="18"/>
      <c r="K36" s="18"/>
      <c r="L36" s="18"/>
      <c r="M36" s="19"/>
    </row>
    <row r="37" spans="1:13" ht="15">
      <c r="A37" s="146" t="s">
        <v>61</v>
      </c>
      <c r="B37" s="146"/>
      <c r="C37" s="18">
        <v>98</v>
      </c>
      <c r="D37" s="18">
        <v>18347</v>
      </c>
      <c r="E37" s="18">
        <v>34853</v>
      </c>
      <c r="F37" s="19">
        <v>1</v>
      </c>
      <c r="G37" s="10"/>
      <c r="H37" s="145"/>
      <c r="I37" s="145"/>
      <c r="J37" s="12"/>
      <c r="K37" s="12"/>
      <c r="L37" s="12"/>
      <c r="M37" s="12"/>
    </row>
    <row r="38" spans="1:13" ht="15">
      <c r="A38" s="145"/>
      <c r="B38" s="145"/>
      <c r="C38" s="12"/>
      <c r="D38" s="12"/>
      <c r="E38" s="12"/>
      <c r="F38" s="13"/>
      <c r="G38" s="10"/>
      <c r="H38" s="145"/>
      <c r="I38" s="145"/>
      <c r="J38" s="12"/>
      <c r="K38" s="12"/>
      <c r="L38" s="12"/>
      <c r="M38" s="12"/>
    </row>
    <row r="39" spans="1:13" ht="15">
      <c r="A39" s="145" t="s">
        <v>62</v>
      </c>
      <c r="B39" s="145"/>
      <c r="C39" s="12">
        <v>7</v>
      </c>
      <c r="D39" s="12">
        <v>316</v>
      </c>
      <c r="E39" s="12">
        <v>581</v>
      </c>
      <c r="F39" s="13">
        <v>0.20580942260007085</v>
      </c>
      <c r="G39" s="10"/>
      <c r="H39" s="147"/>
      <c r="I39" s="147"/>
      <c r="J39" s="12"/>
      <c r="K39" s="12"/>
      <c r="L39" s="12"/>
      <c r="M39" s="12"/>
    </row>
    <row r="40" spans="1:13" ht="15">
      <c r="A40" s="145" t="s">
        <v>63</v>
      </c>
      <c r="B40" s="145"/>
      <c r="C40" s="12">
        <v>9</v>
      </c>
      <c r="D40" s="12">
        <v>705</v>
      </c>
      <c r="E40" s="12">
        <v>1311</v>
      </c>
      <c r="F40" s="13">
        <v>0.46439957492029754</v>
      </c>
      <c r="G40" s="10"/>
      <c r="H40" s="11"/>
      <c r="I40" s="11"/>
      <c r="J40" s="12"/>
      <c r="K40" s="12"/>
      <c r="L40" s="12"/>
      <c r="M40" s="14"/>
    </row>
    <row r="41" spans="1:13" ht="15">
      <c r="A41" s="145" t="s">
        <v>64</v>
      </c>
      <c r="B41" s="145"/>
      <c r="C41" s="12">
        <v>5</v>
      </c>
      <c r="D41" s="12">
        <v>394</v>
      </c>
      <c r="E41" s="12">
        <v>713</v>
      </c>
      <c r="F41" s="13">
        <v>0.25256818986893376</v>
      </c>
      <c r="G41" s="10"/>
      <c r="H41" s="146" t="s">
        <v>65</v>
      </c>
      <c r="I41" s="146"/>
      <c r="J41" s="18">
        <v>560</v>
      </c>
      <c r="K41" s="18">
        <v>36560</v>
      </c>
      <c r="L41" s="18">
        <v>80746</v>
      </c>
      <c r="M41" s="12"/>
    </row>
    <row r="42" spans="1:13" ht="15">
      <c r="A42" s="145" t="s">
        <v>93</v>
      </c>
      <c r="B42" s="145"/>
      <c r="C42" s="12">
        <v>2</v>
      </c>
      <c r="D42" s="12">
        <v>126</v>
      </c>
      <c r="E42" s="12">
        <v>218</v>
      </c>
      <c r="F42" s="13">
        <v>7.7222812610697841E-2</v>
      </c>
      <c r="G42" s="10"/>
      <c r="H42" s="11"/>
      <c r="I42" s="11"/>
      <c r="J42" s="12"/>
      <c r="K42" s="12"/>
      <c r="L42" s="12"/>
      <c r="M42" s="14"/>
    </row>
    <row r="43" spans="1:13" ht="15">
      <c r="A43" s="145" t="s">
        <v>67</v>
      </c>
      <c r="B43" s="145"/>
      <c r="C43" s="12"/>
      <c r="D43" s="12"/>
      <c r="E43" s="12"/>
      <c r="F43" s="13"/>
      <c r="G43" s="10"/>
      <c r="H43" s="11"/>
      <c r="I43" s="11"/>
      <c r="J43" s="14"/>
      <c r="K43" s="14"/>
      <c r="L43" s="14"/>
      <c r="M43" s="14"/>
    </row>
    <row r="44" spans="1:13" ht="15">
      <c r="A44" s="146" t="s">
        <v>68</v>
      </c>
      <c r="B44" s="146"/>
      <c r="C44" s="18">
        <v>23</v>
      </c>
      <c r="D44" s="18">
        <v>1541</v>
      </c>
      <c r="E44" s="18">
        <v>2823</v>
      </c>
      <c r="F44" s="19">
        <v>1</v>
      </c>
      <c r="G44" s="10"/>
      <c r="H44" s="11"/>
      <c r="I44" s="11"/>
      <c r="J44" s="14"/>
      <c r="K44" s="14"/>
      <c r="L44" s="14"/>
      <c r="M44" s="14"/>
    </row>
    <row r="45" spans="1:13" ht="15">
      <c r="A45" s="145"/>
      <c r="B45" s="145"/>
      <c r="C45" s="15"/>
      <c r="D45" s="15"/>
      <c r="E45" s="15"/>
      <c r="F45" s="15"/>
      <c r="G45" s="10"/>
      <c r="H45" s="16"/>
      <c r="I45" s="16"/>
      <c r="J45" s="10"/>
      <c r="K45" s="10"/>
      <c r="L45" s="10"/>
      <c r="M45" s="10"/>
    </row>
  </sheetData>
  <sheetProtection algorithmName="SHA-512" hashValue="YUj68GuMDpJXKC8ivAxtk+q/qUhWHLgWOKprDyNc7SmsyWLHl+bAfOHxhHmhuaUwalt3gnOKkGto8roVz+CYRw==" saltValue="W2a7XISQr5uG/4Z6A6WK+g==" spinCount="100000" sheet="1"/>
  <mergeCells count="73">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5:B45"/>
    <mergeCell ref="A40:B40"/>
    <mergeCell ref="A41:B41"/>
    <mergeCell ref="H41:I41"/>
    <mergeCell ref="A42:B42"/>
    <mergeCell ref="A43:B43"/>
    <mergeCell ref="A44:B44"/>
  </mergeCells>
  <pageMargins left="0.70866141732283472" right="0.70866141732283472" top="0.74803149606299213" bottom="0.74803149606299213" header="0.31496062992125984" footer="0.31496062992125984"/>
  <pageSetup paperSize="8" scale="8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2:GL17"/>
  <sheetViews>
    <sheetView showGridLines="0" zoomScaleNormal="100" zoomScaleSheetLayoutView="91" workbookViewId="0"/>
  </sheetViews>
  <sheetFormatPr baseColWidth="10" defaultRowHeight="15"/>
  <cols>
    <col min="1" max="1" width="81.28515625" customWidth="1"/>
    <col min="8" max="74" width="8.7109375" customWidth="1"/>
    <col min="75" max="75" width="12.5703125" bestFit="1" customWidth="1"/>
  </cols>
  <sheetData>
    <row r="2" spans="1:194" ht="16.5">
      <c r="A2" s="5" t="s">
        <v>125</v>
      </c>
      <c r="B2" s="27"/>
    </row>
    <row r="3" spans="1:194" ht="16.5">
      <c r="A3" s="30" t="s">
        <v>126</v>
      </c>
      <c r="B3" s="27"/>
    </row>
    <row r="4" spans="1:194" ht="16.5">
      <c r="A4" s="30" t="s">
        <v>127</v>
      </c>
      <c r="B4" s="27"/>
    </row>
    <row r="5" spans="1:194" ht="19.5" customHeight="1"/>
    <row r="6" spans="1:194">
      <c r="A6" s="58" t="s">
        <v>129</v>
      </c>
      <c r="B6" s="152" t="s">
        <v>72</v>
      </c>
      <c r="C6" s="152"/>
      <c r="D6" s="152" t="s">
        <v>73</v>
      </c>
      <c r="E6" s="152"/>
      <c r="F6" s="152" t="s">
        <v>74</v>
      </c>
      <c r="G6" s="152"/>
      <c r="H6" s="152" t="s">
        <v>75</v>
      </c>
      <c r="I6" s="152"/>
      <c r="J6" s="152" t="s">
        <v>26</v>
      </c>
      <c r="K6" s="152"/>
      <c r="L6" s="152" t="s">
        <v>27</v>
      </c>
      <c r="M6" s="152"/>
      <c r="N6" s="152" t="s">
        <v>36</v>
      </c>
      <c r="O6" s="152"/>
      <c r="P6" s="152" t="s">
        <v>34</v>
      </c>
      <c r="Q6" s="152"/>
      <c r="R6" s="152" t="s">
        <v>42</v>
      </c>
      <c r="S6" s="152"/>
      <c r="T6" s="152" t="s">
        <v>44</v>
      </c>
      <c r="U6" s="152"/>
      <c r="V6" s="152" t="s">
        <v>46</v>
      </c>
      <c r="W6" s="152"/>
      <c r="X6" s="152" t="s">
        <v>50</v>
      </c>
      <c r="Y6" s="152"/>
      <c r="Z6" s="152" t="s">
        <v>52</v>
      </c>
      <c r="AA6" s="152"/>
      <c r="AB6" s="152" t="s">
        <v>54</v>
      </c>
      <c r="AC6" s="152"/>
      <c r="AD6" s="152" t="s">
        <v>55</v>
      </c>
      <c r="AE6" s="152"/>
      <c r="AF6" s="152" t="s">
        <v>57</v>
      </c>
      <c r="AG6" s="152"/>
      <c r="AH6" s="152" t="s">
        <v>62</v>
      </c>
      <c r="AI6" s="152"/>
      <c r="AJ6" s="152" t="s">
        <v>63</v>
      </c>
      <c r="AK6" s="152"/>
      <c r="AL6" s="152" t="s">
        <v>64</v>
      </c>
      <c r="AM6" s="152"/>
      <c r="AN6" s="152" t="s">
        <v>66</v>
      </c>
      <c r="AO6" s="152"/>
      <c r="AP6" s="152" t="s">
        <v>16</v>
      </c>
      <c r="AQ6" s="152"/>
      <c r="AR6" s="152" t="s">
        <v>18</v>
      </c>
      <c r="AS6" s="152"/>
      <c r="AT6" s="152" t="s">
        <v>20</v>
      </c>
      <c r="AU6" s="152"/>
      <c r="AV6" s="152" t="s">
        <v>22</v>
      </c>
      <c r="AW6" s="152"/>
      <c r="AX6" s="152" t="s">
        <v>28</v>
      </c>
      <c r="AY6" s="152"/>
      <c r="AZ6" s="152" t="s">
        <v>30</v>
      </c>
      <c r="BA6" s="152"/>
      <c r="BB6" s="152" t="s">
        <v>31</v>
      </c>
      <c r="BC6" s="152"/>
      <c r="BD6" s="152" t="s">
        <v>33</v>
      </c>
      <c r="BE6" s="152"/>
      <c r="BF6" s="152" t="s">
        <v>40</v>
      </c>
      <c r="BG6" s="152"/>
      <c r="BH6" s="152" t="s">
        <v>41</v>
      </c>
      <c r="BI6" s="152"/>
      <c r="BJ6" s="152" t="s">
        <v>43</v>
      </c>
      <c r="BK6" s="152"/>
      <c r="BL6" s="152" t="s">
        <v>48</v>
      </c>
      <c r="BM6" s="152"/>
      <c r="BN6" s="152" t="s">
        <v>49</v>
      </c>
      <c r="BO6" s="152"/>
      <c r="BP6" s="152" t="s">
        <v>51</v>
      </c>
      <c r="BQ6" s="152"/>
      <c r="BR6" s="152" t="s">
        <v>56</v>
      </c>
      <c r="BS6" s="152"/>
      <c r="BT6" s="152" t="s">
        <v>58</v>
      </c>
      <c r="BU6" s="152"/>
      <c r="BV6" s="152" t="s">
        <v>65</v>
      </c>
      <c r="BW6" s="152"/>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7"/>
      <c r="FM6" s="57"/>
      <c r="FN6" s="57"/>
      <c r="FO6" s="57"/>
      <c r="FP6" s="57"/>
      <c r="FQ6" s="57"/>
      <c r="FR6" s="57"/>
      <c r="FS6" s="57"/>
      <c r="FT6" s="57"/>
      <c r="FU6" s="57"/>
      <c r="FV6" s="57"/>
      <c r="FW6" s="57"/>
      <c r="FX6" s="57"/>
      <c r="FY6" s="57"/>
      <c r="FZ6" s="57"/>
      <c r="GA6" s="57"/>
      <c r="GB6" s="57"/>
      <c r="GC6" s="57"/>
      <c r="GD6" s="57"/>
      <c r="GE6" s="57"/>
      <c r="GF6" s="57"/>
      <c r="GG6" s="57"/>
      <c r="GH6" s="57"/>
      <c r="GI6" s="57"/>
      <c r="GJ6" s="57"/>
      <c r="GK6" s="57"/>
      <c r="GL6" s="57"/>
    </row>
    <row r="7" spans="1:194">
      <c r="A7" s="58"/>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row>
    <row r="8" spans="1:194">
      <c r="A8" s="73" t="s">
        <v>81</v>
      </c>
      <c r="B8" s="38" t="s">
        <v>82</v>
      </c>
      <c r="C8" s="38" t="s">
        <v>83</v>
      </c>
      <c r="D8" s="38" t="s">
        <v>82</v>
      </c>
      <c r="E8" s="38" t="s">
        <v>83</v>
      </c>
      <c r="F8" s="38" t="s">
        <v>82</v>
      </c>
      <c r="G8" s="38" t="s">
        <v>83</v>
      </c>
      <c r="H8" s="38" t="s">
        <v>82</v>
      </c>
      <c r="I8" s="38" t="s">
        <v>83</v>
      </c>
      <c r="J8" s="38" t="s">
        <v>82</v>
      </c>
      <c r="K8" s="38" t="s">
        <v>83</v>
      </c>
      <c r="L8" s="38" t="s">
        <v>82</v>
      </c>
      <c r="M8" s="38" t="s">
        <v>83</v>
      </c>
      <c r="N8" s="38" t="s">
        <v>82</v>
      </c>
      <c r="O8" s="38" t="s">
        <v>83</v>
      </c>
      <c r="P8" s="38" t="s">
        <v>82</v>
      </c>
      <c r="Q8" s="38" t="s">
        <v>83</v>
      </c>
      <c r="R8" s="38" t="s">
        <v>82</v>
      </c>
      <c r="S8" s="38" t="s">
        <v>83</v>
      </c>
      <c r="T8" s="38" t="s">
        <v>82</v>
      </c>
      <c r="U8" s="38" t="s">
        <v>83</v>
      </c>
      <c r="V8" s="38" t="s">
        <v>82</v>
      </c>
      <c r="W8" s="38" t="s">
        <v>83</v>
      </c>
      <c r="X8" s="38" t="s">
        <v>82</v>
      </c>
      <c r="Y8" s="38" t="s">
        <v>83</v>
      </c>
      <c r="Z8" s="38" t="s">
        <v>82</v>
      </c>
      <c r="AA8" s="38" t="s">
        <v>83</v>
      </c>
      <c r="AB8" s="38" t="s">
        <v>82</v>
      </c>
      <c r="AC8" s="38" t="s">
        <v>83</v>
      </c>
      <c r="AD8" s="38" t="s">
        <v>82</v>
      </c>
      <c r="AE8" s="38" t="s">
        <v>83</v>
      </c>
      <c r="AF8" s="38" t="s">
        <v>82</v>
      </c>
      <c r="AG8" s="38" t="s">
        <v>83</v>
      </c>
      <c r="AH8" s="38" t="s">
        <v>82</v>
      </c>
      <c r="AI8" s="38" t="s">
        <v>83</v>
      </c>
      <c r="AJ8" s="38" t="s">
        <v>82</v>
      </c>
      <c r="AK8" s="38" t="s">
        <v>83</v>
      </c>
      <c r="AL8" s="38" t="s">
        <v>82</v>
      </c>
      <c r="AM8" s="38" t="s">
        <v>83</v>
      </c>
      <c r="AN8" s="38" t="s">
        <v>82</v>
      </c>
      <c r="AO8" s="38" t="s">
        <v>83</v>
      </c>
      <c r="AP8" s="38" t="s">
        <v>82</v>
      </c>
      <c r="AQ8" s="38" t="s">
        <v>83</v>
      </c>
      <c r="AR8" s="38" t="s">
        <v>82</v>
      </c>
      <c r="AS8" s="38" t="s">
        <v>83</v>
      </c>
      <c r="AT8" s="38" t="s">
        <v>82</v>
      </c>
      <c r="AU8" s="38" t="s">
        <v>83</v>
      </c>
      <c r="AV8" s="38" t="s">
        <v>82</v>
      </c>
      <c r="AW8" s="38" t="s">
        <v>83</v>
      </c>
      <c r="AX8" s="38" t="s">
        <v>82</v>
      </c>
      <c r="AY8" s="38" t="s">
        <v>83</v>
      </c>
      <c r="AZ8" s="38" t="s">
        <v>82</v>
      </c>
      <c r="BA8" s="38" t="s">
        <v>83</v>
      </c>
      <c r="BB8" s="38" t="s">
        <v>82</v>
      </c>
      <c r="BC8" s="38" t="s">
        <v>83</v>
      </c>
      <c r="BD8" s="38" t="s">
        <v>82</v>
      </c>
      <c r="BE8" s="38" t="s">
        <v>83</v>
      </c>
      <c r="BF8" s="38" t="s">
        <v>82</v>
      </c>
      <c r="BG8" s="38" t="s">
        <v>83</v>
      </c>
      <c r="BH8" s="38" t="s">
        <v>82</v>
      </c>
      <c r="BI8" s="38" t="s">
        <v>83</v>
      </c>
      <c r="BJ8" s="38" t="s">
        <v>82</v>
      </c>
      <c r="BK8" s="38" t="s">
        <v>83</v>
      </c>
      <c r="BL8" s="38" t="s">
        <v>82</v>
      </c>
      <c r="BM8" s="38" t="s">
        <v>83</v>
      </c>
      <c r="BN8" s="38" t="s">
        <v>82</v>
      </c>
      <c r="BO8" s="38" t="s">
        <v>83</v>
      </c>
      <c r="BP8" s="38" t="s">
        <v>82</v>
      </c>
      <c r="BQ8" s="38" t="s">
        <v>83</v>
      </c>
      <c r="BR8" s="38" t="s">
        <v>82</v>
      </c>
      <c r="BS8" s="38" t="s">
        <v>83</v>
      </c>
      <c r="BT8" s="38" t="s">
        <v>82</v>
      </c>
      <c r="BU8" s="38" t="s">
        <v>83</v>
      </c>
      <c r="BV8" s="38" t="s">
        <v>82</v>
      </c>
      <c r="BW8" s="38" t="s">
        <v>83</v>
      </c>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row>
    <row r="9" spans="1:194" s="27" customFormat="1">
      <c r="A9" s="37" t="s">
        <v>217</v>
      </c>
      <c r="B9" s="46">
        <v>31</v>
      </c>
      <c r="C9" s="46">
        <v>2010</v>
      </c>
      <c r="D9" s="46">
        <v>16</v>
      </c>
      <c r="E9" s="46">
        <v>1733</v>
      </c>
      <c r="F9" s="46">
        <v>7</v>
      </c>
      <c r="G9" s="46">
        <v>1266</v>
      </c>
      <c r="H9" s="47"/>
      <c r="I9" s="47"/>
      <c r="J9" s="47"/>
      <c r="K9" s="47"/>
      <c r="L9" s="47"/>
      <c r="M9" s="47"/>
      <c r="N9" s="47"/>
      <c r="O9" s="47"/>
      <c r="P9" s="47"/>
      <c r="Q9" s="47"/>
      <c r="R9" s="47"/>
      <c r="S9" s="47"/>
      <c r="T9" s="47"/>
      <c r="U9" s="47"/>
      <c r="V9" s="47"/>
      <c r="W9" s="47"/>
      <c r="X9" s="46">
        <v>3</v>
      </c>
      <c r="Y9" s="46">
        <v>294</v>
      </c>
      <c r="Z9" s="46">
        <v>8</v>
      </c>
      <c r="AA9" s="46">
        <v>2326</v>
      </c>
      <c r="AB9" s="46">
        <v>4</v>
      </c>
      <c r="AC9" s="46">
        <v>1728</v>
      </c>
      <c r="AD9" s="46">
        <v>6</v>
      </c>
      <c r="AE9" s="46">
        <v>2195</v>
      </c>
      <c r="AF9" s="47"/>
      <c r="AG9" s="47"/>
      <c r="AH9" s="46">
        <v>2</v>
      </c>
      <c r="AI9" s="46">
        <v>169</v>
      </c>
      <c r="AJ9" s="46">
        <v>3</v>
      </c>
      <c r="AK9" s="46">
        <v>411</v>
      </c>
      <c r="AL9" s="47"/>
      <c r="AM9" s="47"/>
      <c r="AN9" s="46">
        <v>1</v>
      </c>
      <c r="AO9" s="46">
        <v>199</v>
      </c>
      <c r="AP9" s="47"/>
      <c r="AQ9" s="47"/>
      <c r="AR9" s="46">
        <v>1</v>
      </c>
      <c r="AS9" s="46">
        <v>213</v>
      </c>
      <c r="AT9" s="46">
        <v>1</v>
      </c>
      <c r="AU9" s="46">
        <v>517</v>
      </c>
      <c r="AV9" s="47"/>
      <c r="AW9" s="47"/>
      <c r="AX9" s="47"/>
      <c r="AY9" s="47"/>
      <c r="AZ9" s="47"/>
      <c r="BA9" s="47"/>
      <c r="BB9" s="47"/>
      <c r="BC9" s="47"/>
      <c r="BD9" s="47"/>
      <c r="BE9" s="47"/>
      <c r="BF9" s="46">
        <v>2</v>
      </c>
      <c r="BG9" s="46">
        <v>101</v>
      </c>
      <c r="BH9" s="46">
        <v>1</v>
      </c>
      <c r="BI9" s="46">
        <v>75</v>
      </c>
      <c r="BJ9" s="47"/>
      <c r="BK9" s="47"/>
      <c r="BL9" s="46">
        <v>11</v>
      </c>
      <c r="BM9" s="46">
        <v>452</v>
      </c>
      <c r="BN9" s="46">
        <v>5</v>
      </c>
      <c r="BO9" s="46">
        <v>180</v>
      </c>
      <c r="BP9" s="46">
        <v>2</v>
      </c>
      <c r="BQ9" s="46">
        <v>71</v>
      </c>
      <c r="BR9" s="46">
        <v>15</v>
      </c>
      <c r="BS9" s="46">
        <v>239</v>
      </c>
      <c r="BT9" s="47"/>
      <c r="BU9" s="47"/>
      <c r="BV9" s="56">
        <v>119</v>
      </c>
      <c r="BW9" s="56">
        <v>14179</v>
      </c>
    </row>
    <row r="10" spans="1:194" s="27" customFormat="1">
      <c r="A10" s="37" t="s">
        <v>84</v>
      </c>
      <c r="B10" s="46">
        <v>43</v>
      </c>
      <c r="C10" s="46">
        <v>3027</v>
      </c>
      <c r="D10" s="46">
        <v>16</v>
      </c>
      <c r="E10" s="46">
        <v>1957</v>
      </c>
      <c r="F10" s="46">
        <v>2</v>
      </c>
      <c r="G10" s="46">
        <v>60</v>
      </c>
      <c r="H10" s="47"/>
      <c r="I10" s="47"/>
      <c r="J10" s="46"/>
      <c r="K10" s="46"/>
      <c r="L10" s="46">
        <v>2</v>
      </c>
      <c r="M10" s="46">
        <v>44</v>
      </c>
      <c r="N10" s="47"/>
      <c r="O10" s="47"/>
      <c r="P10" s="47">
        <v>1</v>
      </c>
      <c r="Q10" s="47">
        <v>274</v>
      </c>
      <c r="R10" s="47"/>
      <c r="S10" s="47"/>
      <c r="T10" s="47"/>
      <c r="U10" s="47"/>
      <c r="V10" s="47"/>
      <c r="W10" s="47"/>
      <c r="X10" s="46">
        <v>3</v>
      </c>
      <c r="Y10" s="46">
        <v>260</v>
      </c>
      <c r="Z10" s="46">
        <v>7</v>
      </c>
      <c r="AA10" s="46">
        <v>2308</v>
      </c>
      <c r="AB10" s="46">
        <v>11</v>
      </c>
      <c r="AC10" s="46">
        <v>3257</v>
      </c>
      <c r="AD10" s="46"/>
      <c r="AE10" s="46"/>
      <c r="AF10" s="47"/>
      <c r="AG10" s="47"/>
      <c r="AH10" s="46">
        <v>5</v>
      </c>
      <c r="AI10" s="46">
        <v>412</v>
      </c>
      <c r="AJ10" s="46">
        <v>4</v>
      </c>
      <c r="AK10" s="46">
        <v>676</v>
      </c>
      <c r="AL10" s="47"/>
      <c r="AM10" s="47"/>
      <c r="AN10" s="47"/>
      <c r="AO10" s="47"/>
      <c r="AP10" s="46">
        <v>1</v>
      </c>
      <c r="AQ10" s="46">
        <v>104</v>
      </c>
      <c r="AR10" s="47"/>
      <c r="AS10" s="47"/>
      <c r="AT10" s="46">
        <v>2</v>
      </c>
      <c r="AU10" s="46">
        <v>923</v>
      </c>
      <c r="AV10" s="46">
        <v>2</v>
      </c>
      <c r="AW10" s="46">
        <v>338</v>
      </c>
      <c r="AX10" s="47"/>
      <c r="AY10" s="47"/>
      <c r="AZ10" s="46">
        <v>1</v>
      </c>
      <c r="BA10" s="46">
        <v>184</v>
      </c>
      <c r="BB10" s="47"/>
      <c r="BC10" s="47"/>
      <c r="BD10" s="47"/>
      <c r="BE10" s="47"/>
      <c r="BF10" s="46">
        <v>2</v>
      </c>
      <c r="BG10" s="46">
        <v>76</v>
      </c>
      <c r="BH10" s="46">
        <v>3</v>
      </c>
      <c r="BI10" s="46">
        <v>301</v>
      </c>
      <c r="BJ10" s="46">
        <v>1</v>
      </c>
      <c r="BK10" s="46">
        <v>184</v>
      </c>
      <c r="BL10" s="46">
        <v>17</v>
      </c>
      <c r="BM10" s="46">
        <v>1060</v>
      </c>
      <c r="BN10" s="46">
        <v>13</v>
      </c>
      <c r="BO10" s="46">
        <v>1089</v>
      </c>
      <c r="BP10" s="47"/>
      <c r="BQ10" s="47"/>
      <c r="BR10" s="46">
        <v>11</v>
      </c>
      <c r="BS10" s="46">
        <v>259</v>
      </c>
      <c r="BT10" s="47"/>
      <c r="BU10" s="47"/>
      <c r="BV10" s="56">
        <v>147</v>
      </c>
      <c r="BW10" s="56">
        <v>16793</v>
      </c>
    </row>
    <row r="11" spans="1:194" s="27" customFormat="1">
      <c r="A11" s="37" t="s">
        <v>86</v>
      </c>
      <c r="B11" s="46">
        <v>27</v>
      </c>
      <c r="C11" s="46">
        <v>2056</v>
      </c>
      <c r="D11" s="46">
        <v>16</v>
      </c>
      <c r="E11" s="46">
        <v>2320</v>
      </c>
      <c r="F11" s="46">
        <v>18</v>
      </c>
      <c r="G11" s="46">
        <v>2469</v>
      </c>
      <c r="H11" s="47"/>
      <c r="I11" s="47"/>
      <c r="J11" s="47"/>
      <c r="K11" s="47"/>
      <c r="L11" s="46">
        <v>2</v>
      </c>
      <c r="M11" s="46">
        <v>13</v>
      </c>
      <c r="N11" s="47"/>
      <c r="O11" s="47"/>
      <c r="P11" s="47">
        <v>1</v>
      </c>
      <c r="Q11" s="47">
        <v>400</v>
      </c>
      <c r="R11" s="47"/>
      <c r="S11" s="47"/>
      <c r="T11" s="46">
        <v>1</v>
      </c>
      <c r="U11" s="46">
        <v>736</v>
      </c>
      <c r="V11" s="47"/>
      <c r="W11" s="47"/>
      <c r="X11" s="47"/>
      <c r="Y11" s="47"/>
      <c r="Z11" s="46">
        <v>7</v>
      </c>
      <c r="AA11" s="46">
        <v>1558</v>
      </c>
      <c r="AB11" s="46">
        <v>14</v>
      </c>
      <c r="AC11" s="46">
        <v>7783</v>
      </c>
      <c r="AD11" s="46">
        <v>4</v>
      </c>
      <c r="AE11" s="46">
        <v>1611</v>
      </c>
      <c r="AF11" s="47"/>
      <c r="AG11" s="47"/>
      <c r="AH11" s="47"/>
      <c r="AI11" s="47"/>
      <c r="AJ11" s="46">
        <v>1</v>
      </c>
      <c r="AK11" s="46">
        <v>84</v>
      </c>
      <c r="AL11" s="46">
        <v>2</v>
      </c>
      <c r="AM11" s="46">
        <v>296</v>
      </c>
      <c r="AN11" s="46">
        <v>1</v>
      </c>
      <c r="AO11" s="46">
        <v>19</v>
      </c>
      <c r="AP11" s="47"/>
      <c r="AQ11" s="47"/>
      <c r="AR11" s="46">
        <v>1</v>
      </c>
      <c r="AS11" s="46">
        <v>270</v>
      </c>
      <c r="AT11" s="46">
        <v>6</v>
      </c>
      <c r="AU11" s="46">
        <v>2268</v>
      </c>
      <c r="AV11" s="46">
        <v>3</v>
      </c>
      <c r="AW11" s="46">
        <v>1104</v>
      </c>
      <c r="AX11" s="46">
        <v>2</v>
      </c>
      <c r="AY11" s="46">
        <v>100</v>
      </c>
      <c r="AZ11" s="46">
        <v>1</v>
      </c>
      <c r="BA11" s="46">
        <v>180</v>
      </c>
      <c r="BB11" s="46">
        <v>1</v>
      </c>
      <c r="BC11" s="46">
        <v>258</v>
      </c>
      <c r="BD11" s="46">
        <v>1</v>
      </c>
      <c r="BE11" s="46">
        <v>42</v>
      </c>
      <c r="BF11" s="46">
        <v>3</v>
      </c>
      <c r="BG11" s="46">
        <v>44</v>
      </c>
      <c r="BH11" s="47"/>
      <c r="BI11" s="47"/>
      <c r="BJ11" s="46">
        <v>1</v>
      </c>
      <c r="BK11" s="46">
        <v>16</v>
      </c>
      <c r="BL11" s="46">
        <v>1</v>
      </c>
      <c r="BM11" s="46">
        <v>13</v>
      </c>
      <c r="BN11" s="47"/>
      <c r="BO11" s="47"/>
      <c r="BP11" s="47"/>
      <c r="BQ11" s="47"/>
      <c r="BR11" s="46">
        <v>1</v>
      </c>
      <c r="BS11" s="46">
        <v>12</v>
      </c>
      <c r="BT11" s="47"/>
      <c r="BU11" s="47"/>
      <c r="BV11" s="56">
        <v>115</v>
      </c>
      <c r="BW11" s="56">
        <v>23652</v>
      </c>
    </row>
    <row r="12" spans="1:194" s="27" customFormat="1">
      <c r="A12" s="37" t="s">
        <v>85</v>
      </c>
      <c r="B12" s="46">
        <v>8</v>
      </c>
      <c r="C12" s="46">
        <v>690</v>
      </c>
      <c r="D12" s="46">
        <v>4</v>
      </c>
      <c r="E12" s="46">
        <v>339</v>
      </c>
      <c r="F12" s="46">
        <v>4</v>
      </c>
      <c r="G12" s="46">
        <v>298</v>
      </c>
      <c r="H12" s="47">
        <v>1</v>
      </c>
      <c r="I12" s="47">
        <v>29</v>
      </c>
      <c r="J12" s="46">
        <v>2</v>
      </c>
      <c r="K12" s="46">
        <v>48</v>
      </c>
      <c r="L12" s="46">
        <v>4</v>
      </c>
      <c r="M12" s="46">
        <v>56</v>
      </c>
      <c r="N12" s="47"/>
      <c r="O12" s="47"/>
      <c r="P12" s="47"/>
      <c r="Q12" s="47"/>
      <c r="R12" s="47">
        <v>1</v>
      </c>
      <c r="S12" s="47">
        <v>562</v>
      </c>
      <c r="T12" s="47"/>
      <c r="U12" s="47"/>
      <c r="V12" s="47">
        <v>1</v>
      </c>
      <c r="W12" s="47">
        <v>350</v>
      </c>
      <c r="X12" s="46"/>
      <c r="Y12" s="46"/>
      <c r="Z12" s="46"/>
      <c r="AA12" s="46"/>
      <c r="AB12" s="46">
        <v>8</v>
      </c>
      <c r="AC12" s="46">
        <v>2591</v>
      </c>
      <c r="AD12" s="46"/>
      <c r="AE12" s="46"/>
      <c r="AF12" s="47">
        <v>1</v>
      </c>
      <c r="AG12" s="47">
        <v>116</v>
      </c>
      <c r="AH12" s="46"/>
      <c r="AI12" s="46"/>
      <c r="AJ12" s="46"/>
      <c r="AK12" s="46"/>
      <c r="AL12" s="47"/>
      <c r="AM12" s="47"/>
      <c r="AN12" s="47"/>
      <c r="AO12" s="47"/>
      <c r="AP12" s="46"/>
      <c r="AQ12" s="46"/>
      <c r="AR12" s="47"/>
      <c r="AS12" s="47"/>
      <c r="AT12" s="46"/>
      <c r="AU12" s="46"/>
      <c r="AV12" s="46"/>
      <c r="AW12" s="46"/>
      <c r="AX12" s="47"/>
      <c r="AY12" s="47"/>
      <c r="AZ12" s="46"/>
      <c r="BA12" s="46"/>
      <c r="BB12" s="47"/>
      <c r="BC12" s="47"/>
      <c r="BD12" s="47"/>
      <c r="BE12" s="47"/>
      <c r="BF12" s="46">
        <v>1</v>
      </c>
      <c r="BG12" s="46">
        <v>20</v>
      </c>
      <c r="BH12" s="46">
        <v>1</v>
      </c>
      <c r="BI12" s="46">
        <v>21</v>
      </c>
      <c r="BJ12" s="46"/>
      <c r="BK12" s="46"/>
      <c r="BL12" s="46">
        <v>3</v>
      </c>
      <c r="BM12" s="46">
        <v>118</v>
      </c>
      <c r="BN12" s="46">
        <v>1</v>
      </c>
      <c r="BO12" s="46">
        <v>212</v>
      </c>
      <c r="BP12" s="47"/>
      <c r="BQ12" s="47"/>
      <c r="BR12" s="46">
        <v>1</v>
      </c>
      <c r="BS12" s="46">
        <v>8</v>
      </c>
      <c r="BT12" s="47"/>
      <c r="BU12" s="47"/>
      <c r="BV12" s="56">
        <v>41</v>
      </c>
      <c r="BW12" s="56">
        <v>5458</v>
      </c>
    </row>
    <row r="13" spans="1:194" s="27" customFormat="1">
      <c r="A13" s="37" t="s">
        <v>87</v>
      </c>
      <c r="B13" s="46">
        <v>39</v>
      </c>
      <c r="C13" s="46">
        <v>2203</v>
      </c>
      <c r="D13" s="46">
        <v>20</v>
      </c>
      <c r="E13" s="46">
        <v>2292</v>
      </c>
      <c r="F13" s="46">
        <v>9</v>
      </c>
      <c r="G13" s="46">
        <v>1494</v>
      </c>
      <c r="H13" s="47"/>
      <c r="I13" s="47"/>
      <c r="J13" s="47"/>
      <c r="K13" s="47"/>
      <c r="L13" s="46">
        <v>5</v>
      </c>
      <c r="M13" s="46">
        <v>80</v>
      </c>
      <c r="N13" s="47">
        <v>1</v>
      </c>
      <c r="O13" s="47">
        <v>249</v>
      </c>
      <c r="P13" s="47">
        <v>1</v>
      </c>
      <c r="Q13" s="47">
        <v>375</v>
      </c>
      <c r="R13" s="47"/>
      <c r="S13" s="47"/>
      <c r="T13" s="46">
        <v>3</v>
      </c>
      <c r="U13" s="46">
        <v>2001</v>
      </c>
      <c r="V13" s="46">
        <v>1</v>
      </c>
      <c r="W13" s="46">
        <v>400</v>
      </c>
      <c r="X13" s="47"/>
      <c r="Y13" s="47"/>
      <c r="Z13" s="46">
        <v>7</v>
      </c>
      <c r="AA13" s="46">
        <v>2361</v>
      </c>
      <c r="AB13" s="46">
        <v>13</v>
      </c>
      <c r="AC13" s="46">
        <v>5575</v>
      </c>
      <c r="AD13" s="46">
        <v>2</v>
      </c>
      <c r="AE13" s="46">
        <v>890</v>
      </c>
      <c r="AF13" s="46"/>
      <c r="AG13" s="46"/>
      <c r="AH13" s="47"/>
      <c r="AI13" s="47"/>
      <c r="AJ13" s="46">
        <v>1</v>
      </c>
      <c r="AK13" s="46">
        <v>140</v>
      </c>
      <c r="AL13" s="46">
        <v>3</v>
      </c>
      <c r="AM13" s="46">
        <v>417</v>
      </c>
      <c r="AN13" s="47"/>
      <c r="AO13" s="47"/>
      <c r="AP13" s="47"/>
      <c r="AQ13" s="47"/>
      <c r="AR13" s="47"/>
      <c r="AS13" s="47"/>
      <c r="AT13" s="46">
        <v>3</v>
      </c>
      <c r="AU13" s="46">
        <v>944</v>
      </c>
      <c r="AV13" s="46">
        <v>1</v>
      </c>
      <c r="AW13" s="46">
        <v>48</v>
      </c>
      <c r="AX13" s="47"/>
      <c r="AY13" s="47"/>
      <c r="AZ13" s="46">
        <v>1</v>
      </c>
      <c r="BA13" s="46">
        <v>84</v>
      </c>
      <c r="BB13" s="47"/>
      <c r="BC13" s="47"/>
      <c r="BD13" s="47"/>
      <c r="BE13" s="47"/>
      <c r="BF13" s="46">
        <v>5</v>
      </c>
      <c r="BG13" s="46">
        <v>154</v>
      </c>
      <c r="BH13" s="46">
        <v>4</v>
      </c>
      <c r="BI13" s="46">
        <v>262</v>
      </c>
      <c r="BJ13" s="47"/>
      <c r="BK13" s="47"/>
      <c r="BL13" s="46">
        <v>6</v>
      </c>
      <c r="BM13" s="46">
        <v>246</v>
      </c>
      <c r="BN13" s="46">
        <v>9</v>
      </c>
      <c r="BO13" s="46">
        <v>332</v>
      </c>
      <c r="BP13" s="47"/>
      <c r="BQ13" s="47"/>
      <c r="BR13" s="46">
        <v>1</v>
      </c>
      <c r="BS13" s="46">
        <v>28</v>
      </c>
      <c r="BT13" s="46">
        <v>3</v>
      </c>
      <c r="BU13" s="46">
        <v>89</v>
      </c>
      <c r="BV13" s="56">
        <v>138</v>
      </c>
      <c r="BW13" s="56">
        <v>20664</v>
      </c>
    </row>
    <row r="14" spans="1:194" s="27" customFormat="1">
      <c r="A14" s="45" t="s">
        <v>218</v>
      </c>
      <c r="B14" s="39">
        <v>148</v>
      </c>
      <c r="C14" s="39">
        <v>9986</v>
      </c>
      <c r="D14" s="39">
        <v>72</v>
      </c>
      <c r="E14" s="39">
        <v>8641</v>
      </c>
      <c r="F14" s="39">
        <v>40</v>
      </c>
      <c r="G14" s="39">
        <v>5587</v>
      </c>
      <c r="H14" s="39">
        <v>1</v>
      </c>
      <c r="I14" s="39">
        <v>29</v>
      </c>
      <c r="J14" s="39">
        <v>2</v>
      </c>
      <c r="K14" s="39">
        <v>48</v>
      </c>
      <c r="L14" s="39">
        <v>13</v>
      </c>
      <c r="M14" s="39">
        <v>193</v>
      </c>
      <c r="N14" s="39">
        <v>1</v>
      </c>
      <c r="O14" s="39">
        <v>249</v>
      </c>
      <c r="P14" s="39">
        <v>3</v>
      </c>
      <c r="Q14" s="39">
        <v>1049</v>
      </c>
      <c r="R14" s="39">
        <v>1</v>
      </c>
      <c r="S14" s="39">
        <v>562</v>
      </c>
      <c r="T14" s="39">
        <v>4</v>
      </c>
      <c r="U14" s="39">
        <v>2737</v>
      </c>
      <c r="V14" s="39">
        <v>2</v>
      </c>
      <c r="W14" s="39">
        <v>750</v>
      </c>
      <c r="X14" s="39">
        <v>6</v>
      </c>
      <c r="Y14" s="39">
        <v>554</v>
      </c>
      <c r="Z14" s="39">
        <v>29</v>
      </c>
      <c r="AA14" s="39">
        <v>8553</v>
      </c>
      <c r="AB14" s="39">
        <v>50</v>
      </c>
      <c r="AC14" s="39">
        <v>20934</v>
      </c>
      <c r="AD14" s="39">
        <v>12</v>
      </c>
      <c r="AE14" s="39">
        <v>4696</v>
      </c>
      <c r="AF14" s="39">
        <v>1</v>
      </c>
      <c r="AG14" s="39">
        <v>116</v>
      </c>
      <c r="AH14" s="39">
        <v>7</v>
      </c>
      <c r="AI14" s="39">
        <v>581</v>
      </c>
      <c r="AJ14" s="39">
        <v>9</v>
      </c>
      <c r="AK14" s="39">
        <v>1311</v>
      </c>
      <c r="AL14" s="39">
        <v>5</v>
      </c>
      <c r="AM14" s="39">
        <v>713</v>
      </c>
      <c r="AN14" s="39">
        <v>2</v>
      </c>
      <c r="AO14" s="39">
        <v>218</v>
      </c>
      <c r="AP14" s="39">
        <v>1</v>
      </c>
      <c r="AQ14" s="39">
        <v>104</v>
      </c>
      <c r="AR14" s="39">
        <v>2</v>
      </c>
      <c r="AS14" s="39">
        <v>483</v>
      </c>
      <c r="AT14" s="39">
        <v>12</v>
      </c>
      <c r="AU14" s="39">
        <v>4652</v>
      </c>
      <c r="AV14" s="39">
        <v>6</v>
      </c>
      <c r="AW14" s="39">
        <v>1490</v>
      </c>
      <c r="AX14" s="39">
        <v>2</v>
      </c>
      <c r="AY14" s="39">
        <v>100</v>
      </c>
      <c r="AZ14" s="39">
        <v>3</v>
      </c>
      <c r="BA14" s="39">
        <v>448</v>
      </c>
      <c r="BB14" s="39">
        <v>1</v>
      </c>
      <c r="BC14" s="39">
        <v>258</v>
      </c>
      <c r="BD14" s="39">
        <v>1</v>
      </c>
      <c r="BE14" s="39">
        <v>42</v>
      </c>
      <c r="BF14" s="39">
        <v>13</v>
      </c>
      <c r="BG14" s="39">
        <v>395</v>
      </c>
      <c r="BH14" s="39">
        <v>9</v>
      </c>
      <c r="BI14" s="39">
        <v>659</v>
      </c>
      <c r="BJ14" s="39">
        <v>2</v>
      </c>
      <c r="BK14" s="39">
        <v>200</v>
      </c>
      <c r="BL14" s="39">
        <v>38</v>
      </c>
      <c r="BM14" s="39">
        <v>1889</v>
      </c>
      <c r="BN14" s="39">
        <v>28</v>
      </c>
      <c r="BO14" s="39">
        <v>1813</v>
      </c>
      <c r="BP14" s="39">
        <v>2</v>
      </c>
      <c r="BQ14" s="39">
        <v>71</v>
      </c>
      <c r="BR14" s="39">
        <v>29</v>
      </c>
      <c r="BS14" s="39">
        <v>546</v>
      </c>
      <c r="BT14" s="39">
        <v>3</v>
      </c>
      <c r="BU14" s="39">
        <v>89</v>
      </c>
      <c r="BV14" s="39">
        <v>560</v>
      </c>
      <c r="BW14" s="39">
        <v>80746</v>
      </c>
    </row>
    <row r="15" spans="1:194">
      <c r="A15" s="62" t="s">
        <v>134</v>
      </c>
      <c r="BV15" s="33"/>
      <c r="BW15" s="33"/>
    </row>
    <row r="16" spans="1:194">
      <c r="A16" s="63" t="s">
        <v>135</v>
      </c>
    </row>
    <row r="17" spans="1:1">
      <c r="A17" s="63" t="s">
        <v>136</v>
      </c>
    </row>
  </sheetData>
  <sheetProtection password="C1A8" sheet="1" selectLockedCells="1" selectUnlockedCells="1"/>
  <mergeCells count="37">
    <mergeCell ref="BV6:BW6"/>
    <mergeCell ref="B6:C6"/>
    <mergeCell ref="D6:E6"/>
    <mergeCell ref="F6:G6"/>
    <mergeCell ref="H6:I6"/>
    <mergeCell ref="J6:K6"/>
    <mergeCell ref="L6:M6"/>
    <mergeCell ref="N6:O6"/>
    <mergeCell ref="P6:Q6"/>
    <mergeCell ref="R6:S6"/>
    <mergeCell ref="AP6:AQ6"/>
    <mergeCell ref="T6:U6"/>
    <mergeCell ref="V6:W6"/>
    <mergeCell ref="X6:Y6"/>
    <mergeCell ref="Z6:AA6"/>
    <mergeCell ref="AB6:AC6"/>
    <mergeCell ref="AD6:AE6"/>
    <mergeCell ref="AF6:AG6"/>
    <mergeCell ref="AH6:AI6"/>
    <mergeCell ref="AJ6:AK6"/>
    <mergeCell ref="AL6:AM6"/>
    <mergeCell ref="AN6:AO6"/>
    <mergeCell ref="AR6:AS6"/>
    <mergeCell ref="AT6:AU6"/>
    <mergeCell ref="BN6:BO6"/>
    <mergeCell ref="AV6:AW6"/>
    <mergeCell ref="AX6:AY6"/>
    <mergeCell ref="AZ6:BA6"/>
    <mergeCell ref="BB6:BC6"/>
    <mergeCell ref="BD6:BE6"/>
    <mergeCell ref="BP6:BQ6"/>
    <mergeCell ref="BR6:BS6"/>
    <mergeCell ref="BT6:BU6"/>
    <mergeCell ref="BF6:BG6"/>
    <mergeCell ref="BH6:BI6"/>
    <mergeCell ref="BJ6:BK6"/>
    <mergeCell ref="BL6:BM6"/>
  </mergeCells>
  <conditionalFormatting sqref="A6:BW7 A8 V8:AQ8 AV8:BW8 A15:A17">
    <cfRule type="expression" priority="7">
      <formula>SI(0," ")</formula>
    </cfRule>
  </conditionalFormatting>
  <conditionalFormatting sqref="A9:BW13">
    <cfRule type="expression" dxfId="0" priority="6" stopIfTrue="1">
      <formula>MOD(ROW(),2)=0</formula>
    </cfRule>
  </conditionalFormatting>
  <pageMargins left="0.70866141732283472" right="0.70866141732283472" top="0.74803149606299213" bottom="0.74803149606299213" header="0.31496062992125984" footer="0.31496062992125984"/>
  <pageSetup paperSize="8" scale="80" orientation="landscape" r:id="rId1"/>
  <colBreaks count="4" manualBreakCount="4">
    <brk id="15" max="1048575" man="1"/>
    <brk id="31" max="1048575" man="1"/>
    <brk id="47" max="1048575" man="1"/>
    <brk id="6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6982DB4E2771447817F3727A6E2AB53" ma:contentTypeVersion="0" ma:contentTypeDescription="Crear nuevo documento." ma:contentTypeScope="" ma:versionID="d6cac393eb1ec33e1b29e9776c4e451b">
  <xsd:schema xmlns:xsd="http://www.w3.org/2001/XMLSchema" xmlns:xs="http://www.w3.org/2001/XMLSchema" xmlns:p="http://schemas.microsoft.com/office/2006/metadata/properties" targetNamespace="http://schemas.microsoft.com/office/2006/metadata/properties" ma:root="true" ma:fieldsID="3f6edc329ff236629c56e3b879b320d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119CCE-7926-4EE4-B68D-EE6399C4B6E1}">
  <ds:schemaRefs>
    <ds:schemaRef ds:uri="http://purl.org/dc/elements/1.1/"/>
    <ds:schemaRef ds:uri="http://schemas.microsoft.com/office/2006/documentManagement/types"/>
    <ds:schemaRef ds:uri="http://schemas.microsoft.com/office/infopath/2007/PartnerControls"/>
    <ds:schemaRef ds:uri="http://www.w3.org/XML/1998/namespace"/>
    <ds:schemaRef ds:uri="http://purl.org/dc/dcmityp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FAF2099C-7C6E-49BF-A5EC-88804A0DA262}">
  <ds:schemaRefs>
    <ds:schemaRef ds:uri="http://schemas.microsoft.com/sharepoint/v3/contenttype/forms"/>
  </ds:schemaRefs>
</ds:datastoreItem>
</file>

<file path=customXml/itemProps3.xml><?xml version="1.0" encoding="utf-8"?>
<ds:datastoreItem xmlns:ds="http://schemas.openxmlformats.org/officeDocument/2006/customXml" ds:itemID="{3EB1A801-0EB1-4404-B063-ABD802012A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36</vt:i4>
      </vt:variant>
    </vt:vector>
  </HeadingPairs>
  <TitlesOfParts>
    <vt:vector size="79" baseType="lpstr">
      <vt:lpstr>Índex (1)</vt:lpstr>
      <vt:lpstr>Índice (2)</vt:lpstr>
      <vt:lpstr>Table of contents (3)</vt:lpstr>
      <vt:lpstr>TotalAllotj_23 (4)</vt:lpstr>
      <vt:lpstr>Allotj.municipi_23 (5)</vt:lpstr>
      <vt:lpstr>TotalAllotj_22 (6)</vt:lpstr>
      <vt:lpstr>Allotj.municipi_22 (7)</vt:lpstr>
      <vt:lpstr>TotalAllotj_21 (8)</vt:lpstr>
      <vt:lpstr>Allotj.municipi_21 (9)</vt:lpstr>
      <vt:lpstr>TotalAllotj_20 (10)</vt:lpstr>
      <vt:lpstr>Allotj.municipi_20 (11)</vt:lpstr>
      <vt:lpstr>TotalAllotj_19 (12)</vt:lpstr>
      <vt:lpstr>Allotj.municipi_19 (13)</vt:lpstr>
      <vt:lpstr>TotalAllotj_18 (14)</vt:lpstr>
      <vt:lpstr>Allotj.municipi_18 (15)</vt:lpstr>
      <vt:lpstr>TotalAllotj_17 (16)</vt:lpstr>
      <vt:lpstr>Allotj.municipi_17 (17)</vt:lpstr>
      <vt:lpstr>TotalAllotj_16 (18)</vt:lpstr>
      <vt:lpstr>Allotj.municipi_16 (19)</vt:lpstr>
      <vt:lpstr>TotalAllotj_15 (20)</vt:lpstr>
      <vt:lpstr>Allotj.municipi_15 (21)</vt:lpstr>
      <vt:lpstr>TotalAllotj_14 (22)</vt:lpstr>
      <vt:lpstr>Allotj.municipi_14 (23)</vt:lpstr>
      <vt:lpstr>TotalAllotj_13 (24)</vt:lpstr>
      <vt:lpstr>Allotj.municipi_13 (25)</vt:lpstr>
      <vt:lpstr>TotalAllotj_12 (26)</vt:lpstr>
      <vt:lpstr>Allotj.municipi_12 (27)</vt:lpstr>
      <vt:lpstr>TotalAllotj_11 (28)</vt:lpstr>
      <vt:lpstr>Allotj.municipi_11 (29)</vt:lpstr>
      <vt:lpstr>TotalAllotj_10 (30)</vt:lpstr>
      <vt:lpstr>Allotj.municipi_10 (31)</vt:lpstr>
      <vt:lpstr>TotalAllotj_09 (32)</vt:lpstr>
      <vt:lpstr>Allotj.municipi_09 (33)</vt:lpstr>
      <vt:lpstr>TotalAllotj_08 (34)</vt:lpstr>
      <vt:lpstr>Allotj.municipi_08 (35)</vt:lpstr>
      <vt:lpstr>TotalAllotj_07 (36)</vt:lpstr>
      <vt:lpstr>Allotj.municipi_07 (37)</vt:lpstr>
      <vt:lpstr>TotalAllotj_06 (38)</vt:lpstr>
      <vt:lpstr>Allotj.municipi_06 (39)</vt:lpstr>
      <vt:lpstr>TotalAllotj_05 (40)</vt:lpstr>
      <vt:lpstr>Allotj.municipi_05 (41)</vt:lpstr>
      <vt:lpstr>TotalAllotj_04 (42)</vt:lpstr>
      <vt:lpstr>Allotj.municipi_04 (43)</vt:lpstr>
      <vt:lpstr>'Índex (1)'!Área_de_impresión</vt:lpstr>
      <vt:lpstr>'Índice (2)'!Área_de_impresión</vt:lpstr>
      <vt:lpstr>'Table of contents (3)'!Área_de_impresión</vt:lpstr>
      <vt:lpstr>'TotalAllotj_06 (38)'!Área_de_impresión</vt:lpstr>
      <vt:lpstr>'TotalAllotj_08 (34)'!Área_de_impresión</vt:lpstr>
      <vt:lpstr>'TotalAllotj_12 (26)'!Área_de_impresión</vt:lpstr>
      <vt:lpstr>'TotalAllotj_14 (22)'!Área_de_impresión</vt:lpstr>
      <vt:lpstr>'TotalAllotj_15 (20)'!Área_de_impresión</vt:lpstr>
      <vt:lpstr>'TotalAllotj_16 (18)'!Área_de_impresión</vt:lpstr>
      <vt:lpstr>'TotalAllotj_17 (16)'!Área_de_impresión</vt:lpstr>
      <vt:lpstr>'TotalAllotj_18 (14)'!Área_de_impresión</vt:lpstr>
      <vt:lpstr>'TotalAllotj_19 (12)'!Área_de_impresión</vt:lpstr>
      <vt:lpstr>'TotalAllotj_20 (10)'!Área_de_impresión</vt:lpstr>
      <vt:lpstr>'TotalAllotj_21 (8)'!Área_de_impresión</vt:lpstr>
      <vt:lpstr>'TotalAllotj_22 (6)'!Área_de_impresión</vt:lpstr>
      <vt:lpstr>'TotalAllotj_23 (4)'!Área_de_impresión</vt:lpstr>
      <vt:lpstr>'Allotj.municipi_04 (43)'!Títulos_a_imprimir</vt:lpstr>
      <vt:lpstr>'Allotj.municipi_05 (41)'!Títulos_a_imprimir</vt:lpstr>
      <vt:lpstr>'Allotj.municipi_06 (39)'!Títulos_a_imprimir</vt:lpstr>
      <vt:lpstr>'Allotj.municipi_07 (37)'!Títulos_a_imprimir</vt:lpstr>
      <vt:lpstr>'Allotj.municipi_08 (35)'!Títulos_a_imprimir</vt:lpstr>
      <vt:lpstr>'Allotj.municipi_09 (33)'!Títulos_a_imprimir</vt:lpstr>
      <vt:lpstr>'Allotj.municipi_10 (31)'!Títulos_a_imprimir</vt:lpstr>
      <vt:lpstr>'Allotj.municipi_11 (29)'!Títulos_a_imprimir</vt:lpstr>
      <vt:lpstr>'Allotj.municipi_12 (27)'!Títulos_a_imprimir</vt:lpstr>
      <vt:lpstr>'Allotj.municipi_13 (25)'!Títulos_a_imprimir</vt:lpstr>
      <vt:lpstr>'Allotj.municipi_14 (23)'!Títulos_a_imprimir</vt:lpstr>
      <vt:lpstr>'Allotj.municipi_15 (21)'!Títulos_a_imprimir</vt:lpstr>
      <vt:lpstr>'Allotj.municipi_16 (19)'!Títulos_a_imprimir</vt:lpstr>
      <vt:lpstr>'Allotj.municipi_17 (17)'!Títulos_a_imprimir</vt:lpstr>
      <vt:lpstr>'Allotj.municipi_18 (15)'!Títulos_a_imprimir</vt:lpstr>
      <vt:lpstr>'Allotj.municipi_19 (13)'!Títulos_a_imprimir</vt:lpstr>
      <vt:lpstr>'Allotj.municipi_20 (11)'!Títulos_a_imprimir</vt:lpstr>
      <vt:lpstr>'Allotj.municipi_21 (9)'!Títulos_a_imprimir</vt:lpstr>
      <vt:lpstr>'Allotj.municipi_22 (7)'!Títulos_a_imprimir</vt:lpstr>
      <vt:lpstr>'Allotj.municipi_23 (5)'!Títulos_a_imprimir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u91812</dc:creator>
  <cp:lastModifiedBy>aetib\alicia.cau</cp:lastModifiedBy>
  <cp:lastPrinted>2022-07-27T12:13:39Z</cp:lastPrinted>
  <dcterms:created xsi:type="dcterms:W3CDTF">2011-03-22T11:41:38Z</dcterms:created>
  <dcterms:modified xsi:type="dcterms:W3CDTF">2024-07-04T08:22:18Z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0x01010046982DB4E2771447817F3727A6E2AB53</vt:lpwstr>
  </property>
</Properties>
</file>