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charts/chart2.xml" ContentType="application/vnd.openxmlformats-officedocument.drawingml.chart+xml"/>
  <Override PartName="/xl/drawings/drawing6.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drawings/drawing11.xml" ContentType="application/vnd.openxmlformats-officedocument.drawing+xml"/>
  <Override PartName="/xl/charts/chart8.xml" ContentType="application/vnd.openxmlformats-officedocument.drawingml.chart+xml"/>
  <Override PartName="/xl/drawings/drawing12.xml" ContentType="application/vnd.openxmlformats-officedocument.drawing+xml"/>
  <Override PartName="/xl/charts/chart9.xml" ContentType="application/vnd.openxmlformats-officedocument.drawingml.chart+xml"/>
  <Override PartName="/xl/drawings/drawing13.xml" ContentType="application/vnd.openxmlformats-officedocument.drawing+xml"/>
  <Override PartName="/xl/charts/chart10.xml" ContentType="application/vnd.openxmlformats-officedocument.drawingml.chart+xml"/>
  <Override PartName="/xl/drawings/drawing14.xml" ContentType="application/vnd.openxmlformats-officedocument.drawing+xml"/>
  <Override PartName="/xl/charts/chart11.xml" ContentType="application/vnd.openxmlformats-officedocument.drawingml.chart+xml"/>
  <Override PartName="/xl/drawings/drawing15.xml" ContentType="application/vnd.openxmlformats-officedocument.drawing+xml"/>
  <Override PartName="/xl/charts/chart1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https://idinet.illesbalears.travel/Idinet/Estadistica/ESTADISTICA/Allotj i restaur/2023/"/>
    </mc:Choice>
  </mc:AlternateContent>
  <xr:revisionPtr revIDLastSave="0" documentId="13_ncr:1_{B5D06364-05CF-447C-9EF4-D808D52AB792}" xr6:coauthVersionLast="47" xr6:coauthVersionMax="47" xr10:uidLastSave="{00000000-0000-0000-0000-000000000000}"/>
  <workbookProtection workbookAlgorithmName="SHA-512" workbookHashValue="B2vEedo/37e1EVGSGKWNZzqCgT79Xfaw+lsjTSp3miMHLEttwPER26sVokHG/fAfsVllJ1bKkPFwMt6I/j1G1g==" workbookSaltValue="jOjgGnQpy4rkxe2652lZtQ==" workbookSpinCount="100000" lockStructure="1"/>
  <bookViews>
    <workbookView xWindow="-120" yWindow="-120" windowWidth="29040" windowHeight="15720" xr2:uid="{00000000-000D-0000-FFFF-FFFF00000000}"/>
  </bookViews>
  <sheets>
    <sheet name="Índex (1)" sheetId="46" r:id="rId1"/>
    <sheet name="Índice (2)" sheetId="22" r:id="rId2"/>
    <sheet name="Table of contents (3)" sheetId="19" r:id="rId3"/>
    <sheet name="TotalAllotj_23 (4)" sheetId="49" r:id="rId4"/>
    <sheet name="Allotj.municipi_23 (5)" sheetId="50" r:id="rId5"/>
    <sheet name="TotalAllotj_22 (6)" sheetId="47" r:id="rId6"/>
    <sheet name="Allotj.municipi_22 (7)" sheetId="48" r:id="rId7"/>
    <sheet name="TotalAllotj_21 (8)" sheetId="44" r:id="rId8"/>
    <sheet name="Allotj.municipi_21 (9)" sheetId="45" r:id="rId9"/>
    <sheet name="TotalAllotj_20 (10)" sheetId="36" r:id="rId10"/>
    <sheet name="Allotj.municipi_20 (11)" sheetId="37" r:id="rId11"/>
    <sheet name="TotalAllotj_19 (12)" sheetId="34" r:id="rId12"/>
    <sheet name="Allotj.municipi_19 (13)" sheetId="35" r:id="rId13"/>
    <sheet name="TotalAllotj_18 (14)" sheetId="32" r:id="rId14"/>
    <sheet name="Allotj.municipi_18 (15)" sheetId="33" r:id="rId15"/>
    <sheet name="TotalAllotj_17 (16)" sheetId="30" r:id="rId16"/>
    <sheet name="Allotj.municipi_17 (17)" sheetId="31" r:id="rId17"/>
    <sheet name="TotalAllotj_16 (18)" sheetId="28" r:id="rId18"/>
    <sheet name="Allotj.municipi_16 (19)" sheetId="29" r:id="rId19"/>
    <sheet name="TotalAllotj_15 (20)" sheetId="26" r:id="rId20"/>
    <sheet name="Allotj.municipi_15 (21)" sheetId="27" r:id="rId21"/>
    <sheet name="TotalAllotj_14 (22)" sheetId="24" r:id="rId22"/>
    <sheet name="Allotj.municipi_14 (23)" sheetId="25" r:id="rId23"/>
    <sheet name="TotalAllotj_13 (24)" sheetId="21" r:id="rId24"/>
    <sheet name="Allotj.municipi_13 (25)" sheetId="20" r:id="rId25"/>
    <sheet name="TotalAllotj_12 (26)" sheetId="18" r:id="rId26"/>
    <sheet name="Allotj.municipi_12 (27)" sheetId="17" r:id="rId27"/>
    <sheet name="TotalAllotj_11 (28)" sheetId="16" r:id="rId28"/>
    <sheet name="Allotj.municipi_11 (29)" sheetId="15" r:id="rId29"/>
    <sheet name="TotalAllotj_10 (30)" sheetId="14" r:id="rId30"/>
    <sheet name="Allotj.municipi_10 (31)" sheetId="13" r:id="rId31"/>
    <sheet name="TotalAllotj_09 (32)" sheetId="43" r:id="rId32"/>
    <sheet name="Allotj.municipi_09 (33)" sheetId="11" r:id="rId33"/>
    <sheet name="TotalAllotj_08 (34)" sheetId="42" r:id="rId34"/>
    <sheet name="Allotj.municipi_08 (35)" sheetId="9" r:id="rId35"/>
    <sheet name="TotalAllotj_07 (36)" sheetId="41" r:id="rId36"/>
    <sheet name="Allotj.municipi_07 (37)" sheetId="3" r:id="rId37"/>
    <sheet name="TotalAllotj_06 (38)" sheetId="40" r:id="rId38"/>
    <sheet name="Allotj.municipi_06 (39)" sheetId="6" r:id="rId39"/>
    <sheet name="TotalAllotj_05 (40)" sheetId="38" r:id="rId40"/>
    <sheet name="Allotj.municipi_05 (41)" sheetId="4" r:id="rId41"/>
    <sheet name="TotalAllotj_04 (42)" sheetId="39" r:id="rId42"/>
    <sheet name="Allotj.municipi_04 (43)" sheetId="1" r:id="rId43"/>
  </sheets>
  <definedNames>
    <definedName name="_xlnm.Print_Area" localSheetId="32">'Allotj.municipi_09 (33)'!$A$1:$CM$57</definedName>
    <definedName name="_xlnm.Print_Area" localSheetId="18">'Allotj.municipi_16 (19)'!$A$1:$CE$64</definedName>
    <definedName name="_xlnm.Print_Area" localSheetId="0">'Índex (1)'!$A$1:$K$122</definedName>
    <definedName name="_xlnm.Print_Area" localSheetId="1">'Índice (2)'!$A$1:$K$123</definedName>
    <definedName name="_xlnm.Print_Area" localSheetId="2">'Table of contents (3)'!$A$1:$K$121</definedName>
    <definedName name="_xlnm.Print_Titles" localSheetId="42">'Allotj.municipi_04 (43)'!$A:$A</definedName>
    <definedName name="_xlnm.Print_Titles" localSheetId="40">'Allotj.municipi_05 (41)'!$A:$A</definedName>
    <definedName name="_xlnm.Print_Titles" localSheetId="38">'Allotj.municipi_06 (39)'!$A:$A</definedName>
    <definedName name="_xlnm.Print_Titles" localSheetId="36">'Allotj.municipi_07 (37)'!$A:$A</definedName>
    <definedName name="_xlnm.Print_Titles" localSheetId="34">'Allotj.municipi_08 (35)'!$A:$A</definedName>
    <definedName name="_xlnm.Print_Titles" localSheetId="32">'Allotj.municipi_09 (33)'!$A:$A</definedName>
    <definedName name="_xlnm.Print_Titles" localSheetId="30">'Allotj.municipi_10 (31)'!$A:$A</definedName>
    <definedName name="_xlnm.Print_Titles" localSheetId="28">'Allotj.municipi_11 (29)'!$A:$A</definedName>
    <definedName name="_xlnm.Print_Titles" localSheetId="26">'Allotj.municipi_12 (27)'!$A:$A</definedName>
    <definedName name="_xlnm.Print_Titles" localSheetId="24">'Allotj.municipi_13 (25)'!$A:$A</definedName>
    <definedName name="_xlnm.Print_Titles" localSheetId="22">'Allotj.municipi_14 (23)'!$A:$A</definedName>
    <definedName name="_xlnm.Print_Titles" localSheetId="20">'Allotj.municipi_15 (21)'!$A:$A</definedName>
    <definedName name="_xlnm.Print_Titles" localSheetId="18">'Allotj.municipi_16 (19)'!$A:$A</definedName>
    <definedName name="_xlnm.Print_Titles" localSheetId="16">'Allotj.municipi_17 (17)'!$A:$A</definedName>
    <definedName name="_xlnm.Print_Titles" localSheetId="14">'Allotj.municipi_18 (15)'!$A:$A</definedName>
    <definedName name="_xlnm.Print_Titles" localSheetId="12">'Allotj.municipi_19 (13)'!$A:$A</definedName>
    <definedName name="_xlnm.Print_Titles" localSheetId="10">'Allotj.municipi_20 (11)'!$A:$A</definedName>
    <definedName name="_xlnm.Print_Titles" localSheetId="8">'Allotj.municipi_21 (9)'!$A:$A</definedName>
    <definedName name="_xlnm.Print_Titles" localSheetId="6">'Allotj.municipi_22 (7)'!$A:$A</definedName>
    <definedName name="_xlnm.Print_Titles" localSheetId="4">'Allotj.municipi_23 (5)'!$A:$A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5" i="49" l="1"/>
  <c r="L35" i="49"/>
  <c r="K35" i="49"/>
  <c r="K30" i="49"/>
  <c r="L30" i="49"/>
  <c r="J30" i="49"/>
  <c r="K25" i="49"/>
  <c r="L25" i="49"/>
  <c r="J25" i="49"/>
  <c r="L19" i="49"/>
  <c r="K19" i="49"/>
  <c r="J19" i="49"/>
  <c r="D44" i="49"/>
  <c r="E44" i="49"/>
  <c r="C44" i="49"/>
  <c r="D37" i="49"/>
  <c r="E37" i="49"/>
  <c r="C37" i="49"/>
  <c r="E17" i="49"/>
  <c r="L42" i="49" s="1"/>
  <c r="D17" i="49"/>
  <c r="K42" i="49" s="1"/>
  <c r="C17" i="49"/>
  <c r="J42" i="49" s="1"/>
  <c r="BU62" i="50"/>
  <c r="BT62" i="50"/>
  <c r="BS62" i="50"/>
  <c r="BR62" i="50"/>
  <c r="BQ62" i="50"/>
  <c r="BP62" i="50"/>
  <c r="BO62" i="50"/>
  <c r="BN62" i="50"/>
  <c r="BM62" i="50"/>
  <c r="BL62" i="50"/>
  <c r="BK62" i="50"/>
  <c r="BJ62" i="50"/>
  <c r="BI62" i="50"/>
  <c r="BH62" i="50"/>
  <c r="BG62" i="50"/>
  <c r="BF62" i="50"/>
  <c r="BE62" i="50"/>
  <c r="BD62" i="50"/>
  <c r="BC62" i="50"/>
  <c r="BB62" i="50"/>
  <c r="BA62" i="50"/>
  <c r="AZ62" i="50"/>
  <c r="AY62" i="50"/>
  <c r="AX62" i="50"/>
  <c r="AW62" i="50"/>
  <c r="AV62" i="50"/>
  <c r="AU62" i="50"/>
  <c r="AT62" i="50"/>
  <c r="AS62" i="50"/>
  <c r="AR62" i="50"/>
  <c r="AQ62" i="50"/>
  <c r="AP62" i="50"/>
  <c r="AO62" i="50"/>
  <c r="AN62" i="50"/>
  <c r="AM62" i="50"/>
  <c r="AL62" i="50"/>
  <c r="AK62" i="50"/>
  <c r="AJ62" i="50"/>
  <c r="AI62" i="50"/>
  <c r="AH62" i="50"/>
  <c r="AG62" i="50"/>
  <c r="AF62" i="50"/>
  <c r="AE62" i="50"/>
  <c r="AD62" i="50"/>
  <c r="AC62" i="50"/>
  <c r="AB62" i="50"/>
  <c r="AA62" i="50"/>
  <c r="Z62" i="50"/>
  <c r="Y62" i="50"/>
  <c r="X62" i="50"/>
  <c r="W62" i="50"/>
  <c r="V62" i="50"/>
  <c r="U62" i="50"/>
  <c r="T62" i="50"/>
  <c r="S62" i="50"/>
  <c r="R62" i="50"/>
  <c r="Q62" i="50"/>
  <c r="P62" i="50"/>
  <c r="O62" i="50"/>
  <c r="N62" i="50"/>
  <c r="M62" i="50"/>
  <c r="L62" i="50"/>
  <c r="K62" i="50"/>
  <c r="J62" i="50"/>
  <c r="I62" i="50"/>
  <c r="H62" i="50"/>
  <c r="G62" i="50"/>
  <c r="F62" i="50"/>
  <c r="E62" i="50"/>
  <c r="D62" i="50"/>
  <c r="C62" i="50"/>
  <c r="B62" i="50"/>
  <c r="BW61" i="50"/>
  <c r="BV61" i="50"/>
  <c r="BW60" i="50"/>
  <c r="BV60" i="50"/>
  <c r="BW59" i="50"/>
  <c r="BV59" i="50"/>
  <c r="BW58" i="50"/>
  <c r="BV58" i="50"/>
  <c r="BW57" i="50"/>
  <c r="BV57" i="50"/>
  <c r="BW56" i="50"/>
  <c r="BV56" i="50"/>
  <c r="BW55" i="50"/>
  <c r="BV55" i="50"/>
  <c r="BW54" i="50"/>
  <c r="BV54" i="50"/>
  <c r="BW53" i="50"/>
  <c r="BV53" i="50"/>
  <c r="BW52" i="50"/>
  <c r="BV52" i="50"/>
  <c r="BW51" i="50"/>
  <c r="BV51" i="50"/>
  <c r="BW50" i="50"/>
  <c r="BV50" i="50"/>
  <c r="BW49" i="50"/>
  <c r="BV49" i="50"/>
  <c r="BW48" i="50"/>
  <c r="BV48" i="50"/>
  <c r="BW47" i="50"/>
  <c r="BV47" i="50"/>
  <c r="BW46" i="50"/>
  <c r="BV46" i="50"/>
  <c r="BW45" i="50"/>
  <c r="BV45" i="50"/>
  <c r="BW44" i="50"/>
  <c r="BV44" i="50"/>
  <c r="BW43" i="50"/>
  <c r="BV43" i="50"/>
  <c r="BW42" i="50"/>
  <c r="BV42" i="50"/>
  <c r="BW41" i="50"/>
  <c r="BV41" i="50"/>
  <c r="BW40" i="50"/>
  <c r="BV40" i="50"/>
  <c r="BW39" i="50"/>
  <c r="BV39" i="50"/>
  <c r="BW38" i="50"/>
  <c r="BV38" i="50"/>
  <c r="BW37" i="50"/>
  <c r="BV37" i="50"/>
  <c r="BW36" i="50"/>
  <c r="BV36" i="50"/>
  <c r="BW35" i="50"/>
  <c r="BV35" i="50"/>
  <c r="BW34" i="50"/>
  <c r="BV34" i="50"/>
  <c r="BW33" i="50"/>
  <c r="BV33" i="50"/>
  <c r="BW32" i="50"/>
  <c r="BV32" i="50"/>
  <c r="BW31" i="50"/>
  <c r="BV31" i="50"/>
  <c r="BW30" i="50"/>
  <c r="BV30" i="50"/>
  <c r="BW29" i="50"/>
  <c r="BV29" i="50"/>
  <c r="BW28" i="50"/>
  <c r="BV28" i="50"/>
  <c r="BW27" i="50"/>
  <c r="BV27" i="50"/>
  <c r="BW26" i="50"/>
  <c r="BV26" i="50"/>
  <c r="BW25" i="50"/>
  <c r="BV25" i="50"/>
  <c r="BW24" i="50"/>
  <c r="BV24" i="50"/>
  <c r="BW23" i="50"/>
  <c r="BV23" i="50"/>
  <c r="BW22" i="50"/>
  <c r="BV22" i="50"/>
  <c r="BW21" i="50"/>
  <c r="BV21" i="50"/>
  <c r="BW20" i="50"/>
  <c r="BV20" i="50"/>
  <c r="BW19" i="50"/>
  <c r="BV19" i="50"/>
  <c r="BW18" i="50"/>
  <c r="BV18" i="50"/>
  <c r="BW17" i="50"/>
  <c r="BV17" i="50"/>
  <c r="BW16" i="50"/>
  <c r="BV16" i="50"/>
  <c r="BW15" i="50"/>
  <c r="BV15" i="50"/>
  <c r="BW14" i="50"/>
  <c r="BV14" i="50"/>
  <c r="BW13" i="50"/>
  <c r="BV13" i="50"/>
  <c r="BW12" i="50"/>
  <c r="BV12" i="50"/>
  <c r="BW11" i="50"/>
  <c r="BV11" i="50"/>
  <c r="BW10" i="50"/>
  <c r="BV10" i="50"/>
  <c r="BW9" i="50"/>
  <c r="BV9" i="50"/>
  <c r="F43" i="49"/>
  <c r="F44" i="49" s="1"/>
  <c r="F36" i="49"/>
  <c r="F35" i="49"/>
  <c r="M34" i="49"/>
  <c r="F34" i="49"/>
  <c r="M33" i="49"/>
  <c r="F33" i="49"/>
  <c r="M32" i="49"/>
  <c r="F32" i="49"/>
  <c r="F31" i="49"/>
  <c r="M29" i="49"/>
  <c r="F30" i="49"/>
  <c r="F29" i="49"/>
  <c r="M28" i="49"/>
  <c r="M27" i="49"/>
  <c r="M13" i="49"/>
  <c r="F16" i="49"/>
  <c r="F14" i="49"/>
  <c r="F13" i="49"/>
  <c r="F12" i="49"/>
  <c r="F11" i="49"/>
  <c r="BU62" i="48"/>
  <c r="BT62" i="48"/>
  <c r="BS62" i="48"/>
  <c r="BR62" i="48"/>
  <c r="BQ62" i="48"/>
  <c r="BP62" i="48"/>
  <c r="BO62" i="48"/>
  <c r="BN62" i="48"/>
  <c r="BM62" i="48"/>
  <c r="BL62" i="48"/>
  <c r="BK62" i="48"/>
  <c r="BJ62" i="48"/>
  <c r="BI62" i="48"/>
  <c r="BH62" i="48"/>
  <c r="BG62" i="48"/>
  <c r="BF62" i="48"/>
  <c r="BE62" i="48"/>
  <c r="BD62" i="48"/>
  <c r="BC62" i="48"/>
  <c r="BB62" i="48"/>
  <c r="BA62" i="48"/>
  <c r="AZ62" i="48"/>
  <c r="AY62" i="48"/>
  <c r="AX62" i="48"/>
  <c r="AW62" i="48"/>
  <c r="AV62" i="48"/>
  <c r="AU62" i="48"/>
  <c r="AT62" i="48"/>
  <c r="AS62" i="48"/>
  <c r="AR62" i="48"/>
  <c r="AQ62" i="48"/>
  <c r="AP62" i="48"/>
  <c r="AO62" i="48"/>
  <c r="AN62" i="48"/>
  <c r="AM62" i="48"/>
  <c r="AL62" i="48"/>
  <c r="AK62" i="48"/>
  <c r="AJ62" i="48"/>
  <c r="AI62" i="48"/>
  <c r="AH62" i="48"/>
  <c r="AG62" i="48"/>
  <c r="AF62" i="48"/>
  <c r="AE62" i="48"/>
  <c r="AD62" i="48"/>
  <c r="AC62" i="48"/>
  <c r="AB62" i="48"/>
  <c r="AA62" i="48"/>
  <c r="Z62" i="48"/>
  <c r="Y62" i="48"/>
  <c r="X62" i="48"/>
  <c r="W62" i="48"/>
  <c r="V62" i="48"/>
  <c r="U62" i="48"/>
  <c r="T62" i="48"/>
  <c r="S62" i="48"/>
  <c r="R62" i="48"/>
  <c r="Q62" i="48"/>
  <c r="P62" i="48"/>
  <c r="O62" i="48"/>
  <c r="N62" i="48"/>
  <c r="M62" i="48"/>
  <c r="L62" i="48"/>
  <c r="K62" i="48"/>
  <c r="J62" i="48"/>
  <c r="I62" i="48"/>
  <c r="H62" i="48"/>
  <c r="G62" i="48"/>
  <c r="F62" i="48"/>
  <c r="E62" i="48"/>
  <c r="D62" i="48"/>
  <c r="C62" i="48"/>
  <c r="B62" i="48"/>
  <c r="BW61" i="48"/>
  <c r="BV61" i="48"/>
  <c r="BW60" i="48"/>
  <c r="BV60" i="48"/>
  <c r="BW59" i="48"/>
  <c r="BV59" i="48"/>
  <c r="BW58" i="48"/>
  <c r="BV58" i="48"/>
  <c r="BW57" i="48"/>
  <c r="BV57" i="48"/>
  <c r="BW56" i="48"/>
  <c r="BV56" i="48"/>
  <c r="BW55" i="48"/>
  <c r="BV55" i="48"/>
  <c r="BW54" i="48"/>
  <c r="BV54" i="48"/>
  <c r="BW53" i="48"/>
  <c r="BV53" i="48"/>
  <c r="BW52" i="48"/>
  <c r="BV52" i="48"/>
  <c r="BW51" i="48"/>
  <c r="BV51" i="48"/>
  <c r="BW50" i="48"/>
  <c r="BV50" i="48"/>
  <c r="BW49" i="48"/>
  <c r="BV49" i="48"/>
  <c r="BW48" i="48"/>
  <c r="BV48" i="48"/>
  <c r="BW47" i="48"/>
  <c r="BV47" i="48"/>
  <c r="BW46" i="48"/>
  <c r="BV46" i="48"/>
  <c r="BW45" i="48"/>
  <c r="BV45" i="48"/>
  <c r="BW44" i="48"/>
  <c r="BV44" i="48"/>
  <c r="BW43" i="48"/>
  <c r="BV43" i="48"/>
  <c r="BW42" i="48"/>
  <c r="BV42" i="48"/>
  <c r="BW41" i="48"/>
  <c r="BV41" i="48"/>
  <c r="BW40" i="48"/>
  <c r="BV40" i="48"/>
  <c r="BW39" i="48"/>
  <c r="BV39" i="48"/>
  <c r="BW38" i="48"/>
  <c r="BV38" i="48"/>
  <c r="BW37" i="48"/>
  <c r="BV37" i="48"/>
  <c r="BW36" i="48"/>
  <c r="BV36" i="48"/>
  <c r="BW35" i="48"/>
  <c r="BV35" i="48"/>
  <c r="BW34" i="48"/>
  <c r="BV34" i="48"/>
  <c r="BW33" i="48"/>
  <c r="BV33" i="48"/>
  <c r="BW32" i="48"/>
  <c r="BV32" i="48"/>
  <c r="BW31" i="48"/>
  <c r="BV31" i="48"/>
  <c r="BW30" i="48"/>
  <c r="BV30" i="48"/>
  <c r="BW29" i="48"/>
  <c r="BV29" i="48"/>
  <c r="BW28" i="48"/>
  <c r="BV28" i="48"/>
  <c r="BW27" i="48"/>
  <c r="BV27" i="48"/>
  <c r="BW26" i="48"/>
  <c r="BV26" i="48"/>
  <c r="BW25" i="48"/>
  <c r="BV25" i="48"/>
  <c r="BW24" i="48"/>
  <c r="BV24" i="48"/>
  <c r="BW23" i="48"/>
  <c r="BV23" i="48"/>
  <c r="BW22" i="48"/>
  <c r="BV22" i="48"/>
  <c r="BW21" i="48"/>
  <c r="BV21" i="48"/>
  <c r="BW20" i="48"/>
  <c r="BV20" i="48"/>
  <c r="BW19" i="48"/>
  <c r="BV19" i="48"/>
  <c r="BW18" i="48"/>
  <c r="BV18" i="48"/>
  <c r="BW17" i="48"/>
  <c r="BV17" i="48"/>
  <c r="BW16" i="48"/>
  <c r="BV16" i="48"/>
  <c r="BW15" i="48"/>
  <c r="BV15" i="48"/>
  <c r="BW14" i="48"/>
  <c r="BV14" i="48"/>
  <c r="BW13" i="48"/>
  <c r="BV13" i="48"/>
  <c r="BW12" i="48"/>
  <c r="BV12" i="48"/>
  <c r="BW11" i="48"/>
  <c r="BV11" i="48"/>
  <c r="BW10" i="48"/>
  <c r="BV10" i="48"/>
  <c r="BW9" i="48"/>
  <c r="BV9" i="48"/>
  <c r="E44" i="47"/>
  <c r="F43" i="47" s="1"/>
  <c r="F44" i="47" s="1"/>
  <c r="D44" i="47"/>
  <c r="C44" i="47"/>
  <c r="E37" i="47"/>
  <c r="F34" i="47" s="1"/>
  <c r="D37" i="47"/>
  <c r="C37" i="47"/>
  <c r="L35" i="47"/>
  <c r="M34" i="47" s="1"/>
  <c r="K35" i="47"/>
  <c r="J35" i="47"/>
  <c r="M32" i="47"/>
  <c r="L30" i="47"/>
  <c r="M27" i="47" s="1"/>
  <c r="K30" i="47"/>
  <c r="J30" i="47"/>
  <c r="M29" i="47"/>
  <c r="M28" i="47"/>
  <c r="L19" i="47"/>
  <c r="M14" i="47" s="1"/>
  <c r="K19" i="47"/>
  <c r="J19" i="47"/>
  <c r="E17" i="47"/>
  <c r="D17" i="47"/>
  <c r="C17" i="47"/>
  <c r="BU62" i="45"/>
  <c r="BT62" i="45"/>
  <c r="BS62" i="45"/>
  <c r="BR62" i="45"/>
  <c r="BQ62" i="45"/>
  <c r="BP62" i="45"/>
  <c r="BO62" i="45"/>
  <c r="BN62" i="45"/>
  <c r="BM62" i="45"/>
  <c r="BL62" i="45"/>
  <c r="BK62" i="45"/>
  <c r="BJ62" i="45"/>
  <c r="BI62" i="45"/>
  <c r="BH62" i="45"/>
  <c r="BG62" i="45"/>
  <c r="BF62" i="45"/>
  <c r="BE62" i="45"/>
  <c r="BD62" i="45"/>
  <c r="BC62" i="45"/>
  <c r="BB62" i="45"/>
  <c r="BA62" i="45"/>
  <c r="AZ62" i="45"/>
  <c r="AY62" i="45"/>
  <c r="AX62" i="45"/>
  <c r="AW62" i="45"/>
  <c r="AV62" i="45"/>
  <c r="AU62" i="45"/>
  <c r="AT62" i="45"/>
  <c r="AS62" i="45"/>
  <c r="AR62" i="45"/>
  <c r="AQ62" i="45"/>
  <c r="AP62" i="45"/>
  <c r="AO62" i="45"/>
  <c r="AN62" i="45"/>
  <c r="AM62" i="45"/>
  <c r="AL62" i="45"/>
  <c r="AK62" i="45"/>
  <c r="AJ62" i="45"/>
  <c r="AI62" i="45"/>
  <c r="AH62" i="45"/>
  <c r="AG62" i="45"/>
  <c r="AF62" i="45"/>
  <c r="AE62" i="45"/>
  <c r="AD62" i="45"/>
  <c r="AC62" i="45"/>
  <c r="AB62" i="45"/>
  <c r="AA62" i="45"/>
  <c r="Z62" i="45"/>
  <c r="Y62" i="45"/>
  <c r="X62" i="45"/>
  <c r="W62" i="45"/>
  <c r="V62" i="45"/>
  <c r="U62" i="45"/>
  <c r="T62" i="45"/>
  <c r="S62" i="45"/>
  <c r="R62" i="45"/>
  <c r="Q62" i="45"/>
  <c r="P62" i="45"/>
  <c r="O62" i="45"/>
  <c r="N62" i="45"/>
  <c r="M62" i="45"/>
  <c r="L62" i="45"/>
  <c r="K62" i="45"/>
  <c r="J62" i="45"/>
  <c r="I62" i="45"/>
  <c r="H62" i="45"/>
  <c r="G62" i="45"/>
  <c r="F62" i="45"/>
  <c r="E62" i="45"/>
  <c r="D62" i="45"/>
  <c r="C62" i="45"/>
  <c r="B62" i="45"/>
  <c r="BW61" i="45"/>
  <c r="BV61" i="45"/>
  <c r="BW60" i="45"/>
  <c r="BV60" i="45"/>
  <c r="BW59" i="45"/>
  <c r="BV59" i="45"/>
  <c r="BW58" i="45"/>
  <c r="BV58" i="45"/>
  <c r="BW57" i="45"/>
  <c r="BV57" i="45"/>
  <c r="BW56" i="45"/>
  <c r="BV56" i="45"/>
  <c r="BW55" i="45"/>
  <c r="BV55" i="45"/>
  <c r="BW54" i="45"/>
  <c r="BV54" i="45"/>
  <c r="BW53" i="45"/>
  <c r="BV53" i="45"/>
  <c r="BW52" i="45"/>
  <c r="BV52" i="45"/>
  <c r="BW51" i="45"/>
  <c r="BV51" i="45"/>
  <c r="BW50" i="45"/>
  <c r="BV50" i="45"/>
  <c r="BW49" i="45"/>
  <c r="BV49" i="45"/>
  <c r="BW48" i="45"/>
  <c r="BV48" i="45"/>
  <c r="BW47" i="45"/>
  <c r="BV47" i="45"/>
  <c r="BW46" i="45"/>
  <c r="BV46" i="45"/>
  <c r="BW45" i="45"/>
  <c r="BV45" i="45"/>
  <c r="BW44" i="45"/>
  <c r="BV44" i="45"/>
  <c r="BW43" i="45"/>
  <c r="BV43" i="45"/>
  <c r="BW42" i="45"/>
  <c r="BV42" i="45"/>
  <c r="BW41" i="45"/>
  <c r="BV41" i="45"/>
  <c r="BW40" i="45"/>
  <c r="BV40" i="45"/>
  <c r="BW39" i="45"/>
  <c r="BV39" i="45"/>
  <c r="BW38" i="45"/>
  <c r="BV38" i="45"/>
  <c r="BW37" i="45"/>
  <c r="BV37" i="45"/>
  <c r="BW36" i="45"/>
  <c r="BV36" i="45"/>
  <c r="BW35" i="45"/>
  <c r="BV35" i="45"/>
  <c r="BW34" i="45"/>
  <c r="BV34" i="45"/>
  <c r="BW33" i="45"/>
  <c r="BV33" i="45"/>
  <c r="BW32" i="45"/>
  <c r="BV32" i="45"/>
  <c r="BW31" i="45"/>
  <c r="BV31" i="45"/>
  <c r="BW30" i="45"/>
  <c r="BV30" i="45"/>
  <c r="BW29" i="45"/>
  <c r="BV29" i="45"/>
  <c r="BW28" i="45"/>
  <c r="BV28" i="45"/>
  <c r="BW27" i="45"/>
  <c r="BV27" i="45"/>
  <c r="BW26" i="45"/>
  <c r="BV26" i="45"/>
  <c r="BW25" i="45"/>
  <c r="BV25" i="45"/>
  <c r="BW24" i="45"/>
  <c r="BV24" i="45"/>
  <c r="BW23" i="45"/>
  <c r="BV23" i="45"/>
  <c r="BW22" i="45"/>
  <c r="BV22" i="45"/>
  <c r="BW21" i="45"/>
  <c r="BV21" i="45"/>
  <c r="BW20" i="45"/>
  <c r="BV20" i="45"/>
  <c r="BW19" i="45"/>
  <c r="BV19" i="45"/>
  <c r="BW18" i="45"/>
  <c r="BV18" i="45"/>
  <c r="BW17" i="45"/>
  <c r="BV17" i="45"/>
  <c r="BW16" i="45"/>
  <c r="BV16" i="45"/>
  <c r="BW15" i="45"/>
  <c r="BV15" i="45"/>
  <c r="BW14" i="45"/>
  <c r="BV14" i="45"/>
  <c r="BW13" i="45"/>
  <c r="BV13" i="45"/>
  <c r="BW12" i="45"/>
  <c r="BV12" i="45"/>
  <c r="BW11" i="45"/>
  <c r="BV11" i="45"/>
  <c r="BW10" i="45"/>
  <c r="BV10" i="45"/>
  <c r="BW9" i="45"/>
  <c r="BV9" i="45"/>
  <c r="E44" i="44"/>
  <c r="F43" i="44" s="1"/>
  <c r="F44" i="44" s="1"/>
  <c r="D44" i="44"/>
  <c r="C44" i="44"/>
  <c r="E37" i="44"/>
  <c r="F34" i="44" s="1"/>
  <c r="D37" i="44"/>
  <c r="C37" i="44"/>
  <c r="L35" i="44"/>
  <c r="M34" i="44" s="1"/>
  <c r="K35" i="44"/>
  <c r="J35" i="44"/>
  <c r="M32" i="44"/>
  <c r="L30" i="44"/>
  <c r="M28" i="44" s="1"/>
  <c r="K30" i="44"/>
  <c r="J30" i="44"/>
  <c r="L19" i="44"/>
  <c r="M14" i="44" s="1"/>
  <c r="K19" i="44"/>
  <c r="J19" i="44"/>
  <c r="E17" i="44"/>
  <c r="F12" i="44" s="1"/>
  <c r="D17" i="44"/>
  <c r="C17" i="44"/>
  <c r="M17" i="39"/>
  <c r="L62" i="37"/>
  <c r="M62" i="37"/>
  <c r="BV10" i="37"/>
  <c r="BW10" i="37"/>
  <c r="BV11" i="37"/>
  <c r="BW11" i="37"/>
  <c r="BV12" i="37"/>
  <c r="BW12" i="37"/>
  <c r="BV13" i="37"/>
  <c r="BW13" i="37"/>
  <c r="BV14" i="37"/>
  <c r="BW14" i="37"/>
  <c r="BV15" i="37"/>
  <c r="BW15" i="37"/>
  <c r="BV16" i="37"/>
  <c r="BW16" i="37"/>
  <c r="BV17" i="37"/>
  <c r="BW17" i="37"/>
  <c r="BV18" i="37"/>
  <c r="BW18" i="37"/>
  <c r="BV19" i="37"/>
  <c r="BW19" i="37"/>
  <c r="BV20" i="37"/>
  <c r="BW20" i="37"/>
  <c r="BV21" i="37"/>
  <c r="BW21" i="37"/>
  <c r="BV22" i="37"/>
  <c r="BW22" i="37"/>
  <c r="BV23" i="37"/>
  <c r="BW23" i="37"/>
  <c r="BV24" i="37"/>
  <c r="BW24" i="37"/>
  <c r="BV25" i="37"/>
  <c r="BW25" i="37"/>
  <c r="BV26" i="37"/>
  <c r="BW26" i="37"/>
  <c r="BV27" i="37"/>
  <c r="BW27" i="37"/>
  <c r="BV28" i="37"/>
  <c r="BW28" i="37"/>
  <c r="BV29" i="37"/>
  <c r="BW29" i="37"/>
  <c r="BV30" i="37"/>
  <c r="BW30" i="37"/>
  <c r="BV31" i="37"/>
  <c r="BW31" i="37"/>
  <c r="BV32" i="37"/>
  <c r="BW32" i="37"/>
  <c r="BV33" i="37"/>
  <c r="BW33" i="37"/>
  <c r="BV34" i="37"/>
  <c r="BW34" i="37"/>
  <c r="BV35" i="37"/>
  <c r="BW35" i="37"/>
  <c r="BV36" i="37"/>
  <c r="BW36" i="37"/>
  <c r="BV37" i="37"/>
  <c r="BW37" i="37"/>
  <c r="BV38" i="37"/>
  <c r="BW38" i="37"/>
  <c r="BV39" i="37"/>
  <c r="BW39" i="37"/>
  <c r="BV40" i="37"/>
  <c r="BW40" i="37"/>
  <c r="BV41" i="37"/>
  <c r="BW41" i="37"/>
  <c r="BV42" i="37"/>
  <c r="BW42" i="37"/>
  <c r="BV43" i="37"/>
  <c r="BW43" i="37"/>
  <c r="BV44" i="37"/>
  <c r="BW44" i="37"/>
  <c r="BV45" i="37"/>
  <c r="BW45" i="37"/>
  <c r="BV46" i="37"/>
  <c r="BW46" i="37"/>
  <c r="BV47" i="37"/>
  <c r="BW47" i="37"/>
  <c r="BV48" i="37"/>
  <c r="BW48" i="37"/>
  <c r="BV49" i="37"/>
  <c r="BW49" i="37"/>
  <c r="BV50" i="37"/>
  <c r="BW50" i="37"/>
  <c r="BV51" i="37"/>
  <c r="BW51" i="37"/>
  <c r="BV52" i="37"/>
  <c r="BW52" i="37"/>
  <c r="BV53" i="37"/>
  <c r="BW53" i="37"/>
  <c r="BV54" i="37"/>
  <c r="BW54" i="37"/>
  <c r="BV55" i="37"/>
  <c r="BW55" i="37"/>
  <c r="BV56" i="37"/>
  <c r="BW56" i="37"/>
  <c r="BV57" i="37"/>
  <c r="BW57" i="37"/>
  <c r="BV58" i="37"/>
  <c r="BW58" i="37"/>
  <c r="BV59" i="37"/>
  <c r="BW59" i="37"/>
  <c r="BV60" i="37"/>
  <c r="BW60" i="37"/>
  <c r="BV61" i="37"/>
  <c r="BW61" i="37"/>
  <c r="BW9" i="37"/>
  <c r="BV9" i="37"/>
  <c r="B62" i="37"/>
  <c r="E17" i="36"/>
  <c r="D17" i="36"/>
  <c r="C17" i="36"/>
  <c r="BU62" i="37"/>
  <c r="BT62" i="37"/>
  <c r="BS62" i="37"/>
  <c r="BR62" i="37"/>
  <c r="BQ62" i="37"/>
  <c r="BP62" i="37"/>
  <c r="BO62" i="37"/>
  <c r="BN62" i="37"/>
  <c r="BM62" i="37"/>
  <c r="BL62" i="37"/>
  <c r="BK62" i="37"/>
  <c r="BJ62" i="37"/>
  <c r="BI62" i="37"/>
  <c r="BH62" i="37"/>
  <c r="BG62" i="37"/>
  <c r="BF62" i="37"/>
  <c r="BE62" i="37"/>
  <c r="BD62" i="37"/>
  <c r="BC62" i="37"/>
  <c r="BB62" i="37"/>
  <c r="BA62" i="37"/>
  <c r="AZ62" i="37"/>
  <c r="AY62" i="37"/>
  <c r="AX62" i="37"/>
  <c r="AW62" i="37"/>
  <c r="AV62" i="37"/>
  <c r="AU62" i="37"/>
  <c r="AT62" i="37"/>
  <c r="AS62" i="37"/>
  <c r="AR62" i="37"/>
  <c r="AQ62" i="37"/>
  <c r="AP62" i="37"/>
  <c r="AO62" i="37"/>
  <c r="AN62" i="37"/>
  <c r="AM62" i="37"/>
  <c r="AL62" i="37"/>
  <c r="AK62" i="37"/>
  <c r="AJ62" i="37"/>
  <c r="AI62" i="37"/>
  <c r="AH62" i="37"/>
  <c r="AG62" i="37"/>
  <c r="AF62" i="37"/>
  <c r="AE62" i="37"/>
  <c r="AD62" i="37"/>
  <c r="AC62" i="37"/>
  <c r="AB62" i="37"/>
  <c r="AA62" i="37"/>
  <c r="Z62" i="37"/>
  <c r="Y62" i="37"/>
  <c r="X62" i="37"/>
  <c r="W62" i="37"/>
  <c r="V62" i="37"/>
  <c r="U62" i="37"/>
  <c r="T62" i="37"/>
  <c r="S62" i="37"/>
  <c r="R62" i="37"/>
  <c r="Q62" i="37"/>
  <c r="P62" i="37"/>
  <c r="O62" i="37"/>
  <c r="N62" i="37"/>
  <c r="K62" i="37"/>
  <c r="J62" i="37"/>
  <c r="I62" i="37"/>
  <c r="H62" i="37"/>
  <c r="G62" i="37"/>
  <c r="F62" i="37"/>
  <c r="E62" i="37"/>
  <c r="D62" i="37"/>
  <c r="C62" i="37"/>
  <c r="E44" i="36"/>
  <c r="F43" i="36" s="1"/>
  <c r="F44" i="36" s="1"/>
  <c r="D44" i="36"/>
  <c r="C44" i="36"/>
  <c r="E37" i="36"/>
  <c r="F34" i="36" s="1"/>
  <c r="D37" i="36"/>
  <c r="C37" i="36"/>
  <c r="L35" i="36"/>
  <c r="M32" i="36" s="1"/>
  <c r="K35" i="36"/>
  <c r="J35" i="36"/>
  <c r="L30" i="36"/>
  <c r="M28" i="36" s="1"/>
  <c r="K30" i="36"/>
  <c r="J30" i="36"/>
  <c r="L19" i="36"/>
  <c r="M17" i="36" s="1"/>
  <c r="K19" i="36"/>
  <c r="J19" i="36"/>
  <c r="BV9" i="33"/>
  <c r="BV13" i="33"/>
  <c r="BW13" i="33"/>
  <c r="BV14" i="33"/>
  <c r="BW14" i="33"/>
  <c r="BV15" i="33"/>
  <c r="BW15" i="33"/>
  <c r="BV16" i="33"/>
  <c r="BW16" i="33"/>
  <c r="BV17" i="33"/>
  <c r="BW17" i="33"/>
  <c r="BV18" i="33"/>
  <c r="BW18" i="33"/>
  <c r="BV19" i="33"/>
  <c r="BW19" i="33"/>
  <c r="BV20" i="33"/>
  <c r="BW20" i="33"/>
  <c r="BV21" i="33"/>
  <c r="BW21" i="33"/>
  <c r="BV22" i="33"/>
  <c r="BW22" i="33"/>
  <c r="BV23" i="33"/>
  <c r="BW23" i="33"/>
  <c r="BV24" i="33"/>
  <c r="BW24" i="33"/>
  <c r="BV25" i="33"/>
  <c r="BW25" i="33"/>
  <c r="BV26" i="33"/>
  <c r="BW26" i="33"/>
  <c r="BV27" i="33"/>
  <c r="BW27" i="33"/>
  <c r="BV28" i="33"/>
  <c r="BW28" i="33"/>
  <c r="BV29" i="33"/>
  <c r="BW29" i="33"/>
  <c r="BV30" i="33"/>
  <c r="BW30" i="33"/>
  <c r="BV31" i="33"/>
  <c r="BW31" i="33"/>
  <c r="BV32" i="33"/>
  <c r="BW32" i="33"/>
  <c r="BV33" i="33"/>
  <c r="BW33" i="33"/>
  <c r="BV34" i="33"/>
  <c r="BW34" i="33"/>
  <c r="BV35" i="33"/>
  <c r="BW35" i="33"/>
  <c r="BV36" i="33"/>
  <c r="BW36" i="33"/>
  <c r="BV37" i="33"/>
  <c r="BW37" i="33"/>
  <c r="BV38" i="33"/>
  <c r="BW38" i="33"/>
  <c r="BV39" i="33"/>
  <c r="BW39" i="33"/>
  <c r="BV40" i="33"/>
  <c r="BW40" i="33"/>
  <c r="BV41" i="33"/>
  <c r="BW41" i="33"/>
  <c r="BV42" i="33"/>
  <c r="BW42" i="33"/>
  <c r="BV43" i="33"/>
  <c r="BW43" i="33"/>
  <c r="BV44" i="33"/>
  <c r="BW44" i="33"/>
  <c r="BV45" i="33"/>
  <c r="BW45" i="33"/>
  <c r="BV46" i="33"/>
  <c r="BW46" i="33"/>
  <c r="BV47" i="33"/>
  <c r="BW47" i="33"/>
  <c r="BV48" i="33"/>
  <c r="BW48" i="33"/>
  <c r="BV49" i="33"/>
  <c r="BW49" i="33"/>
  <c r="BV50" i="33"/>
  <c r="BW50" i="33"/>
  <c r="BV51" i="33"/>
  <c r="BW51" i="33"/>
  <c r="BV52" i="33"/>
  <c r="BW52" i="33"/>
  <c r="BV53" i="33"/>
  <c r="BW53" i="33"/>
  <c r="BV54" i="33"/>
  <c r="BW54" i="33"/>
  <c r="BV55" i="33"/>
  <c r="BW55" i="33"/>
  <c r="BV56" i="33"/>
  <c r="BW56" i="33"/>
  <c r="BV57" i="33"/>
  <c r="BW57" i="33"/>
  <c r="BV58" i="33"/>
  <c r="BW58" i="33"/>
  <c r="BV59" i="33"/>
  <c r="BW59" i="33"/>
  <c r="BV60" i="33"/>
  <c r="BW60" i="33"/>
  <c r="BV61" i="33"/>
  <c r="BW61" i="33"/>
  <c r="BV12" i="33"/>
  <c r="BW12" i="33"/>
  <c r="BV11" i="33"/>
  <c r="BW11" i="33"/>
  <c r="BV10" i="33"/>
  <c r="BW10" i="33"/>
  <c r="BW9" i="33"/>
  <c r="BV11" i="31"/>
  <c r="BW11" i="31"/>
  <c r="BV12" i="31"/>
  <c r="BW12" i="31"/>
  <c r="BV13" i="31"/>
  <c r="BW13" i="31"/>
  <c r="BV14" i="31"/>
  <c r="BW14" i="31"/>
  <c r="BV15" i="31"/>
  <c r="BW15" i="31"/>
  <c r="BV16" i="31"/>
  <c r="BW16" i="31"/>
  <c r="BV17" i="31"/>
  <c r="BW17" i="31"/>
  <c r="BV18" i="31"/>
  <c r="BW18" i="31"/>
  <c r="BV19" i="31"/>
  <c r="BW19" i="31"/>
  <c r="BV20" i="31"/>
  <c r="BW20" i="31"/>
  <c r="BV21" i="31"/>
  <c r="BW21" i="31"/>
  <c r="BV22" i="31"/>
  <c r="BW22" i="31"/>
  <c r="BV23" i="31"/>
  <c r="BW23" i="31"/>
  <c r="BV24" i="31"/>
  <c r="BW24" i="31"/>
  <c r="BV25" i="31"/>
  <c r="BW25" i="31"/>
  <c r="BV26" i="31"/>
  <c r="BW26" i="31"/>
  <c r="BV27" i="31"/>
  <c r="BW27" i="31"/>
  <c r="BV28" i="31"/>
  <c r="BW28" i="31"/>
  <c r="BV29" i="31"/>
  <c r="BW29" i="31"/>
  <c r="BV30" i="31"/>
  <c r="BW30" i="31"/>
  <c r="BV31" i="31"/>
  <c r="BW31" i="31"/>
  <c r="BV32" i="31"/>
  <c r="BW32" i="31"/>
  <c r="BV33" i="31"/>
  <c r="BW33" i="31"/>
  <c r="BV34" i="31"/>
  <c r="BW34" i="31"/>
  <c r="BV35" i="31"/>
  <c r="BW35" i="31"/>
  <c r="BV36" i="31"/>
  <c r="BW36" i="31"/>
  <c r="BV37" i="31"/>
  <c r="BW37" i="31"/>
  <c r="BV38" i="31"/>
  <c r="BW38" i="31"/>
  <c r="BV39" i="31"/>
  <c r="BW39" i="31"/>
  <c r="BV40" i="31"/>
  <c r="BW40" i="31"/>
  <c r="BV41" i="31"/>
  <c r="BW41" i="31"/>
  <c r="BV42" i="31"/>
  <c r="BW42" i="31"/>
  <c r="BV43" i="31"/>
  <c r="BW43" i="31"/>
  <c r="BV44" i="31"/>
  <c r="BW44" i="31"/>
  <c r="BV45" i="31"/>
  <c r="BW45" i="31"/>
  <c r="BV46" i="31"/>
  <c r="BW46" i="31"/>
  <c r="BV47" i="31"/>
  <c r="BW47" i="31"/>
  <c r="BV48" i="31"/>
  <c r="BW48" i="31"/>
  <c r="BV49" i="31"/>
  <c r="BW49" i="31"/>
  <c r="BV50" i="31"/>
  <c r="BW50" i="31"/>
  <c r="BV51" i="31"/>
  <c r="BW51" i="31"/>
  <c r="BV52" i="31"/>
  <c r="BW52" i="31"/>
  <c r="BV53" i="31"/>
  <c r="BW53" i="31"/>
  <c r="BV54" i="31"/>
  <c r="BW54" i="31"/>
  <c r="BV55" i="31"/>
  <c r="BW55" i="31"/>
  <c r="BV56" i="31"/>
  <c r="BW56" i="31"/>
  <c r="BV57" i="31"/>
  <c r="BW57" i="31"/>
  <c r="BV58" i="31"/>
  <c r="BW58" i="31"/>
  <c r="BV59" i="31"/>
  <c r="BW59" i="31"/>
  <c r="BV60" i="31"/>
  <c r="BW60" i="31"/>
  <c r="BV61" i="31"/>
  <c r="BW61" i="31"/>
  <c r="BW9" i="31"/>
  <c r="BW10" i="31"/>
  <c r="BV10" i="31"/>
  <c r="BV9" i="31"/>
  <c r="CD11" i="29"/>
  <c r="CE11" i="29"/>
  <c r="CD12" i="29"/>
  <c r="CE12" i="29"/>
  <c r="CD13" i="29"/>
  <c r="CE13" i="29"/>
  <c r="CD14" i="29"/>
  <c r="CE14" i="29"/>
  <c r="CD15" i="29"/>
  <c r="CE15" i="29"/>
  <c r="CD16" i="29"/>
  <c r="CE16" i="29"/>
  <c r="CD17" i="29"/>
  <c r="CE17" i="29"/>
  <c r="CD18" i="29"/>
  <c r="CE18" i="29"/>
  <c r="CD19" i="29"/>
  <c r="CE19" i="29"/>
  <c r="CD20" i="29"/>
  <c r="CE20" i="29"/>
  <c r="CD21" i="29"/>
  <c r="CE21" i="29"/>
  <c r="CD22" i="29"/>
  <c r="CE22" i="29"/>
  <c r="CD23" i="29"/>
  <c r="CE23" i="29"/>
  <c r="CD24" i="29"/>
  <c r="CE24" i="29"/>
  <c r="CD25" i="29"/>
  <c r="CE25" i="29"/>
  <c r="CD26" i="29"/>
  <c r="CE26" i="29"/>
  <c r="CD27" i="29"/>
  <c r="CE27" i="29"/>
  <c r="CD28" i="29"/>
  <c r="CE28" i="29"/>
  <c r="CD29" i="29"/>
  <c r="CE29" i="29"/>
  <c r="CD30" i="29"/>
  <c r="CE30" i="29"/>
  <c r="CD31" i="29"/>
  <c r="CE31" i="29"/>
  <c r="CD32" i="29"/>
  <c r="CE32" i="29"/>
  <c r="CD33" i="29"/>
  <c r="CE33" i="29"/>
  <c r="CD34" i="29"/>
  <c r="CE34" i="29"/>
  <c r="CD35" i="29"/>
  <c r="CE35" i="29"/>
  <c r="CD36" i="29"/>
  <c r="CE36" i="29"/>
  <c r="CD37" i="29"/>
  <c r="CE37" i="29"/>
  <c r="CD38" i="29"/>
  <c r="CE38" i="29"/>
  <c r="CD39" i="29"/>
  <c r="CE39" i="29"/>
  <c r="CD40" i="29"/>
  <c r="CE40" i="29"/>
  <c r="CD41" i="29"/>
  <c r="CE41" i="29"/>
  <c r="CD42" i="29"/>
  <c r="CE42" i="29"/>
  <c r="CD43" i="29"/>
  <c r="CE43" i="29"/>
  <c r="CD44" i="29"/>
  <c r="CE44" i="29"/>
  <c r="CD45" i="29"/>
  <c r="CE45" i="29"/>
  <c r="CD46" i="29"/>
  <c r="CE46" i="29"/>
  <c r="CD47" i="29"/>
  <c r="CE47" i="29"/>
  <c r="CD48" i="29"/>
  <c r="CE48" i="29"/>
  <c r="CD49" i="29"/>
  <c r="CE49" i="29"/>
  <c r="CD50" i="29"/>
  <c r="CE50" i="29"/>
  <c r="CD51" i="29"/>
  <c r="CE51" i="29"/>
  <c r="CD52" i="29"/>
  <c r="CE52" i="29"/>
  <c r="CD53" i="29"/>
  <c r="CE53" i="29"/>
  <c r="CD54" i="29"/>
  <c r="CE54" i="29"/>
  <c r="CD55" i="29"/>
  <c r="CE55" i="29"/>
  <c r="CD56" i="29"/>
  <c r="CE56" i="29"/>
  <c r="CD57" i="29"/>
  <c r="CE57" i="29"/>
  <c r="CD58" i="29"/>
  <c r="CE58" i="29"/>
  <c r="CD59" i="29"/>
  <c r="CE59" i="29"/>
  <c r="CD60" i="29"/>
  <c r="CE60" i="29"/>
  <c r="CE9" i="29"/>
  <c r="CE10" i="29"/>
  <c r="CD10" i="29"/>
  <c r="CD9" i="29"/>
  <c r="BB61" i="29"/>
  <c r="BC61" i="29"/>
  <c r="AY62" i="31"/>
  <c r="AX62" i="31"/>
  <c r="AY62" i="33"/>
  <c r="AX62" i="33"/>
  <c r="CB11" i="27"/>
  <c r="CC11" i="27"/>
  <c r="CB12" i="27"/>
  <c r="CC12" i="27"/>
  <c r="CB13" i="27"/>
  <c r="CC13" i="27"/>
  <c r="CB14" i="27"/>
  <c r="CC14" i="27"/>
  <c r="CB15" i="27"/>
  <c r="CC15" i="27"/>
  <c r="CB16" i="27"/>
  <c r="CC16" i="27"/>
  <c r="CB17" i="27"/>
  <c r="CC17" i="27"/>
  <c r="CB18" i="27"/>
  <c r="CC18" i="27"/>
  <c r="CB19" i="27"/>
  <c r="CC19" i="27"/>
  <c r="CB20" i="27"/>
  <c r="CC20" i="27"/>
  <c r="CB21" i="27"/>
  <c r="CC21" i="27"/>
  <c r="CB22" i="27"/>
  <c r="CC22" i="27"/>
  <c r="CB23" i="27"/>
  <c r="CC23" i="27"/>
  <c r="CB24" i="27"/>
  <c r="CC24" i="27"/>
  <c r="CB25" i="27"/>
  <c r="CC25" i="27"/>
  <c r="CB26" i="27"/>
  <c r="CC26" i="27"/>
  <c r="CB27" i="27"/>
  <c r="CC27" i="27"/>
  <c r="CB28" i="27"/>
  <c r="CC28" i="27"/>
  <c r="CB29" i="27"/>
  <c r="CC29" i="27"/>
  <c r="CB30" i="27"/>
  <c r="CC30" i="27"/>
  <c r="CB31" i="27"/>
  <c r="CC31" i="27"/>
  <c r="CB32" i="27"/>
  <c r="CC32" i="27"/>
  <c r="CB33" i="27"/>
  <c r="CC33" i="27"/>
  <c r="CB34" i="27"/>
  <c r="CC34" i="27"/>
  <c r="CB35" i="27"/>
  <c r="CC35" i="27"/>
  <c r="CB36" i="27"/>
  <c r="CC36" i="27"/>
  <c r="CB37" i="27"/>
  <c r="CC37" i="27"/>
  <c r="CB38" i="27"/>
  <c r="CC38" i="27"/>
  <c r="CB39" i="27"/>
  <c r="CC39" i="27"/>
  <c r="CB40" i="27"/>
  <c r="CC40" i="27"/>
  <c r="CB41" i="27"/>
  <c r="CC41" i="27"/>
  <c r="CB42" i="27"/>
  <c r="CC42" i="27"/>
  <c r="CB43" i="27"/>
  <c r="CC43" i="27"/>
  <c r="CB44" i="27"/>
  <c r="CC44" i="27"/>
  <c r="CB45" i="27"/>
  <c r="CC45" i="27"/>
  <c r="CB46" i="27"/>
  <c r="CC46" i="27"/>
  <c r="CB47" i="27"/>
  <c r="CC47" i="27"/>
  <c r="CB48" i="27"/>
  <c r="CC48" i="27"/>
  <c r="CB49" i="27"/>
  <c r="CC49" i="27"/>
  <c r="CB50" i="27"/>
  <c r="CC50" i="27"/>
  <c r="CB51" i="27"/>
  <c r="CC51" i="27"/>
  <c r="CB52" i="27"/>
  <c r="CC52" i="27"/>
  <c r="CB53" i="27"/>
  <c r="CC53" i="27"/>
  <c r="CB54" i="27"/>
  <c r="CC54" i="27"/>
  <c r="CB55" i="27"/>
  <c r="CC55" i="27"/>
  <c r="CB56" i="27"/>
  <c r="CC56" i="27"/>
  <c r="CB57" i="27"/>
  <c r="CC57" i="27"/>
  <c r="CB58" i="27"/>
  <c r="CC58" i="27"/>
  <c r="CC9" i="27"/>
  <c r="CC10" i="27"/>
  <c r="CB10" i="27"/>
  <c r="CB9" i="27"/>
  <c r="AZ59" i="27"/>
  <c r="BA59" i="27"/>
  <c r="BV11" i="35"/>
  <c r="BW11" i="35"/>
  <c r="BV12" i="35"/>
  <c r="BW12" i="35"/>
  <c r="BV13" i="35"/>
  <c r="BW13" i="35"/>
  <c r="BV14" i="35"/>
  <c r="BW14" i="35"/>
  <c r="BV15" i="35"/>
  <c r="BW15" i="35"/>
  <c r="BV16" i="35"/>
  <c r="BW16" i="35"/>
  <c r="BV17" i="35"/>
  <c r="BW17" i="35"/>
  <c r="BV18" i="35"/>
  <c r="BW18" i="35"/>
  <c r="BV19" i="35"/>
  <c r="BW19" i="35"/>
  <c r="BV20" i="35"/>
  <c r="BW20" i="35"/>
  <c r="BV21" i="35"/>
  <c r="BW21" i="35"/>
  <c r="BV22" i="35"/>
  <c r="BW22" i="35"/>
  <c r="BV23" i="35"/>
  <c r="BW23" i="35"/>
  <c r="BV24" i="35"/>
  <c r="BW24" i="35"/>
  <c r="BV25" i="35"/>
  <c r="BW25" i="35"/>
  <c r="BV26" i="35"/>
  <c r="BW26" i="35"/>
  <c r="BV27" i="35"/>
  <c r="BW27" i="35"/>
  <c r="BV28" i="35"/>
  <c r="BW28" i="35"/>
  <c r="BV29" i="35"/>
  <c r="BW29" i="35"/>
  <c r="BV30" i="35"/>
  <c r="BW30" i="35"/>
  <c r="BV31" i="35"/>
  <c r="BW31" i="35"/>
  <c r="BV32" i="35"/>
  <c r="BW32" i="35"/>
  <c r="BV33" i="35"/>
  <c r="BW33" i="35"/>
  <c r="BV34" i="35"/>
  <c r="BW34" i="35"/>
  <c r="BV35" i="35"/>
  <c r="BW35" i="35"/>
  <c r="BV36" i="35"/>
  <c r="BW36" i="35"/>
  <c r="BV37" i="35"/>
  <c r="BW37" i="35"/>
  <c r="BV38" i="35"/>
  <c r="BW38" i="35"/>
  <c r="BV39" i="35"/>
  <c r="BW39" i="35"/>
  <c r="BV40" i="35"/>
  <c r="BW40" i="35"/>
  <c r="BV41" i="35"/>
  <c r="BW41" i="35"/>
  <c r="BV42" i="35"/>
  <c r="BW42" i="35"/>
  <c r="BV43" i="35"/>
  <c r="BW43" i="35"/>
  <c r="BV44" i="35"/>
  <c r="BW44" i="35"/>
  <c r="BV45" i="35"/>
  <c r="BW45" i="35"/>
  <c r="BV46" i="35"/>
  <c r="BW46" i="35"/>
  <c r="BV47" i="35"/>
  <c r="BW47" i="35"/>
  <c r="BV48" i="35"/>
  <c r="BW48" i="35"/>
  <c r="BV49" i="35"/>
  <c r="BW49" i="35"/>
  <c r="BV50" i="35"/>
  <c r="BW50" i="35"/>
  <c r="BV51" i="35"/>
  <c r="BW51" i="35"/>
  <c r="BV52" i="35"/>
  <c r="BW52" i="35"/>
  <c r="BV53" i="35"/>
  <c r="BW53" i="35"/>
  <c r="BV54" i="35"/>
  <c r="BW54" i="35"/>
  <c r="BV55" i="35"/>
  <c r="BW55" i="35"/>
  <c r="BV56" i="35"/>
  <c r="BW56" i="35"/>
  <c r="BV57" i="35"/>
  <c r="BW57" i="35"/>
  <c r="BV58" i="35"/>
  <c r="BW58" i="35"/>
  <c r="BV59" i="35"/>
  <c r="BW59" i="35"/>
  <c r="BV60" i="35"/>
  <c r="BW60" i="35"/>
  <c r="BV61" i="35"/>
  <c r="BW61" i="35"/>
  <c r="BW9" i="35"/>
  <c r="BW10" i="35"/>
  <c r="BV10" i="35"/>
  <c r="BV9" i="35"/>
  <c r="AX62" i="35"/>
  <c r="AY62" i="35"/>
  <c r="BU62" i="35"/>
  <c r="BT62" i="35"/>
  <c r="BS62" i="35"/>
  <c r="BR62" i="35"/>
  <c r="BQ62" i="35"/>
  <c r="BP62" i="35"/>
  <c r="BO62" i="35"/>
  <c r="BN62" i="35"/>
  <c r="BM62" i="35"/>
  <c r="BL62" i="35"/>
  <c r="BK62" i="35"/>
  <c r="BJ62" i="35"/>
  <c r="BI62" i="35"/>
  <c r="BH62" i="35"/>
  <c r="BG62" i="35"/>
  <c r="BF62" i="35"/>
  <c r="BE62" i="35"/>
  <c r="BD62" i="35"/>
  <c r="BC62" i="35"/>
  <c r="BB62" i="35"/>
  <c r="BA62" i="35"/>
  <c r="AZ62" i="35"/>
  <c r="AW62" i="35"/>
  <c r="AV62" i="35"/>
  <c r="AU62" i="35"/>
  <c r="AT62" i="35"/>
  <c r="AS62" i="35"/>
  <c r="AR62" i="35"/>
  <c r="AQ62" i="35"/>
  <c r="AP62" i="35"/>
  <c r="AO62" i="35"/>
  <c r="AN62" i="35"/>
  <c r="AM62" i="35"/>
  <c r="AL62" i="35"/>
  <c r="AK62" i="35"/>
  <c r="AJ62" i="35"/>
  <c r="AI62" i="35"/>
  <c r="AH62" i="35"/>
  <c r="AG62" i="35"/>
  <c r="AF62" i="35"/>
  <c r="AE62" i="35"/>
  <c r="AD62" i="35"/>
  <c r="AC62" i="35"/>
  <c r="AB62" i="35"/>
  <c r="AA62" i="35"/>
  <c r="Z62" i="35"/>
  <c r="Y62" i="35"/>
  <c r="X62" i="35"/>
  <c r="W62" i="35"/>
  <c r="V62" i="35"/>
  <c r="U62" i="35"/>
  <c r="T62" i="35"/>
  <c r="S62" i="35"/>
  <c r="R62" i="35"/>
  <c r="Q62" i="35"/>
  <c r="P62" i="35"/>
  <c r="O62" i="35"/>
  <c r="N62" i="35"/>
  <c r="M62" i="35"/>
  <c r="L62" i="35"/>
  <c r="K62" i="35"/>
  <c r="J62" i="35"/>
  <c r="I62" i="35"/>
  <c r="H62" i="35"/>
  <c r="G62" i="35"/>
  <c r="F62" i="35"/>
  <c r="E62" i="35"/>
  <c r="D62" i="35"/>
  <c r="C62" i="35"/>
  <c r="B62" i="35"/>
  <c r="E44" i="34"/>
  <c r="F40" i="34" s="1"/>
  <c r="D44" i="34"/>
  <c r="C44" i="34"/>
  <c r="E37" i="34"/>
  <c r="F35" i="34" s="1"/>
  <c r="D37" i="34"/>
  <c r="C37" i="34"/>
  <c r="L35" i="34"/>
  <c r="M34" i="34" s="1"/>
  <c r="K35" i="34"/>
  <c r="J35" i="34"/>
  <c r="L30" i="34"/>
  <c r="M28" i="34" s="1"/>
  <c r="K30" i="34"/>
  <c r="J30" i="34"/>
  <c r="L19" i="34"/>
  <c r="M11" i="34" s="1"/>
  <c r="K19" i="34"/>
  <c r="J19" i="34"/>
  <c r="E17" i="34"/>
  <c r="F13" i="34" s="1"/>
  <c r="F11" i="34"/>
  <c r="D17" i="34"/>
  <c r="C17" i="34"/>
  <c r="M33" i="18"/>
  <c r="M34" i="18"/>
  <c r="M32" i="18"/>
  <c r="M28" i="18"/>
  <c r="M29" i="18"/>
  <c r="M27" i="18"/>
  <c r="M12" i="18"/>
  <c r="M13" i="18"/>
  <c r="M15" i="18"/>
  <c r="M17" i="18"/>
  <c r="M11" i="18"/>
  <c r="F38" i="18"/>
  <c r="F39" i="18"/>
  <c r="F40" i="18"/>
  <c r="F41" i="18"/>
  <c r="F37" i="18"/>
  <c r="F23" i="18"/>
  <c r="F14" i="18"/>
  <c r="F13" i="18"/>
  <c r="F12" i="18"/>
  <c r="F11" i="18"/>
  <c r="M33" i="21"/>
  <c r="M34" i="21"/>
  <c r="M32" i="21"/>
  <c r="M28" i="21"/>
  <c r="M29" i="21"/>
  <c r="M27" i="21"/>
  <c r="M15" i="21"/>
  <c r="M16" i="21"/>
  <c r="M17" i="21"/>
  <c r="M12" i="21"/>
  <c r="M13" i="21"/>
  <c r="M11" i="21"/>
  <c r="F41" i="21"/>
  <c r="F40" i="21"/>
  <c r="F39" i="21"/>
  <c r="F38" i="21"/>
  <c r="F37" i="21"/>
  <c r="F23" i="21"/>
  <c r="F14" i="21"/>
  <c r="F13" i="21"/>
  <c r="F12" i="21"/>
  <c r="F11" i="21"/>
  <c r="M34" i="24"/>
  <c r="M33" i="24"/>
  <c r="M32" i="24"/>
  <c r="M29" i="24"/>
  <c r="M28" i="24"/>
  <c r="M27" i="24"/>
  <c r="M16" i="24"/>
  <c r="M17" i="24"/>
  <c r="M15" i="24"/>
  <c r="M13" i="24"/>
  <c r="M12" i="24"/>
  <c r="M11" i="24"/>
  <c r="F41" i="24"/>
  <c r="F38" i="24"/>
  <c r="F39" i="24"/>
  <c r="F37" i="24"/>
  <c r="F24" i="24"/>
  <c r="F23" i="24"/>
  <c r="F13" i="24"/>
  <c r="F14" i="24"/>
  <c r="F12" i="24"/>
  <c r="F11" i="24"/>
  <c r="C58" i="17"/>
  <c r="D58" i="17"/>
  <c r="E58" i="17"/>
  <c r="F58" i="17"/>
  <c r="G58" i="17"/>
  <c r="H58" i="17"/>
  <c r="I58" i="17"/>
  <c r="J58" i="17"/>
  <c r="K58" i="17"/>
  <c r="L58" i="17"/>
  <c r="M58" i="17"/>
  <c r="N58" i="17"/>
  <c r="O58" i="17"/>
  <c r="P58" i="17"/>
  <c r="Q58" i="17"/>
  <c r="R58" i="17"/>
  <c r="S58" i="17"/>
  <c r="T58" i="17"/>
  <c r="U58" i="17"/>
  <c r="V58" i="17"/>
  <c r="W58" i="17"/>
  <c r="X58" i="17"/>
  <c r="Y58" i="17"/>
  <c r="Z58" i="17"/>
  <c r="AA58" i="17"/>
  <c r="AB58" i="17"/>
  <c r="AC58" i="17"/>
  <c r="AD58" i="17"/>
  <c r="AE58" i="17"/>
  <c r="AF58" i="17"/>
  <c r="AG58" i="17"/>
  <c r="AH58" i="17"/>
  <c r="AI58" i="17"/>
  <c r="AJ58" i="17"/>
  <c r="AK58" i="17"/>
  <c r="AL58" i="17"/>
  <c r="AM58" i="17"/>
  <c r="AN58" i="17"/>
  <c r="AO58" i="17"/>
  <c r="AP58" i="17"/>
  <c r="AQ58" i="17"/>
  <c r="AR58" i="17"/>
  <c r="AS58" i="17"/>
  <c r="AT58" i="17"/>
  <c r="AU58" i="17"/>
  <c r="AV58" i="17"/>
  <c r="AW58" i="17"/>
  <c r="AX58" i="17"/>
  <c r="AY58" i="17"/>
  <c r="AZ58" i="17"/>
  <c r="BA58" i="17"/>
  <c r="BB58" i="17"/>
  <c r="BC58" i="17"/>
  <c r="BD58" i="17"/>
  <c r="BE58" i="17"/>
  <c r="BF58" i="17"/>
  <c r="BG58" i="17"/>
  <c r="BH58" i="17"/>
  <c r="BI58" i="17"/>
  <c r="BJ58" i="17"/>
  <c r="BK58" i="17"/>
  <c r="BL58" i="17"/>
  <c r="BM58" i="17"/>
  <c r="BN58" i="17"/>
  <c r="BO58" i="17"/>
  <c r="BP58" i="17"/>
  <c r="BQ58" i="17"/>
  <c r="BR58" i="17"/>
  <c r="BS58" i="17"/>
  <c r="BT58" i="17"/>
  <c r="BU58" i="17"/>
  <c r="B58" i="17"/>
  <c r="BV10" i="17"/>
  <c r="BW10" i="17"/>
  <c r="BV11" i="17"/>
  <c r="BW11" i="17"/>
  <c r="BV12" i="17"/>
  <c r="BW12" i="17"/>
  <c r="BV13" i="17"/>
  <c r="BW13" i="17"/>
  <c r="BV14" i="17"/>
  <c r="BW14" i="17"/>
  <c r="BV15" i="17"/>
  <c r="BW15" i="17"/>
  <c r="BV16" i="17"/>
  <c r="BW16" i="17"/>
  <c r="BV17" i="17"/>
  <c r="BW17" i="17"/>
  <c r="BV18" i="17"/>
  <c r="BW18" i="17"/>
  <c r="BV19" i="17"/>
  <c r="BW19" i="17"/>
  <c r="BV20" i="17"/>
  <c r="BW20" i="17"/>
  <c r="BV21" i="17"/>
  <c r="BW21" i="17"/>
  <c r="BV22" i="17"/>
  <c r="BW22" i="17"/>
  <c r="BV23" i="17"/>
  <c r="BW23" i="17"/>
  <c r="BV24" i="17"/>
  <c r="BW24" i="17"/>
  <c r="BV25" i="17"/>
  <c r="BW25" i="17"/>
  <c r="BV26" i="17"/>
  <c r="BW26" i="17"/>
  <c r="BV27" i="17"/>
  <c r="BW27" i="17"/>
  <c r="BV28" i="17"/>
  <c r="BW28" i="17"/>
  <c r="BV29" i="17"/>
  <c r="BW29" i="17"/>
  <c r="BV30" i="17"/>
  <c r="BW30" i="17"/>
  <c r="BV31" i="17"/>
  <c r="BW31" i="17"/>
  <c r="BV32" i="17"/>
  <c r="BW32" i="17"/>
  <c r="BV33" i="17"/>
  <c r="BW33" i="17"/>
  <c r="BV34" i="17"/>
  <c r="BW34" i="17"/>
  <c r="BV35" i="17"/>
  <c r="BW35" i="17"/>
  <c r="BV36" i="17"/>
  <c r="BW36" i="17"/>
  <c r="BV37" i="17"/>
  <c r="BW37" i="17"/>
  <c r="BV38" i="17"/>
  <c r="BW38" i="17"/>
  <c r="BV39" i="17"/>
  <c r="BW39" i="17"/>
  <c r="BV40" i="17"/>
  <c r="BW40" i="17"/>
  <c r="BV41" i="17"/>
  <c r="BW41" i="17"/>
  <c r="BV42" i="17"/>
  <c r="BW42" i="17"/>
  <c r="BV43" i="17"/>
  <c r="BW43" i="17"/>
  <c r="BV44" i="17"/>
  <c r="BW44" i="17"/>
  <c r="BV45" i="17"/>
  <c r="BW45" i="17"/>
  <c r="BV46" i="17"/>
  <c r="BW46" i="17"/>
  <c r="BV47" i="17"/>
  <c r="BW47" i="17"/>
  <c r="BV48" i="17"/>
  <c r="BW48" i="17"/>
  <c r="BV49" i="17"/>
  <c r="BW49" i="17"/>
  <c r="BV50" i="17"/>
  <c r="BW50" i="17"/>
  <c r="BV51" i="17"/>
  <c r="BW51" i="17"/>
  <c r="BV52" i="17"/>
  <c r="BW52" i="17"/>
  <c r="BV53" i="17"/>
  <c r="BW53" i="17"/>
  <c r="BV54" i="17"/>
  <c r="BW54" i="17"/>
  <c r="BV55" i="17"/>
  <c r="BW55" i="17"/>
  <c r="BV56" i="17"/>
  <c r="BW56" i="17"/>
  <c r="BV57" i="17"/>
  <c r="BW57" i="17"/>
  <c r="BW9" i="17"/>
  <c r="BV9" i="17"/>
  <c r="D35" i="18"/>
  <c r="K42" i="18" s="1"/>
  <c r="E35" i="18"/>
  <c r="F30" i="18" s="1"/>
  <c r="C35" i="18"/>
  <c r="J42" i="18" s="1"/>
  <c r="C59" i="25"/>
  <c r="D59" i="25"/>
  <c r="E59" i="25"/>
  <c r="F59" i="25"/>
  <c r="G59" i="25"/>
  <c r="H59" i="25"/>
  <c r="I59" i="25"/>
  <c r="J59" i="25"/>
  <c r="K59" i="25"/>
  <c r="L59" i="25"/>
  <c r="M59" i="25"/>
  <c r="N59" i="25"/>
  <c r="O59" i="25"/>
  <c r="P59" i="25"/>
  <c r="Q59" i="25"/>
  <c r="R59" i="25"/>
  <c r="S59" i="25"/>
  <c r="T59" i="25"/>
  <c r="U59" i="25"/>
  <c r="V59" i="25"/>
  <c r="W59" i="25"/>
  <c r="X59" i="25"/>
  <c r="Y59" i="25"/>
  <c r="Z59" i="25"/>
  <c r="AA59" i="25"/>
  <c r="AB59" i="25"/>
  <c r="AC59" i="25"/>
  <c r="AD59" i="25"/>
  <c r="AE59" i="25"/>
  <c r="AF59" i="25"/>
  <c r="AG59" i="25"/>
  <c r="AH59" i="25"/>
  <c r="AI59" i="25"/>
  <c r="AJ59" i="25"/>
  <c r="AK59" i="25"/>
  <c r="AL59" i="25"/>
  <c r="AM59" i="25"/>
  <c r="AN59" i="25"/>
  <c r="AO59" i="25"/>
  <c r="AP59" i="25"/>
  <c r="AQ59" i="25"/>
  <c r="AR59" i="25"/>
  <c r="AS59" i="25"/>
  <c r="AT59" i="25"/>
  <c r="AU59" i="25"/>
  <c r="AV59" i="25"/>
  <c r="AW59" i="25"/>
  <c r="AX59" i="25"/>
  <c r="AY59" i="25"/>
  <c r="AZ59" i="25"/>
  <c r="BA59" i="25"/>
  <c r="BB59" i="25"/>
  <c r="BC59" i="25"/>
  <c r="BD59" i="25"/>
  <c r="BE59" i="25"/>
  <c r="BF59" i="25"/>
  <c r="BG59" i="25"/>
  <c r="BH59" i="25"/>
  <c r="BI59" i="25"/>
  <c r="BJ59" i="25"/>
  <c r="BK59" i="25"/>
  <c r="BL59" i="25"/>
  <c r="BM59" i="25"/>
  <c r="BN59" i="25"/>
  <c r="BO59" i="25"/>
  <c r="BP59" i="25"/>
  <c r="BQ59" i="25"/>
  <c r="BR59" i="25"/>
  <c r="BS59" i="25"/>
  <c r="BT59" i="25"/>
  <c r="BU59" i="25"/>
  <c r="BV59" i="25"/>
  <c r="BW59" i="25"/>
  <c r="B59" i="25"/>
  <c r="D35" i="24"/>
  <c r="K42" i="24" s="1"/>
  <c r="E35" i="24"/>
  <c r="F31" i="24" s="1"/>
  <c r="C35" i="24"/>
  <c r="J42" i="24" s="1"/>
  <c r="BX10" i="25"/>
  <c r="BY10" i="25"/>
  <c r="BX11" i="25"/>
  <c r="BY11" i="25"/>
  <c r="BX12" i="25"/>
  <c r="BY12" i="25"/>
  <c r="BX13" i="25"/>
  <c r="BY13" i="25"/>
  <c r="BX14" i="25"/>
  <c r="BY14" i="25"/>
  <c r="BX15" i="25"/>
  <c r="BY15" i="25"/>
  <c r="BX16" i="25"/>
  <c r="BY16" i="25"/>
  <c r="BX17" i="25"/>
  <c r="BY17" i="25"/>
  <c r="BX18" i="25"/>
  <c r="BY18" i="25"/>
  <c r="BX19" i="25"/>
  <c r="BY19" i="25"/>
  <c r="BX20" i="25"/>
  <c r="BY20" i="25"/>
  <c r="BX21" i="25"/>
  <c r="BY21" i="25"/>
  <c r="BX22" i="25"/>
  <c r="BY22" i="25"/>
  <c r="BX23" i="25"/>
  <c r="BY23" i="25"/>
  <c r="BX24" i="25"/>
  <c r="BY24" i="25"/>
  <c r="BX25" i="25"/>
  <c r="BY25" i="25"/>
  <c r="BX26" i="25"/>
  <c r="BY26" i="25"/>
  <c r="BX27" i="25"/>
  <c r="BY27" i="25"/>
  <c r="BX28" i="25"/>
  <c r="BY28" i="25"/>
  <c r="BX29" i="25"/>
  <c r="BY29" i="25"/>
  <c r="BX30" i="25"/>
  <c r="BY30" i="25"/>
  <c r="BX31" i="25"/>
  <c r="BY31" i="25"/>
  <c r="BX32" i="25"/>
  <c r="BY32" i="25"/>
  <c r="BX33" i="25"/>
  <c r="BY33" i="25"/>
  <c r="BX34" i="25"/>
  <c r="BY34" i="25"/>
  <c r="BX35" i="25"/>
  <c r="BY35" i="25"/>
  <c r="BX36" i="25"/>
  <c r="BY36" i="25"/>
  <c r="BX37" i="25"/>
  <c r="BY37" i="25"/>
  <c r="BX38" i="25"/>
  <c r="BY38" i="25"/>
  <c r="BX39" i="25"/>
  <c r="BY39" i="25"/>
  <c r="BX40" i="25"/>
  <c r="BY40" i="25"/>
  <c r="BX41" i="25"/>
  <c r="BY41" i="25"/>
  <c r="BX42" i="25"/>
  <c r="BY42" i="25"/>
  <c r="BX43" i="25"/>
  <c r="BY43" i="25"/>
  <c r="BX44" i="25"/>
  <c r="BY44" i="25"/>
  <c r="BX45" i="25"/>
  <c r="BY45" i="25"/>
  <c r="BX46" i="25"/>
  <c r="BY46" i="25"/>
  <c r="BX47" i="25"/>
  <c r="BY47" i="25"/>
  <c r="BX48" i="25"/>
  <c r="BY48" i="25"/>
  <c r="BX49" i="25"/>
  <c r="BY49" i="25"/>
  <c r="BX50" i="25"/>
  <c r="BY50" i="25"/>
  <c r="BX51" i="25"/>
  <c r="BY51" i="25"/>
  <c r="BX52" i="25"/>
  <c r="BY52" i="25"/>
  <c r="BX53" i="25"/>
  <c r="BY53" i="25"/>
  <c r="BX54" i="25"/>
  <c r="BY54" i="25"/>
  <c r="BX55" i="25"/>
  <c r="BY55" i="25"/>
  <c r="BX56" i="25"/>
  <c r="BY56" i="25"/>
  <c r="BX57" i="25"/>
  <c r="BY57" i="25"/>
  <c r="BX58" i="25"/>
  <c r="BY58" i="25"/>
  <c r="BY9" i="25"/>
  <c r="BX9" i="25"/>
  <c r="BX11" i="20"/>
  <c r="BY11" i="20"/>
  <c r="BX12" i="20"/>
  <c r="BY12" i="20"/>
  <c r="BX13" i="20"/>
  <c r="BY13" i="20"/>
  <c r="BX14" i="20"/>
  <c r="BY14" i="20"/>
  <c r="BX15" i="20"/>
  <c r="BY15" i="20"/>
  <c r="BX16" i="20"/>
  <c r="BY16" i="20"/>
  <c r="BX17" i="20"/>
  <c r="BY17" i="20"/>
  <c r="BX18" i="20"/>
  <c r="BY18" i="20"/>
  <c r="BX19" i="20"/>
  <c r="BY19" i="20"/>
  <c r="BX20" i="20"/>
  <c r="BY20" i="20"/>
  <c r="BX21" i="20"/>
  <c r="BY21" i="20"/>
  <c r="BX22" i="20"/>
  <c r="BY22" i="20"/>
  <c r="BX23" i="20"/>
  <c r="BY23" i="20"/>
  <c r="BX24" i="20"/>
  <c r="BY24" i="20"/>
  <c r="BX25" i="20"/>
  <c r="BY25" i="20"/>
  <c r="BX26" i="20"/>
  <c r="BY26" i="20"/>
  <c r="BX27" i="20"/>
  <c r="BY27" i="20"/>
  <c r="BX28" i="20"/>
  <c r="BY28" i="20"/>
  <c r="BX29" i="20"/>
  <c r="BY29" i="20"/>
  <c r="BX30" i="20"/>
  <c r="BY30" i="20"/>
  <c r="BX31" i="20"/>
  <c r="BY31" i="20"/>
  <c r="BX32" i="20"/>
  <c r="BY32" i="20"/>
  <c r="BX33" i="20"/>
  <c r="BY33" i="20"/>
  <c r="BX34" i="20"/>
  <c r="BY34" i="20"/>
  <c r="BX35" i="20"/>
  <c r="BY35" i="20"/>
  <c r="BX36" i="20"/>
  <c r="BY36" i="20"/>
  <c r="BX37" i="20"/>
  <c r="BY37" i="20"/>
  <c r="BX38" i="20"/>
  <c r="BY38" i="20"/>
  <c r="BX39" i="20"/>
  <c r="BY39" i="20"/>
  <c r="BX40" i="20"/>
  <c r="BY40" i="20"/>
  <c r="BX41" i="20"/>
  <c r="BY41" i="20"/>
  <c r="BX42" i="20"/>
  <c r="BY42" i="20"/>
  <c r="BX43" i="20"/>
  <c r="BY43" i="20"/>
  <c r="BX44" i="20"/>
  <c r="BY44" i="20"/>
  <c r="BX45" i="20"/>
  <c r="BY45" i="20"/>
  <c r="BX46" i="20"/>
  <c r="BY46" i="20"/>
  <c r="BX47" i="20"/>
  <c r="BY47" i="20"/>
  <c r="BX48" i="20"/>
  <c r="BY48" i="20"/>
  <c r="BX49" i="20"/>
  <c r="BY49" i="20"/>
  <c r="BX50" i="20"/>
  <c r="BY50" i="20"/>
  <c r="BX51" i="20"/>
  <c r="BY51" i="20"/>
  <c r="BX52" i="20"/>
  <c r="BY52" i="20"/>
  <c r="BX53" i="20"/>
  <c r="BY53" i="20"/>
  <c r="BX54" i="20"/>
  <c r="BY54" i="20"/>
  <c r="BX55" i="20"/>
  <c r="BY55" i="20"/>
  <c r="BX56" i="20"/>
  <c r="BY56" i="20"/>
  <c r="BX57" i="20"/>
  <c r="BY57" i="20"/>
  <c r="BX58" i="20"/>
  <c r="BY58" i="20"/>
  <c r="BX10" i="20"/>
  <c r="BY10" i="20"/>
  <c r="BY9" i="20"/>
  <c r="BX9" i="20"/>
  <c r="N59" i="20"/>
  <c r="O59" i="20"/>
  <c r="P59" i="20"/>
  <c r="Q59" i="20"/>
  <c r="R59" i="20"/>
  <c r="S59" i="20"/>
  <c r="T59" i="20"/>
  <c r="U59" i="20"/>
  <c r="V59" i="20"/>
  <c r="W59" i="20"/>
  <c r="X59" i="20"/>
  <c r="Y59" i="20"/>
  <c r="Z59" i="20"/>
  <c r="AA59" i="20"/>
  <c r="AB59" i="20"/>
  <c r="AC59" i="20"/>
  <c r="AD59" i="20"/>
  <c r="AE59" i="20"/>
  <c r="AF59" i="20"/>
  <c r="AG59" i="20"/>
  <c r="AH59" i="20"/>
  <c r="AI59" i="20"/>
  <c r="AJ59" i="20"/>
  <c r="AK59" i="20"/>
  <c r="AL59" i="20"/>
  <c r="AM59" i="20"/>
  <c r="AN59" i="20"/>
  <c r="AO59" i="20"/>
  <c r="AP59" i="20"/>
  <c r="AQ59" i="20"/>
  <c r="AR59" i="20"/>
  <c r="AS59" i="20"/>
  <c r="AT59" i="20"/>
  <c r="AU59" i="20"/>
  <c r="AV59" i="20"/>
  <c r="AW59" i="20"/>
  <c r="AX59" i="20"/>
  <c r="AY59" i="20"/>
  <c r="AZ59" i="20"/>
  <c r="BA59" i="20"/>
  <c r="BB59" i="20"/>
  <c r="BC59" i="20"/>
  <c r="BD59" i="20"/>
  <c r="BE59" i="20"/>
  <c r="BF59" i="20"/>
  <c r="BG59" i="20"/>
  <c r="BH59" i="20"/>
  <c r="BI59" i="20"/>
  <c r="BJ59" i="20"/>
  <c r="BK59" i="20"/>
  <c r="BL59" i="20"/>
  <c r="BM59" i="20"/>
  <c r="BN59" i="20"/>
  <c r="BO59" i="20"/>
  <c r="BP59" i="20"/>
  <c r="BQ59" i="20"/>
  <c r="BR59" i="20"/>
  <c r="BS59" i="20"/>
  <c r="BT59" i="20"/>
  <c r="BU59" i="20"/>
  <c r="BV59" i="20"/>
  <c r="BW59" i="20"/>
  <c r="L59" i="20"/>
  <c r="M59" i="20"/>
  <c r="J59" i="20"/>
  <c r="K59" i="20"/>
  <c r="H59" i="20"/>
  <c r="I59" i="20"/>
  <c r="F59" i="20"/>
  <c r="G59" i="20"/>
  <c r="D59" i="20"/>
  <c r="E59" i="20"/>
  <c r="C59" i="20"/>
  <c r="B59" i="20"/>
  <c r="D35" i="21"/>
  <c r="K42" i="21" s="1"/>
  <c r="E35" i="21"/>
  <c r="F31" i="21" s="1"/>
  <c r="C35" i="21"/>
  <c r="J42" i="21" s="1"/>
  <c r="L19" i="26"/>
  <c r="M16" i="26" s="1"/>
  <c r="K19" i="26"/>
  <c r="J19" i="26"/>
  <c r="L19" i="28"/>
  <c r="M12" i="28" s="1"/>
  <c r="K19" i="28"/>
  <c r="J19" i="28"/>
  <c r="L19" i="30"/>
  <c r="M12" i="30" s="1"/>
  <c r="K19" i="30"/>
  <c r="J19" i="30"/>
  <c r="L19" i="32"/>
  <c r="M12" i="32" s="1"/>
  <c r="K19" i="32"/>
  <c r="J19" i="32"/>
  <c r="BU62" i="33"/>
  <c r="BT62" i="33"/>
  <c r="BS62" i="33"/>
  <c r="BR62" i="33"/>
  <c r="BQ62" i="33"/>
  <c r="BP62" i="33"/>
  <c r="BO62" i="33"/>
  <c r="BN62" i="33"/>
  <c r="BM62" i="33"/>
  <c r="BL62" i="33"/>
  <c r="BK62" i="33"/>
  <c r="BJ62" i="33"/>
  <c r="BI62" i="33"/>
  <c r="BH62" i="33"/>
  <c r="BG62" i="33"/>
  <c r="BF62" i="33"/>
  <c r="BE62" i="33"/>
  <c r="BD62" i="33"/>
  <c r="BC62" i="33"/>
  <c r="BB62" i="33"/>
  <c r="BA62" i="33"/>
  <c r="AZ62" i="33"/>
  <c r="AW62" i="33"/>
  <c r="AV62" i="33"/>
  <c r="AU62" i="33"/>
  <c r="AT62" i="33"/>
  <c r="AS62" i="33"/>
  <c r="AR62" i="33"/>
  <c r="AQ62" i="33"/>
  <c r="AP62" i="33"/>
  <c r="AO62" i="33"/>
  <c r="AN62" i="33"/>
  <c r="AM62" i="33"/>
  <c r="AL62" i="33"/>
  <c r="AK62" i="33"/>
  <c r="AJ62" i="33"/>
  <c r="AI62" i="33"/>
  <c r="AH62" i="33"/>
  <c r="AG62" i="33"/>
  <c r="AF62" i="33"/>
  <c r="AE62" i="33"/>
  <c r="AD62" i="33"/>
  <c r="AC62" i="33"/>
  <c r="AB62" i="33"/>
  <c r="AA62" i="33"/>
  <c r="Z62" i="33"/>
  <c r="Y62" i="33"/>
  <c r="X62" i="33"/>
  <c r="W62" i="33"/>
  <c r="V62" i="33"/>
  <c r="U62" i="33"/>
  <c r="T62" i="33"/>
  <c r="S62" i="33"/>
  <c r="R62" i="33"/>
  <c r="Q62" i="33"/>
  <c r="P62" i="33"/>
  <c r="O62" i="33"/>
  <c r="N62" i="33"/>
  <c r="M62" i="33"/>
  <c r="L62" i="33"/>
  <c r="K62" i="33"/>
  <c r="J62" i="33"/>
  <c r="I62" i="33"/>
  <c r="H62" i="33"/>
  <c r="G62" i="33"/>
  <c r="F62" i="33"/>
  <c r="E62" i="33"/>
  <c r="D62" i="33"/>
  <c r="C62" i="33"/>
  <c r="B62" i="33"/>
  <c r="E44" i="32"/>
  <c r="F40" i="32" s="1"/>
  <c r="D44" i="32"/>
  <c r="C44" i="32"/>
  <c r="E37" i="32"/>
  <c r="F35" i="32" s="1"/>
  <c r="D37" i="32"/>
  <c r="C37" i="32"/>
  <c r="L35" i="32"/>
  <c r="M33" i="32" s="1"/>
  <c r="K35" i="32"/>
  <c r="J35" i="32"/>
  <c r="L30" i="32"/>
  <c r="M29" i="32" s="1"/>
  <c r="K30" i="32"/>
  <c r="J30" i="32"/>
  <c r="E17" i="32"/>
  <c r="F13" i="32" s="1"/>
  <c r="D17" i="32"/>
  <c r="C17" i="32"/>
  <c r="M39" i="30"/>
  <c r="BU62" i="31"/>
  <c r="BT62" i="31"/>
  <c r="BS62" i="31"/>
  <c r="BR62" i="31"/>
  <c r="BQ62" i="31"/>
  <c r="BP62" i="31"/>
  <c r="BO62" i="31"/>
  <c r="BN62" i="31"/>
  <c r="BM62" i="31"/>
  <c r="BL62" i="31"/>
  <c r="BK62" i="31"/>
  <c r="BJ62" i="31"/>
  <c r="BI62" i="31"/>
  <c r="BH62" i="31"/>
  <c r="BG62" i="31"/>
  <c r="BF62" i="31"/>
  <c r="BE62" i="31"/>
  <c r="BD62" i="31"/>
  <c r="BC62" i="31"/>
  <c r="BB62" i="31"/>
  <c r="BA62" i="31"/>
  <c r="AZ62" i="31"/>
  <c r="AW62" i="31"/>
  <c r="AV62" i="31"/>
  <c r="AU62" i="31"/>
  <c r="AT62" i="31"/>
  <c r="AS62" i="31"/>
  <c r="AR62" i="31"/>
  <c r="AQ62" i="31"/>
  <c r="AP62" i="31"/>
  <c r="AO62" i="31"/>
  <c r="AN62" i="31"/>
  <c r="AM62" i="31"/>
  <c r="AL62" i="31"/>
  <c r="AK62" i="31"/>
  <c r="AJ62" i="31"/>
  <c r="AI62" i="31"/>
  <c r="AH62" i="31"/>
  <c r="AG62" i="31"/>
  <c r="AF62" i="31"/>
  <c r="AE62" i="31"/>
  <c r="AD62" i="31"/>
  <c r="AC62" i="31"/>
  <c r="AB62" i="31"/>
  <c r="AA62" i="31"/>
  <c r="Z62" i="31"/>
  <c r="Y62" i="31"/>
  <c r="X62" i="31"/>
  <c r="W62" i="31"/>
  <c r="V62" i="31"/>
  <c r="U62" i="31"/>
  <c r="T62" i="31"/>
  <c r="S62" i="31"/>
  <c r="R62" i="31"/>
  <c r="Q62" i="31"/>
  <c r="P62" i="31"/>
  <c r="O62" i="31"/>
  <c r="N62" i="31"/>
  <c r="M62" i="31"/>
  <c r="L62" i="31"/>
  <c r="K62" i="31"/>
  <c r="J62" i="31"/>
  <c r="I62" i="31"/>
  <c r="H62" i="31"/>
  <c r="G62" i="31"/>
  <c r="F62" i="31"/>
  <c r="E62" i="31"/>
  <c r="D62" i="31"/>
  <c r="C62" i="31"/>
  <c r="B62" i="31"/>
  <c r="E44" i="30"/>
  <c r="F40" i="30" s="1"/>
  <c r="D44" i="30"/>
  <c r="C44" i="30"/>
  <c r="M38" i="30"/>
  <c r="M37" i="30"/>
  <c r="E37" i="30"/>
  <c r="F30" i="30" s="1"/>
  <c r="D37" i="30"/>
  <c r="C37" i="30"/>
  <c r="L35" i="30"/>
  <c r="M33" i="30" s="1"/>
  <c r="K35" i="30"/>
  <c r="J35" i="30"/>
  <c r="L30" i="30"/>
  <c r="M28" i="30" s="1"/>
  <c r="K30" i="30"/>
  <c r="J30" i="30"/>
  <c r="F22" i="30"/>
  <c r="F21" i="30"/>
  <c r="F20" i="30"/>
  <c r="F19" i="30"/>
  <c r="E17" i="30"/>
  <c r="D17" i="30"/>
  <c r="C17" i="30"/>
  <c r="C17" i="28"/>
  <c r="D17" i="28"/>
  <c r="N61" i="29"/>
  <c r="V61" i="29"/>
  <c r="B61" i="29"/>
  <c r="D61" i="29"/>
  <c r="F61" i="29"/>
  <c r="H61" i="29"/>
  <c r="J61" i="29"/>
  <c r="L61" i="29"/>
  <c r="P61" i="29"/>
  <c r="R61" i="29"/>
  <c r="T61" i="29"/>
  <c r="X61" i="29"/>
  <c r="Z61" i="29"/>
  <c r="AB61" i="29"/>
  <c r="AD61" i="29"/>
  <c r="AF61" i="29"/>
  <c r="AH61" i="29"/>
  <c r="AJ61" i="29"/>
  <c r="AL61" i="29"/>
  <c r="AN61" i="29"/>
  <c r="AP61" i="29"/>
  <c r="AR61" i="29"/>
  <c r="AT61" i="29"/>
  <c r="AV61" i="29"/>
  <c r="AX61" i="29"/>
  <c r="AZ61" i="29"/>
  <c r="BD61" i="29"/>
  <c r="BF61" i="29"/>
  <c r="BH61" i="29"/>
  <c r="BJ61" i="29"/>
  <c r="BL61" i="29"/>
  <c r="BN61" i="29"/>
  <c r="BP61" i="29"/>
  <c r="BR61" i="29"/>
  <c r="BT61" i="29"/>
  <c r="BV61" i="29"/>
  <c r="BX61" i="29"/>
  <c r="BZ61" i="29"/>
  <c r="CB61" i="29"/>
  <c r="O61" i="29"/>
  <c r="W61" i="29"/>
  <c r="C61" i="29"/>
  <c r="E61" i="29"/>
  <c r="G61" i="29"/>
  <c r="I61" i="29"/>
  <c r="K61" i="29"/>
  <c r="M61" i="29"/>
  <c r="Q61" i="29"/>
  <c r="S61" i="29"/>
  <c r="U61" i="29"/>
  <c r="Y61" i="29"/>
  <c r="AA61" i="29"/>
  <c r="AC61" i="29"/>
  <c r="AE61" i="29"/>
  <c r="AG61" i="29"/>
  <c r="AI61" i="29"/>
  <c r="AK61" i="29"/>
  <c r="AM61" i="29"/>
  <c r="AO61" i="29"/>
  <c r="AQ61" i="29"/>
  <c r="AS61" i="29"/>
  <c r="AU61" i="29"/>
  <c r="AW61" i="29"/>
  <c r="AY61" i="29"/>
  <c r="BA61" i="29"/>
  <c r="BE61" i="29"/>
  <c r="BG61" i="29"/>
  <c r="BI61" i="29"/>
  <c r="BK61" i="29"/>
  <c r="BM61" i="29"/>
  <c r="BO61" i="29"/>
  <c r="BQ61" i="29"/>
  <c r="BS61" i="29"/>
  <c r="BU61" i="29"/>
  <c r="BW61" i="29"/>
  <c r="BY61" i="29"/>
  <c r="CA61" i="29"/>
  <c r="CC61" i="29"/>
  <c r="E17" i="28"/>
  <c r="F13" i="28" s="1"/>
  <c r="E27" i="28"/>
  <c r="F25" i="28" s="1"/>
  <c r="E37" i="28"/>
  <c r="F33" i="28" s="1"/>
  <c r="E44" i="28"/>
  <c r="F41" i="28" s="1"/>
  <c r="L30" i="28"/>
  <c r="M28" i="28" s="1"/>
  <c r="L35" i="28"/>
  <c r="M34" i="28" s="1"/>
  <c r="D27" i="28"/>
  <c r="D37" i="28"/>
  <c r="D44" i="28"/>
  <c r="K30" i="28"/>
  <c r="K35" i="28"/>
  <c r="C27" i="28"/>
  <c r="C37" i="28"/>
  <c r="C44" i="28"/>
  <c r="J30" i="28"/>
  <c r="J35" i="28"/>
  <c r="M39" i="28"/>
  <c r="M38" i="28"/>
  <c r="M37" i="28"/>
  <c r="F22" i="28"/>
  <c r="F21" i="28"/>
  <c r="F20" i="28"/>
  <c r="F19" i="28"/>
  <c r="D15" i="26"/>
  <c r="E15" i="26"/>
  <c r="F11" i="26" s="1"/>
  <c r="D42" i="26"/>
  <c r="E42" i="26"/>
  <c r="F37" i="26" s="1"/>
  <c r="C42" i="26"/>
  <c r="M38" i="26"/>
  <c r="M39" i="26"/>
  <c r="M37" i="26"/>
  <c r="K35" i="26"/>
  <c r="L35" i="26"/>
  <c r="M32" i="26" s="1"/>
  <c r="J35" i="26"/>
  <c r="K30" i="26"/>
  <c r="L30" i="26"/>
  <c r="M27" i="26" s="1"/>
  <c r="J30" i="26"/>
  <c r="D35" i="26"/>
  <c r="E35" i="26"/>
  <c r="F33" i="26" s="1"/>
  <c r="C35" i="26"/>
  <c r="D25" i="26"/>
  <c r="E25" i="26"/>
  <c r="F23" i="26" s="1"/>
  <c r="C25" i="26"/>
  <c r="F18" i="26"/>
  <c r="F19" i="26"/>
  <c r="F20" i="26"/>
  <c r="F17" i="26"/>
  <c r="C15" i="26"/>
  <c r="C59" i="27"/>
  <c r="D59" i="27"/>
  <c r="E59" i="27"/>
  <c r="F59" i="27"/>
  <c r="G59" i="27"/>
  <c r="H59" i="27"/>
  <c r="I59" i="27"/>
  <c r="J59" i="27"/>
  <c r="K59" i="27"/>
  <c r="L59" i="27"/>
  <c r="M59" i="27"/>
  <c r="N59" i="27"/>
  <c r="O59" i="27"/>
  <c r="P59" i="27"/>
  <c r="Q59" i="27"/>
  <c r="R59" i="27"/>
  <c r="S59" i="27"/>
  <c r="T59" i="27"/>
  <c r="U59" i="27"/>
  <c r="V59" i="27"/>
  <c r="W59" i="27"/>
  <c r="X59" i="27"/>
  <c r="Y59" i="27"/>
  <c r="Z59" i="27"/>
  <c r="AA59" i="27"/>
  <c r="AB59" i="27"/>
  <c r="AC59" i="27"/>
  <c r="AD59" i="27"/>
  <c r="AE59" i="27"/>
  <c r="AF59" i="27"/>
  <c r="AG59" i="27"/>
  <c r="AH59" i="27"/>
  <c r="AI59" i="27"/>
  <c r="AJ59" i="27"/>
  <c r="AK59" i="27"/>
  <c r="AL59" i="27"/>
  <c r="AM59" i="27"/>
  <c r="AN59" i="27"/>
  <c r="AO59" i="27"/>
  <c r="AP59" i="27"/>
  <c r="AQ59" i="27"/>
  <c r="AR59" i="27"/>
  <c r="AS59" i="27"/>
  <c r="AT59" i="27"/>
  <c r="AU59" i="27"/>
  <c r="AV59" i="27"/>
  <c r="AW59" i="27"/>
  <c r="AX59" i="27"/>
  <c r="AY59" i="27"/>
  <c r="BB59" i="27"/>
  <c r="BC59" i="27"/>
  <c r="BD59" i="27"/>
  <c r="BE59" i="27"/>
  <c r="BF59" i="27"/>
  <c r="BG59" i="27"/>
  <c r="BH59" i="27"/>
  <c r="BI59" i="27"/>
  <c r="BJ59" i="27"/>
  <c r="BK59" i="27"/>
  <c r="BL59" i="27"/>
  <c r="BM59" i="27"/>
  <c r="BN59" i="27"/>
  <c r="BO59" i="27"/>
  <c r="BP59" i="27"/>
  <c r="BQ59" i="27"/>
  <c r="BR59" i="27"/>
  <c r="BS59" i="27"/>
  <c r="BT59" i="27"/>
  <c r="BU59" i="27"/>
  <c r="BV59" i="27"/>
  <c r="BW59" i="27"/>
  <c r="BX59" i="27"/>
  <c r="BY59" i="27"/>
  <c r="BZ59" i="27"/>
  <c r="CA59" i="27"/>
  <c r="B59" i="27"/>
  <c r="BQ57" i="15"/>
  <c r="BP57" i="15"/>
  <c r="BO57" i="15"/>
  <c r="BN57" i="15"/>
  <c r="BM57" i="15"/>
  <c r="BL57" i="15"/>
  <c r="BK57" i="15"/>
  <c r="BJ57" i="15"/>
  <c r="BI57" i="15"/>
  <c r="BH57" i="15"/>
  <c r="BG57" i="15"/>
  <c r="BF57" i="15"/>
  <c r="BE57" i="15"/>
  <c r="BD57" i="15"/>
  <c r="BC57" i="15"/>
  <c r="BB57" i="15"/>
  <c r="BA57" i="15"/>
  <c r="AZ57" i="15"/>
  <c r="AY57" i="15"/>
  <c r="AX57" i="15"/>
  <c r="AW57" i="15"/>
  <c r="AV57" i="15"/>
  <c r="AU57" i="15"/>
  <c r="AT57" i="15"/>
  <c r="AS57" i="15"/>
  <c r="AR57" i="15"/>
  <c r="AQ57" i="15"/>
  <c r="AP57" i="15"/>
  <c r="AO57" i="15"/>
  <c r="AN57" i="15"/>
  <c r="AM57" i="15"/>
  <c r="AL57" i="15"/>
  <c r="AK57" i="15"/>
  <c r="AJ57" i="15"/>
  <c r="AI57" i="15"/>
  <c r="AH57" i="15"/>
  <c r="AG57" i="15"/>
  <c r="AF57" i="15"/>
  <c r="AE57" i="15"/>
  <c r="AD57" i="15"/>
  <c r="AC57" i="15"/>
  <c r="AB57" i="15"/>
  <c r="AA57" i="15"/>
  <c r="Z57" i="15"/>
  <c r="Y57" i="15"/>
  <c r="X57" i="15"/>
  <c r="W57" i="15"/>
  <c r="V57" i="15"/>
  <c r="U57" i="15"/>
  <c r="T57" i="15"/>
  <c r="S57" i="15"/>
  <c r="R57" i="15"/>
  <c r="Q57" i="15"/>
  <c r="P57" i="15"/>
  <c r="O57" i="15"/>
  <c r="N57" i="15"/>
  <c r="M57" i="15"/>
  <c r="L57" i="15"/>
  <c r="K57" i="15"/>
  <c r="J57" i="15"/>
  <c r="I57" i="15"/>
  <c r="H57" i="15"/>
  <c r="G57" i="15"/>
  <c r="F57" i="15"/>
  <c r="E57" i="15"/>
  <c r="D57" i="15"/>
  <c r="C57" i="15"/>
  <c r="B57" i="15"/>
  <c r="F36" i="32"/>
  <c r="M13" i="32"/>
  <c r="M11" i="32"/>
  <c r="F11" i="30"/>
  <c r="F27" i="24"/>
  <c r="M17" i="30"/>
  <c r="M15" i="34"/>
  <c r="M16" i="34"/>
  <c r="M12" i="34"/>
  <c r="M17" i="34"/>
  <c r="F14" i="34"/>
  <c r="F34" i="18"/>
  <c r="F28" i="18"/>
  <c r="F12" i="30"/>
  <c r="M29" i="26"/>
  <c r="F31" i="26"/>
  <c r="F33" i="24"/>
  <c r="F28" i="24"/>
  <c r="L42" i="24"/>
  <c r="F30" i="26"/>
  <c r="F43" i="32"/>
  <c r="M29" i="34"/>
  <c r="M32" i="34"/>
  <c r="M16" i="36"/>
  <c r="F13" i="36"/>
  <c r="M33" i="44"/>
  <c r="M12" i="44"/>
  <c r="M15" i="44"/>
  <c r="F16" i="44"/>
  <c r="J42" i="44"/>
  <c r="M13" i="44"/>
  <c r="M17" i="44"/>
  <c r="M16" i="44"/>
  <c r="M11" i="44"/>
  <c r="F29" i="44"/>
  <c r="M11" i="36"/>
  <c r="F35" i="36"/>
  <c r="F33" i="32"/>
  <c r="F29" i="32"/>
  <c r="F30" i="32"/>
  <c r="F31" i="32"/>
  <c r="F32" i="32"/>
  <c r="F27" i="18"/>
  <c r="L42" i="18"/>
  <c r="F43" i="30"/>
  <c r="F12" i="26"/>
  <c r="F34" i="32"/>
  <c r="F12" i="28"/>
  <c r="F12" i="34"/>
  <c r="M13" i="34"/>
  <c r="F36" i="28" l="1"/>
  <c r="F32" i="24"/>
  <c r="M33" i="47"/>
  <c r="F38" i="26"/>
  <c r="M14" i="30"/>
  <c r="F27" i="26"/>
  <c r="M14" i="34"/>
  <c r="F30" i="28"/>
  <c r="M32" i="28"/>
  <c r="M27" i="34"/>
  <c r="F35" i="28"/>
  <c r="M33" i="28"/>
  <c r="M28" i="26"/>
  <c r="M30" i="26" s="1"/>
  <c r="F32" i="28"/>
  <c r="F34" i="28"/>
  <c r="BV62" i="35"/>
  <c r="F31" i="28"/>
  <c r="BW58" i="17"/>
  <c r="BV62" i="50"/>
  <c r="BW62" i="50"/>
  <c r="M35" i="49"/>
  <c r="M30" i="49"/>
  <c r="F37" i="49"/>
  <c r="M16" i="49"/>
  <c r="M12" i="49"/>
  <c r="M17" i="49"/>
  <c r="M11" i="49"/>
  <c r="F15" i="49"/>
  <c r="F17" i="49" s="1"/>
  <c r="M14" i="49"/>
  <c r="M15" i="49"/>
  <c r="CD61" i="29"/>
  <c r="M15" i="28"/>
  <c r="M11" i="28"/>
  <c r="F12" i="32"/>
  <c r="M33" i="36"/>
  <c r="J42" i="26"/>
  <c r="M16" i="30"/>
  <c r="F30" i="21"/>
  <c r="F31" i="18"/>
  <c r="M17" i="28"/>
  <c r="F36" i="44"/>
  <c r="F40" i="28"/>
  <c r="F32" i="18"/>
  <c r="M13" i="28"/>
  <c r="M35" i="28"/>
  <c r="M29" i="30"/>
  <c r="F44" i="30"/>
  <c r="BW62" i="31"/>
  <c r="J42" i="32"/>
  <c r="BV58" i="17"/>
  <c r="M11" i="47"/>
  <c r="M30" i="47"/>
  <c r="M35" i="44"/>
  <c r="F39" i="28"/>
  <c r="F33" i="44"/>
  <c r="M14" i="28"/>
  <c r="M13" i="30"/>
  <c r="F29" i="21"/>
  <c r="F33" i="18"/>
  <c r="F32" i="44"/>
  <c r="F37" i="44" s="1"/>
  <c r="F35" i="44"/>
  <c r="F14" i="28"/>
  <c r="F29" i="18"/>
  <c r="M11" i="30"/>
  <c r="L42" i="30"/>
  <c r="BV62" i="31"/>
  <c r="M27" i="32"/>
  <c r="BW62" i="33"/>
  <c r="K42" i="36"/>
  <c r="F30" i="44"/>
  <c r="F31" i="44"/>
  <c r="BW62" i="45"/>
  <c r="M15" i="47"/>
  <c r="BY59" i="25"/>
  <c r="BW62" i="37"/>
  <c r="M15" i="26"/>
  <c r="F15" i="44"/>
  <c r="M17" i="26"/>
  <c r="F13" i="30"/>
  <c r="BX59" i="20"/>
  <c r="K42" i="34"/>
  <c r="BV62" i="37"/>
  <c r="J42" i="47"/>
  <c r="F34" i="26"/>
  <c r="F31" i="36"/>
  <c r="F39" i="26"/>
  <c r="M14" i="36"/>
  <c r="M27" i="36"/>
  <c r="M16" i="28"/>
  <c r="M19" i="28" s="1"/>
  <c r="F41" i="26"/>
  <c r="M12" i="36"/>
  <c r="M13" i="26"/>
  <c r="F29" i="36"/>
  <c r="F13" i="44"/>
  <c r="F14" i="44"/>
  <c r="L42" i="44"/>
  <c r="M33" i="34"/>
  <c r="M35" i="34" s="1"/>
  <c r="M32" i="32"/>
  <c r="F29" i="28"/>
  <c r="F14" i="26"/>
  <c r="F28" i="26"/>
  <c r="F30" i="24"/>
  <c r="F32" i="26"/>
  <c r="F14" i="30"/>
  <c r="F34" i="24"/>
  <c r="F29" i="24"/>
  <c r="M28" i="32"/>
  <c r="M32" i="30"/>
  <c r="CB59" i="27"/>
  <c r="K42" i="26"/>
  <c r="J42" i="28"/>
  <c r="F26" i="28"/>
  <c r="F27" i="28" s="1"/>
  <c r="CE61" i="29"/>
  <c r="J42" i="30"/>
  <c r="M34" i="32"/>
  <c r="K42" i="32"/>
  <c r="F44" i="32"/>
  <c r="M30" i="34"/>
  <c r="J42" i="34"/>
  <c r="BW62" i="35"/>
  <c r="M34" i="36"/>
  <c r="M35" i="36" s="1"/>
  <c r="J42" i="36"/>
  <c r="K42" i="47"/>
  <c r="F30" i="47"/>
  <c r="F31" i="34"/>
  <c r="M14" i="26"/>
  <c r="F33" i="36"/>
  <c r="F32" i="36"/>
  <c r="M11" i="26"/>
  <c r="F34" i="34"/>
  <c r="CC59" i="27"/>
  <c r="M30" i="32"/>
  <c r="BX59" i="25"/>
  <c r="F11" i="28"/>
  <c r="F30" i="36"/>
  <c r="F13" i="26"/>
  <c r="F36" i="36"/>
  <c r="F37" i="32"/>
  <c r="M15" i="36"/>
  <c r="M13" i="36"/>
  <c r="M12" i="26"/>
  <c r="F11" i="44"/>
  <c r="M19" i="44"/>
  <c r="F43" i="34"/>
  <c r="F44" i="34" s="1"/>
  <c r="M27" i="30"/>
  <c r="F15" i="28"/>
  <c r="F29" i="26"/>
  <c r="F15" i="30"/>
  <c r="F17" i="30" s="1"/>
  <c r="F15" i="34"/>
  <c r="F17" i="34" s="1"/>
  <c r="M19" i="34"/>
  <c r="K42" i="28"/>
  <c r="K42" i="30"/>
  <c r="BV62" i="33"/>
  <c r="BY59" i="20"/>
  <c r="L42" i="36"/>
  <c r="K42" i="44"/>
  <c r="BV62" i="45"/>
  <c r="L42" i="47"/>
  <c r="BW62" i="48"/>
  <c r="BV62" i="48"/>
  <c r="M35" i="47"/>
  <c r="M16" i="47"/>
  <c r="M13" i="47"/>
  <c r="M12" i="47"/>
  <c r="M17" i="47"/>
  <c r="F35" i="47"/>
  <c r="F36" i="47"/>
  <c r="F33" i="47"/>
  <c r="F31" i="47"/>
  <c r="F14" i="47"/>
  <c r="F12" i="47"/>
  <c r="F16" i="47"/>
  <c r="F29" i="47"/>
  <c r="F32" i="47"/>
  <c r="F11" i="47"/>
  <c r="F13" i="47"/>
  <c r="F15" i="47"/>
  <c r="F28" i="21"/>
  <c r="M15" i="30"/>
  <c r="M19" i="30" s="1"/>
  <c r="L42" i="28"/>
  <c r="F33" i="21"/>
  <c r="F16" i="36"/>
  <c r="F34" i="21"/>
  <c r="L42" i="21"/>
  <c r="M29" i="36"/>
  <c r="F11" i="36"/>
  <c r="M27" i="44"/>
  <c r="F36" i="34"/>
  <c r="F32" i="34"/>
  <c r="F33" i="30"/>
  <c r="M15" i="32"/>
  <c r="F14" i="32"/>
  <c r="M34" i="26"/>
  <c r="F43" i="28"/>
  <c r="M34" i="30"/>
  <c r="M35" i="30" s="1"/>
  <c r="F32" i="30"/>
  <c r="F30" i="34"/>
  <c r="F14" i="36"/>
  <c r="F15" i="36"/>
  <c r="F27" i="21"/>
  <c r="F12" i="36"/>
  <c r="M29" i="44"/>
  <c r="F33" i="34"/>
  <c r="F29" i="34"/>
  <c r="M14" i="32"/>
  <c r="F15" i="32"/>
  <c r="M17" i="32"/>
  <c r="F11" i="32"/>
  <c r="M27" i="28"/>
  <c r="F31" i="30"/>
  <c r="L42" i="26"/>
  <c r="F32" i="21"/>
  <c r="L42" i="34"/>
  <c r="L42" i="32"/>
  <c r="F24" i="26"/>
  <c r="F25" i="26" s="1"/>
  <c r="M33" i="26"/>
  <c r="M35" i="26" s="1"/>
  <c r="F34" i="30"/>
  <c r="F36" i="30"/>
  <c r="M16" i="32"/>
  <c r="F35" i="30"/>
  <c r="F29" i="30"/>
  <c r="M29" i="28"/>
  <c r="F15" i="26" l="1"/>
  <c r="F42" i="26"/>
  <c r="F37" i="28"/>
  <c r="F44" i="28"/>
  <c r="M30" i="30"/>
  <c r="M19" i="49"/>
  <c r="F35" i="26"/>
  <c r="F17" i="44"/>
  <c r="F37" i="36"/>
  <c r="M19" i="47"/>
  <c r="M19" i="26"/>
  <c r="M30" i="36"/>
  <c r="M19" i="36"/>
  <c r="F17" i="28"/>
  <c r="M19" i="32"/>
  <c r="M35" i="32"/>
  <c r="F37" i="47"/>
  <c r="F17" i="47"/>
  <c r="F17" i="36"/>
  <c r="F37" i="30"/>
  <c r="M30" i="28"/>
  <c r="F17" i="32"/>
  <c r="F37" i="34"/>
  <c r="M30" i="44"/>
</calcChain>
</file>

<file path=xl/sharedStrings.xml><?xml version="1.0" encoding="utf-8"?>
<sst xmlns="http://schemas.openxmlformats.org/spreadsheetml/2006/main" count="6032" uniqueCount="507">
  <si>
    <t>Distribució de la capacitat d'allotjament per municipis a Mallorca (2004)</t>
  </si>
  <si>
    <t>Distribución de la capacidad de alojamiento por municipios en Mallorca (2004)</t>
  </si>
  <si>
    <t>Distribution of accommodation capacity broken down by municipalities in Majorca (2004)</t>
  </si>
  <si>
    <t>AP 1 Ll</t>
  </si>
  <si>
    <t>AP 2 Ll</t>
  </si>
  <si>
    <t>AP 3 Ll</t>
  </si>
  <si>
    <t>AP 4 Ll</t>
  </si>
  <si>
    <t>HR</t>
  </si>
  <si>
    <t>TI</t>
  </si>
  <si>
    <t>CT P</t>
  </si>
  <si>
    <t>CT S</t>
  </si>
  <si>
    <t>CT T</t>
  </si>
  <si>
    <t>CV 1*</t>
  </si>
  <si>
    <t>CV 2*</t>
  </si>
  <si>
    <t>CV 3*</t>
  </si>
  <si>
    <t>H 1*</t>
  </si>
  <si>
    <t>H 2*</t>
  </si>
  <si>
    <t>H 3*</t>
  </si>
  <si>
    <t>H 4 *</t>
  </si>
  <si>
    <t>H 5*</t>
  </si>
  <si>
    <t>HR 1*</t>
  </si>
  <si>
    <t>HR 2*</t>
  </si>
  <si>
    <t>HR 3*</t>
  </si>
  <si>
    <t>HR 4 *</t>
  </si>
  <si>
    <t>HR 5*</t>
  </si>
  <si>
    <t>HA 1*</t>
  </si>
  <si>
    <t>HA 2*</t>
  </si>
  <si>
    <t>HA 3*</t>
  </si>
  <si>
    <t>HA 4*</t>
  </si>
  <si>
    <t>HA 5*</t>
  </si>
  <si>
    <t>RA 1*</t>
  </si>
  <si>
    <t>RA 2*</t>
  </si>
  <si>
    <t>RA 3*</t>
  </si>
  <si>
    <t>RA 4*</t>
  </si>
  <si>
    <t>RA 5*</t>
  </si>
  <si>
    <t>HS 1*</t>
  </si>
  <si>
    <t>HS 2*</t>
  </si>
  <si>
    <t>HS 3*</t>
  </si>
  <si>
    <t>HSR 1*</t>
  </si>
  <si>
    <t>HSR 2*</t>
  </si>
  <si>
    <t>HSR 3*</t>
  </si>
  <si>
    <t>HSR 4*</t>
  </si>
  <si>
    <t>CH</t>
  </si>
  <si>
    <t>F</t>
  </si>
  <si>
    <t>PENS 2*</t>
  </si>
  <si>
    <t>TOTAL</t>
  </si>
  <si>
    <t>ESTABL.</t>
  </si>
  <si>
    <t>PLACES</t>
  </si>
  <si>
    <t>ALARÓ</t>
  </si>
  <si>
    <t>ALCÚDIA</t>
  </si>
  <si>
    <t>ALGAIDA</t>
  </si>
  <si>
    <t>ANDRATX</t>
  </si>
  <si>
    <t>ARTÀ</t>
  </si>
  <si>
    <t>BANYALBUFAR</t>
  </si>
  <si>
    <t>BINISSALEM</t>
  </si>
  <si>
    <t>BÚGER</t>
  </si>
  <si>
    <t>BUNYOLA</t>
  </si>
  <si>
    <t>CALVIÀ</t>
  </si>
  <si>
    <t>CAMPANET</t>
  </si>
  <si>
    <t>CAMPOS</t>
  </si>
  <si>
    <t>CAPDEPERA</t>
  </si>
  <si>
    <t>COSTITX</t>
  </si>
  <si>
    <t>DEIÀ</t>
  </si>
  <si>
    <t>ESPORLES</t>
  </si>
  <si>
    <t>ESTELLENCS</t>
  </si>
  <si>
    <t>FELANITX</t>
  </si>
  <si>
    <t>FORNALUTX</t>
  </si>
  <si>
    <t>INCA</t>
  </si>
  <si>
    <t>LLORET DE VISTALEGRE</t>
  </si>
  <si>
    <t>LLOSETA</t>
  </si>
  <si>
    <t>LLUBI</t>
  </si>
  <si>
    <t>LLUCMAJOR</t>
  </si>
  <si>
    <t>MANACOR</t>
  </si>
  <si>
    <t>MARIA DE LA SALUT</t>
  </si>
  <si>
    <t>MARRATXÍ</t>
  </si>
  <si>
    <t>MONTUÏRI</t>
  </si>
  <si>
    <t>MURO</t>
  </si>
  <si>
    <t>PALMA</t>
  </si>
  <si>
    <t>PETRA</t>
  </si>
  <si>
    <t>POLLENÇA</t>
  </si>
  <si>
    <t>PORRERES</t>
  </si>
  <si>
    <t>PUIGPUNYENT</t>
  </si>
  <si>
    <t>SA POBLA</t>
  </si>
  <si>
    <t>SANT LLORENÇ DES CARDESSAR</t>
  </si>
  <si>
    <t>SANTA EUGÈNIA</t>
  </si>
  <si>
    <t>SANTA MARGALIDA</t>
  </si>
  <si>
    <t>SANTA MARIA DEL CAMÍ</t>
  </si>
  <si>
    <t>SANTANYÍ</t>
  </si>
  <si>
    <t>SELVA</t>
  </si>
  <si>
    <t>SENCELLES</t>
  </si>
  <si>
    <t>SES SALINES</t>
  </si>
  <si>
    <t>SINEU</t>
  </si>
  <si>
    <t>SÓLLER</t>
  </si>
  <si>
    <t>SON SERVERA</t>
  </si>
  <si>
    <t>VALLDEMOSSA</t>
  </si>
  <si>
    <t>VILAFRANCA DE BONANY</t>
  </si>
  <si>
    <t>TOTAL MALLORCA</t>
  </si>
  <si>
    <r>
      <t>MUNICIPI /</t>
    </r>
    <r>
      <rPr>
        <b/>
        <i/>
        <sz val="11"/>
        <color indexed="9"/>
        <rFont val="LegacySanITCBoo"/>
        <family val="2"/>
      </rPr>
      <t xml:space="preserve"> 
MUNICIPIO / 
MUNICIPALITY </t>
    </r>
  </si>
  <si>
    <t>Capacitat d'allotjament per tipus d'establiment i categoria a Mallorca (2004)</t>
  </si>
  <si>
    <t>ch</t>
  </si>
  <si>
    <t>Capacidad de alojamiento por tipo de establecimiento y categoría en Mallorca (2004)</t>
  </si>
  <si>
    <t>f</t>
  </si>
  <si>
    <t>Accommodation capacity by type of establishment and category in Majorca (2004)</t>
  </si>
  <si>
    <t>pen2</t>
  </si>
  <si>
    <t>TIPUS D'ESTABLIMENT</t>
  </si>
  <si>
    <t>NRE. D'ESTABL.</t>
  </si>
  <si>
    <t>NRE. UNITATS</t>
  </si>
  <si>
    <t>NRE. PLACES</t>
  </si>
  <si>
    <t>% PLACES</t>
  </si>
  <si>
    <t>TIPO DE ESTABLECIMIENTO</t>
  </si>
  <si>
    <t>Nº ESTABL.</t>
  </si>
  <si>
    <t>Nº UNIDADES</t>
  </si>
  <si>
    <t>Nº PLAZAS</t>
  </si>
  <si>
    <t>% PLAZAS</t>
  </si>
  <si>
    <t>ESTABLISHMENT TYPE</t>
  </si>
  <si>
    <t>NO. ESTABL.</t>
  </si>
  <si>
    <t>NO. UNITS</t>
  </si>
  <si>
    <t>NO. BEDS</t>
  </si>
  <si>
    <t>% BEDS</t>
  </si>
  <si>
    <t>A 1 Ll</t>
  </si>
  <si>
    <t>A 2 Ll</t>
  </si>
  <si>
    <t>A 3 Ll</t>
  </si>
  <si>
    <t>A 4 Ll</t>
  </si>
  <si>
    <t>Total A</t>
  </si>
  <si>
    <t>Total HA</t>
  </si>
  <si>
    <t>Total RA</t>
  </si>
  <si>
    <t>CT LUXE</t>
  </si>
  <si>
    <t>Total CT</t>
  </si>
  <si>
    <t xml:space="preserve">Total HS </t>
  </si>
  <si>
    <t>Total CV</t>
  </si>
  <si>
    <t>Total HSR</t>
  </si>
  <si>
    <t>Total H</t>
  </si>
  <si>
    <t>Total HR*</t>
  </si>
  <si>
    <t>Distribució de la capacitat d'allotjament per municipis a Mallorca (2005)</t>
  </si>
  <si>
    <t>Distribución de la capacidad de alojamiento por municipios en Mallorca (2005)</t>
  </si>
  <si>
    <t>Distribution of accommodation capacity broken down by municipalities in Majorca (2005)</t>
  </si>
  <si>
    <t>Capacitat d'allotjament per tipus d'establiment i categoria a Mallorca (2005)</t>
  </si>
  <si>
    <t>Capacidad de alojamiento por tipo de establecimiento y categoría en Mallorca (2005)</t>
  </si>
  <si>
    <t>Accommodation capacity by type of establishment and category in Majorca (2005)</t>
  </si>
  <si>
    <t>Distribució de la capacitat d'allotjament per municipis a Mallorca (2006)</t>
  </si>
  <si>
    <t>Distribución de la capacidad de alojamiento por municipios en Mallorca (2006)</t>
  </si>
  <si>
    <t>Distribution of accommodation capacity broken down by municipalities in Majorca (2006)</t>
  </si>
  <si>
    <t>Capacitat d'allotjament per tipus d'establiment i categoria a Mallorca (2006)</t>
  </si>
  <si>
    <t>Capacidad de alojamiento por tipo de establecimiento y categoría en Mallorca (2006)</t>
  </si>
  <si>
    <t>Accommodation capacity by type of establishment and category in Majorca (2006)</t>
  </si>
  <si>
    <t>Distribució de la capacitat d'allotjament per municipis a Mallorca (2007)</t>
  </si>
  <si>
    <t>Distribución de la capacidad de alojamiento por municipios en Mallorca (2007)</t>
  </si>
  <si>
    <t>Distribution of accommodation capacity broken down by municipalities in Majorca (2007)</t>
  </si>
  <si>
    <t>Capacitat d'allotjament per tipus d'establiment i categoria a Mallorca (2007)</t>
  </si>
  <si>
    <t>Capacidad de alojamiento por tipo de establecimiento y categoría en Mallorca (2007)</t>
  </si>
  <si>
    <t>Accommodation capacity by type of establishment and category in Majorca (2007)</t>
  </si>
  <si>
    <t>Distribució de la capacitat d'allotjament per municipis a Mallorca (2008)</t>
  </si>
  <si>
    <t>Distribución de la capacidad de alojamiento por municipios en Mallorca (2008)</t>
  </si>
  <si>
    <t>Distribution of accommodation capacity broken down by municipalities in Majorca (2008)</t>
  </si>
  <si>
    <t>Capacitat d'allotjament per tipus d'establiment i categoria a Mallorca (2008)</t>
  </si>
  <si>
    <t>Capacidad de alojamiento por tipo de establecimiento y categoría en Mallorca (2008)</t>
  </si>
  <si>
    <t>Accommodation capacity by type of establishment and category in Majorca (2008)</t>
  </si>
  <si>
    <t>Distribució de la capacitat d'allotjament per municipis a Mallorca (2009)</t>
  </si>
  <si>
    <t>Distribución de la capacidad de alojamiento por municipios en Mallorca (2009)</t>
  </si>
  <si>
    <t>Distribution of accommodation capacity broken down by municipalities in Majorca (2009)</t>
  </si>
  <si>
    <t>Capacitat d'allotjament per tipus d'establiment i categoria a Mallorca (2009)</t>
  </si>
  <si>
    <t>Capacidad de alojamiento por tipo de establecimiento y categoría en Mallorca (2009)</t>
  </si>
  <si>
    <t>Accommodation capacity by type of establishment and category in Majorca (2009)</t>
  </si>
  <si>
    <t>Total AP</t>
  </si>
  <si>
    <t>Distribució de la capacitat d'allotjament per municipis a Mallorca (2010)</t>
  </si>
  <si>
    <t>Distribución de la capacidad de alojamiento por municipios en Mallorca (2010)</t>
  </si>
  <si>
    <t>Distribution of accommodation capacity broken down by municipalities in Majorca (2010)</t>
  </si>
  <si>
    <t>AG</t>
  </si>
  <si>
    <t>H 4*</t>
  </si>
  <si>
    <t>H 5* G.L.</t>
  </si>
  <si>
    <t>HA 5 Ll G.L.</t>
  </si>
  <si>
    <t>HR  1*</t>
  </si>
  <si>
    <t>HR 4*</t>
  </si>
  <si>
    <t xml:space="preserve">PENS </t>
  </si>
  <si>
    <t>PENS 1*</t>
  </si>
  <si>
    <t>PENS 3*</t>
  </si>
  <si>
    <t/>
  </si>
  <si>
    <t>LLUBÍ</t>
  </si>
  <si>
    <t>POBLA (SA)</t>
  </si>
  <si>
    <t>SALINES (SES)</t>
  </si>
  <si>
    <t>SANT LLORENÇ DES CARDASSAR</t>
  </si>
  <si>
    <t>Capacitat d'allotjament per tipus d'establiment i categoria a Mallorca (2010)</t>
  </si>
  <si>
    <t>Capacidad de alojamiento por tipo de establecimiento y categoría en Mallorca (2010)</t>
  </si>
  <si>
    <t>Accommodation capacity by type of establishment and category in Majorca (2010)</t>
  </si>
  <si>
    <t>Distribució de la capacitat d'allotjament per municipis a Mallorca (2011)</t>
  </si>
  <si>
    <t>Distribución de la capacidad de alojamiento por municipios en Mallorca (2011)</t>
  </si>
  <si>
    <t>Distribution of accommodation capacity broken down by municipalities in Majorca (2011)</t>
  </si>
  <si>
    <r>
      <t>MUNICIPI /</t>
    </r>
    <r>
      <rPr>
        <b/>
        <i/>
        <sz val="11"/>
        <color indexed="9"/>
        <rFont val="LegacySanITCBoo"/>
        <family val="2"/>
      </rPr>
      <t xml:space="preserve"> MUNICIPIO / MUNICIPALITY (*)</t>
    </r>
  </si>
  <si>
    <t>MALLORCA</t>
  </si>
  <si>
    <t>(*) No es mostren els grups d'allotjament sense establiments</t>
  </si>
  <si>
    <t xml:space="preserve"> No se muestran los grupos de alojamiento sin establecimientos</t>
  </si>
  <si>
    <t>The accomodation groups without establishments are not shown</t>
  </si>
  <si>
    <t>Capacitat d'allotjament per tipus d'establiment i categoria a Mallorca (2011)</t>
  </si>
  <si>
    <t>Capacidad de alojamiento por tipo de establecimiento y categoría en Mallorca (2011)</t>
  </si>
  <si>
    <t>Accommodation capacity by type of establishment and category in Majorca (2011)</t>
  </si>
  <si>
    <t>Distribució de la capacitat d'allotjament per municipis a Mallorca (2012)</t>
  </si>
  <si>
    <t>Distribución de la capacidad de alojamiento por municipios en Mallorca (2012)</t>
  </si>
  <si>
    <t>Distribution of accommodation capacity broken down by municipalities in Majorca (2012)</t>
  </si>
  <si>
    <t xml:space="preserve">CT </t>
  </si>
  <si>
    <t>H 3*SUP</t>
  </si>
  <si>
    <t>H 4* SUP</t>
  </si>
  <si>
    <t>Establ.</t>
  </si>
  <si>
    <t>Places</t>
  </si>
  <si>
    <t>ARIANY</t>
  </si>
  <si>
    <t>Capacitat d'allotjament per tipus d'establiment i categoria a Mallorca (2012)</t>
  </si>
  <si>
    <t>Capacidad de alojamiento por tipo de establecimiento y categoría en Mallorca (2012)</t>
  </si>
  <si>
    <t>Accommodation capacity by type of establishment and category in Majorca (2012)</t>
  </si>
  <si>
    <t>CT</t>
  </si>
  <si>
    <t>H 3* SUP</t>
  </si>
  <si>
    <t>HA 3* SUP</t>
  </si>
  <si>
    <t>HA 4* SUP</t>
  </si>
  <si>
    <t>HA 5* G.L.</t>
  </si>
  <si>
    <t>Distribució de la capacitat d'allotjament per municipis a Mallorca (2013)</t>
  </si>
  <si>
    <t>Distribución de la capacidad de alojamiento por municipios en Mallorca (2013)</t>
  </si>
  <si>
    <t>Distribution of accommodation capacity broken down by municipalities in Majorca (2013)</t>
  </si>
  <si>
    <t>Capacitat d'allotjament per tipus d'establiment i categoria a Mallorca (2013)</t>
  </si>
  <si>
    <t>Capacidad de alojamiento por tipo de establecimiento y categoría en Mallorca (2013)</t>
  </si>
  <si>
    <t>Accommodation capacity by type of establishment and category in Majorca (2013)</t>
  </si>
  <si>
    <t>CONSELL</t>
  </si>
  <si>
    <t xml:space="preserve"> ALOJAMIENTO. MALLORCA</t>
  </si>
  <si>
    <t xml:space="preserve"> ALLOTJAMENT. MALLORCA</t>
  </si>
  <si>
    <t>Capacitat d'allotjament per tipus d'establiment i categoria a Mallorca (2014)</t>
  </si>
  <si>
    <t>Capacidad de alojamiento por tipo de establecimiento y categoría en Mallorca (2014)</t>
  </si>
  <si>
    <t>Accommodation capacity by type of establishment and category in Majorca (2014)</t>
  </si>
  <si>
    <t>Distribució de la capacitat d'allotjament per municipis a Mallorca (2014)</t>
  </si>
  <si>
    <t>Distribución de la capacidad de alojamiento por municipios en Mallorca (2014)</t>
  </si>
  <si>
    <t>Distribution of accommodation capacity broken down by municipalities in Majorca (2014)</t>
  </si>
  <si>
    <t>Capacitat d'allotjament per tipus d'establiment i categoria a Mallorca (2015)</t>
  </si>
  <si>
    <t>Capacidad de alojamiento por tipo de establecimiento y categoría en Mallorca (2015)</t>
  </si>
  <si>
    <t>Accommodation capacity by type of establishment and category in Majorca (2015)</t>
  </si>
  <si>
    <t>Distribució de la capacitat d'allotjament per municipis a Mallorca (2015)</t>
  </si>
  <si>
    <t>Distribución de la capacidad de alojamiento por municipios en Mallorca (2015)</t>
  </si>
  <si>
    <t>Distribution of accommodation capacity broken down by municipalities in Majorca (2015)</t>
  </si>
  <si>
    <t>Definicions</t>
  </si>
  <si>
    <t>Les unitats d’allotjament amb sala d’estar s’hauran de computar com dues places per cada bany de què disposin.</t>
  </si>
  <si>
    <t>No computen a efectes d’aquest article i a efectes del còmput global de qualsevol establiment els llits supletoris destinats a infants menors de dotze anys.</t>
  </si>
  <si>
    <t>En el cas de nous hotels de ciutat poden computar-se com a individuals fins al 90% del total de les habitacions.</t>
  </si>
  <si>
    <t xml:space="preserve">Definiciones </t>
  </si>
  <si>
    <t xml:space="preserve">b) Para los hoteles y hoteles-apartamento, dos plazas por habitación, pudiéndose computar hasta el 10% del total de las habitaciones de que se disponga como individuales. </t>
  </si>
  <si>
    <t>Las unidades de alojamiento con sala de estar se tendrán que computar como dos plazas por cada baño de que dispongan.</t>
  </si>
  <si>
    <t>No computarán a efectos del cómputo global de cualquier establecimiento las camas supletorias destinadas a niños menores de doce años.</t>
  </si>
  <si>
    <t>En el caso de nuevos hoteles de ciudad podrán computarse como individuales hasta el 90% del total de las habitaciones.</t>
  </si>
  <si>
    <t xml:space="preserve">a) Habitaciones. Su superficie será, al menos, de 10 metros cuadrados para las habitaciones dobles y de 6 metros cuadrados para las individuales. La altura del suelo al techo no podrá ser inferior a 2,50 metros. </t>
  </si>
  <si>
    <t xml:space="preserve">b) Servicios sanitarios. El establecimiento dispondrá de, al menos, un lavabo, provisto de ducha, fregadero o WC. </t>
  </si>
  <si>
    <t xml:space="preserve">c) Comedor. Su superficie mínima será de 1 metro cuadrado por habitación. </t>
  </si>
  <si>
    <t xml:space="preserve"> </t>
  </si>
  <si>
    <t>Capacitat d'allotjament per tipus d'establiment i categoria a Mallorca (2016)</t>
  </si>
  <si>
    <t>Capacidad de alojamiento por tipo de establecimiento y categoría en Mallorca (2016)</t>
  </si>
  <si>
    <t>Accommodation capacity by type of establishment and category in Majorca (2016)</t>
  </si>
  <si>
    <t>ESCORCA</t>
  </si>
  <si>
    <t>MANCOR DE LA VALL</t>
  </si>
  <si>
    <t>A 3 Ll SUP</t>
  </si>
  <si>
    <t>Distribució de la capacitat d'allotjament per municipis a Mallorca (2016)</t>
  </si>
  <si>
    <t>Distribución de la capacidad de alojamiento por municipios en Mallorca (2016)</t>
  </si>
  <si>
    <t>Distribution of accommodation capacity broken down by municipalities in Majorca (2016)</t>
  </si>
  <si>
    <t>Capacitat d'allotjament per tipus d'establiment i categoria a Mallorca (2017)</t>
  </si>
  <si>
    <t>Capacidad de alojamiento por tipo de establecimiento y categoría en Mallorca (2017)</t>
  </si>
  <si>
    <t>Accommodation capacity by type of establishment and category in Majorca (2017)</t>
  </si>
  <si>
    <t>Distribució de la capacitat d'allotjament per municipis a Mallorca (2017)</t>
  </si>
  <si>
    <t>Distribución de la capacidad de alojamiento por municipios en Mallorca (2017)</t>
  </si>
  <si>
    <t>Distribution of accommodation capacity broken down by municipalities in Majorca (2017)</t>
  </si>
  <si>
    <t>SANT JOAN</t>
  </si>
  <si>
    <t>Distribució de la capacitat d'allotjament per municipis a Mallorca (2018)</t>
  </si>
  <si>
    <t>Distribución de la capacidad de alojamiento por municipios en Mallorca (2018)</t>
  </si>
  <si>
    <t>Distribution of accommodation capacity broken down by municipalities in Majorca (2018)</t>
  </si>
  <si>
    <t>Capacitat d'allotjament per tipus d'establiment i categoria a Mallorca (2018)</t>
  </si>
  <si>
    <t>Capacidad de alojamiento por tipo de establecimiento y categoría en Mallorca (2018)</t>
  </si>
  <si>
    <t>Accommodation capacity by type of establishment and category in Majorca (2018)</t>
  </si>
  <si>
    <t>A 4 Ll SUP</t>
  </si>
  <si>
    <t xml:space="preserve"> ACCOMMODATION. MALLORCA</t>
  </si>
  <si>
    <t>Distribució de la capacitat d'allotjament per municipis a Mallorca (2019)</t>
  </si>
  <si>
    <t>Distribución de la capacidad de alojamiento por municipios en Mallorca (2019)</t>
  </si>
  <si>
    <t>Distribution of accommodation capacity broken down by municipalities in Majorca (2019)</t>
  </si>
  <si>
    <t>HO</t>
  </si>
  <si>
    <t xml:space="preserve">HO </t>
  </si>
  <si>
    <t>Capacitat d'allotjament per tipus d'establiment i categoria a Mallorca (2019)</t>
  </si>
  <si>
    <t>Capacidad de alojamiento por tipo de establecimiento y categoría en Mallorca (2019)</t>
  </si>
  <si>
    <t>Accommodation capacity by type of establishment and category in Majorca (2019)</t>
  </si>
  <si>
    <t>Capacitat d'allotjament per tipus d'establiment i categoria a Mallorca (2020)</t>
  </si>
  <si>
    <t>Capacidad de alojamiento por tipo de establecimiento y categoría en Mallorca (2020)</t>
  </si>
  <si>
    <t>Accommodation capacity by type of establishment and category in Majorca (2020)</t>
  </si>
  <si>
    <t>Distribució de la capacitat d'allotjament per municipis a Mallorca (2020)</t>
  </si>
  <si>
    <t>Distribución de la capacidad de alojamiento por municipios en Mallorca (2020)</t>
  </si>
  <si>
    <t>Distribution of accommodation capacity broken down by municipalities in Majorca (2020)</t>
  </si>
  <si>
    <t>Capacitat d'allotjament per tipus d'establiment i categoria a Mallorca (2021)</t>
  </si>
  <si>
    <t>Capacidad de alojamiento por tipo de establecimiento y categoría en Mallorca (2021)</t>
  </si>
  <si>
    <t>Accommodation capacity by type of establishment and category in Majorca (2021)</t>
  </si>
  <si>
    <t>Distribució de la capacitat d'allotjament per municipis a Mallorca (2021)</t>
  </si>
  <si>
    <t>Distribución de la capacidad de alojamiento por municipios en Mallorca (2021)</t>
  </si>
  <si>
    <t>Distribution of accommodation capacity broken down by municipalities in Majorca (2021)</t>
  </si>
  <si>
    <t> </t>
  </si>
  <si>
    <r>
      <t xml:space="preserve">- </t>
    </r>
    <r>
      <rPr>
        <b/>
        <sz val="11"/>
        <color indexed="56"/>
        <rFont val="Calibri"/>
        <family val="2"/>
      </rPr>
      <t>Unitat</t>
    </r>
    <r>
      <rPr>
        <sz val="11"/>
        <color indexed="56"/>
        <rFont val="Calibri"/>
        <family val="2"/>
      </rPr>
      <t xml:space="preserve">: equival  a una habitació amb bany inclòs, excepte en els apartaments, que es considera la unitat l’apartament sencer. </t>
    </r>
  </si>
  <si>
    <r>
      <t xml:space="preserve">- </t>
    </r>
    <r>
      <rPr>
        <b/>
        <sz val="11"/>
        <color indexed="56"/>
        <rFont val="Calibri"/>
        <family val="2"/>
      </rPr>
      <t>Plaça</t>
    </r>
    <r>
      <rPr>
        <sz val="11"/>
        <color indexed="56"/>
        <rFont val="Calibri"/>
        <family val="2"/>
      </rPr>
      <t>: per al còmput de places, es considera una persona per llit fix de l'establiment. Els llits de matrimoni equivalen a dues places. El còmput de places per a nous establiments d’allotjament i per a les ampliacions dels ja existents es fa de la següent manera:</t>
    </r>
  </si>
  <si>
    <t>a) Per als apartaments turístics, dues places per estudi projectat i tres places per apartament d’un dormitori, a més de dues places més per cada dormitori que es projecti.</t>
  </si>
  <si>
    <t>b) Per als hotels i hotels-apartament, dues places per habitació, podent-se computar fins al 10% del total de les habitacions de què es disposi com a individuals.</t>
  </si>
  <si>
    <r>
      <t xml:space="preserve">- </t>
    </r>
    <r>
      <rPr>
        <b/>
        <sz val="11"/>
        <color indexed="56"/>
        <rFont val="Calibri"/>
        <family val="2"/>
      </rPr>
      <t>Empreses turístiques d’allotjament</t>
    </r>
    <r>
      <rPr>
        <sz val="11"/>
        <color indexed="56"/>
        <rFont val="Calibri"/>
        <family val="2"/>
      </rPr>
      <t xml:space="preserve"> : aquelles que desenvolupin una activitat consistent en la prestació d’un servei d’allotjament al públic mitjançant preu, de forma professional i habitual, tant si és de manera permanent com temporal, i amb la prestació de serveis complementaris o sense.</t>
    </r>
  </si>
  <si>
    <r>
      <t xml:space="preserve">- </t>
    </r>
    <r>
      <rPr>
        <b/>
        <sz val="11"/>
        <color indexed="56"/>
        <rFont val="Calibri"/>
        <family val="2"/>
      </rPr>
      <t>G.L.</t>
    </r>
    <r>
      <rPr>
        <sz val="11"/>
        <color indexed="56"/>
        <rFont val="Calibri"/>
        <family val="2"/>
      </rPr>
      <t>: gran luxe</t>
    </r>
  </si>
  <si>
    <r>
      <t xml:space="preserve">- </t>
    </r>
    <r>
      <rPr>
        <b/>
        <sz val="11"/>
        <color indexed="56"/>
        <rFont val="Calibri"/>
        <family val="2"/>
      </rPr>
      <t>(A) Apartament turístic</t>
    </r>
    <r>
      <rPr>
        <sz val="11"/>
        <color indexed="56"/>
        <rFont val="Calibri"/>
        <family val="2"/>
      </rPr>
      <t xml:space="preserve">: establiment destinat a prestar un servei d’allotjament turístic, que s’anunciï com a tal, compost per un conjunt d’unitats d’allotjament que disposen de mobiliari, instal·lacions, serveis i equip adequats per a la conservació, l’elaboració i el consum d’aliments i begudes, i en condicions que en permetin l’ocupació immediata, complint les exigències establertes reglamentàriament. Classificació: apartaments turístics d’1, 2, 3, 3 superior, 4 claus, 4 superior (Ll).
</t>
    </r>
  </si>
  <si>
    <r>
      <t xml:space="preserve">- </t>
    </r>
    <r>
      <rPr>
        <b/>
        <sz val="11"/>
        <color indexed="56"/>
        <rFont val="Calibri"/>
        <family val="2"/>
      </rPr>
      <t>(AG) Agroturisme</t>
    </r>
    <r>
      <rPr>
        <sz val="11"/>
        <color indexed="56"/>
        <rFont val="Calibri"/>
        <family val="2"/>
      </rPr>
      <t>: són els establiments que presten el servei d’allotjament turístic ubicats en edificacions construïdes abans de l’1 de gener de 1960, situades en sòl rústic i en una finca o finques que tinguin una superfície mínima de 21.000 m2 i que constitueixin una explotació agrària, ramadera o forestal.</t>
    </r>
  </si>
  <si>
    <r>
      <t xml:space="preserve">- </t>
    </r>
    <r>
      <rPr>
        <b/>
        <sz val="11"/>
        <color indexed="56"/>
        <rFont val="Calibri"/>
        <family val="2"/>
      </rPr>
      <t>(CH) Casa d’hostes</t>
    </r>
    <r>
      <rPr>
        <sz val="11"/>
        <color indexed="56"/>
        <rFont val="Calibri"/>
        <family val="2"/>
      </rPr>
      <t>: fonda que pot facilitar el servei d’esmorzar, així com els propis de cafeteria; en aquest darrer cas, aquests serveis han de ser facultats amb independència als d’allotjament.</t>
    </r>
  </si>
  <si>
    <r>
      <t xml:space="preserve">- </t>
    </r>
    <r>
      <rPr>
        <b/>
        <sz val="11"/>
        <color indexed="56"/>
        <rFont val="Calibri"/>
        <family val="2"/>
      </rPr>
      <t>(CT) Càmping turístic</t>
    </r>
    <r>
      <rPr>
        <sz val="11"/>
        <color indexed="56"/>
        <rFont val="Calibri"/>
        <family val="2"/>
      </rPr>
      <t xml:space="preserve">: espai delimitat, dotat i condicionat perquè sigui ocupat temporalment, amb capacitat per a més de 10 persones que pretenguin fer vida a l'aire lliure, i que utilitzin com a allotjament albergs mòbils, tendes de campanya, caravanes o altres elements similars. </t>
    </r>
  </si>
  <si>
    <r>
      <t xml:space="preserve">- </t>
    </r>
    <r>
      <rPr>
        <b/>
        <sz val="11"/>
        <color indexed="56"/>
        <rFont val="Calibri"/>
        <family val="2"/>
      </rPr>
      <t>(CV) Ciutat de vacances</t>
    </r>
    <r>
      <rPr>
        <sz val="11"/>
        <color indexed="56"/>
        <rFont val="Calibri"/>
        <family val="2"/>
      </rPr>
      <t xml:space="preserve">: establiment, situació, instal·lacions i serveis del qual permeten als clients, amb fórmules prèviament determinades, el gaudiment de les seves vacances en contacte directe amb la natura, facilitant per un preu fet allotjament en règim de pensió completa, juntament amb la possibilitat de practicar esport i participar en activitats d’esbarjo col·lectiu. Queden excloses les ciutats de vacances instal·lades per corporacions o organismes públics amb finalitat d'assistència social i sense ànim de lucre. Classificació: ciutat de vacances d’1, 2, 3 estrelles (*). </t>
    </r>
  </si>
  <si>
    <r>
      <t xml:space="preserve">- </t>
    </r>
    <r>
      <rPr>
        <b/>
        <sz val="11"/>
        <color indexed="56"/>
        <rFont val="Calibri"/>
        <family val="2"/>
      </rPr>
      <t>(F) Fonda</t>
    </r>
    <r>
      <rPr>
        <sz val="11"/>
        <color indexed="56"/>
        <rFont val="Calibri"/>
        <family val="2"/>
      </rPr>
      <t xml:space="preserve">: establiment hoteler que, sense poder ser classificat com hotel, hostal o hotel apartament, reuneix, com a mínim, les condicions següents: </t>
    </r>
  </si>
  <si>
    <t>a) Habitacions. La seva superfície serà, almenys, de 10 metres quadrats per a les habitacions dobles i de 6 metres quadrats per a les individuals. L’alçada del terra al sostre no podrà ser inferior a 2,50 metres.</t>
  </si>
  <si>
    <t>b) Serveis sanitaris. L'establiment disposarà de, almenys, un lavabo, proveït de dutxa, pica o WC.</t>
  </si>
  <si>
    <t>c) Menjador. La seva superfície mínima serà d'1 metre quadrat per habitació.</t>
  </si>
  <si>
    <r>
      <t xml:space="preserve">- </t>
    </r>
    <r>
      <rPr>
        <b/>
        <sz val="11"/>
        <color indexed="56"/>
        <rFont val="Calibri"/>
        <family val="2"/>
      </rPr>
      <t>(H) Hotel</t>
    </r>
    <r>
      <rPr>
        <sz val="11"/>
        <color indexed="56"/>
        <rFont val="Calibri"/>
        <family val="2"/>
      </rPr>
      <t xml:space="preserve">: establiment destinat a la prestació d’un servei d’allotjament turístic amb serveis complementaris o sense que ocupen la totalitat o una part independent d’un edifici o conjunt d’edificis les dependències dels quals constitueixen un tot homogeni amb entrades pròpies i independents, i que compleix, a més, la resta de requisits establerts reglamentàriament. Els ascensors i les escales de què disposin els hotels han de ser d’ús exclusiu. Classificació: hotels d' 1, 2, 3, 3 superior,  4, 4 superior, 5 estrelles, 5 gran luxe (*). </t>
    </r>
  </si>
  <si>
    <r>
      <t xml:space="preserve">- </t>
    </r>
    <r>
      <rPr>
        <b/>
        <sz val="11"/>
        <color indexed="56"/>
        <rFont val="Calibri"/>
        <family val="2"/>
      </rPr>
      <t>(HA) Hotel apartament</t>
    </r>
    <r>
      <rPr>
        <sz val="11"/>
        <color indexed="56"/>
        <rFont val="Calibri"/>
        <family val="2"/>
      </rPr>
      <t xml:space="preserve">: establiment que, a més de complir els requisits establerts per als hotels, disposa de les instal·lacions necessàries per a la conservació, l’elaboració i el consum d’aliments i begudes a l’interior d’alguna unitat d’allotjament, i s’ajusta als requisits establerts reglamentàriament. Classificació: hotels apartaments d' 1, 2, 3, 3 superior, 4, 4 superior, 5 estrelles, 5 gran luxe (*).  </t>
    </r>
  </si>
  <si>
    <r>
      <t xml:space="preserve">- </t>
    </r>
    <r>
      <rPr>
        <b/>
        <sz val="11"/>
        <color indexed="56"/>
        <rFont val="Calibri"/>
        <family val="2"/>
      </rPr>
      <t>(HO) Hostatgeria</t>
    </r>
    <r>
      <rPr>
        <sz val="11"/>
        <color indexed="56"/>
        <rFont val="Calibri"/>
        <family val="2"/>
      </rPr>
      <t>: establiment que formant part d'una església, capella o santuari destina algunes de les seves dependències al servei d'allotjament al públic en general.</t>
    </r>
  </si>
  <si>
    <r>
      <t xml:space="preserve">- </t>
    </r>
    <r>
      <rPr>
        <b/>
        <sz val="11"/>
        <color indexed="56"/>
        <rFont val="Calibri"/>
        <family val="2"/>
      </rPr>
      <t>(HR*) Hotel residència</t>
    </r>
    <r>
      <rPr>
        <sz val="11"/>
        <color indexed="56"/>
        <rFont val="Calibri"/>
        <family val="2"/>
      </rPr>
      <t>: hotel sense servei de menjador. Pot facilitar el servei d’esmorzar, així com els propis de cafeteria, però en aquest darrer cas, aquests serveis han de ser facultats amb independència als d’allotjament. Classificació: hotel residència d' 1, 2, 3, 4, 5 estrelles (*).</t>
    </r>
  </si>
  <si>
    <r>
      <t>-</t>
    </r>
    <r>
      <rPr>
        <b/>
        <sz val="11"/>
        <color indexed="56"/>
        <rFont val="Calibri"/>
        <family val="2"/>
      </rPr>
      <t xml:space="preserve"> (HR) Hotel rural</t>
    </r>
    <r>
      <rPr>
        <sz val="11"/>
        <color indexed="56"/>
        <rFont val="Calibri"/>
        <family val="2"/>
      </rPr>
      <t>: establiment que presta el servei d’allotjament turístic i està ubicat en edificacions construïdes abans de l’1 de gener de 1940, situades en sòl rústic i que disposen d’una superfície mínima de terreny de 49.000 m2, que ha de quedar vinculada a l’activitat.</t>
    </r>
  </si>
  <si>
    <r>
      <t xml:space="preserve">- </t>
    </r>
    <r>
      <rPr>
        <b/>
        <sz val="11"/>
        <color indexed="56"/>
        <rFont val="Calibri"/>
        <family val="2"/>
      </rPr>
      <t>(HS) Hostal</t>
    </r>
    <r>
      <rPr>
        <sz val="11"/>
        <color indexed="56"/>
        <rFont val="Calibri"/>
        <family val="2"/>
      </rPr>
      <t>: establiment que facilita al públic tant el servei d’allotjament com de restaurant, amb subjecció o no al règim de pensió completa, a elecció del client, i amb excepció dels hostals residències. Classificació: hostals d' 1, 2, 3 estrelles (*).</t>
    </r>
  </si>
  <si>
    <r>
      <t xml:space="preserve">- </t>
    </r>
    <r>
      <rPr>
        <b/>
        <sz val="11"/>
        <color indexed="56"/>
        <rFont val="Calibri"/>
        <family val="2"/>
      </rPr>
      <t>(HSR) Hostal residència</t>
    </r>
    <r>
      <rPr>
        <sz val="11"/>
        <color indexed="56"/>
        <rFont val="Calibri"/>
        <family val="2"/>
      </rPr>
      <t>: hostal que podrà facilitar el servei d’esmorzar, així com els propis de cafeteria; però en aquest darrer cas, aquests serveis hauran de ser facultats amb independència als d’allotjament. Classificació: hostal residència d’ 1, 2, 3, 4 estrelles (*).</t>
    </r>
  </si>
  <si>
    <r>
      <t xml:space="preserve">- </t>
    </r>
    <r>
      <rPr>
        <b/>
        <sz val="11"/>
        <color indexed="56"/>
        <rFont val="Calibri"/>
        <family val="2"/>
      </rPr>
      <t>(PENS) Pensió</t>
    </r>
    <r>
      <rPr>
        <sz val="11"/>
        <color indexed="56"/>
        <rFont val="Calibri"/>
        <family val="2"/>
      </rPr>
      <t>: establiment que no disposa de més de 12 habitacions i que habitualment facilita l’hostatge en règim de pensió completa. Classificació: pensió d’1, 2, 3 estrelles (*).</t>
    </r>
  </si>
  <si>
    <r>
      <t xml:space="preserve">- </t>
    </r>
    <r>
      <rPr>
        <b/>
        <sz val="11"/>
        <color indexed="56"/>
        <rFont val="Calibri"/>
        <family val="2"/>
      </rPr>
      <t>(RA) Residència apartament</t>
    </r>
    <r>
      <rPr>
        <sz val="11"/>
        <color indexed="56"/>
        <rFont val="Calibri"/>
        <family val="2"/>
      </rPr>
      <t>: hotel apartament que pot facilitar el servei d’esmorzar, així com els propis de cafeteria; però en aquest darrer cas, aquests serveis hauran de ser facultats amb independència als d’allotjament. Classificació: residència apartament d’1, 2, 3, 4, 5 estrelles  (*).</t>
    </r>
  </si>
  <si>
    <r>
      <t xml:space="preserve">- </t>
    </r>
    <r>
      <rPr>
        <b/>
        <sz val="11"/>
        <color indexed="56"/>
        <rFont val="Calibri"/>
        <family val="2"/>
      </rPr>
      <t>(TI) Turisme d’interior</t>
    </r>
    <r>
      <rPr>
        <sz val="11"/>
        <color indexed="56"/>
        <rFont val="Calibri"/>
        <family val="2"/>
      </rPr>
      <t>: establiment en què es presta el servei d’allotjament turístic en un edifici situat en el casc antic, en edificis catalogats o en edificis construïts abans de l’1 de gener de 1940.</t>
    </r>
  </si>
  <si>
    <r>
      <t xml:space="preserve">- </t>
    </r>
    <r>
      <rPr>
        <b/>
        <sz val="11"/>
        <color indexed="56"/>
        <rFont val="Calibri"/>
        <family val="2"/>
      </rPr>
      <t>Oferta extrahotelera</t>
    </r>
    <r>
      <rPr>
        <sz val="11"/>
        <color indexed="56"/>
        <rFont val="Calibri"/>
        <family val="2"/>
      </rPr>
      <t>: A, HR, AG i CT.</t>
    </r>
  </si>
  <si>
    <t>Notes metodològiques</t>
  </si>
  <si>
    <r>
      <t xml:space="preserve">- </t>
    </r>
    <r>
      <rPr>
        <b/>
        <i/>
        <sz val="11"/>
        <color indexed="56"/>
        <rFont val="Calibri"/>
        <family val="2"/>
      </rPr>
      <t>Unidad</t>
    </r>
    <r>
      <rPr>
        <i/>
        <sz val="11"/>
        <color indexed="56"/>
        <rFont val="Calibri"/>
        <family val="2"/>
      </rPr>
      <t xml:space="preserve">: equivale a una habitación con baño incluido, excepto en los apartamentos, que se considera la unidad del apartamento entero. </t>
    </r>
  </si>
  <si>
    <r>
      <t xml:space="preserve">- </t>
    </r>
    <r>
      <rPr>
        <b/>
        <i/>
        <sz val="11"/>
        <color indexed="56"/>
        <rFont val="Calibri"/>
        <family val="2"/>
      </rPr>
      <t>Plaza</t>
    </r>
    <r>
      <rPr>
        <i/>
        <sz val="11"/>
        <color indexed="56"/>
        <rFont val="Calibri"/>
        <family val="2"/>
      </rPr>
      <t>: para el cómputo de plazas, se considera una persona por cama fija del establecimiento. Las camas de matrimonio equivalen a dos plazas. El cómputo del número de plazas para nuevos establecimientos de alojamiento y para las ampliaciones de los ya existentes se tendrá que hacer de la manera siguiente:</t>
    </r>
  </si>
  <si>
    <t>a) Para los apartamentos turísticos, dos plazas por estudio proyectado y tres plazas por apartamento de un dormitorio, además de dos plazas más por cada dormitorio que se proyecte.</t>
  </si>
  <si>
    <r>
      <t xml:space="preserve">- </t>
    </r>
    <r>
      <rPr>
        <b/>
        <i/>
        <sz val="11"/>
        <color indexed="56"/>
        <rFont val="Calibri"/>
        <family val="2"/>
      </rPr>
      <t>Empresas turísticas de alojamiento</t>
    </r>
    <r>
      <rPr>
        <i/>
        <sz val="11"/>
        <color indexed="56"/>
        <rFont val="Calibri"/>
        <family val="2"/>
      </rPr>
      <t>: aquellas que desarrollen una actividad consistente en la prestación de un servicio de alojamiento al público mediante precio, de forma profesional y habitual, bien sea de modo permanente como temporal, y con o sin la prestación de servicios complementarios.</t>
    </r>
  </si>
  <si>
    <r>
      <t xml:space="preserve">- </t>
    </r>
    <r>
      <rPr>
        <b/>
        <i/>
        <sz val="11"/>
        <color indexed="56"/>
        <rFont val="Calibri"/>
        <family val="2"/>
      </rPr>
      <t>G.L.</t>
    </r>
    <r>
      <rPr>
        <i/>
        <sz val="11"/>
        <color indexed="56"/>
        <rFont val="Calibri"/>
        <family val="2"/>
      </rPr>
      <t>: gran lujo</t>
    </r>
  </si>
  <si>
    <r>
      <t xml:space="preserve">- </t>
    </r>
    <r>
      <rPr>
        <b/>
        <i/>
        <sz val="11"/>
        <color indexed="56"/>
        <rFont val="Calibri"/>
        <family val="2"/>
      </rPr>
      <t>(A) Apartamento turístico</t>
    </r>
    <r>
      <rPr>
        <i/>
        <sz val="11"/>
        <color indexed="56"/>
        <rFont val="Calibri"/>
        <family val="2"/>
      </rPr>
      <t>: establecimiento destinado a prestar un servicio de alojamiento turístico, que se anuncie como tal, compuesto por un conjunto de unidades de alojamiento que disponen de mobiliario, instalaciones, servicios y equipo adecuados para la conservación, la elaboración y el consumo de alimentos y bebidas, y en condiciones que permitan la ocupación inmediata, cumpliendo las exigencias establecidas reglamentariamente. Clasificación: apartamentos turísticos de 1, 2, 3, 3 superior, 4 llaves, 4 superior (Ll).</t>
    </r>
  </si>
  <si>
    <r>
      <t xml:space="preserve">- </t>
    </r>
    <r>
      <rPr>
        <b/>
        <i/>
        <sz val="11"/>
        <color indexed="56"/>
        <rFont val="Calibri"/>
        <family val="2"/>
      </rPr>
      <t>(CH) Casa de huéspedes</t>
    </r>
    <r>
      <rPr>
        <i/>
        <sz val="11"/>
        <color indexed="56"/>
        <rFont val="Calibri"/>
        <family val="2"/>
      </rPr>
      <t xml:space="preserve">: fonda que puede facilitar el servicio de desayuno, así como los propios de cafetería; en este último caso, estos servicios deberán ser facultados con independencia a los de alojamiento. </t>
    </r>
  </si>
  <si>
    <r>
      <t>-</t>
    </r>
    <r>
      <rPr>
        <b/>
        <i/>
        <sz val="11"/>
        <color indexed="56"/>
        <rFont val="Calibri"/>
        <family val="2"/>
      </rPr>
      <t xml:space="preserve"> (CT) Camping turístico</t>
    </r>
    <r>
      <rPr>
        <i/>
        <sz val="11"/>
        <color indexed="56"/>
        <rFont val="Calibri"/>
        <family val="2"/>
      </rPr>
      <t xml:space="preserve">: espacio delimitado, dotado y acondicionado para que sea ocupado temporalmente, con capacidad para más de 10 personas que pretendan hacer vida al aire libre, y que utilicen como alojamiento albergues móviles, tiendas de campaña , caravanas u otros elementos similares. </t>
    </r>
  </si>
  <si>
    <r>
      <t xml:space="preserve">- </t>
    </r>
    <r>
      <rPr>
        <b/>
        <i/>
        <sz val="11"/>
        <color indexed="56"/>
        <rFont val="Calibri"/>
        <family val="2"/>
      </rPr>
      <t>(CV) Ciudad de vacaciones</t>
    </r>
    <r>
      <rPr>
        <i/>
        <sz val="11"/>
        <color indexed="56"/>
        <rFont val="Calibri"/>
        <family val="2"/>
      </rPr>
      <t xml:space="preserve">: establecimiento, cuya situación, instalaciones y servicios permiten a los clientes, con fórmulas previamente determinadas, el disfrute de sus vacaciones en contacto directo con la naturaleza, facilitando, por un tanto alzado, hospedaje en régimen de pensión completa, junto con la posibilidad de practicar deporte y participar en actividades de ocio colectivo. Quedan excluidas las ciudades de vacaciones instaladas por corporaciones u organismos públicos con fines de asistencia social y sin ánimo de lucro. Clasificación: ciudad de vacaciones de 1, 2, 3 estrellas (*). </t>
    </r>
  </si>
  <si>
    <r>
      <t xml:space="preserve">- </t>
    </r>
    <r>
      <rPr>
        <b/>
        <i/>
        <sz val="11"/>
        <color indexed="56"/>
        <rFont val="Calibri"/>
        <family val="2"/>
      </rPr>
      <t>(F) Fonda</t>
    </r>
    <r>
      <rPr>
        <i/>
        <sz val="11"/>
        <color indexed="56"/>
        <rFont val="Calibri"/>
        <family val="2"/>
      </rPr>
      <t xml:space="preserve">: establecimiento hotelero que, sin poder ser clasificado como hotel, hostal u hotel apartamento, reúne, como mínimo, las siguientes condiciones: </t>
    </r>
  </si>
  <si>
    <r>
      <t xml:space="preserve">- </t>
    </r>
    <r>
      <rPr>
        <b/>
        <i/>
        <sz val="11"/>
        <color indexed="56"/>
        <rFont val="Calibri"/>
        <family val="2"/>
      </rPr>
      <t>(H) Hotel</t>
    </r>
    <r>
      <rPr>
        <i/>
        <sz val="11"/>
        <color indexed="56"/>
        <rFont val="Calibri"/>
        <family val="2"/>
      </rPr>
      <t xml:space="preserve">: establecimiento destinado a la prestación de un servicio de alojamiento turístico con servicios complementarios o sin que ocupan la totalidad o una parte independiente de un edificio o conjunto de edificios las dependencias de los cuales constituyen un todo homogéneo con entradas propias e independientes, y que cumplen, además, el resto de requisitos establecidos reglamentariamente. Los ascensores y las escaleras de que dispongan los hoteles han de ser de uso exclusivo. Clasificación: hoteles de 1, 2, 3, 3 superior,  4, 4 superior, 5 estrellas, 5 gran lujo (*). </t>
    </r>
  </si>
  <si>
    <r>
      <t xml:space="preserve">- </t>
    </r>
    <r>
      <rPr>
        <b/>
        <i/>
        <sz val="11"/>
        <color indexed="56"/>
        <rFont val="Calibri"/>
        <family val="2"/>
      </rPr>
      <t>(HA) Hotel apartamento</t>
    </r>
    <r>
      <rPr>
        <i/>
        <sz val="11"/>
        <color indexed="56"/>
        <rFont val="Calibri"/>
        <family val="2"/>
      </rPr>
      <t xml:space="preserve">: establecimiento que, además de cumplir los requisitos establecidos para los hoteles, dispone de las instalaciones necesarias para la conservación, la elaboración y el consumo de alimentos y bebidas en el interior de alguna unidad de alojamiento, y se ajusta a los requisitos establecidos reglamentariamente. Clasificación: hoteles apartamentos de 1, 2, 3, 3 superior, 4, 4 superior, 5 estrellas, 5 gran lujo (*).  </t>
    </r>
  </si>
  <si>
    <r>
      <t xml:space="preserve">- </t>
    </r>
    <r>
      <rPr>
        <b/>
        <i/>
        <sz val="11"/>
        <color indexed="56"/>
        <rFont val="Calibri"/>
        <family val="2"/>
      </rPr>
      <t>(HO) Hospedería</t>
    </r>
    <r>
      <rPr>
        <i/>
        <sz val="11"/>
        <color indexed="56"/>
        <rFont val="Calibri"/>
        <family val="2"/>
      </rPr>
      <t xml:space="preserve">: establecimiento que formando parte de una iglesia, capilla o santuario destina algunas de sus dependencias al servicio de alojamiento al público en general. </t>
    </r>
  </si>
  <si>
    <r>
      <t>-</t>
    </r>
    <r>
      <rPr>
        <b/>
        <i/>
        <sz val="11"/>
        <color indexed="56"/>
        <rFont val="Calibri"/>
        <family val="2"/>
      </rPr>
      <t xml:space="preserve"> (HR*) Hotel residencia</t>
    </r>
    <r>
      <rPr>
        <i/>
        <sz val="11"/>
        <color indexed="56"/>
        <rFont val="Calibri"/>
        <family val="2"/>
      </rPr>
      <t xml:space="preserve">: hotel sin servicio de comedor. Puede facilitar el servicio de desayuno, así como los propios de cafetería, pero en este último caso, estos servicios deben ser facultados con independencia a los de alojamiento. Clasificación: hotel residencia de 1, 2, 3, 4, 5 estrellas (*). </t>
    </r>
  </si>
  <si>
    <r>
      <t xml:space="preserve">- </t>
    </r>
    <r>
      <rPr>
        <b/>
        <i/>
        <sz val="11"/>
        <color indexed="56"/>
        <rFont val="Calibri"/>
        <family val="2"/>
      </rPr>
      <t>(HR) Hotel rural</t>
    </r>
    <r>
      <rPr>
        <i/>
        <sz val="11"/>
        <color indexed="56"/>
        <rFont val="Calibri"/>
        <family val="2"/>
      </rPr>
      <t>: establecimiento que presta el servicio de alojamiento turístico y está ubicado en edificaciones construidas antes del 1 de enero de 1940, situadas en suelo rústico y que disponen de una superficie mínima de terreno de 49.000 m2, que ha de quedar vinculada a la actividad.</t>
    </r>
  </si>
  <si>
    <r>
      <t xml:space="preserve">- </t>
    </r>
    <r>
      <rPr>
        <b/>
        <i/>
        <sz val="11"/>
        <color indexed="56"/>
        <rFont val="Calibri"/>
        <family val="2"/>
      </rPr>
      <t>(HS) Hostal</t>
    </r>
    <r>
      <rPr>
        <i/>
        <sz val="11"/>
        <color indexed="56"/>
        <rFont val="Calibri"/>
        <family val="2"/>
      </rPr>
      <t xml:space="preserve">: establecimiento que facilita al público tanto el servicio de alojamiento como de restaurante, con sujeción o no al régimen de pensión completa, a elección del cliente, y con excepción de los hostales residencias. Clasificación: hostales de 1, 2, 3 estrellas (*). </t>
    </r>
  </si>
  <si>
    <r>
      <t xml:space="preserve">- </t>
    </r>
    <r>
      <rPr>
        <b/>
        <i/>
        <sz val="11"/>
        <color indexed="56"/>
        <rFont val="Calibri"/>
        <family val="2"/>
      </rPr>
      <t>(HSR) Hostal residencia</t>
    </r>
    <r>
      <rPr>
        <i/>
        <sz val="11"/>
        <color indexed="56"/>
        <rFont val="Calibri"/>
        <family val="2"/>
      </rPr>
      <t xml:space="preserve">: hostal que podrá facilitar el servicio de desayuno, así como los propios de cafetería, pero en este último caso, estos servicios deberán ser facultados con independencia a los de alojamiento. Clasificación: hostal residencia de 1, 2, 3, 4 estrellas (*). </t>
    </r>
  </si>
  <si>
    <r>
      <t xml:space="preserve">- </t>
    </r>
    <r>
      <rPr>
        <b/>
        <i/>
        <sz val="11"/>
        <color indexed="56"/>
        <rFont val="Calibri"/>
        <family val="2"/>
      </rPr>
      <t>(PENS) Pensión</t>
    </r>
    <r>
      <rPr>
        <i/>
        <sz val="11"/>
        <color indexed="56"/>
        <rFont val="Calibri"/>
        <family val="2"/>
      </rPr>
      <t>: establecimiento que no dispone de más de 12 habitaciones y que habitualmente facilita el hospedaje en régimen de pensión completa. Clasificación: pensión de 1, 2, 3 estrellas (*).</t>
    </r>
  </si>
  <si>
    <r>
      <t xml:space="preserve">- </t>
    </r>
    <r>
      <rPr>
        <b/>
        <i/>
        <sz val="11"/>
        <color indexed="56"/>
        <rFont val="Calibri"/>
        <family val="2"/>
      </rPr>
      <t>(RA) Residencia apartamento</t>
    </r>
    <r>
      <rPr>
        <i/>
        <sz val="11"/>
        <color indexed="56"/>
        <rFont val="Calibri"/>
        <family val="2"/>
      </rPr>
      <t>: hotel apartamento que puede facilitar el servicio de desayuno, así como los propios de cafetería, pero en este último caso, estos servicios deberán ser facultados con independencia a los de alojamiento. Clasificación: residencia apartamento de 1, 2, 3, 4, 5 estrellas (*).</t>
    </r>
  </si>
  <si>
    <r>
      <t xml:space="preserve">- </t>
    </r>
    <r>
      <rPr>
        <b/>
        <i/>
        <sz val="11"/>
        <color indexed="56"/>
        <rFont val="Calibri"/>
        <family val="2"/>
      </rPr>
      <t>(TI) Turismo de interior</t>
    </r>
    <r>
      <rPr>
        <i/>
        <sz val="11"/>
        <color indexed="56"/>
        <rFont val="Calibri"/>
        <family val="2"/>
      </rPr>
      <t>: establecimiento en que se presta el servicio de alojamiento turístico en un edificio situado en el casco antiguo, en edificios catalogados o en edificios construidos antes del 1 de enero de 1940.</t>
    </r>
  </si>
  <si>
    <r>
      <t xml:space="preserve">- </t>
    </r>
    <r>
      <rPr>
        <b/>
        <i/>
        <sz val="11"/>
        <color indexed="56"/>
        <rFont val="Calibri"/>
        <family val="2"/>
      </rPr>
      <t>Oferta extrahotelera</t>
    </r>
    <r>
      <rPr>
        <i/>
        <sz val="11"/>
        <color indexed="56"/>
        <rFont val="Calibri"/>
        <family val="2"/>
      </rPr>
      <t>: A, HR, AG y CT.</t>
    </r>
  </si>
  <si>
    <t>Notas metodológicas</t>
  </si>
  <si>
    <t>a) For tourist apartments, two bed places per study as designed and three bed places per one-bedroom apartment, as well as two bed places more for each additional bedroom planned.</t>
  </si>
  <si>
    <t>b) For hotels and apartment hotels, two bed places per room, with up to 10% of the total number of rooms calculable as single rooms. Accommodation units with lounge should be calculated as two bed places for every bathroom.</t>
  </si>
  <si>
    <t>Extra beds used for children under the age of 12 should not be included in the calculations for any establishment.</t>
  </si>
  <si>
    <t>In new city hotels, up to 90% of the rooms may be calculated as single rooms.</t>
  </si>
  <si>
    <t>a) Rooms. Surface area should be, at least, 10 square metres for double rooms and 6 square metres for single rooms. The height from floor to ceiling must not be less than 2.50 metres.</t>
  </si>
  <si>
    <t xml:space="preserve">b) Sanitation. The establishment should provide, at least, one bathroom, equipped with a shower, washbasin and WC. </t>
  </si>
  <si>
    <t>c) Dining room. With a minimum surface area of 1 square metre per room.</t>
  </si>
  <si>
    <r>
      <t>Methodological notes</t>
    </r>
    <r>
      <rPr>
        <i/>
        <sz val="11"/>
        <color indexed="56"/>
        <rFont val="Calibri"/>
        <family val="2"/>
      </rPr>
      <t xml:space="preserve"> </t>
    </r>
  </si>
  <si>
    <r>
      <rPr>
        <b/>
        <i/>
        <sz val="11"/>
        <color indexed="56"/>
        <rFont val="Calibri"/>
        <family val="2"/>
      </rPr>
      <t>Definitions</t>
    </r>
  </si>
  <si>
    <r>
      <t xml:space="preserve">- </t>
    </r>
    <r>
      <rPr>
        <b/>
        <i/>
        <sz val="11"/>
        <color indexed="56"/>
        <rFont val="Calibri"/>
        <family val="2"/>
      </rPr>
      <t>Single unit</t>
    </r>
    <r>
      <rPr>
        <i/>
        <sz val="11"/>
        <color indexed="56"/>
        <rFont val="Calibri"/>
        <family val="2"/>
      </rPr>
      <t>: equivalent to one room with bathroom included, except in apartments, where the whole apartment is considered a single unit.</t>
    </r>
  </si>
  <si>
    <r>
      <t xml:space="preserve">- </t>
    </r>
    <r>
      <rPr>
        <b/>
        <i/>
        <sz val="11"/>
        <color indexed="56"/>
        <rFont val="Calibri"/>
        <family val="2"/>
      </rPr>
      <t>Bed place</t>
    </r>
    <r>
      <rPr>
        <i/>
        <sz val="11"/>
        <color indexed="56"/>
        <rFont val="Calibri"/>
        <family val="2"/>
      </rPr>
      <t>: bed places are calculated as one person per fixed bed in the establishment. Double beds equate to two bed places. The number of bed places for new accommodation establishments and for enlargements of existing ones should be calculated as follows:</t>
    </r>
  </si>
  <si>
    <r>
      <t xml:space="preserve">- </t>
    </r>
    <r>
      <rPr>
        <b/>
        <i/>
        <sz val="11"/>
        <color indexed="56"/>
        <rFont val="Calibri"/>
        <family val="2"/>
      </rPr>
      <t>Tourist accommodation companies</t>
    </r>
    <r>
      <rPr>
        <i/>
        <sz val="11"/>
        <color indexed="56"/>
        <rFont val="Calibri"/>
        <family val="2"/>
      </rPr>
      <t>: companies providing a professional, regular paid-for accommodation service to the public, on a permanent or temporary basis, with or without any complementary services.</t>
    </r>
  </si>
  <si>
    <r>
      <t xml:space="preserve">- </t>
    </r>
    <r>
      <rPr>
        <b/>
        <i/>
        <sz val="11"/>
        <color indexed="56"/>
        <rFont val="Calibri"/>
        <family val="2"/>
      </rPr>
      <t xml:space="preserve">G.L. </t>
    </r>
    <r>
      <rPr>
        <i/>
        <sz val="11"/>
        <color indexed="56"/>
        <rFont val="Calibri"/>
        <family val="2"/>
      </rPr>
      <t>: Great luxury</t>
    </r>
  </si>
  <si>
    <r>
      <t xml:space="preserve">- </t>
    </r>
    <r>
      <rPr>
        <b/>
        <i/>
        <sz val="11"/>
        <color indexed="56"/>
        <rFont val="Calibri"/>
        <family val="2"/>
      </rPr>
      <t>(A) Tourist apartment</t>
    </r>
    <r>
      <rPr>
        <i/>
        <sz val="11"/>
        <color indexed="56"/>
        <rFont val="Calibri"/>
        <family val="2"/>
      </rPr>
      <t>: establishments providing tourist accommodation and advertised as such, comprising a series of accommodation units with furnishings, facilities, services and fittings suitable for storing, preparing and consuming food and drinks, in conditions allowing for immediate occupation, and meeting all mandatory requirements. Classification: tourist apartment of 1, 2, 3, 3 superior, 4 keys, 4 superior (Ll).</t>
    </r>
  </si>
  <si>
    <r>
      <t xml:space="preserve">- </t>
    </r>
    <r>
      <rPr>
        <b/>
        <i/>
        <sz val="11"/>
        <color indexed="56"/>
        <rFont val="Calibri"/>
        <family val="2"/>
      </rPr>
      <t>(AG) Agro-tourism</t>
    </r>
    <r>
      <rPr>
        <i/>
        <sz val="11"/>
        <color indexed="56"/>
        <rFont val="Calibri"/>
        <family val="2"/>
      </rPr>
      <t>: establishments providing tourist accommodation in properties built before 1 January 1960, located on rural land covering at least 21,000 square metres and used for farming, livestock or forestry activities.</t>
    </r>
  </si>
  <si>
    <r>
      <t xml:space="preserve">-  </t>
    </r>
    <r>
      <rPr>
        <b/>
        <i/>
        <sz val="11"/>
        <color indexed="56"/>
        <rFont val="Calibri"/>
        <family val="2"/>
      </rPr>
      <t>(CH) Guest house</t>
    </r>
    <r>
      <rPr>
        <i/>
        <sz val="11"/>
        <color indexed="56"/>
        <rFont val="Calibri"/>
        <family val="2"/>
      </rPr>
      <t>: establishment where breakfast may be provided, in addition to cafeteria services, however, in the case of the latter, such services should be subject to the appropriate authorisation, independently from the accommodation.</t>
    </r>
  </si>
  <si>
    <r>
      <t xml:space="preserve">-  </t>
    </r>
    <r>
      <rPr>
        <b/>
        <i/>
        <sz val="11"/>
        <color indexed="56"/>
        <rFont val="Calibri"/>
        <family val="2"/>
      </rPr>
      <t>(CT) Tourist campsite</t>
    </r>
    <r>
      <rPr>
        <i/>
        <sz val="11"/>
        <color indexed="56"/>
        <rFont val="Calibri"/>
        <family val="2"/>
      </rPr>
      <t xml:space="preserve">: an area defined, equipped and conditioned for temporary occupation, with capacity for more than 10 persons who intend to live in the open-air, using mobile homes, tents, caravans or other similar elements as accommodation. </t>
    </r>
  </si>
  <si>
    <r>
      <t xml:space="preserve">-  </t>
    </r>
    <r>
      <rPr>
        <b/>
        <i/>
        <sz val="11"/>
        <color indexed="56"/>
        <rFont val="Calibri"/>
        <family val="2"/>
      </rPr>
      <t>(CV) Holiday villages</t>
    </r>
    <r>
      <rPr>
        <i/>
        <sz val="11"/>
        <color indexed="56"/>
        <rFont val="Calibri"/>
        <family val="2"/>
      </rPr>
      <t>: establishments whose location, installations and services allow clients, under predetermined schemes, to enjoy their holidays in direct contact with nature, providing them, for a fixed price, accommodation with fullboard, with the possibility of practising sport and participating in group leisure activities. However, excluded from the definition, are holiday villages built with a social aid orientation and on a non-profit making basis by public corporations or bodies. Classification: holiday village of 1, 2, 3 stars (*).</t>
    </r>
  </si>
  <si>
    <r>
      <t xml:space="preserve">-  </t>
    </r>
    <r>
      <rPr>
        <b/>
        <i/>
        <sz val="11"/>
        <color indexed="56"/>
        <rFont val="Calibri"/>
        <family val="2"/>
      </rPr>
      <t>(F) Fonda</t>
    </r>
    <r>
      <rPr>
        <i/>
        <sz val="11"/>
        <color indexed="56"/>
        <rFont val="Calibri"/>
        <family val="2"/>
      </rPr>
      <t>: hotel establishment which cannot be classified as a hotel, hostel or hotel apartment, which must comply, as a minimum, with the following conditions:</t>
    </r>
  </si>
  <si>
    <r>
      <t xml:space="preserve">- </t>
    </r>
    <r>
      <rPr>
        <b/>
        <i/>
        <sz val="11"/>
        <color indexed="56"/>
        <rFont val="Calibri"/>
        <family val="2"/>
      </rPr>
      <t>(H) Hotel</t>
    </r>
    <r>
      <rPr>
        <i/>
        <sz val="11"/>
        <color indexed="56"/>
        <rFont val="Calibri"/>
        <family val="2"/>
      </rPr>
      <t>: establishments providing tourist accommodation with or without complementary services and occupying all or an independent part of a building or set of buildings, the rooms of which form a homogenous whole, with its own separate entrances, and meeting all mandatory requirements. Hotel elevators and stairs must be for hotel use only. Classification: hotels rated as 1, 2, 3, 3 superior, 4, 4 superior, 5 stars, 5 grand luxe (*).</t>
    </r>
  </si>
  <si>
    <r>
      <t xml:space="preserve">- </t>
    </r>
    <r>
      <rPr>
        <b/>
        <i/>
        <sz val="11"/>
        <color indexed="56"/>
        <rFont val="Calibri"/>
        <family val="2"/>
      </rPr>
      <t>(HA) Apartment hotel</t>
    </r>
    <r>
      <rPr>
        <i/>
        <sz val="11"/>
        <color indexed="56"/>
        <rFont val="Calibri"/>
        <family val="2"/>
      </rPr>
      <t xml:space="preserve">: establishments meeting the requirements for hotels but with the facilities needed to store, prepare and consume food and drinks in some of the single units, and meeting all mandatory requirements. Classification: hotel apartments rated as 1, 2, 3, 3 superior, 4, 4 superior, 5 stars, 5 grand luxe (*). </t>
    </r>
  </si>
  <si>
    <r>
      <t xml:space="preserve">- </t>
    </r>
    <r>
      <rPr>
        <b/>
        <i/>
        <sz val="11"/>
        <color indexed="56"/>
        <rFont val="Calibri"/>
        <family val="2"/>
      </rPr>
      <t>(HO) Hostelry</t>
    </r>
    <r>
      <rPr>
        <i/>
        <sz val="11"/>
        <color indexed="56"/>
        <rFont val="Calibri"/>
        <family val="2"/>
      </rPr>
      <t xml:space="preserve">: an establishment that forms part of a church, chapel or shrine and uses some of its rooms to provide accommodation for the general public. </t>
    </r>
  </si>
  <si>
    <r>
      <t xml:space="preserve">- </t>
    </r>
    <r>
      <rPr>
        <b/>
        <i/>
        <sz val="11"/>
        <color indexed="56"/>
        <rFont val="Calibri"/>
        <family val="2"/>
      </rPr>
      <t>(HR*) Hotel residence</t>
    </r>
    <r>
      <rPr>
        <i/>
        <sz val="11"/>
        <color indexed="56"/>
        <rFont val="Calibri"/>
        <family val="2"/>
      </rPr>
      <t>: hotel without dining room. Breakfast may be provided, in addition to cafeteria services, however, in the case of the latter, such services should be subject to the appropriate authorisation, independently from the accommodation. Classification: hotel residence of 1, 2, 3, 4, 5 stars (*).</t>
    </r>
  </si>
  <si>
    <r>
      <t xml:space="preserve">- </t>
    </r>
    <r>
      <rPr>
        <b/>
        <i/>
        <sz val="11"/>
        <color indexed="56"/>
        <rFont val="Calibri"/>
        <family val="2"/>
      </rPr>
      <t>(HR) Rural hotel</t>
    </r>
    <r>
      <rPr>
        <i/>
        <sz val="11"/>
        <color indexed="56"/>
        <rFont val="Calibri"/>
        <family val="2"/>
      </rPr>
      <t>: establishments providing tourist accommodation in properties built before 1 January 1940, located on rural land covering at least 49,000 square metres and having retained links to the original activity.</t>
    </r>
  </si>
  <si>
    <r>
      <t xml:space="preserve">- </t>
    </r>
    <r>
      <rPr>
        <b/>
        <i/>
        <sz val="11"/>
        <color indexed="56"/>
        <rFont val="Calibri"/>
        <family val="2"/>
      </rPr>
      <t>(HS) Hostel</t>
    </r>
    <r>
      <rPr>
        <i/>
        <sz val="11"/>
        <color indexed="56"/>
        <rFont val="Calibri"/>
        <family val="2"/>
      </rPr>
      <t>: establishment that offers the public both accommodation and meals, conforming or not to full board at the choice of the client and excluding hostelresidencies. Classification: hostels of 1, 2, 3 stars (*).</t>
    </r>
  </si>
  <si>
    <r>
      <t xml:space="preserve">- </t>
    </r>
    <r>
      <rPr>
        <b/>
        <i/>
        <sz val="11"/>
        <color indexed="56"/>
        <rFont val="Calibri"/>
        <family val="2"/>
      </rPr>
      <t>(HSR) Hostel Residence</t>
    </r>
    <r>
      <rPr>
        <i/>
        <sz val="11"/>
        <color indexed="56"/>
        <rFont val="Calibri"/>
        <family val="2"/>
      </rPr>
      <t>: hostel where breakfast may be provided, in addition to cafeteria services, however, in the case of the latter, such services should be subject to the appropriate authorisation, independently from the accommodation. Classification: hostel residence of 1, 2, 3, 4 stars (*).</t>
    </r>
  </si>
  <si>
    <r>
      <t xml:space="preserve">-  </t>
    </r>
    <r>
      <rPr>
        <b/>
        <i/>
        <sz val="11"/>
        <color indexed="56"/>
        <rFont val="Calibri"/>
        <family val="2"/>
      </rPr>
      <t>(PENS) Boarding House</t>
    </r>
    <r>
      <rPr>
        <i/>
        <sz val="11"/>
        <color indexed="56"/>
        <rFont val="Calibri"/>
        <family val="2"/>
      </rPr>
      <t>: establishment with no more than 12 rooms, habitually offering accommodation with full-board. Classification: 1, 2, 3 star boarding house (*).</t>
    </r>
  </si>
  <si>
    <r>
      <t xml:space="preserve">- </t>
    </r>
    <r>
      <rPr>
        <b/>
        <i/>
        <sz val="11"/>
        <color indexed="56"/>
        <rFont val="Calibri"/>
        <family val="2"/>
      </rPr>
      <t>(RA) Apartment residence</t>
    </r>
    <r>
      <rPr>
        <i/>
        <sz val="11"/>
        <color indexed="56"/>
        <rFont val="Calibri"/>
        <family val="2"/>
      </rPr>
      <t>: hotel apartment where breakfast may be provided, in addition to cafeteria services, however, in the case of the latter, such services should be subject to the appropriate authorisation, independently from the accommodation. Classification: apartment residence of 1, 2, 3, 4, 5 stars (*).</t>
    </r>
  </si>
  <si>
    <r>
      <t xml:space="preserve">- </t>
    </r>
    <r>
      <rPr>
        <b/>
        <i/>
        <sz val="11"/>
        <color indexed="56"/>
        <rFont val="Calibri"/>
        <family val="2"/>
      </rPr>
      <t>(TI) Inland tourism</t>
    </r>
    <r>
      <rPr>
        <i/>
        <sz val="11"/>
        <color indexed="56"/>
        <rFont val="Calibri"/>
        <family val="2"/>
      </rPr>
      <t>: establishments where tourist accommodation is provided in the historic part of a town or village in catalogued buildings or properties built before 1 January 1940.</t>
    </r>
  </si>
  <si>
    <r>
      <t xml:space="preserve">-  </t>
    </r>
    <r>
      <rPr>
        <b/>
        <i/>
        <sz val="11"/>
        <color indexed="56"/>
        <rFont val="Calibri"/>
        <family val="2"/>
      </rPr>
      <t>Non-hotel offer</t>
    </r>
    <r>
      <rPr>
        <i/>
        <sz val="11"/>
        <color indexed="56"/>
        <rFont val="Calibri"/>
        <family val="2"/>
      </rPr>
      <t>: A, HR, TI, AG and CT.</t>
    </r>
  </si>
  <si>
    <t xml:space="preserve"> HR 4*</t>
  </si>
  <si>
    <t>Capacitat d'allotjament per tipus d'establiment i categoria a Mallorca (2022)</t>
  </si>
  <si>
    <t>Capacidad de alojamiento por tipo de establecimiento y categoría en Mallorca (2022)</t>
  </si>
  <si>
    <t>Accommodation capacity by type of establishment and category in Majorca (2022)</t>
  </si>
  <si>
    <t>Distribució de la capacitat d'allotjament per municipis a Mallorca (2022)</t>
  </si>
  <si>
    <t>Distribución de la capacidad de alojamiento por municipios en Mallorca (2022)</t>
  </si>
  <si>
    <t>Distribution of accommodation capacity broken down by municipalities in Majorca (2022)</t>
  </si>
  <si>
    <r>
      <t xml:space="preserve">- </t>
    </r>
    <r>
      <rPr>
        <b/>
        <i/>
        <sz val="11"/>
        <color indexed="56"/>
        <rFont val="Calibri"/>
        <family val="2"/>
      </rPr>
      <t>(AG) Agroturismo</t>
    </r>
    <r>
      <rPr>
        <i/>
        <sz val="11"/>
        <color indexed="56"/>
        <rFont val="Calibri"/>
        <family val="2"/>
      </rPr>
      <t>: son los establecimientos que prestan el servicio de alojamiento turístico ubicados en edificaciones construidas antes del 1 de enero de 1960, situadas en suelo rústico y en una finca o fincas que tengan una superficie mínima de 21.000 m2 y que constituyan una explotación agraria, ganadera o forestal.</t>
    </r>
  </si>
  <si>
    <t>Capacitat d'allotjament per tipus d'establiment i categoria a Mallorca (2023)</t>
  </si>
  <si>
    <t>Capacidad de alojamiento por tipo de establecimiento y categoría en Mallorca (2023)</t>
  </si>
  <si>
    <t>Accommodation capacity by type of establishment and category in Majorca (2023)</t>
  </si>
  <si>
    <t>Distribució de la capacitat d'allotjament per municipis a Mallorca (2023)</t>
  </si>
  <si>
    <t>Distribución de la capacidad de alojamiento por municipios en Mallorca (2023)</t>
  </si>
  <si>
    <t>Distribution of accommodation capacity broken down by municipalities in Majorca (2023)</t>
  </si>
  <si>
    <t>Capacitat d'allotjament per tipus d'establiment i categoria a Mallorca (2023)………………..............................…………….….………………....................…………………...pàg 4</t>
  </si>
  <si>
    <t>Distribució de la capacitat d'allotjament per municipis a Mallorca (2023)……………..……………………..................................……...………....................……………………pàg 5</t>
  </si>
  <si>
    <t>Capacitat d'allotjament per tipus d'establiment i categoria a Mallorca (2022)………………..............................…………….….………………....................…………………...pàg 6</t>
  </si>
  <si>
    <t>Distribució de la capacitat d'allotjament per municipis a Mallorca (2022)……………..……………………..................................……...………....................……………………pàg 7</t>
  </si>
  <si>
    <t>Capacitat d'allotjament per tipus d'establiment i categoria a Mallorca (2021)………………..............................…………….….………………....................…………………...pàg 8</t>
  </si>
  <si>
    <t>Distribució de la capacitat d'allotjament per municipis a Mallorca (2021)……………..……………………..................................……...………....................……………………pàg 9</t>
  </si>
  <si>
    <t>Capacitat d'allotjament per tipus d'establiment i categoria a Mallorca (2020)…………………………......................................……..……….................……………………...pàg 10</t>
  </si>
  <si>
    <t>Distribució de la capacitat d'allotjament per municipis a Mallorca (2020)……………..…....................................................……..…..................……………………………pàg 11</t>
  </si>
  <si>
    <t>Capacitat d'allotjament per tipus d'establiment i categoria a Mallorca (2019)………………………………...........................................................…………………………...pàg 12</t>
  </si>
  <si>
    <t>Distribució de la capacitat d'allotjament per municipis a Mallorca (2019)……………..………….……………….......................................................................……………pàg 13</t>
  </si>
  <si>
    <t>Capacitat d'allotjament per tipus d'establiment i categoria a Mallorca (2018)………………………......................................……………...................………………………...pàg 14</t>
  </si>
  <si>
    <t>Distribució de la capacitat d'allotjament per municipis a Mallorca (2018)……………...………………............................................................................…………………pàg 15</t>
  </si>
  <si>
    <t>Capacitat d'allotjament per tipus d'establiment i categoria a Mallorca (2017)…………..…………...................................................................…………………………...pàg 16</t>
  </si>
  <si>
    <t>Distribució de la capacitat d'allotjament per municipis a Mallorca (2017)……………..…….……….........................................................................………………………pàg 17</t>
  </si>
  <si>
    <t>Capacitat d'allotjament per tipus d'establiment i categoria a Mallorca (2016)……………………………………….....................................................................………...pàg 18</t>
  </si>
  <si>
    <t>Distribució de la capacitat d'allotjament per municipis a Mallorca (2016)……………..…….......………..................................................…………………………………………pàg 19</t>
  </si>
  <si>
    <t>Capacitat d'allotjament per tipus d'establiment i categoria a Mallorca (2015)…………………………………………………....................................................………………...pàg 20</t>
  </si>
  <si>
    <t>Distribució de la capacitat d'allotjament per municipis a Mallorca (2015)……………..………………………....................................................……………………………………pàg 21</t>
  </si>
  <si>
    <t>Capacitat d'allotjament per tipus d'establiment i categoria a Mallorca (2014)……………………………………....................................................……………………………...pàg 22</t>
  </si>
  <si>
    <t>Distribució de la capacitat d'allotjament per municipis a Mallorca (2014)……………..…………………………………....................................................…………………………pàg 23</t>
  </si>
  <si>
    <t>Capacitat d'allotjament per tipus d'establiment i categoria a Mallorca (2013)……………………………………………………....................................................……………...pàg 24</t>
  </si>
  <si>
    <t>Distribució de la capacitat d'allotjament per municipis a Mallorca (2013)……………..…………………………………………....................................................…………………pàg 25</t>
  </si>
  <si>
    <t>Capacitat d'allotjament per tipus d'establiment i categoria a Mallorca (2012)…………………………………………………....................................................………………...pàg 26</t>
  </si>
  <si>
    <t>Distribució de la capacitat d'allotjament per municipis a Mallorca (2012)……………..……..…………………….......................................................……………………………pàg 27</t>
  </si>
  <si>
    <t>Capacitat d'allotjament per tipus d'establiment i categoria a Mallorca (2011)…………………………....................................................………………………………………...pàg 28</t>
  </si>
  <si>
    <t>Distribució de la capacitat d'allotjament per municipis a Mallorca (2011)……………..…………………………………………………....................................................…………pàg 29</t>
  </si>
  <si>
    <t>Capacitat d'allotjament per tipus d'establiment i categoria a Mallorca (2010)………………………………....................................................…………………………………...pàg 30</t>
  </si>
  <si>
    <t>Distribució de la capacitat d'allotjament per municipis a Mallorca (2010)……………..……………………………………………....................................................………………pàg 31</t>
  </si>
  <si>
    <t>Capacitat d'allotjament per tipus d'establiment i categoria a Mallorca (2009)……………………………………………………......................................................…………….pàg 32</t>
  </si>
  <si>
    <t>Distribució de la capacitat d'allotjament per municipis a Mallorca (2009)…..……………………………………………......................................................……………………...pàg 33</t>
  </si>
  <si>
    <t>Capacitat d'allotjament per tipus d'establiment i categoria a Mallorca (2008)…………………………………………......................................................……………………….pàg 34</t>
  </si>
  <si>
    <t>Distribució de la capacitat d'allotjament per municipis a Mallorca (2008)……………..………………………………......................................................………………………...pàg 35</t>
  </si>
  <si>
    <t>Capacitat d'allotjament per tipus d'establiment i categoria a Mallorca (2007)………………....................................................…………………………………………………...pàg 36</t>
  </si>
  <si>
    <t>Distribució de la capacitat d'allotjament per municipis a Mallorca (2007)……………..……………………………....................................................………………………………pàg 37</t>
  </si>
  <si>
    <t>Capacitat d'allotjament per tipus d'establiment i categoria a Mallorca (2006)………………………………………………....................................................…………………...pàg 38</t>
  </si>
  <si>
    <t>Distribució de la capacitat d'allotjament per municipis a Mallorca (2006)……………..…………………………………………....................................................…………………pàg 39</t>
  </si>
  <si>
    <t>Capacitat d'allotjament per tipus d'establiment i categoria a Mallorca (2005)………………………………………………....................................................…………………...pàg 40</t>
  </si>
  <si>
    <t>Distribució de la capacitat d'allotjament per municipis a Mallorca (2005)……………..…………………………………....................................................…………………………pàg 41</t>
  </si>
  <si>
    <t>Capacitat d'allotjament per tipus d'establiment i categoria a Mallorca (2004)………………………....................................................…………………………………………...pàg 42</t>
  </si>
  <si>
    <t>Distribució de la capacitat d'allotjament per municipis a Mallorca (2004)……………..…………………....................................................…………………………………………pàg 43</t>
  </si>
  <si>
    <t>Capacidad de alojamiento por tipo de establecimiento y categoría en Mallorca (2023)………….…………......................................……..…………………………………………pág 4</t>
  </si>
  <si>
    <t>Distribución de la capacidad de alojamiento por municipios en Mallorca (2023)……….…………………………………...….....................................…………………………………pág 5</t>
  </si>
  <si>
    <t>Capacidad de alojamiento por tipo de establecimiento y categoría en Mallorca (2022)………….…………......................................……..…………………………………………pág 6</t>
  </si>
  <si>
    <t>Distribución de la capacidad de alojamiento por municipios en Mallorca (2022)……….…………………………………...….....................................…………………………………pág 7</t>
  </si>
  <si>
    <t>Capacidad de alojamiento por tipo de establecimiento y categoría en Mallorca (2021)………….…………......................................……..…………………………………………pág 8</t>
  </si>
  <si>
    <t>Distribución de la capacidad de alojamiento por municipios en Mallorca (2021)……….…………………………………...….....................................…………………………………pág 9</t>
  </si>
  <si>
    <t>Capacidad de alojamiento por tipo de establecimiento y categoría en Mallorca (2020)………….…………….………………....................................………………………………pág 10</t>
  </si>
  <si>
    <t>Distribución de la capacidad de alojamiento por municipios en Mallorca (2020)……….………………………………..…………….……….………......................................………pág 11</t>
  </si>
  <si>
    <t>Capacidad de alojamiento por tipo de establecimiento y categoría en Mallorca (2019)………….………………..…………………….....................................……………………pág 12</t>
  </si>
  <si>
    <t>Distribución de la capacidad de alojamiento por municipios en Mallorca (2019)……….…………………………………………….....................................……………………………pág 13</t>
  </si>
  <si>
    <t>Capacidad de alojamiento por tipo de establecimiento y categoría en Mallorca (2018)………….……………………………….....................................……………………………pág 14</t>
  </si>
  <si>
    <t>Distribución de la capacidad de alojamiento por municipios en Mallorca (2018)……….………………………………………….....................................………………………………pág 15</t>
  </si>
  <si>
    <t>Capacidad de alojamiento por tipo de establecimiento y categoría en Mallorca (2017)………….……………………………....................................…...…………………………pág 16</t>
  </si>
  <si>
    <t>Distribución de la capacidad de alojamiento por municipios en Mallorca (2017)……….………………………………………….....................................………………………………pág 17</t>
  </si>
  <si>
    <t>Capacidad de alojamiento por tipo de establecimiento y categoría en Mallorca (2016)………….…………………………...……....................................…………………………pág 18</t>
  </si>
  <si>
    <t>Distribución de la capacidad de alojamiento por municipios en Mallorca (2016)……….……………………………………………………..................................………………………pág 19</t>
  </si>
  <si>
    <t>Capacidad de alojamiento por tipo de establecimiento y categoría en Mallorca (2015)………….……………………………………………....................................………………pág 20</t>
  </si>
  <si>
    <t>Distribución de la capacidad de alojamiento por municipios en Mallorca (2015)……….………………………………………………………….......................................……………pág 21</t>
  </si>
  <si>
    <t>Capacidad de alojamiento por tipo de establecimiento y categoría en Mallorca (2014)………….…………………………………………....................................…………………pág 22</t>
  </si>
  <si>
    <t>Distribución de la capacidad de alojamiento por municipios en Mallorca (2014)……….………………………………………………………….......................................……………pág 23</t>
  </si>
  <si>
    <t>Capacidad de alojamiento por tipo de establecimiento y categoría en Mallorca (2013)………….……………………………………....................................………………………pág 24</t>
  </si>
  <si>
    <t>Distribución de la capacidad de alojamiento por municipios en Mallorca (2013)……….…………………………………………………….......................................…………………pág 25</t>
  </si>
  <si>
    <t>Capacidad de alojamiento por tipo de establecimiento y categoría en Mallorca (2012)………….………………………………....................................……………………………pág 26</t>
  </si>
  <si>
    <t>Distribución de la capacidad de alojamiento por municipios en Mallorca (2012)……….…………………………………………….......................................…………………………pág 27</t>
  </si>
  <si>
    <t>Capacidad de alojamiento por tipo de establecimiento y categoría en Mallorca (2011)………….…………………………………………....................................…………………pág 28</t>
  </si>
  <si>
    <t>Distribución de la capacidad de alojamiento por municipios en Mallorca (2011)……….……………………………………………….......................................………………………pág 29</t>
  </si>
  <si>
    <t>Capacidad de alojamiento por tipo de establecimiento y categoría en Mallorca (2010)………………………………….…………………....................................…………………pág 30</t>
  </si>
  <si>
    <t>Distribución de la capacidad de alojamiento por municipios en Mallorca (2010)……………………………….…….....................................……………………………………………pág 31</t>
  </si>
  <si>
    <t>Capacidad de alojamiento por tipo de establecimiento y categoría en Mallorca (2009)…………...……………………....................................………....………………………..pág 32</t>
  </si>
  <si>
    <t>Distribución de la capacidad de alojamiento por municipios en Mallorca (2009)…………...………………..………………………………….....................................……………….pág 33</t>
  </si>
  <si>
    <t>Capacidad de alojamiento por tipo de establecimiento y categoría en Mallorca (2008)……….…………..……………….…………….......................................………………..pág 34</t>
  </si>
  <si>
    <t>Distribución de la capacidad de alojamiento por municipios en Mallorca (2008)…...………………………..……………………….....................................………………………….pág 35</t>
  </si>
  <si>
    <t>Capacidad de alojamiento por tipo de establecimiento y categoría en Mallorca (2007)………………………….…..…….……….......................................……………………..pág 36</t>
  </si>
  <si>
    <t>Distribución de la capacidad de alojamiento por municipios en Mallorca (2007)…………………...………..…………………………….....................................…………………….pág 37</t>
  </si>
  <si>
    <t>Capacidad de alojamiento por tipo de establecimiento y categoría en Mallorca (2006)………………………………….……………….…….....................................…………….pàg 38</t>
  </si>
  <si>
    <t>Distribución de la capacidad de alojamiento por municipios en Mallorca (2006)…………….………………..………………………………....................................………………….pág 39</t>
  </si>
  <si>
    <t>Capacidad de alojamiento por tipo de establecimiento y categoría en Mallorca (2005)…....……………………………………………………………....................................…..pàg 40</t>
  </si>
  <si>
    <t>Distribución de la capacidad de alojamiento por municipios en Mallorca (2005)…………….………………..………………………....................................………………………….pág 41</t>
  </si>
  <si>
    <t>Capacidad de alojamiento por tipo de establecimiento y categoría en Mallorca (2004)……………………….…………….………....................................………………………..pág 42</t>
  </si>
  <si>
    <t>Distribución de la capacidad de alojamiento por municipios en Mallorca (2004)…………………………..…….………………....................................……………………………….pág 43</t>
  </si>
  <si>
    <t>Accommodation capacity by type of establishment and category in Majorca (2023)………….…….............................…………......…..……..……………………………….………pg 4</t>
  </si>
  <si>
    <t>Distribution of accommodation capacity broken down by municipalities in Majorca (2023)……….………….…………..……….............................…………………………………pg 5</t>
  </si>
  <si>
    <t>Accommodation capacity by type of establishment and category in Majorca (2022)………….…….............................…………......…..……..……………………………….………pg 6</t>
  </si>
  <si>
    <t>Distribution of accommodation capacity broken down by municipalities in Majorca (2022)……….………….…………..……….............................…………………………………pg 7</t>
  </si>
  <si>
    <t>Accommodation capacity by type of establishment and category in Majorca (2021)………….…….............................…………......…..……..……………………………….………pg 8</t>
  </si>
  <si>
    <t>Distribution of accommodation capacity broken down by municipalities in Majorca (2021)……….………….…………..……….............................…………………………………pg 9</t>
  </si>
  <si>
    <t>Accommodation capacity by type of establishment and category in Majorca (2020)………….……………...…………………………..............................…………………….………pg 10</t>
  </si>
  <si>
    <t>Distribution of accommodation capacity broken down by municipalities in Majorca (2020)……….………….……………….................................…………………………………pg 11</t>
  </si>
  <si>
    <t>Accommodation capacity by type of establishment and category in Majorca (2019)………….……………...……………………..............................………………………….………pg 12</t>
  </si>
  <si>
    <t>Distribution of accommodation capacity broken down by municipalities in Majorca (2019)……….………….………………….………................................………………………pg 13</t>
  </si>
  <si>
    <t>Accommodation capacity by type of establishment and category in Majorca (2018)………….……………...…………………………..............................…………………….………pg 14</t>
  </si>
  <si>
    <t>Distribution of accommodation capacity broken down by municipalities in Majorca (2018)…….….…………………………………….................................………………………pg 15</t>
  </si>
  <si>
    <t>Accommodation capacity by type of establishment and category in Majorca (2017)………….……………...…………...……………….................................………………………pg 16</t>
  </si>
  <si>
    <t>Distribution of accommodation capacity broken down by municipalities in Majorca (2017)…….….…………………………….................................………………………………pg 17</t>
  </si>
  <si>
    <t>Accommodation capacity by type of establishment and category in Majorca (2016)………….……….…....……………….………….................................…………………………pg 18</t>
  </si>
  <si>
    <t>Distribution of accommodation capacity broken down by municipalities in Majorca (2016)……….….…….….…..….………………..............................…………………………pg 19</t>
  </si>
  <si>
    <t>Accommodation capacity by type of establishment and category in Majorca (2015)………….……………...…………..…….………………..............................……………………pg 20</t>
  </si>
  <si>
    <t>Distribution of accommodation capacity broken down by municipalities in Majorca (2015)……….……………..………...………..............................…………………………….pg 21</t>
  </si>
  <si>
    <t>Accommodation capacity by type of establishment and category in Majorca (2014)………….…………...……………………...………..............................…………………………pg 22</t>
  </si>
  <si>
    <t>Distribution of accommodation capacity broken down by municipalities in Majorca (2014)……….………………………..………................................……………………………pg 23</t>
  </si>
  <si>
    <t>Accommodation capacity by type of establishment and category in Majorca (2013)………….……………...…………….………...................................……………………………pg 24</t>
  </si>
  <si>
    <t>Distribution of accommodation capacity broken down by municipalities in Majorca (2013)……….………………….………....................................…..…………………………pg 25</t>
  </si>
  <si>
    <t>Accommodation capacity by type of establishment and category in Majorca (2012)………….……………...………….…………...................................……………………………pg 26</t>
  </si>
  <si>
    <t>Distribution of accommodation capacity broken down by municipalities in Majorca (2012)……….……..……………….………...............................………………………………pg 27</t>
  </si>
  <si>
    <t>Accommodation capacity by type of establishment and category in Majorca (2011)…………………….…………………..….…………...............................…………………………pg 28</t>
  </si>
  <si>
    <t>Distribution of accommodation capacity broken down by municipalities in Majorca (2011)……….……………………...…………...............................……………………………pg 29</t>
  </si>
  <si>
    <t>Accommodation capacity by type of establishment and category in Majorca (2010)…………………………...…….……….…..………...............................………………………..pg 30</t>
  </si>
  <si>
    <t>Distribution of accommodation capacity broken down by municipalities in Majorca (2010)………………...….…...………………................................………………………….pg 31</t>
  </si>
  <si>
    <t>Accommodation capacity by type of establishment and category in Majorca (2009)……...….………………………………..………................................…………………………..pg 32</t>
  </si>
  <si>
    <t>Distribution of accommodation capacity broken down by municipalities in Majorca (2009)………………..…..……….…..……...............................……………………………..pg 33</t>
  </si>
  <si>
    <t>Accommodation capacity by type of establishment and category in Majorca (2008)…………………………...………….….……..……………...............................………………..pg 34</t>
  </si>
  <si>
    <t>Distribution of accommodation capacity broken down by municipalities in Majorca (2008)…………….………..……..…….................................………………………………..pg 35</t>
  </si>
  <si>
    <t>Accommodation capacity by type of establishment and category in Majorca (2007)………….………….………………..….…….................................……………………………..pg 36</t>
  </si>
  <si>
    <t>Distribution of accommodation capacity broken down by municipalities in Majorca (2007)……….…..….…………………….………......................................………………..pg 37</t>
  </si>
  <si>
    <t>Accommodation capacity by type of establishment and category in Majorca (2006)……………….……..…………….…………..................................……………………………..pg 38</t>
  </si>
  <si>
    <t>Distribution of accommodation capacity broken down by municipalities in Majorca (2006)……….…………..…...…….....................................………………………………..pg 39</t>
  </si>
  <si>
    <t>Accommodation capacity by type of establishment and category in Majorca (2005)………………….…..………..................................……….…...……………………..………..pg 40</t>
  </si>
  <si>
    <t>Distribution of accommodation capacity broken down by municipalities in Majorca (2005)…………………...……………..................................….……………………………..pg 41</t>
  </si>
  <si>
    <t>Accommodation capacity by type of establishment and category in Majorca (2004)……………….……………….…….……................................….…..…………………………..pg 42</t>
  </si>
  <si>
    <t>Distribution of accommodation capacity broken down by municipalities in Majorca (2004)………...………………...............................……………….…………………………..pg 43</t>
  </si>
  <si>
    <t xml:space="preserve">La informació publicada de 2023 té caràcter provisional durant un any. </t>
  </si>
  <si>
    <t xml:space="preserve">La información publicada de 2023 tiene carácter provisional durante un año. </t>
  </si>
  <si>
    <t>The published information for 2023 will be of a provisional nature for one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</si>
</sst>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0.0%"/>
    <numFmt numFmtId="166" formatCode="_-* #,##0\ _P_t_s_-;\-* #,##0\ _P_t_s_-;_-* &quot;-&quot;\ _P_t_s_-;_-@_-"/>
  </numFmts>
  <fonts count="47">
    <font>
      <sz val="11"/>
      <color theme="1"/>
      <name val="Calibri"/>
      <family val="2"/>
      <scheme val="minor"/>
    </font>
    <font>
      <b/>
      <sz val="13"/>
      <name val="LegacySanITCBoo"/>
      <family val="2"/>
    </font>
    <font>
      <sz val="10"/>
      <name val="Arial"/>
      <family val="2"/>
    </font>
    <font>
      <b/>
      <i/>
      <sz val="13"/>
      <name val="LegacySanITCBoo"/>
      <family val="2"/>
    </font>
    <font>
      <b/>
      <i/>
      <sz val="11"/>
      <color indexed="9"/>
      <name val="LegacySanITCBoo"/>
      <family val="2"/>
    </font>
    <font>
      <b/>
      <sz val="11"/>
      <name val="LegacySanITCBoo"/>
      <family val="2"/>
    </font>
    <font>
      <sz val="11"/>
      <name val="LegacySanITCBoo"/>
      <family val="2"/>
    </font>
    <font>
      <sz val="11"/>
      <color indexed="8"/>
      <name val="LegacySanITCBoo"/>
      <family val="2"/>
    </font>
    <font>
      <b/>
      <sz val="10"/>
      <name val="LegacySanITCBoo"/>
      <family val="2"/>
    </font>
    <font>
      <sz val="10"/>
      <name val="LegacySanITCBoo"/>
      <family val="2"/>
    </font>
    <font>
      <b/>
      <i/>
      <sz val="10"/>
      <name val="LegacySanITCBoo"/>
      <family val="2"/>
    </font>
    <font>
      <i/>
      <sz val="10"/>
      <name val="LegacySanITCBoo"/>
      <family val="2"/>
    </font>
    <font>
      <b/>
      <i/>
      <sz val="11"/>
      <name val="LegacySanITCBoo"/>
      <family val="2"/>
    </font>
    <font>
      <b/>
      <sz val="10"/>
      <name val="Arial"/>
      <family val="2"/>
    </font>
    <font>
      <i/>
      <sz val="10"/>
      <name val="Arial"/>
      <family val="2"/>
    </font>
    <font>
      <b/>
      <sz val="11"/>
      <color indexed="8"/>
      <name val="LegacySanITCBoo"/>
      <family val="2"/>
    </font>
    <font>
      <sz val="8"/>
      <name val="LegacySanITCBoo"/>
      <family val="2"/>
    </font>
    <font>
      <i/>
      <sz val="8"/>
      <name val="LegacySanITCBoo"/>
      <family val="2"/>
    </font>
    <font>
      <b/>
      <i/>
      <sz val="10"/>
      <name val="Arial"/>
      <family val="2"/>
    </font>
    <font>
      <i/>
      <sz val="11"/>
      <color indexed="56"/>
      <name val="Calibri"/>
      <family val="2"/>
    </font>
    <font>
      <sz val="11"/>
      <color indexed="56"/>
      <name val="Calibri"/>
      <family val="2"/>
    </font>
    <font>
      <b/>
      <sz val="11"/>
      <color indexed="56"/>
      <name val="Calibri"/>
      <family val="2"/>
    </font>
    <font>
      <b/>
      <i/>
      <sz val="11"/>
      <color indexed="56"/>
      <name val="Calibri"/>
      <family val="2"/>
    </font>
    <font>
      <sz val="11"/>
      <color theme="1"/>
      <name val="Calibri"/>
      <family val="2"/>
      <scheme val="minor"/>
    </font>
    <font>
      <u/>
      <sz val="11"/>
      <color theme="10"/>
      <name val="Calibri"/>
      <family val="2"/>
    </font>
    <font>
      <b/>
      <sz val="11"/>
      <color theme="0"/>
      <name val="LegacySanITCBoo"/>
      <family val="2"/>
    </font>
    <font>
      <b/>
      <i/>
      <sz val="11"/>
      <color rgb="FFFF0000"/>
      <name val="LegacySanITCBoo"/>
      <family val="2"/>
    </font>
    <font>
      <sz val="11"/>
      <color theme="3"/>
      <name val="LegacySanITCBoo"/>
      <family val="2"/>
    </font>
    <font>
      <i/>
      <sz val="11"/>
      <color theme="1"/>
      <name val="Calibri"/>
      <family val="2"/>
      <scheme val="minor"/>
    </font>
    <font>
      <b/>
      <i/>
      <sz val="11"/>
      <color theme="4" tint="-0.249977111117893"/>
      <name val="LegacySanITCBoo"/>
      <family val="2"/>
    </font>
    <font>
      <i/>
      <sz val="11"/>
      <color theme="10"/>
      <name val="Calibri"/>
      <family val="2"/>
    </font>
    <font>
      <i/>
      <sz val="11"/>
      <color theme="4" tint="-0.249977111117893"/>
      <name val="LegacySanITCBoo"/>
      <family val="2"/>
    </font>
    <font>
      <b/>
      <i/>
      <sz val="11"/>
      <color rgb="FF1F497D"/>
      <name val="LegacySanITCBoo"/>
      <family val="2"/>
    </font>
    <font>
      <i/>
      <sz val="11"/>
      <color rgb="FF1F497D"/>
      <name val="Calibri"/>
      <family val="2"/>
      <scheme val="minor"/>
    </font>
    <font>
      <i/>
      <sz val="11"/>
      <color rgb="FF1F497D"/>
      <name val="LegacySanITCBoo"/>
      <family val="2"/>
    </font>
    <font>
      <sz val="11"/>
      <color rgb="FFFF0000"/>
      <name val="LegacySanITCBoo"/>
      <family val="2"/>
    </font>
    <font>
      <b/>
      <sz val="11"/>
      <color rgb="FF1F497D"/>
      <name val="LegacySanITCBoo"/>
      <family val="2"/>
    </font>
    <font>
      <sz val="11"/>
      <color rgb="FF1F497D"/>
      <name val="Calibri"/>
      <family val="2"/>
      <scheme val="minor"/>
    </font>
    <font>
      <b/>
      <sz val="11"/>
      <color rgb="FF1F497D"/>
      <name val="Calibri"/>
      <family val="2"/>
      <scheme val="minor"/>
    </font>
    <font>
      <sz val="11"/>
      <color rgb="FF1F497D"/>
      <name val="LegacySanITCBoo"/>
      <family val="2"/>
    </font>
    <font>
      <b/>
      <sz val="11"/>
      <color theme="4" tint="-0.249977111117893"/>
      <name val="LegacySanITCBoo"/>
      <family val="2"/>
    </font>
    <font>
      <b/>
      <i/>
      <sz val="11"/>
      <color rgb="FF1F497D"/>
      <name val="Calibri"/>
      <family val="2"/>
      <scheme val="minor"/>
    </font>
    <font>
      <i/>
      <u/>
      <sz val="11"/>
      <color theme="10"/>
      <name val="Calibri"/>
      <family val="2"/>
    </font>
    <font>
      <b/>
      <sz val="11"/>
      <color theme="3"/>
      <name val="LegacySanITCBoo"/>
      <family val="2"/>
    </font>
    <font>
      <b/>
      <sz val="10"/>
      <color theme="0"/>
      <name val="LegacySanITCBoo"/>
      <family val="2"/>
    </font>
    <font>
      <b/>
      <i/>
      <sz val="10"/>
      <color theme="0"/>
      <name val="LegacySanITCBoo"/>
      <family val="2"/>
    </font>
    <font>
      <sz val="10"/>
      <color theme="1"/>
      <name val="Calibri"/>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4" tint="0.59999389629810485"/>
        <bgColor indexed="64"/>
      </patternFill>
    </fill>
    <fill>
      <patternFill patternType="solid">
        <fgColor theme="0"/>
        <bgColor indexed="64"/>
      </patternFill>
    </fill>
  </fills>
  <borders count="1">
    <border>
      <left/>
      <right/>
      <top/>
      <bottom/>
      <diagonal/>
    </border>
  </borders>
  <cellStyleXfs count="7">
    <xf numFmtId="0" fontId="0" fillId="0" borderId="0"/>
    <xf numFmtId="0" fontId="24" fillId="0" borderId="0" applyNumberFormat="0" applyFill="0" applyBorder="0" applyAlignment="0" applyProtection="0">
      <alignment vertical="top"/>
      <protection locked="0"/>
    </xf>
    <xf numFmtId="164" fontId="23"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9" fontId="23" fillId="0" borderId="0" applyFont="0" applyFill="0" applyBorder="0" applyAlignment="0" applyProtection="0"/>
  </cellStyleXfs>
  <cellXfs count="145">
    <xf numFmtId="0" fontId="0" fillId="0" borderId="0" xfId="0"/>
    <xf numFmtId="0" fontId="1" fillId="0" borderId="0" xfId="0" applyFont="1"/>
    <xf numFmtId="0" fontId="2" fillId="0" borderId="0" xfId="0" applyFont="1"/>
    <xf numFmtId="0" fontId="3" fillId="0" borderId="0" xfId="0" applyFont="1"/>
    <xf numFmtId="0" fontId="25" fillId="2" borderId="0" xfId="0" applyFont="1" applyFill="1" applyAlignment="1">
      <alignment horizontal="center" vertical="center"/>
    </xf>
    <xf numFmtId="0" fontId="5" fillId="0" borderId="0" xfId="0" applyFont="1" applyAlignment="1">
      <alignment horizontal="left"/>
    </xf>
    <xf numFmtId="3" fontId="6" fillId="0" borderId="0" xfId="0" applyNumberFormat="1" applyFont="1" applyAlignment="1">
      <alignment horizontal="center"/>
    </xf>
    <xf numFmtId="3" fontId="7" fillId="0" borderId="0" xfId="0" applyNumberFormat="1" applyFont="1" applyAlignment="1">
      <alignment horizontal="center"/>
    </xf>
    <xf numFmtId="3" fontId="5" fillId="0" borderId="0" xfId="0" applyNumberFormat="1" applyFont="1" applyAlignment="1">
      <alignment horizontal="center"/>
    </xf>
    <xf numFmtId="3" fontId="2" fillId="0" borderId="0" xfId="0" applyNumberFormat="1" applyFont="1"/>
    <xf numFmtId="3" fontId="5" fillId="0" borderId="0" xfId="0" applyNumberFormat="1" applyFont="1" applyAlignment="1">
      <alignment horizontal="left"/>
    </xf>
    <xf numFmtId="0" fontId="25" fillId="2" borderId="0" xfId="0" applyFont="1" applyFill="1" applyAlignment="1">
      <alignment horizontal="left" vertical="center"/>
    </xf>
    <xf numFmtId="3" fontId="25" fillId="2" borderId="0" xfId="0" applyNumberFormat="1" applyFont="1" applyFill="1" applyAlignment="1">
      <alignment horizontal="center" vertical="center"/>
    </xf>
    <xf numFmtId="0" fontId="1" fillId="0" borderId="0" xfId="0" applyFont="1" applyAlignment="1">
      <alignment horizontal="left"/>
    </xf>
    <xf numFmtId="0" fontId="8" fillId="0" borderId="0" xfId="0" applyFont="1"/>
    <xf numFmtId="0" fontId="9" fillId="0" borderId="0" xfId="0" applyFont="1"/>
    <xf numFmtId="0" fontId="3" fillId="0" borderId="0" xfId="0" applyFont="1" applyAlignment="1">
      <alignment horizontal="left"/>
    </xf>
    <xf numFmtId="0" fontId="10" fillId="0" borderId="0" xfId="0" applyFont="1"/>
    <xf numFmtId="0" fontId="11" fillId="0" borderId="0" xfId="0" applyFont="1"/>
    <xf numFmtId="0" fontId="5" fillId="0" borderId="0" xfId="0" applyFont="1" applyAlignment="1">
      <alignment horizontal="center"/>
    </xf>
    <xf numFmtId="165" fontId="6" fillId="0" borderId="0" xfId="0" applyNumberFormat="1" applyFont="1" applyAlignment="1">
      <alignment horizontal="center"/>
    </xf>
    <xf numFmtId="3" fontId="5" fillId="3" borderId="0" xfId="0" applyNumberFormat="1" applyFont="1" applyFill="1" applyAlignment="1">
      <alignment horizontal="center"/>
    </xf>
    <xf numFmtId="9" fontId="5" fillId="3" borderId="0" xfId="0" applyNumberFormat="1" applyFont="1" applyFill="1" applyAlignment="1">
      <alignment horizontal="center"/>
    </xf>
    <xf numFmtId="3" fontId="6" fillId="0" borderId="0" xfId="3" applyNumberFormat="1" applyFont="1" applyFill="1" applyBorder="1" applyAlignment="1">
      <alignment horizontal="center"/>
    </xf>
    <xf numFmtId="165" fontId="5" fillId="3" borderId="0" xfId="0" applyNumberFormat="1" applyFont="1" applyFill="1" applyAlignment="1">
      <alignment horizontal="center"/>
    </xf>
    <xf numFmtId="9" fontId="6" fillId="0" borderId="0" xfId="0" applyNumberFormat="1" applyFont="1" applyAlignment="1">
      <alignment horizontal="center"/>
    </xf>
    <xf numFmtId="0" fontId="6" fillId="0" borderId="0" xfId="0" applyFont="1" applyAlignment="1">
      <alignment horizontal="center"/>
    </xf>
    <xf numFmtId="0" fontId="2" fillId="0" borderId="0" xfId="4"/>
    <xf numFmtId="0" fontId="14" fillId="0" borderId="0" xfId="0" applyFont="1"/>
    <xf numFmtId="0" fontId="13" fillId="0" borderId="0" xfId="0" applyFont="1"/>
    <xf numFmtId="0" fontId="0" fillId="0" borderId="0" xfId="0" applyAlignment="1">
      <alignment horizontal="left"/>
    </xf>
    <xf numFmtId="0" fontId="25" fillId="2" borderId="0" xfId="0" applyFont="1" applyFill="1" applyAlignment="1">
      <alignment horizontal="left" vertical="top" wrapText="1"/>
    </xf>
    <xf numFmtId="0" fontId="5" fillId="4" borderId="0" xfId="0" applyFont="1" applyFill="1" applyAlignment="1">
      <alignment horizontal="left"/>
    </xf>
    <xf numFmtId="3" fontId="6" fillId="4" borderId="0" xfId="2" applyNumberFormat="1" applyFont="1" applyFill="1" applyBorder="1" applyAlignment="1">
      <alignment horizontal="center"/>
    </xf>
    <xf numFmtId="3" fontId="7" fillId="4" borderId="0" xfId="2" applyNumberFormat="1" applyFont="1" applyFill="1" applyBorder="1" applyAlignment="1">
      <alignment horizontal="center"/>
    </xf>
    <xf numFmtId="3" fontId="5" fillId="4" borderId="0" xfId="2" applyNumberFormat="1" applyFont="1" applyFill="1" applyBorder="1" applyAlignment="1">
      <alignment horizontal="center"/>
    </xf>
    <xf numFmtId="3" fontId="5" fillId="4" borderId="0" xfId="2" applyNumberFormat="1" applyFont="1" applyFill="1" applyBorder="1" applyAlignment="1">
      <alignment horizontal="left"/>
    </xf>
    <xf numFmtId="3" fontId="15" fillId="4" borderId="0" xfId="2" applyNumberFormat="1" applyFont="1" applyFill="1" applyBorder="1" applyAlignment="1">
      <alignment horizontal="center"/>
    </xf>
    <xf numFmtId="0" fontId="0" fillId="4" borderId="0" xfId="0" applyFill="1"/>
    <xf numFmtId="3" fontId="5" fillId="4" borderId="0" xfId="0" applyNumberFormat="1" applyFont="1" applyFill="1" applyAlignment="1">
      <alignment horizontal="left"/>
    </xf>
    <xf numFmtId="9" fontId="6" fillId="0" borderId="0" xfId="6" applyFont="1" applyFill="1" applyBorder="1" applyAlignment="1">
      <alignment horizontal="center"/>
    </xf>
    <xf numFmtId="0" fontId="5" fillId="3" borderId="0" xfId="0" applyFont="1" applyFill="1" applyAlignment="1">
      <alignment horizontal="center"/>
    </xf>
    <xf numFmtId="9" fontId="5" fillId="3" borderId="0" xfId="6" applyFont="1" applyFill="1" applyBorder="1" applyAlignment="1">
      <alignment horizontal="center"/>
    </xf>
    <xf numFmtId="9" fontId="5" fillId="0" borderId="0" xfId="0" applyNumberFormat="1" applyFont="1" applyAlignment="1">
      <alignment horizontal="center"/>
    </xf>
    <xf numFmtId="9" fontId="5" fillId="0" borderId="0" xfId="6" applyFont="1" applyFill="1" applyBorder="1" applyAlignment="1">
      <alignment horizontal="center"/>
    </xf>
    <xf numFmtId="3" fontId="0" fillId="0" borderId="0" xfId="0" applyNumberFormat="1"/>
    <xf numFmtId="0" fontId="0" fillId="0" borderId="0" xfId="0" quotePrefix="1"/>
    <xf numFmtId="0" fontId="6" fillId="0" borderId="0" xfId="0" applyFont="1"/>
    <xf numFmtId="0" fontId="16" fillId="0" borderId="0" xfId="0" applyFont="1" applyAlignment="1">
      <alignment horizontal="left"/>
    </xf>
    <xf numFmtId="3" fontId="13" fillId="0" borderId="0" xfId="0" applyNumberFormat="1" applyFont="1"/>
    <xf numFmtId="0" fontId="17" fillId="0" borderId="0" xfId="0" applyFont="1" applyAlignment="1">
      <alignment horizontal="left"/>
    </xf>
    <xf numFmtId="0" fontId="13" fillId="0" borderId="0" xfId="4" applyFont="1"/>
    <xf numFmtId="3" fontId="2" fillId="0" borderId="0" xfId="4" applyNumberFormat="1"/>
    <xf numFmtId="0" fontId="2" fillId="0" borderId="0" xfId="4" quotePrefix="1"/>
    <xf numFmtId="3" fontId="13" fillId="0" borderId="0" xfId="4" applyNumberFormat="1" applyFont="1"/>
    <xf numFmtId="0" fontId="14" fillId="0" borderId="0" xfId="4" applyFont="1"/>
    <xf numFmtId="3" fontId="18" fillId="0" borderId="0" xfId="4" applyNumberFormat="1" applyFont="1"/>
    <xf numFmtId="0" fontId="18" fillId="0" borderId="0" xfId="4" applyFont="1"/>
    <xf numFmtId="0" fontId="1" fillId="0" borderId="0" xfId="4" applyFont="1" applyAlignment="1">
      <alignment horizontal="left"/>
    </xf>
    <xf numFmtId="0" fontId="8" fillId="0" borderId="0" xfId="4" applyFont="1"/>
    <xf numFmtId="0" fontId="9" fillId="0" borderId="0" xfId="4" applyFont="1"/>
    <xf numFmtId="0" fontId="3" fillId="0" borderId="0" xfId="4" applyFont="1" applyAlignment="1">
      <alignment horizontal="left"/>
    </xf>
    <xf numFmtId="0" fontId="10" fillId="0" borderId="0" xfId="4" applyFont="1"/>
    <xf numFmtId="0" fontId="11" fillId="0" borderId="0" xfId="4" applyFont="1"/>
    <xf numFmtId="0" fontId="26" fillId="0" borderId="0" xfId="4" applyFont="1"/>
    <xf numFmtId="0" fontId="5" fillId="0" borderId="0" xfId="4" applyFont="1" applyAlignment="1">
      <alignment horizontal="center"/>
    </xf>
    <xf numFmtId="3" fontId="6" fillId="0" borderId="0" xfId="4" applyNumberFormat="1" applyFont="1" applyAlignment="1">
      <alignment horizontal="center"/>
    </xf>
    <xf numFmtId="165" fontId="6" fillId="0" borderId="0" xfId="4" applyNumberFormat="1" applyFont="1" applyAlignment="1">
      <alignment horizontal="center"/>
    </xf>
    <xf numFmtId="0" fontId="6" fillId="0" borderId="0" xfId="4" applyFont="1"/>
    <xf numFmtId="3" fontId="5" fillId="3" borderId="0" xfId="4" applyNumberFormat="1" applyFont="1" applyFill="1" applyAlignment="1">
      <alignment horizontal="center"/>
    </xf>
    <xf numFmtId="9" fontId="5" fillId="3" borderId="0" xfId="4" applyNumberFormat="1" applyFont="1" applyFill="1" applyAlignment="1">
      <alignment horizontal="center"/>
    </xf>
    <xf numFmtId="3" fontId="27" fillId="0" borderId="0" xfId="4" applyNumberFormat="1" applyFont="1" applyAlignment="1">
      <alignment horizontal="center"/>
    </xf>
    <xf numFmtId="165" fontId="27" fillId="0" borderId="0" xfId="4" applyNumberFormat="1" applyFont="1" applyAlignment="1">
      <alignment horizontal="center"/>
    </xf>
    <xf numFmtId="3" fontId="5" fillId="0" borderId="0" xfId="4" applyNumberFormat="1" applyFont="1" applyAlignment="1">
      <alignment horizontal="center"/>
    </xf>
    <xf numFmtId="9" fontId="5" fillId="0" borderId="0" xfId="4" applyNumberFormat="1" applyFont="1" applyAlignment="1">
      <alignment horizontal="center"/>
    </xf>
    <xf numFmtId="0" fontId="28" fillId="0" borderId="0" xfId="0" applyFont="1"/>
    <xf numFmtId="0" fontId="28" fillId="3" borderId="0" xfId="0" applyFont="1" applyFill="1"/>
    <xf numFmtId="0" fontId="30" fillId="0" borderId="0" xfId="1" applyFont="1" applyAlignment="1" applyProtection="1"/>
    <xf numFmtId="9" fontId="6" fillId="0" borderId="0" xfId="4" applyNumberFormat="1" applyFont="1" applyAlignment="1">
      <alignment horizontal="center"/>
    </xf>
    <xf numFmtId="165" fontId="9" fillId="0" borderId="0" xfId="4" applyNumberFormat="1" applyFont="1"/>
    <xf numFmtId="0" fontId="29" fillId="0" borderId="0" xfId="0" applyFont="1"/>
    <xf numFmtId="0" fontId="31" fillId="0" borderId="0" xfId="0" applyFont="1"/>
    <xf numFmtId="165" fontId="6" fillId="0" borderId="0" xfId="6" applyNumberFormat="1" applyFont="1" applyFill="1" applyBorder="1" applyAlignment="1">
      <alignment horizontal="center"/>
    </xf>
    <xf numFmtId="3" fontId="25" fillId="2" borderId="0" xfId="2" applyNumberFormat="1" applyFont="1" applyFill="1" applyBorder="1" applyAlignment="1">
      <alignment horizontal="center" vertical="center"/>
    </xf>
    <xf numFmtId="0" fontId="0" fillId="0" borderId="0" xfId="0" applyAlignment="1">
      <alignment horizontal="center"/>
    </xf>
    <xf numFmtId="3" fontId="9" fillId="0" borderId="0" xfId="4" applyNumberFormat="1" applyFont="1"/>
    <xf numFmtId="0" fontId="32" fillId="0" borderId="0" xfId="0" applyFont="1"/>
    <xf numFmtId="0" fontId="33" fillId="0" borderId="0" xfId="0" applyFont="1"/>
    <xf numFmtId="0" fontId="34" fillId="0" borderId="0" xfId="0" applyFont="1"/>
    <xf numFmtId="3" fontId="35" fillId="0" borderId="0" xfId="0" applyNumberFormat="1" applyFont="1" applyAlignment="1">
      <alignment horizontal="center"/>
    </xf>
    <xf numFmtId="0" fontId="36" fillId="0" borderId="0" xfId="0" applyFont="1"/>
    <xf numFmtId="0" fontId="37" fillId="0" borderId="0" xfId="0" applyFont="1"/>
    <xf numFmtId="0" fontId="38" fillId="0" borderId="0" xfId="0" applyFont="1"/>
    <xf numFmtId="0" fontId="39" fillId="0" borderId="0" xfId="0" applyFont="1"/>
    <xf numFmtId="0" fontId="0" fillId="3" borderId="0" xfId="0" applyFill="1"/>
    <xf numFmtId="0" fontId="24" fillId="0" borderId="0" xfId="1" applyBorder="1" applyAlignment="1" applyProtection="1"/>
    <xf numFmtId="0" fontId="37" fillId="0" borderId="0" xfId="0" quotePrefix="1" applyFont="1"/>
    <xf numFmtId="0" fontId="41" fillId="0" borderId="0" xfId="0" quotePrefix="1" applyFont="1"/>
    <xf numFmtId="0" fontId="33" fillId="0" borderId="0" xfId="0" quotePrefix="1" applyFont="1"/>
    <xf numFmtId="0" fontId="41" fillId="0" borderId="0" xfId="0" applyFont="1"/>
    <xf numFmtId="0" fontId="37" fillId="0" borderId="0" xfId="0" quotePrefix="1" applyFont="1" applyAlignment="1">
      <alignment vertical="justify" wrapText="1"/>
    </xf>
    <xf numFmtId="0" fontId="37" fillId="0" borderId="0" xfId="0" applyFont="1" applyAlignment="1">
      <alignment vertical="justify" wrapText="1"/>
    </xf>
    <xf numFmtId="0" fontId="36" fillId="0" borderId="0" xfId="0" applyFont="1" applyAlignment="1">
      <alignment wrapText="1"/>
    </xf>
    <xf numFmtId="3" fontId="44" fillId="2" borderId="0" xfId="4" applyNumberFormat="1" applyFont="1" applyFill="1" applyAlignment="1">
      <alignment horizontal="center"/>
    </xf>
    <xf numFmtId="0" fontId="9" fillId="0" borderId="0" xfId="4" applyFont="1" applyAlignment="1">
      <alignment horizontal="center"/>
    </xf>
    <xf numFmtId="3" fontId="45" fillId="2" borderId="0" xfId="4" applyNumberFormat="1" applyFont="1" applyFill="1" applyAlignment="1">
      <alignment horizontal="center"/>
    </xf>
    <xf numFmtId="0" fontId="11" fillId="0" borderId="0" xfId="4" applyFont="1" applyAlignment="1">
      <alignment horizontal="center"/>
    </xf>
    <xf numFmtId="3" fontId="44" fillId="2" borderId="0" xfId="0" applyNumberFormat="1" applyFont="1" applyFill="1" applyAlignment="1">
      <alignment horizontal="center"/>
    </xf>
    <xf numFmtId="3" fontId="45" fillId="2" borderId="0" xfId="0" applyNumberFormat="1" applyFont="1" applyFill="1" applyAlignment="1">
      <alignment horizontal="center"/>
    </xf>
    <xf numFmtId="0" fontId="46" fillId="0" borderId="0" xfId="0" applyFont="1"/>
    <xf numFmtId="0" fontId="24" fillId="0" borderId="0" xfId="1" applyAlignment="1" applyProtection="1"/>
    <xf numFmtId="0" fontId="42" fillId="0" borderId="0" xfId="1" applyFont="1" applyAlignment="1" applyProtection="1"/>
    <xf numFmtId="0" fontId="37" fillId="0" borderId="0" xfId="0" quotePrefix="1" applyFont="1" applyAlignment="1">
      <alignment horizontal="justify" vertical="justify" wrapText="1"/>
    </xf>
    <xf numFmtId="0" fontId="37" fillId="0" borderId="0" xfId="0" quotePrefix="1" applyFont="1" applyAlignment="1">
      <alignment horizontal="left"/>
    </xf>
    <xf numFmtId="0" fontId="38" fillId="0" borderId="0" xfId="0" applyFont="1" applyAlignment="1">
      <alignment horizontal="left"/>
    </xf>
    <xf numFmtId="0" fontId="37" fillId="0" borderId="0" xfId="0" applyFont="1" applyAlignment="1">
      <alignment horizontal="left"/>
    </xf>
    <xf numFmtId="0" fontId="37" fillId="0" borderId="0" xfId="0" quotePrefix="1" applyFont="1" applyAlignment="1">
      <alignment horizontal="justify"/>
    </xf>
    <xf numFmtId="0" fontId="37" fillId="0" borderId="0" xfId="0" quotePrefix="1" applyFont="1" applyAlignment="1">
      <alignment horizontal="justify" vertical="justify"/>
    </xf>
    <xf numFmtId="0" fontId="24" fillId="0" borderId="0" xfId="1" applyBorder="1" applyAlignment="1" applyProtection="1">
      <alignment horizontal="left"/>
    </xf>
    <xf numFmtId="0" fontId="30" fillId="0" borderId="0" xfId="1" applyFont="1" applyBorder="1" applyAlignment="1" applyProtection="1">
      <alignment horizontal="left"/>
    </xf>
    <xf numFmtId="0" fontId="40" fillId="0" borderId="0" xfId="0" applyFont="1" applyAlignment="1">
      <alignment horizontal="center"/>
    </xf>
    <xf numFmtId="0" fontId="33" fillId="0" borderId="0" xfId="0" quotePrefix="1" applyFont="1" applyAlignment="1">
      <alignment horizontal="justify" vertical="justify" wrapText="1"/>
    </xf>
    <xf numFmtId="0" fontId="33" fillId="0" borderId="0" xfId="0" quotePrefix="1" applyFont="1" applyAlignment="1">
      <alignment horizontal="justify" wrapText="1"/>
    </xf>
    <xf numFmtId="0" fontId="33" fillId="0" borderId="0" xfId="0" quotePrefix="1" applyFont="1" applyAlignment="1">
      <alignment horizontal="justify" vertical="justify"/>
    </xf>
    <xf numFmtId="0" fontId="29" fillId="0" borderId="0" xfId="0" applyFont="1" applyAlignment="1">
      <alignment horizontal="center"/>
    </xf>
    <xf numFmtId="0" fontId="42" fillId="0" borderId="0" xfId="1" applyFont="1" applyBorder="1" applyAlignment="1" applyProtection="1">
      <alignment horizontal="left"/>
    </xf>
    <xf numFmtId="0" fontId="33" fillId="0" borderId="0" xfId="0" applyFont="1" applyAlignment="1">
      <alignment horizontal="justify" vertical="justify" wrapText="1"/>
    </xf>
    <xf numFmtId="0" fontId="33" fillId="0" borderId="0" xfId="0" quotePrefix="1" applyFont="1" applyAlignment="1">
      <alignment horizontal="left" wrapText="1"/>
    </xf>
    <xf numFmtId="0" fontId="30" fillId="0" borderId="0" xfId="1" applyFont="1" applyFill="1" applyAlignment="1" applyProtection="1">
      <alignment horizontal="left"/>
    </xf>
    <xf numFmtId="0" fontId="33" fillId="0" borderId="0" xfId="0" quotePrefix="1" applyFont="1" applyAlignment="1">
      <alignment horizontal="left" vertical="justify" wrapText="1"/>
    </xf>
    <xf numFmtId="0" fontId="44" fillId="2" borderId="0" xfId="4" applyFont="1" applyFill="1" applyAlignment="1">
      <alignment horizontal="center"/>
    </xf>
    <xf numFmtId="3" fontId="45" fillId="2" borderId="0" xfId="4" applyNumberFormat="1" applyFont="1" applyFill="1" applyAlignment="1">
      <alignment horizontal="center"/>
    </xf>
    <xf numFmtId="0" fontId="5" fillId="0" borderId="0" xfId="4" applyFont="1" applyAlignment="1">
      <alignment horizontal="center"/>
    </xf>
    <xf numFmtId="0" fontId="12" fillId="3" borderId="0" xfId="4" applyFont="1" applyFill="1" applyAlignment="1">
      <alignment horizontal="center"/>
    </xf>
    <xf numFmtId="0" fontId="43" fillId="0" borderId="0" xfId="4" applyFont="1" applyAlignment="1">
      <alignment horizontal="center"/>
    </xf>
    <xf numFmtId="0" fontId="13" fillId="0" borderId="0" xfId="4" applyFont="1" applyAlignment="1">
      <alignment horizontal="center"/>
    </xf>
    <xf numFmtId="0" fontId="12" fillId="0" borderId="0" xfId="4" applyFont="1" applyAlignment="1">
      <alignment horizontal="center"/>
    </xf>
    <xf numFmtId="0" fontId="25" fillId="2" borderId="0" xfId="0" applyFont="1" applyFill="1" applyAlignment="1">
      <alignment horizontal="center" vertical="center"/>
    </xf>
    <xf numFmtId="0" fontId="25" fillId="2" borderId="0" xfId="0" applyFont="1" applyFill="1" applyAlignment="1">
      <alignment horizontal="left" vertical="top" wrapText="1"/>
    </xf>
    <xf numFmtId="0" fontId="5" fillId="0" borderId="0" xfId="0" applyFont="1" applyAlignment="1">
      <alignment horizontal="center"/>
    </xf>
    <xf numFmtId="0" fontId="12" fillId="3" borderId="0" xfId="0" applyFont="1" applyFill="1" applyAlignment="1">
      <alignment horizontal="center"/>
    </xf>
    <xf numFmtId="0" fontId="12" fillId="0" borderId="0" xfId="0" applyFont="1" applyAlignment="1">
      <alignment horizontal="center"/>
    </xf>
    <xf numFmtId="0" fontId="13" fillId="0" borderId="0" xfId="0" applyFont="1" applyAlignment="1">
      <alignment horizontal="center"/>
    </xf>
    <xf numFmtId="0" fontId="44" fillId="2" borderId="0" xfId="0" applyFont="1" applyFill="1" applyAlignment="1">
      <alignment horizontal="center"/>
    </xf>
    <xf numFmtId="3" fontId="45" fillId="2" borderId="0" xfId="0" applyNumberFormat="1" applyFont="1" applyFill="1" applyAlignment="1">
      <alignment horizontal="center"/>
    </xf>
  </cellXfs>
  <cellStyles count="7">
    <cellStyle name="Hipervínculo" xfId="1" builtinId="8"/>
    <cellStyle name="Millares" xfId="2" builtinId="3"/>
    <cellStyle name="Millares [0]_alllotjaments311299" xfId="3" xr:uid="{00000000-0005-0000-0000-000002000000}"/>
    <cellStyle name="Normal" xfId="0" builtinId="0"/>
    <cellStyle name="Normal 2" xfId="4" xr:uid="{00000000-0005-0000-0000-000004000000}"/>
    <cellStyle name="Normal 5" xfId="5" xr:uid="{00000000-0005-0000-0000-000005000000}"/>
    <cellStyle name="Porcentaje" xfId="6" builtinId="5"/>
  </cellStyles>
  <dxfs count="22">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156"/>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D1BF-4102-BC9E-92222F8BB53F}"/>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D1BF-4102-BC9E-92222F8BB53F}"/>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D1BF-4102-BC9E-92222F8BB53F}"/>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D1BF-4102-BC9E-92222F8BB53F}"/>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D1BF-4102-BC9E-92222F8BB53F}"/>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9-D1BF-4102-BC9E-92222F8BB53F}"/>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444" r="0.75000000000000444" t="1" header="0" footer="0"/>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156"/>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C141-4548-8FFF-65565E736692}"/>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2-C141-4548-8FFF-65565E736692}"/>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4-C141-4548-8FFF-65565E736692}"/>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6-C141-4548-8FFF-65565E736692}"/>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8-C141-4548-8FFF-65565E736692}"/>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9-C141-4548-8FFF-65565E736692}"/>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444" r="0.75000000000000444" t="1" header="0" footer="0"/>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156"/>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7B17-44BF-9BEE-2DA62D7DB547}"/>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7B17-44BF-9BEE-2DA62D7DB547}"/>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7B17-44BF-9BEE-2DA62D7DB547}"/>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7B17-44BF-9BEE-2DA62D7DB547}"/>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7B17-44BF-9BEE-2DA62D7DB547}"/>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7B17-44BF-9BEE-2DA62D7DB547}"/>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444" r="0.75000000000000444" t="1" header="0" footer="0"/>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156"/>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9D02-4143-ACE3-ECA84F30EC54}"/>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9D02-4143-ACE3-ECA84F30EC54}"/>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9D02-4143-ACE3-ECA84F30EC54}"/>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9D02-4143-ACE3-ECA84F30EC54}"/>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9D02-4143-ACE3-ECA84F30EC54}"/>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9D02-4143-ACE3-ECA84F30EC54}"/>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444" r="0.75000000000000444" t="1" header="0" footer="0"/>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134"/>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FDD5-4A5C-BE55-03E8072838CE}"/>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FDD5-4A5C-BE55-03E8072838CE}"/>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FDD5-4A5C-BE55-03E8072838CE}"/>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FDD5-4A5C-BE55-03E8072838CE}"/>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FDD5-4A5C-BE55-03E8072838CE}"/>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FDD5-4A5C-BE55-03E8072838CE}"/>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422" r="0.75000000000000422" t="1" header="0" footer="0"/>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134"/>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9CA8-4D22-93E3-1A0EB02B8687}"/>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9CA8-4D22-93E3-1A0EB02B8687}"/>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9CA8-4D22-93E3-1A0EB02B8687}"/>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9CA8-4D22-93E3-1A0EB02B8687}"/>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9CA8-4D22-93E3-1A0EB02B8687}"/>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9CA8-4D22-93E3-1A0EB02B8687}"/>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422" r="0.75000000000000422" t="1" header="0" footer="0"/>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111"/>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4F64-43B4-B3CD-AF1A2CBB2872}"/>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4F64-43B4-B3CD-AF1A2CBB2872}"/>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4F64-43B4-B3CD-AF1A2CBB2872}"/>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4F64-43B4-B3CD-AF1A2CBB2872}"/>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4F64-43B4-B3CD-AF1A2CBB2872}"/>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4F64-43B4-B3CD-AF1A2CBB2872}"/>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4" r="0.750000000000004" t="1" header="0" footer="0"/>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089"/>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7FA4-4199-AC30-A5E4E7FEC51D}"/>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7FA4-4199-AC30-A5E4E7FEC51D}"/>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7FA4-4199-AC30-A5E4E7FEC51D}"/>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7FA4-4199-AC30-A5E4E7FEC51D}"/>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7FA4-4199-AC30-A5E4E7FEC51D}"/>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7FA4-4199-AC30-A5E4E7FEC51D}"/>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377" r="0.75000000000000377" t="1" header="0" footer="0"/>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061"/>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319A-4C47-97A5-B56937196AEF}"/>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319A-4C47-97A5-B56937196AEF}"/>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319A-4C47-97A5-B56937196AEF}"/>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319A-4C47-97A5-B56937196AEF}"/>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319A-4C47-97A5-B56937196AEF}"/>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319A-4C47-97A5-B56937196AEF}"/>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355" r="0.75000000000000355" t="1" header="0" footer="0"/>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039"/>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E771-47AD-93D5-496946B240A6}"/>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E771-47AD-93D5-496946B240A6}"/>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E771-47AD-93D5-496946B240A6}"/>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E771-47AD-93D5-496946B240A6}"/>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E771-47AD-93D5-496946B240A6}"/>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E771-47AD-93D5-496946B240A6}"/>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333" r="0.75000000000000333" t="1" header="0" footer="0"/>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4000011"/>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DCB7-46A2-BBB4-8737C2F64004}"/>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DCB7-46A2-BBB4-8737C2F64004}"/>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DCB7-46A2-BBB4-8737C2F64004}"/>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DCB7-46A2-BBB4-8737C2F64004}"/>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DCB7-46A2-BBB4-8737C2F64004}"/>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DCB7-46A2-BBB4-8737C2F64004}"/>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311" r="0.75000000000000311" t="1" header="0" footer="0"/>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961858123999989"/>
          <c:y val="0.22714712163900413"/>
          <c:w val="0.3022903016834908"/>
          <c:h val="0.54847719615271728"/>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DA34-452F-B24D-A4B5F2014EA3}"/>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DA34-452F-B24D-A4B5F2014EA3}"/>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DA34-452F-B24D-A4B5F2014EA3}"/>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DA34-452F-B24D-A4B5F2014EA3}"/>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DA34-452F-B24D-A4B5F2014EA3}"/>
              </c:ext>
            </c:extLst>
          </c:dPt>
          <c:dLbls>
            <c:numFmt formatCode="0.0%" sourceLinked="0"/>
            <c:spPr>
              <a:noFill/>
              <a:ln w="25400">
                <a:noFill/>
              </a:ln>
            </c:spPr>
            <c:txPr>
              <a:bodyPr wrap="square" lIns="38100" tIns="19050" rIns="38100" bIns="19050" anchor="ctr">
                <a:spAutoFit/>
              </a:bodyPr>
              <a:lstStyle/>
              <a:p>
                <a:pPr>
                  <a:defRPr sz="975" b="1" i="0" u="none" strike="noStrike" baseline="0">
                    <a:solidFill>
                      <a:srgbClr val="000000"/>
                    </a:solidFill>
                    <a:latin typeface="Arial"/>
                    <a:ea typeface="Arial"/>
                    <a:cs typeface="Arial"/>
                  </a:defRPr>
                </a:pPr>
                <a:endParaRPr lang="es-ES"/>
              </a:p>
            </c:txPr>
            <c:showLegendKey val="0"/>
            <c:showVal val="0"/>
            <c:showCatName val="1"/>
            <c:showSerName val="0"/>
            <c:showPercent val="1"/>
            <c:showBubbleSize val="0"/>
            <c:showLeaderLines val="1"/>
            <c:extLst>
              <c:ext xmlns:c15="http://schemas.microsoft.com/office/drawing/2012/chart" uri="{CE6537A1-D6FC-4f65-9D91-7224C49458BB}"/>
            </c:extLst>
          </c:dLbls>
          <c:cat>
            <c:strLit>
              <c:ptCount val="5"/>
              <c:pt idx="0">
                <c:v>H 1*</c:v>
              </c:pt>
              <c:pt idx="1">
                <c:v>H 2* </c:v>
              </c:pt>
              <c:pt idx="2">
                <c:v>H 3* </c:v>
              </c:pt>
              <c:pt idx="3">
                <c:v>H 4*</c:v>
              </c:pt>
              <c:pt idx="4">
                <c:v>H 5*</c:v>
              </c:pt>
            </c:strLit>
          </c:cat>
          <c:val>
            <c:numLit>
              <c:formatCode>General</c:formatCode>
              <c:ptCount val="5"/>
              <c:pt idx="0">
                <c:v>1.71000907166616</c:v>
              </c:pt>
              <c:pt idx="1">
                <c:v>7.9956657595000502</c:v>
              </c:pt>
              <c:pt idx="2">
                <c:v>58.019352887813703</c:v>
              </c:pt>
              <c:pt idx="3">
                <c:v>29.1432315290796</c:v>
              </c:pt>
              <c:pt idx="4">
                <c:v>3.1317407519403302</c:v>
              </c:pt>
            </c:numLit>
          </c:val>
          <c:extLst>
            <c:ext xmlns:c16="http://schemas.microsoft.com/office/drawing/2014/chart" uri="{C3380CC4-5D6E-409C-BE32-E72D297353CC}">
              <c16:uniqueId val="{00000005-DA34-452F-B24D-A4B5F2014EA3}"/>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s-ES"/>
    </a:p>
  </c:txPr>
  <c:printSettings>
    <c:headerFooter alignWithMargins="0"/>
    <c:pageMargins b="1" l="0.75000000000000289" r="0.75000000000000289" t="1" header="0" footer="0"/>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xdr:row>
      <xdr:rowOff>38100</xdr:rowOff>
    </xdr:from>
    <xdr:to>
      <xdr:col>3</xdr:col>
      <xdr:colOff>799243</xdr:colOff>
      <xdr:row>5</xdr:row>
      <xdr:rowOff>80842</xdr:rowOff>
    </xdr:to>
    <xdr:pic>
      <xdr:nvPicPr>
        <xdr:cNvPr id="2" name="Imagen 1">
          <a:extLst>
            <a:ext uri="{FF2B5EF4-FFF2-40B4-BE49-F238E27FC236}">
              <a16:creationId xmlns:a16="http://schemas.microsoft.com/office/drawing/2014/main" id="{A145A865-A23F-4BA2-9A1F-161D63313DD0}"/>
            </a:ext>
          </a:extLst>
        </xdr:cNvPr>
        <xdr:cNvPicPr>
          <a:picLocks noChangeAspect="1"/>
        </xdr:cNvPicPr>
      </xdr:nvPicPr>
      <xdr:blipFill>
        <a:blip xmlns:r="http://schemas.openxmlformats.org/officeDocument/2006/relationships" r:embed="rId1"/>
        <a:stretch>
          <a:fillRect/>
        </a:stretch>
      </xdr:blipFill>
      <xdr:spPr>
        <a:xfrm>
          <a:off x="38100" y="228600"/>
          <a:ext cx="3304318" cy="8047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761143</xdr:colOff>
      <xdr:row>5</xdr:row>
      <xdr:rowOff>42742</xdr:rowOff>
    </xdr:to>
    <xdr:pic>
      <xdr:nvPicPr>
        <xdr:cNvPr id="2" name="Imagen 1">
          <a:extLst>
            <a:ext uri="{FF2B5EF4-FFF2-40B4-BE49-F238E27FC236}">
              <a16:creationId xmlns:a16="http://schemas.microsoft.com/office/drawing/2014/main" id="{CC9914B5-3718-46AC-86B8-8E4FBBCEACF2}"/>
            </a:ext>
          </a:extLst>
        </xdr:cNvPr>
        <xdr:cNvPicPr>
          <a:picLocks noChangeAspect="1"/>
        </xdr:cNvPicPr>
      </xdr:nvPicPr>
      <xdr:blipFill>
        <a:blip xmlns:r="http://schemas.openxmlformats.org/officeDocument/2006/relationships" r:embed="rId1"/>
        <a:stretch>
          <a:fillRect/>
        </a:stretch>
      </xdr:blipFill>
      <xdr:spPr>
        <a:xfrm>
          <a:off x="0" y="190500"/>
          <a:ext cx="3304318" cy="8047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761143</xdr:colOff>
      <xdr:row>5</xdr:row>
      <xdr:rowOff>42742</xdr:rowOff>
    </xdr:to>
    <xdr:pic>
      <xdr:nvPicPr>
        <xdr:cNvPr id="2" name="Imagen 1">
          <a:extLst>
            <a:ext uri="{FF2B5EF4-FFF2-40B4-BE49-F238E27FC236}">
              <a16:creationId xmlns:a16="http://schemas.microsoft.com/office/drawing/2014/main" id="{1C5FE03F-6057-4167-A61D-EB30A921C663}"/>
            </a:ext>
          </a:extLst>
        </xdr:cNvPr>
        <xdr:cNvPicPr>
          <a:picLocks noChangeAspect="1"/>
        </xdr:cNvPicPr>
      </xdr:nvPicPr>
      <xdr:blipFill>
        <a:blip xmlns:r="http://schemas.openxmlformats.org/officeDocument/2006/relationships" r:embed="rId1"/>
        <a:stretch>
          <a:fillRect/>
        </a:stretch>
      </xdr:blipFill>
      <xdr:spPr>
        <a:xfrm>
          <a:off x="0" y="190500"/>
          <a:ext cx="3304318" cy="8047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47</xdr:row>
      <xdr:rowOff>0</xdr:rowOff>
    </xdr:from>
    <xdr:to>
      <xdr:col>2</xdr:col>
      <xdr:colOff>219075</xdr:colOff>
      <xdr:row>47</xdr:row>
      <xdr:rowOff>0</xdr:rowOff>
    </xdr:to>
    <xdr:graphicFrame macro="">
      <xdr:nvGraphicFramePr>
        <xdr:cNvPr id="2" name="Chart 7">
          <a:extLst>
            <a:ext uri="{FF2B5EF4-FFF2-40B4-BE49-F238E27FC236}">
              <a16:creationId xmlns:a16="http://schemas.microsoft.com/office/drawing/2014/main" id="{ADEC98C1-E5C6-4B2B-871F-4906E2469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47</xdr:row>
      <xdr:rowOff>0</xdr:rowOff>
    </xdr:from>
    <xdr:to>
      <xdr:col>2</xdr:col>
      <xdr:colOff>219075</xdr:colOff>
      <xdr:row>47</xdr:row>
      <xdr:rowOff>0</xdr:rowOff>
    </xdr:to>
    <xdr:graphicFrame macro="">
      <xdr:nvGraphicFramePr>
        <xdr:cNvPr id="2" name="Chart 7">
          <a:extLst>
            <a:ext uri="{FF2B5EF4-FFF2-40B4-BE49-F238E27FC236}">
              <a16:creationId xmlns:a16="http://schemas.microsoft.com/office/drawing/2014/main" id="{E534F900-9B34-4A32-96C1-E7AD69BB8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47</xdr:row>
      <xdr:rowOff>0</xdr:rowOff>
    </xdr:from>
    <xdr:to>
      <xdr:col>2</xdr:col>
      <xdr:colOff>219075</xdr:colOff>
      <xdr:row>47</xdr:row>
      <xdr:rowOff>0</xdr:rowOff>
    </xdr:to>
    <xdr:graphicFrame macro="">
      <xdr:nvGraphicFramePr>
        <xdr:cNvPr id="3072040" name="Chart 7">
          <a:extLst>
            <a:ext uri="{FF2B5EF4-FFF2-40B4-BE49-F238E27FC236}">
              <a16:creationId xmlns:a16="http://schemas.microsoft.com/office/drawing/2014/main" id="{DD4EE1AC-D33F-FDDE-21BD-2FA83015E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47</xdr:row>
      <xdr:rowOff>0</xdr:rowOff>
    </xdr:from>
    <xdr:to>
      <xdr:col>2</xdr:col>
      <xdr:colOff>219075</xdr:colOff>
      <xdr:row>47</xdr:row>
      <xdr:rowOff>0</xdr:rowOff>
    </xdr:to>
    <xdr:graphicFrame macro="">
      <xdr:nvGraphicFramePr>
        <xdr:cNvPr id="2710607" name="Chart 7">
          <a:extLst>
            <a:ext uri="{FF2B5EF4-FFF2-40B4-BE49-F238E27FC236}">
              <a16:creationId xmlns:a16="http://schemas.microsoft.com/office/drawing/2014/main" id="{3E7A0B67-9238-E1AC-6CE1-1AF377998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47</xdr:row>
      <xdr:rowOff>0</xdr:rowOff>
    </xdr:from>
    <xdr:to>
      <xdr:col>2</xdr:col>
      <xdr:colOff>219075</xdr:colOff>
      <xdr:row>47</xdr:row>
      <xdr:rowOff>0</xdr:rowOff>
    </xdr:to>
    <xdr:graphicFrame macro="">
      <xdr:nvGraphicFramePr>
        <xdr:cNvPr id="1995942" name="Chart 7">
          <a:extLst>
            <a:ext uri="{FF2B5EF4-FFF2-40B4-BE49-F238E27FC236}">
              <a16:creationId xmlns:a16="http://schemas.microsoft.com/office/drawing/2014/main" id="{BBE9CEFB-2C9B-10FA-C394-756A57ECF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47</xdr:row>
      <xdr:rowOff>0</xdr:rowOff>
    </xdr:from>
    <xdr:to>
      <xdr:col>2</xdr:col>
      <xdr:colOff>219075</xdr:colOff>
      <xdr:row>47</xdr:row>
      <xdr:rowOff>0</xdr:rowOff>
    </xdr:to>
    <xdr:graphicFrame macro="">
      <xdr:nvGraphicFramePr>
        <xdr:cNvPr id="1426677" name="Chart 7">
          <a:extLst>
            <a:ext uri="{FF2B5EF4-FFF2-40B4-BE49-F238E27FC236}">
              <a16:creationId xmlns:a16="http://schemas.microsoft.com/office/drawing/2014/main" id="{1FE6CD71-FBB8-AA3C-882C-BFE42E953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46</xdr:row>
      <xdr:rowOff>0</xdr:rowOff>
    </xdr:from>
    <xdr:to>
      <xdr:col>9</xdr:col>
      <xdr:colOff>219075</xdr:colOff>
      <xdr:row>46</xdr:row>
      <xdr:rowOff>0</xdr:rowOff>
    </xdr:to>
    <xdr:graphicFrame macro="">
      <xdr:nvGraphicFramePr>
        <xdr:cNvPr id="950594" name="Chart 7">
          <a:extLst>
            <a:ext uri="{FF2B5EF4-FFF2-40B4-BE49-F238E27FC236}">
              <a16:creationId xmlns:a16="http://schemas.microsoft.com/office/drawing/2014/main" id="{7470FD8E-021D-AC16-A335-6EDC15CCE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46</xdr:row>
      <xdr:rowOff>0</xdr:rowOff>
    </xdr:from>
    <xdr:to>
      <xdr:col>9</xdr:col>
      <xdr:colOff>219075</xdr:colOff>
      <xdr:row>46</xdr:row>
      <xdr:rowOff>0</xdr:rowOff>
    </xdr:to>
    <xdr:graphicFrame macro="">
      <xdr:nvGraphicFramePr>
        <xdr:cNvPr id="717167" name="Chart 7">
          <a:extLst>
            <a:ext uri="{FF2B5EF4-FFF2-40B4-BE49-F238E27FC236}">
              <a16:creationId xmlns:a16="http://schemas.microsoft.com/office/drawing/2014/main" id="{739A6610-BA48-165C-CB89-278BDA8AE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46</xdr:row>
      <xdr:rowOff>0</xdr:rowOff>
    </xdr:from>
    <xdr:to>
      <xdr:col>9</xdr:col>
      <xdr:colOff>219075</xdr:colOff>
      <xdr:row>46</xdr:row>
      <xdr:rowOff>0</xdr:rowOff>
    </xdr:to>
    <xdr:graphicFrame macro="">
      <xdr:nvGraphicFramePr>
        <xdr:cNvPr id="302548" name="Chart 7">
          <a:extLst>
            <a:ext uri="{FF2B5EF4-FFF2-40B4-BE49-F238E27FC236}">
              <a16:creationId xmlns:a16="http://schemas.microsoft.com/office/drawing/2014/main" id="{1859A201-2780-0027-DEBC-F8A2DCDB2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46</xdr:row>
      <xdr:rowOff>0</xdr:rowOff>
    </xdr:from>
    <xdr:to>
      <xdr:col>9</xdr:col>
      <xdr:colOff>219075</xdr:colOff>
      <xdr:row>46</xdr:row>
      <xdr:rowOff>0</xdr:rowOff>
    </xdr:to>
    <xdr:graphicFrame macro="">
      <xdr:nvGraphicFramePr>
        <xdr:cNvPr id="77336" name="Chart 7">
          <a:extLst>
            <a:ext uri="{FF2B5EF4-FFF2-40B4-BE49-F238E27FC236}">
              <a16:creationId xmlns:a16="http://schemas.microsoft.com/office/drawing/2014/main" id="{CDC7CBD9-1685-BC06-D296-F673D7F21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46</xdr:row>
      <xdr:rowOff>0</xdr:rowOff>
    </xdr:from>
    <xdr:to>
      <xdr:col>9</xdr:col>
      <xdr:colOff>219075</xdr:colOff>
      <xdr:row>46</xdr:row>
      <xdr:rowOff>0</xdr:rowOff>
    </xdr:to>
    <xdr:graphicFrame macro="">
      <xdr:nvGraphicFramePr>
        <xdr:cNvPr id="2617" name="Chart 7">
          <a:extLst>
            <a:ext uri="{FF2B5EF4-FFF2-40B4-BE49-F238E27FC236}">
              <a16:creationId xmlns:a16="http://schemas.microsoft.com/office/drawing/2014/main" id="{85656244-0CD5-2F3E-C08B-E5F19E2B8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46</xdr:row>
      <xdr:rowOff>0</xdr:rowOff>
    </xdr:from>
    <xdr:to>
      <xdr:col>9</xdr:col>
      <xdr:colOff>219075</xdr:colOff>
      <xdr:row>46</xdr:row>
      <xdr:rowOff>0</xdr:rowOff>
    </xdr:to>
    <xdr:graphicFrame macro="">
      <xdr:nvGraphicFramePr>
        <xdr:cNvPr id="4666" name="Chart 7">
          <a:extLst>
            <a:ext uri="{FF2B5EF4-FFF2-40B4-BE49-F238E27FC236}">
              <a16:creationId xmlns:a16="http://schemas.microsoft.com/office/drawing/2014/main" id="{19A303C9-7ECF-5802-4CF3-67F76C4B9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51"/>
  <sheetViews>
    <sheetView showGridLines="0" tabSelected="1" view="pageBreakPreview" zoomScaleNormal="100" zoomScaleSheetLayoutView="100" workbookViewId="0">
      <selection activeCell="A12" sqref="A12:K12"/>
    </sheetView>
  </sheetViews>
  <sheetFormatPr baseColWidth="10" defaultRowHeight="15"/>
  <cols>
    <col min="1" max="11" width="12.7109375" customWidth="1"/>
  </cols>
  <sheetData>
    <row r="1" spans="1:11">
      <c r="A1" s="75"/>
      <c r="B1" s="75"/>
      <c r="C1" s="75"/>
      <c r="D1" s="75"/>
      <c r="E1" s="75"/>
      <c r="F1" s="75"/>
      <c r="G1" s="75"/>
      <c r="H1" s="75"/>
      <c r="I1" s="75"/>
      <c r="J1" s="75"/>
      <c r="K1" s="75"/>
    </row>
    <row r="2" spans="1:11">
      <c r="A2" s="75"/>
      <c r="B2" s="75"/>
      <c r="C2" s="75"/>
      <c r="D2" s="75"/>
      <c r="E2" s="75"/>
      <c r="F2" s="75"/>
      <c r="G2" s="75"/>
      <c r="H2" s="75"/>
      <c r="I2" s="75"/>
      <c r="J2" s="75"/>
      <c r="K2" s="75"/>
    </row>
    <row r="3" spans="1:11">
      <c r="A3" s="75"/>
      <c r="B3" s="75"/>
      <c r="C3" s="75"/>
      <c r="D3" s="75"/>
      <c r="E3" s="75"/>
      <c r="F3" s="75"/>
      <c r="G3" s="75"/>
      <c r="H3" s="75"/>
      <c r="I3" s="75"/>
      <c r="J3" s="75"/>
      <c r="K3" s="75"/>
    </row>
    <row r="4" spans="1:11">
      <c r="A4" s="75"/>
      <c r="B4" s="75"/>
      <c r="C4" s="75"/>
      <c r="D4" s="75"/>
      <c r="E4" s="75"/>
      <c r="F4" s="75"/>
      <c r="G4" s="75"/>
      <c r="H4" s="75"/>
      <c r="I4" s="75"/>
      <c r="J4" s="75"/>
      <c r="K4" s="75"/>
    </row>
    <row r="5" spans="1:11">
      <c r="A5" s="75"/>
      <c r="B5" s="75"/>
      <c r="C5" s="75"/>
      <c r="D5" s="75"/>
      <c r="E5" s="75"/>
      <c r="F5" s="75"/>
      <c r="G5" s="75"/>
      <c r="H5" s="75"/>
      <c r="I5" s="75"/>
      <c r="J5" s="75"/>
      <c r="K5" s="75"/>
    </row>
    <row r="6" spans="1:11">
      <c r="A6" s="75"/>
      <c r="B6" s="75"/>
      <c r="C6" s="75"/>
      <c r="D6" s="75"/>
      <c r="E6" s="75"/>
      <c r="F6" s="75"/>
      <c r="G6" s="75"/>
      <c r="H6" s="75"/>
      <c r="I6" s="75"/>
      <c r="J6" s="75"/>
      <c r="K6" s="75"/>
    </row>
    <row r="7" spans="1:11">
      <c r="A7" s="75"/>
      <c r="B7" s="75"/>
      <c r="C7" s="75"/>
      <c r="D7" s="75"/>
      <c r="E7" s="75"/>
      <c r="F7" s="75"/>
      <c r="G7" s="75"/>
      <c r="H7" s="75"/>
      <c r="I7" s="75"/>
      <c r="J7" s="75"/>
      <c r="K7" s="75"/>
    </row>
    <row r="8" spans="1:11">
      <c r="A8" s="75"/>
      <c r="B8" s="75"/>
      <c r="C8" s="75"/>
      <c r="D8" s="75"/>
      <c r="E8" s="75"/>
      <c r="F8" s="75"/>
      <c r="G8" s="75"/>
      <c r="H8" s="75"/>
      <c r="I8" s="75"/>
      <c r="J8" s="75"/>
      <c r="K8" s="75"/>
    </row>
    <row r="9" spans="1:11">
      <c r="A9" s="75"/>
      <c r="B9" s="75"/>
      <c r="C9" s="75"/>
      <c r="D9" s="75"/>
      <c r="E9" s="75"/>
      <c r="F9" s="75"/>
      <c r="G9" s="75"/>
      <c r="H9" s="75"/>
      <c r="I9" s="75"/>
      <c r="J9" s="75"/>
      <c r="K9" s="75"/>
    </row>
    <row r="10" spans="1:11">
      <c r="A10" s="75"/>
      <c r="B10" s="75"/>
      <c r="C10" s="75"/>
      <c r="D10" s="75"/>
      <c r="E10" s="75"/>
      <c r="F10" s="75"/>
      <c r="G10" s="75"/>
      <c r="H10" s="75"/>
      <c r="I10" s="75"/>
      <c r="J10" s="75"/>
      <c r="K10" s="75"/>
    </row>
    <row r="11" spans="1:11">
      <c r="A11" s="75"/>
      <c r="B11" s="75"/>
      <c r="C11" s="75"/>
      <c r="D11" s="75"/>
      <c r="E11" s="75"/>
      <c r="F11" s="75"/>
      <c r="G11" s="75"/>
      <c r="H11" s="75"/>
      <c r="I11" s="75"/>
      <c r="J11" s="75"/>
      <c r="K11" s="75"/>
    </row>
    <row r="12" spans="1:11">
      <c r="A12" s="120" t="s">
        <v>220</v>
      </c>
      <c r="B12" s="120"/>
      <c r="C12" s="120"/>
      <c r="D12" s="120"/>
      <c r="E12" s="120"/>
      <c r="F12" s="120"/>
      <c r="G12" s="120"/>
      <c r="H12" s="120"/>
      <c r="I12" s="120"/>
      <c r="J12" s="120"/>
      <c r="K12" s="120"/>
    </row>
    <row r="15" spans="1:11">
      <c r="A15" s="94"/>
      <c r="B15" s="94"/>
      <c r="C15" s="94"/>
      <c r="D15" s="94"/>
      <c r="E15" s="94"/>
      <c r="F15" s="94"/>
      <c r="G15" s="94"/>
      <c r="H15" s="94"/>
      <c r="I15" s="94"/>
      <c r="J15" s="94"/>
      <c r="K15" s="94"/>
    </row>
    <row r="17" spans="1:12" s="110" customFormat="1">
      <c r="A17" s="110" t="s">
        <v>384</v>
      </c>
    </row>
    <row r="18" spans="1:12" s="110" customFormat="1">
      <c r="A18" s="110" t="s">
        <v>385</v>
      </c>
    </row>
    <row r="19" spans="1:12" s="110" customFormat="1">
      <c r="A19" s="110" t="s">
        <v>386</v>
      </c>
    </row>
    <row r="20" spans="1:12" s="110" customFormat="1">
      <c r="A20" s="110" t="s">
        <v>387</v>
      </c>
    </row>
    <row r="21" spans="1:12" s="110" customFormat="1">
      <c r="A21" s="118" t="s">
        <v>388</v>
      </c>
      <c r="B21" s="118"/>
      <c r="C21" s="118"/>
      <c r="D21" s="118"/>
      <c r="E21" s="118"/>
      <c r="F21" s="118"/>
      <c r="G21" s="118"/>
      <c r="H21" s="118"/>
      <c r="I21" s="118"/>
      <c r="J21" s="118"/>
      <c r="K21" s="118"/>
      <c r="L21" s="95"/>
    </row>
    <row r="22" spans="1:12" s="110" customFormat="1">
      <c r="A22" s="118" t="s">
        <v>389</v>
      </c>
      <c r="B22" s="118"/>
      <c r="C22" s="118"/>
      <c r="D22" s="118"/>
      <c r="E22" s="118"/>
      <c r="F22" s="118"/>
      <c r="G22" s="118"/>
      <c r="H22" s="118"/>
      <c r="I22" s="118"/>
      <c r="J22" s="118"/>
      <c r="K22" s="118"/>
    </row>
    <row r="23" spans="1:12" s="110" customFormat="1">
      <c r="A23" s="118" t="s">
        <v>390</v>
      </c>
      <c r="B23" s="118"/>
      <c r="C23" s="118"/>
      <c r="D23" s="118"/>
      <c r="E23" s="118"/>
      <c r="F23" s="118"/>
      <c r="G23" s="118"/>
      <c r="H23" s="118"/>
      <c r="I23" s="118"/>
      <c r="J23" s="118"/>
      <c r="K23" s="118"/>
    </row>
    <row r="24" spans="1:12" s="110" customFormat="1">
      <c r="A24" s="118" t="s">
        <v>391</v>
      </c>
      <c r="B24" s="118"/>
      <c r="C24" s="118"/>
      <c r="D24" s="118"/>
      <c r="E24" s="118"/>
      <c r="F24" s="118"/>
      <c r="G24" s="118"/>
      <c r="H24" s="118"/>
      <c r="I24" s="118"/>
      <c r="J24" s="118"/>
      <c r="K24" s="118"/>
    </row>
    <row r="25" spans="1:12" s="110" customFormat="1">
      <c r="A25" s="118" t="s">
        <v>392</v>
      </c>
      <c r="B25" s="118"/>
      <c r="C25" s="118"/>
      <c r="D25" s="118"/>
      <c r="E25" s="118"/>
      <c r="F25" s="118"/>
      <c r="G25" s="118"/>
      <c r="H25" s="118"/>
      <c r="I25" s="118"/>
      <c r="J25" s="118"/>
      <c r="K25" s="118"/>
    </row>
    <row r="26" spans="1:12" s="110" customFormat="1">
      <c r="A26" s="118" t="s">
        <v>393</v>
      </c>
      <c r="B26" s="118"/>
      <c r="C26" s="118"/>
      <c r="D26" s="118"/>
      <c r="E26" s="118"/>
      <c r="F26" s="118"/>
      <c r="G26" s="118"/>
      <c r="H26" s="118"/>
      <c r="I26" s="118"/>
      <c r="J26" s="118"/>
      <c r="K26" s="118"/>
    </row>
    <row r="27" spans="1:12" s="110" customFormat="1">
      <c r="A27" s="118" t="s">
        <v>394</v>
      </c>
      <c r="B27" s="118"/>
      <c r="C27" s="118"/>
      <c r="D27" s="118"/>
      <c r="E27" s="118"/>
      <c r="F27" s="118"/>
      <c r="G27" s="118"/>
      <c r="H27" s="118"/>
      <c r="I27" s="118"/>
      <c r="J27" s="118"/>
      <c r="K27" s="118"/>
    </row>
    <row r="28" spans="1:12" s="110" customFormat="1">
      <c r="A28" s="118" t="s">
        <v>395</v>
      </c>
      <c r="B28" s="118"/>
      <c r="C28" s="118"/>
      <c r="D28" s="118"/>
      <c r="E28" s="118"/>
      <c r="F28" s="118"/>
      <c r="G28" s="118"/>
      <c r="H28" s="118"/>
      <c r="I28" s="118"/>
      <c r="J28" s="118"/>
      <c r="K28" s="118"/>
    </row>
    <row r="29" spans="1:12" s="110" customFormat="1">
      <c r="A29" s="118" t="s">
        <v>396</v>
      </c>
      <c r="B29" s="118"/>
      <c r="C29" s="118"/>
      <c r="D29" s="118"/>
      <c r="E29" s="118"/>
      <c r="F29" s="118"/>
      <c r="G29" s="118"/>
      <c r="H29" s="118"/>
      <c r="I29" s="118"/>
      <c r="J29" s="118"/>
      <c r="K29" s="118"/>
    </row>
    <row r="30" spans="1:12" s="110" customFormat="1">
      <c r="A30" s="118" t="s">
        <v>397</v>
      </c>
      <c r="B30" s="118"/>
      <c r="C30" s="118"/>
      <c r="D30" s="118"/>
      <c r="E30" s="118"/>
      <c r="F30" s="118"/>
      <c r="G30" s="118"/>
      <c r="H30" s="118"/>
      <c r="I30" s="118"/>
      <c r="J30" s="118"/>
      <c r="K30" s="118"/>
    </row>
    <row r="31" spans="1:12" s="110" customFormat="1">
      <c r="A31" s="118" t="s">
        <v>398</v>
      </c>
      <c r="B31" s="118"/>
      <c r="C31" s="118"/>
      <c r="D31" s="118"/>
      <c r="E31" s="118"/>
      <c r="F31" s="118"/>
      <c r="G31" s="118"/>
      <c r="H31" s="118"/>
      <c r="I31" s="118"/>
      <c r="J31" s="118"/>
      <c r="K31" s="118"/>
    </row>
    <row r="32" spans="1:12" s="110" customFormat="1">
      <c r="A32" s="118" t="s">
        <v>399</v>
      </c>
      <c r="B32" s="118"/>
      <c r="C32" s="118"/>
      <c r="D32" s="118"/>
      <c r="E32" s="118"/>
      <c r="F32" s="118"/>
      <c r="G32" s="118"/>
      <c r="H32" s="118"/>
      <c r="I32" s="118"/>
      <c r="J32" s="118"/>
      <c r="K32" s="118"/>
    </row>
    <row r="33" spans="1:11" s="110" customFormat="1">
      <c r="A33" s="118" t="s">
        <v>400</v>
      </c>
      <c r="B33" s="118"/>
      <c r="C33" s="118"/>
      <c r="D33" s="118"/>
      <c r="E33" s="118"/>
      <c r="F33" s="118"/>
      <c r="G33" s="118"/>
      <c r="H33" s="118"/>
      <c r="I33" s="118"/>
      <c r="J33" s="118"/>
      <c r="K33" s="118"/>
    </row>
    <row r="34" spans="1:11" s="110" customFormat="1">
      <c r="A34" s="118" t="s">
        <v>401</v>
      </c>
      <c r="B34" s="118"/>
      <c r="C34" s="118"/>
      <c r="D34" s="118"/>
      <c r="E34" s="118"/>
      <c r="F34" s="118"/>
      <c r="G34" s="118"/>
      <c r="H34" s="118"/>
      <c r="I34" s="118"/>
      <c r="J34" s="118"/>
      <c r="K34" s="118"/>
    </row>
    <row r="35" spans="1:11" s="110" customFormat="1">
      <c r="A35" s="118" t="s">
        <v>402</v>
      </c>
      <c r="B35" s="118"/>
      <c r="C35" s="118"/>
      <c r="D35" s="118"/>
      <c r="E35" s="118"/>
      <c r="F35" s="118"/>
      <c r="G35" s="118"/>
      <c r="H35" s="118"/>
      <c r="I35" s="118"/>
      <c r="J35" s="118"/>
      <c r="K35" s="118"/>
    </row>
    <row r="36" spans="1:11" s="110" customFormat="1">
      <c r="A36" s="118" t="s">
        <v>403</v>
      </c>
      <c r="B36" s="118"/>
      <c r="C36" s="118"/>
      <c r="D36" s="118"/>
      <c r="E36" s="118"/>
      <c r="F36" s="118"/>
      <c r="G36" s="118"/>
      <c r="H36" s="118"/>
      <c r="I36" s="118"/>
      <c r="J36" s="118"/>
      <c r="K36" s="118"/>
    </row>
    <row r="37" spans="1:11" s="110" customFormat="1">
      <c r="A37" s="118" t="s">
        <v>404</v>
      </c>
      <c r="B37" s="118"/>
      <c r="C37" s="118"/>
      <c r="D37" s="118"/>
      <c r="E37" s="118"/>
      <c r="F37" s="118"/>
      <c r="G37" s="118"/>
      <c r="H37" s="118"/>
      <c r="I37" s="118"/>
      <c r="J37" s="118"/>
      <c r="K37" s="118"/>
    </row>
    <row r="38" spans="1:11" s="110" customFormat="1">
      <c r="A38" s="118" t="s">
        <v>405</v>
      </c>
      <c r="B38" s="118"/>
      <c r="C38" s="118"/>
      <c r="D38" s="118"/>
      <c r="E38" s="118"/>
      <c r="F38" s="118"/>
      <c r="G38" s="118"/>
      <c r="H38" s="118"/>
      <c r="I38" s="118"/>
      <c r="J38" s="118"/>
      <c r="K38" s="118"/>
    </row>
    <row r="39" spans="1:11" s="110" customFormat="1">
      <c r="A39" s="118" t="s">
        <v>406</v>
      </c>
      <c r="B39" s="118"/>
      <c r="C39" s="118"/>
      <c r="D39" s="118"/>
      <c r="E39" s="118"/>
      <c r="F39" s="118"/>
      <c r="G39" s="118"/>
      <c r="H39" s="118"/>
      <c r="I39" s="118"/>
      <c r="J39" s="118"/>
      <c r="K39" s="118"/>
    </row>
    <row r="40" spans="1:11" s="110" customFormat="1">
      <c r="A40" s="118" t="s">
        <v>407</v>
      </c>
      <c r="B40" s="118"/>
      <c r="C40" s="118"/>
      <c r="D40" s="118"/>
      <c r="E40" s="118"/>
      <c r="F40" s="118"/>
      <c r="G40" s="118"/>
      <c r="H40" s="118"/>
      <c r="I40" s="118"/>
      <c r="J40" s="118"/>
      <c r="K40" s="118"/>
    </row>
    <row r="41" spans="1:11" s="110" customFormat="1">
      <c r="A41" s="118" t="s">
        <v>408</v>
      </c>
      <c r="B41" s="118"/>
      <c r="C41" s="118"/>
      <c r="D41" s="118"/>
      <c r="E41" s="118"/>
      <c r="F41" s="118"/>
      <c r="G41" s="118"/>
      <c r="H41" s="118"/>
      <c r="I41" s="118"/>
      <c r="J41" s="118"/>
      <c r="K41" s="118"/>
    </row>
    <row r="42" spans="1:11" s="110" customFormat="1">
      <c r="A42" s="118" t="s">
        <v>409</v>
      </c>
      <c r="B42" s="118"/>
      <c r="C42" s="118"/>
      <c r="D42" s="118"/>
      <c r="E42" s="118"/>
      <c r="F42" s="118"/>
      <c r="G42" s="118"/>
      <c r="H42" s="118"/>
      <c r="I42" s="118"/>
      <c r="J42" s="118"/>
      <c r="K42" s="118"/>
    </row>
    <row r="43" spans="1:11" s="110" customFormat="1">
      <c r="A43" s="118" t="s">
        <v>410</v>
      </c>
      <c r="B43" s="118"/>
      <c r="C43" s="118"/>
      <c r="D43" s="118"/>
      <c r="E43" s="118"/>
      <c r="F43" s="118"/>
      <c r="G43" s="118"/>
      <c r="H43" s="118"/>
      <c r="I43" s="118"/>
      <c r="J43" s="118"/>
      <c r="K43" s="118"/>
    </row>
    <row r="44" spans="1:11" s="110" customFormat="1">
      <c r="A44" s="118" t="s">
        <v>411</v>
      </c>
      <c r="B44" s="118"/>
      <c r="C44" s="118"/>
      <c r="D44" s="118"/>
      <c r="E44" s="118"/>
      <c r="F44" s="118"/>
      <c r="G44" s="118"/>
      <c r="H44" s="118"/>
      <c r="I44" s="118"/>
      <c r="J44" s="118"/>
      <c r="K44" s="118"/>
    </row>
    <row r="45" spans="1:11" s="110" customFormat="1">
      <c r="A45" s="118" t="s">
        <v>412</v>
      </c>
      <c r="B45" s="118"/>
      <c r="C45" s="118"/>
      <c r="D45" s="118"/>
      <c r="E45" s="118"/>
      <c r="F45" s="118"/>
      <c r="G45" s="118"/>
      <c r="H45" s="118"/>
      <c r="I45" s="118"/>
      <c r="J45" s="118"/>
      <c r="K45" s="118"/>
    </row>
    <row r="46" spans="1:11" s="110" customFormat="1">
      <c r="A46" s="118" t="s">
        <v>413</v>
      </c>
      <c r="B46" s="118"/>
      <c r="C46" s="118"/>
      <c r="D46" s="118"/>
      <c r="E46" s="118"/>
      <c r="F46" s="118"/>
      <c r="G46" s="118"/>
      <c r="H46" s="118"/>
      <c r="I46" s="118"/>
      <c r="J46" s="118"/>
      <c r="K46" s="118"/>
    </row>
    <row r="47" spans="1:11" s="110" customFormat="1">
      <c r="A47" s="118" t="s">
        <v>414</v>
      </c>
      <c r="B47" s="118"/>
      <c r="C47" s="118"/>
      <c r="D47" s="118"/>
      <c r="E47" s="118"/>
      <c r="F47" s="118"/>
      <c r="G47" s="118"/>
      <c r="H47" s="118"/>
      <c r="I47" s="118"/>
      <c r="J47" s="118"/>
      <c r="K47" s="118"/>
    </row>
    <row r="48" spans="1:11" s="110" customFormat="1">
      <c r="A48" s="118" t="s">
        <v>415</v>
      </c>
      <c r="B48" s="118"/>
      <c r="C48" s="118"/>
      <c r="D48" s="118"/>
      <c r="E48" s="118"/>
      <c r="F48" s="118"/>
      <c r="G48" s="118"/>
      <c r="H48" s="118"/>
      <c r="I48" s="118"/>
      <c r="J48" s="118"/>
      <c r="K48" s="118"/>
    </row>
    <row r="49" spans="1:11" s="110" customFormat="1">
      <c r="A49" s="118" t="s">
        <v>416</v>
      </c>
      <c r="B49" s="118"/>
      <c r="C49" s="118"/>
      <c r="D49" s="118"/>
      <c r="E49" s="118"/>
      <c r="F49" s="118"/>
      <c r="G49" s="118"/>
      <c r="H49" s="118"/>
      <c r="I49" s="118"/>
      <c r="J49" s="118"/>
      <c r="K49" s="118"/>
    </row>
    <row r="50" spans="1:11" s="110" customFormat="1">
      <c r="A50" s="118" t="s">
        <v>417</v>
      </c>
      <c r="B50" s="118"/>
      <c r="C50" s="118"/>
      <c r="D50" s="118"/>
      <c r="E50" s="118"/>
      <c r="F50" s="118"/>
      <c r="G50" s="118"/>
      <c r="H50" s="118"/>
      <c r="I50" s="118"/>
      <c r="J50" s="118"/>
      <c r="K50" s="118"/>
    </row>
    <row r="51" spans="1:11" s="110" customFormat="1">
      <c r="A51" s="118" t="s">
        <v>418</v>
      </c>
      <c r="B51" s="118"/>
      <c r="C51" s="118"/>
      <c r="D51" s="118"/>
      <c r="E51" s="118"/>
      <c r="F51" s="118"/>
      <c r="G51" s="118"/>
      <c r="H51" s="118"/>
      <c r="I51" s="118"/>
      <c r="J51" s="118"/>
      <c r="K51" s="118"/>
    </row>
    <row r="52" spans="1:11" s="110" customFormat="1">
      <c r="A52" s="118" t="s">
        <v>419</v>
      </c>
      <c r="B52" s="118"/>
      <c r="C52" s="118"/>
      <c r="D52" s="118"/>
      <c r="E52" s="118"/>
      <c r="F52" s="118"/>
      <c r="G52" s="118"/>
      <c r="H52" s="118"/>
      <c r="I52" s="118"/>
      <c r="J52" s="118"/>
      <c r="K52" s="118"/>
    </row>
    <row r="53" spans="1:11" s="110" customFormat="1">
      <c r="A53" s="118" t="s">
        <v>420</v>
      </c>
      <c r="B53" s="118"/>
      <c r="C53" s="118"/>
      <c r="D53" s="118"/>
      <c r="E53" s="118"/>
      <c r="F53" s="118"/>
      <c r="G53" s="118"/>
      <c r="H53" s="118"/>
      <c r="I53" s="118"/>
      <c r="J53" s="118"/>
      <c r="K53" s="118"/>
    </row>
    <row r="54" spans="1:11" s="110" customFormat="1">
      <c r="A54" s="118" t="s">
        <v>421</v>
      </c>
      <c r="B54" s="118"/>
      <c r="C54" s="118"/>
      <c r="D54" s="118"/>
      <c r="E54" s="118"/>
      <c r="F54" s="118"/>
      <c r="G54" s="118"/>
      <c r="H54" s="118"/>
      <c r="I54" s="118"/>
      <c r="J54" s="118"/>
      <c r="K54" s="118"/>
    </row>
    <row r="55" spans="1:11" s="110" customFormat="1">
      <c r="A55" s="118" t="s">
        <v>422</v>
      </c>
      <c r="B55" s="118"/>
      <c r="C55" s="118"/>
      <c r="D55" s="118"/>
      <c r="E55" s="118"/>
      <c r="F55" s="118"/>
      <c r="G55" s="118"/>
      <c r="H55" s="118"/>
      <c r="I55" s="118"/>
      <c r="J55" s="118"/>
      <c r="K55" s="118"/>
    </row>
    <row r="56" spans="1:11" s="110" customFormat="1">
      <c r="A56" s="118" t="s">
        <v>423</v>
      </c>
      <c r="B56" s="118"/>
      <c r="C56" s="118"/>
      <c r="D56" s="118"/>
      <c r="E56" s="118"/>
      <c r="F56" s="118"/>
      <c r="G56" s="118"/>
      <c r="H56" s="118"/>
      <c r="I56" s="118"/>
      <c r="J56" s="118"/>
      <c r="K56" s="118"/>
    </row>
    <row r="57" spans="1:11">
      <c r="A57" s="119"/>
      <c r="B57" s="119"/>
      <c r="C57" s="119"/>
      <c r="D57" s="119"/>
      <c r="E57" s="119"/>
      <c r="F57" s="119"/>
      <c r="G57" s="119"/>
      <c r="H57" s="119"/>
      <c r="I57" s="119"/>
      <c r="J57" s="119"/>
      <c r="K57" s="119"/>
    </row>
    <row r="58" spans="1:11">
      <c r="A58" s="76"/>
      <c r="B58" s="76"/>
      <c r="C58" s="76"/>
      <c r="D58" s="76"/>
      <c r="E58" s="76"/>
      <c r="F58" s="76"/>
      <c r="G58" s="76"/>
      <c r="H58" s="76"/>
      <c r="I58" s="76"/>
      <c r="J58" s="76"/>
      <c r="K58" s="76"/>
    </row>
    <row r="59" spans="1:11">
      <c r="A59" s="92"/>
      <c r="B59" s="92"/>
      <c r="C59" s="92"/>
      <c r="D59" s="92"/>
      <c r="E59" s="92"/>
      <c r="F59" s="92"/>
      <c r="G59" s="92"/>
      <c r="H59" s="92"/>
      <c r="I59" s="92"/>
      <c r="J59" s="92"/>
      <c r="K59" s="91"/>
    </row>
    <row r="60" spans="1:11">
      <c r="A60" s="92" t="s">
        <v>233</v>
      </c>
      <c r="B60" s="91"/>
      <c r="C60" s="91"/>
      <c r="D60" s="91"/>
      <c r="E60" s="91"/>
      <c r="F60" s="91"/>
      <c r="G60" s="91"/>
      <c r="H60" s="91"/>
      <c r="I60" s="91"/>
      <c r="J60" s="91"/>
      <c r="K60" s="91"/>
    </row>
    <row r="61" spans="1:11">
      <c r="A61" s="92"/>
      <c r="B61" s="91"/>
      <c r="C61" s="91"/>
      <c r="D61" s="91"/>
      <c r="E61" s="91"/>
      <c r="F61" s="91"/>
      <c r="G61" s="91"/>
      <c r="H61" s="91"/>
      <c r="I61" s="91"/>
      <c r="J61" s="91"/>
      <c r="K61" s="102"/>
    </row>
    <row r="62" spans="1:11">
      <c r="A62" s="116" t="s">
        <v>291</v>
      </c>
      <c r="B62" s="116"/>
      <c r="C62" s="116"/>
      <c r="D62" s="116"/>
      <c r="E62" s="116"/>
      <c r="F62" s="116"/>
      <c r="G62" s="116"/>
      <c r="H62" s="116"/>
      <c r="I62" s="116"/>
      <c r="J62" s="116"/>
      <c r="K62" s="116"/>
    </row>
    <row r="63" spans="1:11" ht="15" customHeight="1">
      <c r="A63" s="112" t="s">
        <v>292</v>
      </c>
      <c r="B63" s="112"/>
      <c r="C63" s="112"/>
      <c r="D63" s="112"/>
      <c r="E63" s="112"/>
      <c r="F63" s="112"/>
      <c r="G63" s="112"/>
      <c r="H63" s="112"/>
      <c r="I63" s="112"/>
      <c r="J63" s="112"/>
      <c r="K63" s="112"/>
    </row>
    <row r="64" spans="1:11">
      <c r="A64" s="112"/>
      <c r="B64" s="112"/>
      <c r="C64" s="112"/>
      <c r="D64" s="112"/>
      <c r="E64" s="112"/>
      <c r="F64" s="112"/>
      <c r="G64" s="112"/>
      <c r="H64" s="112"/>
      <c r="I64" s="112"/>
      <c r="J64" s="112"/>
      <c r="K64" s="112"/>
    </row>
    <row r="65" spans="1:11" ht="15" customHeight="1">
      <c r="A65" s="112" t="s">
        <v>293</v>
      </c>
      <c r="B65" s="112"/>
      <c r="C65" s="112"/>
      <c r="D65" s="112"/>
      <c r="E65" s="112"/>
      <c r="F65" s="112"/>
      <c r="G65" s="112"/>
      <c r="H65" s="112"/>
      <c r="I65" s="112"/>
      <c r="J65" s="112"/>
      <c r="K65" s="112"/>
    </row>
    <row r="66" spans="1:11">
      <c r="A66" s="112"/>
      <c r="B66" s="112"/>
      <c r="C66" s="112"/>
      <c r="D66" s="112"/>
      <c r="E66" s="112"/>
      <c r="F66" s="112"/>
      <c r="G66" s="112"/>
      <c r="H66" s="112"/>
      <c r="I66" s="112"/>
      <c r="J66" s="112"/>
      <c r="K66" s="112"/>
    </row>
    <row r="67" spans="1:11" ht="15" customHeight="1">
      <c r="A67" s="112" t="s">
        <v>294</v>
      </c>
      <c r="B67" s="112"/>
      <c r="C67" s="112"/>
      <c r="D67" s="112"/>
      <c r="E67" s="112"/>
      <c r="F67" s="112"/>
      <c r="G67" s="112"/>
      <c r="H67" s="112"/>
      <c r="I67" s="112"/>
      <c r="J67" s="112"/>
      <c r="K67" s="112"/>
    </row>
    <row r="68" spans="1:11">
      <c r="A68" s="112"/>
      <c r="B68" s="112"/>
      <c r="C68" s="112"/>
      <c r="D68" s="112"/>
      <c r="E68" s="112"/>
      <c r="F68" s="112"/>
      <c r="G68" s="112"/>
      <c r="H68" s="112"/>
      <c r="I68" s="112"/>
      <c r="J68" s="112"/>
      <c r="K68" s="112"/>
    </row>
    <row r="69" spans="1:11">
      <c r="A69" s="117" t="s">
        <v>234</v>
      </c>
      <c r="B69" s="117"/>
      <c r="C69" s="117"/>
      <c r="D69" s="117"/>
      <c r="E69" s="117"/>
      <c r="F69" s="117"/>
      <c r="G69" s="117"/>
      <c r="H69" s="117"/>
      <c r="I69" s="117"/>
      <c r="J69" s="117"/>
      <c r="K69" s="117"/>
    </row>
    <row r="70" spans="1:11">
      <c r="A70" s="112" t="s">
        <v>235</v>
      </c>
      <c r="B70" s="112"/>
      <c r="C70" s="112"/>
      <c r="D70" s="112"/>
      <c r="E70" s="112"/>
      <c r="F70" s="112"/>
      <c r="G70" s="112"/>
      <c r="H70" s="112"/>
      <c r="I70" s="112"/>
      <c r="J70" s="112"/>
      <c r="K70" s="112"/>
    </row>
    <row r="71" spans="1:11">
      <c r="A71" s="117" t="s">
        <v>236</v>
      </c>
      <c r="B71" s="117"/>
      <c r="C71" s="117"/>
      <c r="D71" s="117"/>
      <c r="E71" s="117"/>
      <c r="F71" s="117"/>
      <c r="G71" s="117"/>
      <c r="H71" s="117"/>
      <c r="I71" s="117"/>
      <c r="J71" s="117"/>
      <c r="K71" s="117"/>
    </row>
    <row r="72" spans="1:11">
      <c r="A72" s="112" t="s">
        <v>295</v>
      </c>
      <c r="B72" s="112"/>
      <c r="C72" s="112"/>
      <c r="D72" s="112"/>
      <c r="E72" s="112"/>
      <c r="F72" s="112"/>
      <c r="G72" s="112"/>
      <c r="H72" s="112"/>
      <c r="I72" s="112"/>
      <c r="J72" s="112"/>
      <c r="K72" s="112"/>
    </row>
    <row r="73" spans="1:11" ht="15" customHeight="1">
      <c r="A73" s="112"/>
      <c r="B73" s="112"/>
      <c r="C73" s="112"/>
      <c r="D73" s="112"/>
      <c r="E73" s="112"/>
      <c r="F73" s="112"/>
      <c r="G73" s="112"/>
      <c r="H73" s="112"/>
      <c r="I73" s="112"/>
      <c r="J73" s="112"/>
      <c r="K73" s="112"/>
    </row>
    <row r="74" spans="1:11">
      <c r="A74" s="96" t="s">
        <v>296</v>
      </c>
      <c r="B74" s="91"/>
      <c r="C74" s="91"/>
      <c r="D74" s="91"/>
      <c r="E74" s="91"/>
      <c r="F74" s="91"/>
      <c r="G74" s="91"/>
      <c r="H74" s="91"/>
      <c r="I74" s="91"/>
      <c r="J74" s="91"/>
      <c r="K74" s="102"/>
    </row>
    <row r="75" spans="1:11">
      <c r="A75" s="112" t="s">
        <v>297</v>
      </c>
      <c r="B75" s="112"/>
      <c r="C75" s="112"/>
      <c r="D75" s="112"/>
      <c r="E75" s="112"/>
      <c r="F75" s="112"/>
      <c r="G75" s="112"/>
      <c r="H75" s="112"/>
      <c r="I75" s="112"/>
      <c r="J75" s="112"/>
      <c r="K75" s="112"/>
    </row>
    <row r="76" spans="1:11">
      <c r="A76" s="112"/>
      <c r="B76" s="112"/>
      <c r="C76" s="112"/>
      <c r="D76" s="112"/>
      <c r="E76" s="112"/>
      <c r="F76" s="112"/>
      <c r="G76" s="112"/>
      <c r="H76" s="112"/>
      <c r="I76" s="112"/>
      <c r="J76" s="112"/>
      <c r="K76" s="112"/>
    </row>
    <row r="77" spans="1:11" ht="15" customHeight="1">
      <c r="A77" s="112"/>
      <c r="B77" s="112"/>
      <c r="C77" s="112"/>
      <c r="D77" s="112"/>
      <c r="E77" s="112"/>
      <c r="F77" s="112"/>
      <c r="G77" s="112"/>
      <c r="H77" s="112"/>
      <c r="I77" s="112"/>
      <c r="J77" s="112"/>
      <c r="K77" s="112"/>
    </row>
    <row r="78" spans="1:11">
      <c r="A78" s="112"/>
      <c r="B78" s="112"/>
      <c r="C78" s="112"/>
      <c r="D78" s="112"/>
      <c r="E78" s="112"/>
      <c r="F78" s="112"/>
      <c r="G78" s="112"/>
      <c r="H78" s="112"/>
      <c r="I78" s="112"/>
      <c r="J78" s="112"/>
      <c r="K78" s="112"/>
    </row>
    <row r="79" spans="1:11">
      <c r="A79" s="112" t="s">
        <v>298</v>
      </c>
      <c r="B79" s="112"/>
      <c r="C79" s="112"/>
      <c r="D79" s="112"/>
      <c r="E79" s="112"/>
      <c r="F79" s="112"/>
      <c r="G79" s="112"/>
      <c r="H79" s="112"/>
      <c r="I79" s="112"/>
      <c r="J79" s="112"/>
      <c r="K79" s="112"/>
    </row>
    <row r="80" spans="1:11">
      <c r="A80" s="112"/>
      <c r="B80" s="112"/>
      <c r="C80" s="112"/>
      <c r="D80" s="112"/>
      <c r="E80" s="112"/>
      <c r="F80" s="112"/>
      <c r="G80" s="112"/>
      <c r="H80" s="112"/>
      <c r="I80" s="112"/>
      <c r="J80" s="112"/>
      <c r="K80" s="112"/>
    </row>
    <row r="81" spans="1:11" ht="15" customHeight="1">
      <c r="A81" s="112" t="s">
        <v>299</v>
      </c>
      <c r="B81" s="112"/>
      <c r="C81" s="112"/>
      <c r="D81" s="112"/>
      <c r="E81" s="112"/>
      <c r="F81" s="112"/>
      <c r="G81" s="112"/>
      <c r="H81" s="112"/>
      <c r="I81" s="112"/>
      <c r="J81" s="112"/>
      <c r="K81" s="112"/>
    </row>
    <row r="82" spans="1:11" ht="15" customHeight="1">
      <c r="A82" s="112"/>
      <c r="B82" s="112"/>
      <c r="C82" s="112"/>
      <c r="D82" s="112"/>
      <c r="E82" s="112"/>
      <c r="F82" s="112"/>
      <c r="G82" s="112"/>
      <c r="H82" s="112"/>
      <c r="I82" s="112"/>
      <c r="J82" s="112"/>
      <c r="K82" s="112"/>
    </row>
    <row r="83" spans="1:11">
      <c r="A83" s="112" t="s">
        <v>300</v>
      </c>
      <c r="B83" s="112"/>
      <c r="C83" s="112"/>
      <c r="D83" s="112"/>
      <c r="E83" s="112"/>
      <c r="F83" s="112"/>
      <c r="G83" s="112"/>
      <c r="H83" s="112"/>
      <c r="I83" s="112"/>
      <c r="J83" s="112"/>
      <c r="K83" s="112"/>
    </row>
    <row r="84" spans="1:11" ht="15" customHeight="1">
      <c r="A84" s="112"/>
      <c r="B84" s="112"/>
      <c r="C84" s="112"/>
      <c r="D84" s="112"/>
      <c r="E84" s="112"/>
      <c r="F84" s="112"/>
      <c r="G84" s="112"/>
      <c r="H84" s="112"/>
      <c r="I84" s="112"/>
      <c r="J84" s="112"/>
      <c r="K84" s="112"/>
    </row>
    <row r="85" spans="1:11" ht="15" customHeight="1">
      <c r="A85" s="112" t="s">
        <v>301</v>
      </c>
      <c r="B85" s="112"/>
      <c r="C85" s="112"/>
      <c r="D85" s="112"/>
      <c r="E85" s="112"/>
      <c r="F85" s="112"/>
      <c r="G85" s="112"/>
      <c r="H85" s="112"/>
      <c r="I85" s="112"/>
      <c r="J85" s="112"/>
      <c r="K85" s="112"/>
    </row>
    <row r="86" spans="1:11" ht="15" customHeight="1">
      <c r="A86" s="112"/>
      <c r="B86" s="112"/>
      <c r="C86" s="112"/>
      <c r="D86" s="112"/>
      <c r="E86" s="112"/>
      <c r="F86" s="112"/>
      <c r="G86" s="112"/>
      <c r="H86" s="112"/>
      <c r="I86" s="112"/>
      <c r="J86" s="112"/>
      <c r="K86" s="112"/>
    </row>
    <row r="87" spans="1:11" ht="15" customHeight="1">
      <c r="A87" s="112"/>
      <c r="B87" s="112"/>
      <c r="C87" s="112"/>
      <c r="D87" s="112"/>
      <c r="E87" s="112"/>
      <c r="F87" s="112"/>
      <c r="G87" s="112"/>
      <c r="H87" s="112"/>
      <c r="I87" s="112"/>
      <c r="J87" s="112"/>
      <c r="K87" s="112"/>
    </row>
    <row r="88" spans="1:11" ht="15" customHeight="1">
      <c r="A88" s="112"/>
      <c r="B88" s="112"/>
      <c r="C88" s="112"/>
      <c r="D88" s="112"/>
      <c r="E88" s="112"/>
      <c r="F88" s="112"/>
      <c r="G88" s="112"/>
      <c r="H88" s="112"/>
      <c r="I88" s="112"/>
      <c r="J88" s="112"/>
      <c r="K88" s="112"/>
    </row>
    <row r="89" spans="1:11">
      <c r="A89" s="112" t="s">
        <v>302</v>
      </c>
      <c r="B89" s="112"/>
      <c r="C89" s="112"/>
      <c r="D89" s="112"/>
      <c r="E89" s="112"/>
      <c r="F89" s="112"/>
      <c r="G89" s="112"/>
      <c r="H89" s="112"/>
      <c r="I89" s="112"/>
      <c r="J89" s="112"/>
      <c r="K89" s="112"/>
    </row>
    <row r="90" spans="1:11" ht="12" customHeight="1">
      <c r="A90" s="112" t="s">
        <v>303</v>
      </c>
      <c r="B90" s="112"/>
      <c r="C90" s="112"/>
      <c r="D90" s="112"/>
      <c r="E90" s="112"/>
      <c r="F90" s="112"/>
      <c r="G90" s="112"/>
      <c r="H90" s="112"/>
      <c r="I90" s="112"/>
      <c r="J90" s="112"/>
      <c r="K90" s="112"/>
    </row>
    <row r="91" spans="1:11">
      <c r="A91" s="112"/>
      <c r="B91" s="112"/>
      <c r="C91" s="112"/>
      <c r="D91" s="112"/>
      <c r="E91" s="112"/>
      <c r="F91" s="112"/>
      <c r="G91" s="112"/>
      <c r="H91" s="112"/>
      <c r="I91" s="112"/>
      <c r="J91" s="112"/>
      <c r="K91" s="112"/>
    </row>
    <row r="92" spans="1:11" ht="15" customHeight="1">
      <c r="A92" s="113" t="s">
        <v>304</v>
      </c>
      <c r="B92" s="113"/>
      <c r="C92" s="113"/>
      <c r="D92" s="113"/>
      <c r="E92" s="113"/>
      <c r="F92" s="113"/>
      <c r="G92" s="113"/>
      <c r="H92" s="113"/>
      <c r="I92" s="113"/>
      <c r="J92" s="113"/>
      <c r="K92" s="113"/>
    </row>
    <row r="93" spans="1:11">
      <c r="A93" s="113" t="s">
        <v>305</v>
      </c>
      <c r="B93" s="113"/>
      <c r="C93" s="113"/>
      <c r="D93" s="113"/>
      <c r="E93" s="113"/>
      <c r="F93" s="113"/>
      <c r="G93" s="113"/>
      <c r="H93" s="113"/>
      <c r="I93" s="113"/>
      <c r="J93" s="113"/>
      <c r="K93" s="113"/>
    </row>
    <row r="94" spans="1:11" ht="15" customHeight="1">
      <c r="A94" s="112" t="s">
        <v>306</v>
      </c>
      <c r="B94" s="112"/>
      <c r="C94" s="112"/>
      <c r="D94" s="112"/>
      <c r="E94" s="112"/>
      <c r="F94" s="112"/>
      <c r="G94" s="112"/>
      <c r="H94" s="112"/>
      <c r="I94" s="112"/>
      <c r="J94" s="112"/>
      <c r="K94" s="112"/>
    </row>
    <row r="95" spans="1:11">
      <c r="A95" s="112"/>
      <c r="B95" s="112"/>
      <c r="C95" s="112"/>
      <c r="D95" s="112"/>
      <c r="E95" s="112"/>
      <c r="F95" s="112"/>
      <c r="G95" s="112"/>
      <c r="H95" s="112"/>
      <c r="I95" s="112"/>
      <c r="J95" s="112"/>
      <c r="K95" s="112"/>
    </row>
    <row r="96" spans="1:11">
      <c r="A96" s="112"/>
      <c r="B96" s="112"/>
      <c r="C96" s="112"/>
      <c r="D96" s="112"/>
      <c r="E96" s="112"/>
      <c r="F96" s="112"/>
      <c r="G96" s="112"/>
      <c r="H96" s="112"/>
      <c r="I96" s="112"/>
      <c r="J96" s="112"/>
      <c r="K96" s="112"/>
    </row>
    <row r="97" spans="1:11" ht="15" customHeight="1">
      <c r="A97" s="112"/>
      <c r="B97" s="112"/>
      <c r="C97" s="112"/>
      <c r="D97" s="112"/>
      <c r="E97" s="112"/>
      <c r="F97" s="112"/>
      <c r="G97" s="112"/>
      <c r="H97" s="112"/>
      <c r="I97" s="112"/>
      <c r="J97" s="112"/>
      <c r="K97" s="112"/>
    </row>
    <row r="98" spans="1:11" ht="15" customHeight="1">
      <c r="A98" s="112" t="s">
        <v>307</v>
      </c>
      <c r="B98" s="112"/>
      <c r="C98" s="112"/>
      <c r="D98" s="112"/>
      <c r="E98" s="112"/>
      <c r="F98" s="112"/>
      <c r="G98" s="112"/>
      <c r="H98" s="112"/>
      <c r="I98" s="112"/>
      <c r="J98" s="112"/>
      <c r="K98" s="112"/>
    </row>
    <row r="99" spans="1:11" ht="15" customHeight="1">
      <c r="A99" s="112"/>
      <c r="B99" s="112"/>
      <c r="C99" s="112"/>
      <c r="D99" s="112"/>
      <c r="E99" s="112"/>
      <c r="F99" s="112"/>
      <c r="G99" s="112"/>
      <c r="H99" s="112"/>
      <c r="I99" s="112"/>
      <c r="J99" s="112"/>
      <c r="K99" s="112"/>
    </row>
    <row r="100" spans="1:11">
      <c r="A100" s="112"/>
      <c r="B100" s="112"/>
      <c r="C100" s="112"/>
      <c r="D100" s="112"/>
      <c r="E100" s="112"/>
      <c r="F100" s="112"/>
      <c r="G100" s="112"/>
      <c r="H100" s="112"/>
      <c r="I100" s="112"/>
      <c r="J100" s="112"/>
      <c r="K100" s="112"/>
    </row>
    <row r="101" spans="1:11">
      <c r="A101" s="112" t="s">
        <v>308</v>
      </c>
      <c r="B101" s="112"/>
      <c r="C101" s="112"/>
      <c r="D101" s="112"/>
      <c r="E101" s="112"/>
      <c r="F101" s="112"/>
      <c r="G101" s="112"/>
      <c r="H101" s="112"/>
      <c r="I101" s="112"/>
      <c r="J101" s="112"/>
      <c r="K101" s="112"/>
    </row>
    <row r="102" spans="1:11">
      <c r="A102" s="112"/>
      <c r="B102" s="112"/>
      <c r="C102" s="112"/>
      <c r="D102" s="112"/>
      <c r="E102" s="112"/>
      <c r="F102" s="112"/>
      <c r="G102" s="112"/>
      <c r="H102" s="112"/>
      <c r="I102" s="112"/>
      <c r="J102" s="112"/>
      <c r="K102" s="112"/>
    </row>
    <row r="103" spans="1:11">
      <c r="A103" s="112" t="s">
        <v>309</v>
      </c>
      <c r="B103" s="112"/>
      <c r="C103" s="112"/>
      <c r="D103" s="112"/>
      <c r="E103" s="112"/>
      <c r="F103" s="112"/>
      <c r="G103" s="112"/>
      <c r="H103" s="112"/>
      <c r="I103" s="112"/>
      <c r="J103" s="112"/>
      <c r="K103" s="112"/>
    </row>
    <row r="104" spans="1:11" ht="15" customHeight="1">
      <c r="A104" s="112"/>
      <c r="B104" s="112"/>
      <c r="C104" s="112"/>
      <c r="D104" s="112"/>
      <c r="E104" s="112"/>
      <c r="F104" s="112"/>
      <c r="G104" s="112"/>
      <c r="H104" s="112"/>
      <c r="I104" s="112"/>
      <c r="J104" s="112"/>
      <c r="K104" s="112"/>
    </row>
    <row r="105" spans="1:11" ht="15" customHeight="1">
      <c r="A105" s="112" t="s">
        <v>310</v>
      </c>
      <c r="B105" s="112"/>
      <c r="C105" s="112"/>
      <c r="D105" s="112"/>
      <c r="E105" s="112"/>
      <c r="F105" s="112"/>
      <c r="G105" s="112"/>
      <c r="H105" s="112"/>
      <c r="I105" s="112"/>
      <c r="J105" s="112"/>
      <c r="K105" s="112"/>
    </row>
    <row r="106" spans="1:11">
      <c r="A106" s="112"/>
      <c r="B106" s="112"/>
      <c r="C106" s="112"/>
      <c r="D106" s="112"/>
      <c r="E106" s="112"/>
      <c r="F106" s="112"/>
      <c r="G106" s="112"/>
      <c r="H106" s="112"/>
      <c r="I106" s="112"/>
      <c r="J106" s="112"/>
      <c r="K106" s="112"/>
    </row>
    <row r="107" spans="1:11" ht="15" customHeight="1">
      <c r="A107" s="112" t="s">
        <v>311</v>
      </c>
      <c r="B107" s="112"/>
      <c r="C107" s="112"/>
      <c r="D107" s="112"/>
      <c r="E107" s="112"/>
      <c r="F107" s="112"/>
      <c r="G107" s="112"/>
      <c r="H107" s="112"/>
      <c r="I107" s="112"/>
      <c r="J107" s="112"/>
      <c r="K107" s="112"/>
    </row>
    <row r="108" spans="1:11">
      <c r="A108" s="112"/>
      <c r="B108" s="112"/>
      <c r="C108" s="112"/>
      <c r="D108" s="112"/>
      <c r="E108" s="112"/>
      <c r="F108" s="112"/>
      <c r="G108" s="112"/>
      <c r="H108" s="112"/>
      <c r="I108" s="112"/>
      <c r="J108" s="112"/>
      <c r="K108" s="112"/>
    </row>
    <row r="109" spans="1:11" ht="15" customHeight="1">
      <c r="A109" s="112" t="s">
        <v>312</v>
      </c>
      <c r="B109" s="112"/>
      <c r="C109" s="112"/>
      <c r="D109" s="112"/>
      <c r="E109" s="112"/>
      <c r="F109" s="112"/>
      <c r="G109" s="112"/>
      <c r="H109" s="112"/>
      <c r="I109" s="112"/>
      <c r="J109" s="112"/>
      <c r="K109" s="112"/>
    </row>
    <row r="110" spans="1:11" ht="15" customHeight="1">
      <c r="A110" s="112"/>
      <c r="B110" s="112"/>
      <c r="C110" s="112"/>
      <c r="D110" s="112"/>
      <c r="E110" s="112"/>
      <c r="F110" s="112"/>
      <c r="G110" s="112"/>
      <c r="H110" s="112"/>
      <c r="I110" s="112"/>
      <c r="J110" s="112"/>
      <c r="K110" s="112"/>
    </row>
    <row r="111" spans="1:11" ht="15" customHeight="1">
      <c r="A111" s="112" t="s">
        <v>313</v>
      </c>
      <c r="B111" s="112"/>
      <c r="C111" s="112"/>
      <c r="D111" s="112"/>
      <c r="E111" s="112"/>
      <c r="F111" s="112"/>
      <c r="G111" s="112"/>
      <c r="H111" s="112"/>
      <c r="I111" s="112"/>
      <c r="J111" s="112"/>
      <c r="K111" s="112"/>
    </row>
    <row r="112" spans="1:11" ht="15" customHeight="1">
      <c r="A112" s="112"/>
      <c r="B112" s="112"/>
      <c r="C112" s="112"/>
      <c r="D112" s="112"/>
      <c r="E112" s="112"/>
      <c r="F112" s="112"/>
      <c r="G112" s="112"/>
      <c r="H112" s="112"/>
      <c r="I112" s="112"/>
      <c r="J112" s="112"/>
      <c r="K112" s="112"/>
    </row>
    <row r="113" spans="1:11" ht="15" customHeight="1">
      <c r="A113" s="112" t="s">
        <v>314</v>
      </c>
      <c r="B113" s="112"/>
      <c r="C113" s="112"/>
      <c r="D113" s="112"/>
      <c r="E113" s="112"/>
      <c r="F113" s="112"/>
      <c r="G113" s="112"/>
      <c r="H113" s="112"/>
      <c r="I113" s="112"/>
      <c r="J113" s="112"/>
      <c r="K113" s="112"/>
    </row>
    <row r="114" spans="1:11" ht="15" customHeight="1">
      <c r="A114" s="112"/>
      <c r="B114" s="112"/>
      <c r="C114" s="112"/>
      <c r="D114" s="112"/>
      <c r="E114" s="112"/>
      <c r="F114" s="112"/>
      <c r="G114" s="112"/>
      <c r="H114" s="112"/>
      <c r="I114" s="112"/>
      <c r="J114" s="112"/>
      <c r="K114" s="112"/>
    </row>
    <row r="115" spans="1:11" ht="15" customHeight="1">
      <c r="A115" s="112" t="s">
        <v>315</v>
      </c>
      <c r="B115" s="112"/>
      <c r="C115" s="112"/>
      <c r="D115" s="112"/>
      <c r="E115" s="112"/>
      <c r="F115" s="112"/>
      <c r="G115" s="112"/>
      <c r="H115" s="112"/>
      <c r="I115" s="112"/>
      <c r="J115" s="112"/>
      <c r="K115" s="112"/>
    </row>
    <row r="116" spans="1:11" ht="15" customHeight="1">
      <c r="A116" s="112"/>
      <c r="B116" s="112"/>
      <c r="C116" s="112"/>
      <c r="D116" s="112"/>
      <c r="E116" s="112"/>
      <c r="F116" s="112"/>
      <c r="G116" s="112"/>
      <c r="H116" s="112"/>
      <c r="I116" s="112"/>
      <c r="J116" s="112"/>
      <c r="K116" s="112"/>
    </row>
    <row r="117" spans="1:11" ht="15" customHeight="1">
      <c r="A117" s="113" t="s">
        <v>316</v>
      </c>
      <c r="B117" s="113"/>
      <c r="C117" s="113"/>
      <c r="D117" s="113"/>
      <c r="E117" s="113"/>
      <c r="F117" s="113"/>
      <c r="G117" s="113"/>
      <c r="H117" s="113"/>
      <c r="I117" s="113"/>
      <c r="J117" s="113"/>
      <c r="K117" s="113"/>
    </row>
    <row r="118" spans="1:11">
      <c r="A118" s="96"/>
      <c r="B118" s="91"/>
      <c r="C118" s="91"/>
      <c r="D118" s="91"/>
      <c r="E118" s="91"/>
      <c r="F118" s="91"/>
      <c r="G118" s="91"/>
      <c r="H118" s="91"/>
      <c r="I118" s="91"/>
      <c r="J118" s="91"/>
    </row>
    <row r="119" spans="1:11">
      <c r="A119" s="114" t="s">
        <v>317</v>
      </c>
      <c r="B119" s="114"/>
      <c r="C119" s="114"/>
      <c r="D119" s="114"/>
      <c r="E119" s="114"/>
      <c r="F119" s="114"/>
      <c r="G119" s="114"/>
      <c r="H119" s="114"/>
      <c r="I119" s="114"/>
      <c r="J119" s="114"/>
      <c r="K119" s="114"/>
    </row>
    <row r="120" spans="1:11" ht="15" customHeight="1">
      <c r="A120" s="115" t="s">
        <v>504</v>
      </c>
      <c r="B120" s="115"/>
      <c r="C120" s="115"/>
      <c r="D120" s="115"/>
      <c r="E120" s="115"/>
      <c r="F120" s="115"/>
      <c r="G120" s="115"/>
      <c r="H120" s="115"/>
      <c r="I120" s="115"/>
      <c r="J120" s="115"/>
      <c r="K120" s="115"/>
    </row>
    <row r="121" spans="1:11">
      <c r="A121" s="100"/>
      <c r="B121" s="100"/>
      <c r="C121" s="100"/>
      <c r="D121" s="100"/>
      <c r="E121" s="100"/>
      <c r="F121" s="100"/>
      <c r="G121" s="100"/>
      <c r="H121" s="100"/>
      <c r="I121" s="100"/>
      <c r="J121" s="100"/>
      <c r="K121" s="101"/>
    </row>
    <row r="122" spans="1:11">
      <c r="A122" s="96"/>
      <c r="B122" s="91"/>
      <c r="C122" s="91"/>
      <c r="D122" s="91"/>
      <c r="E122" s="91"/>
      <c r="F122" s="91"/>
      <c r="G122" s="91"/>
      <c r="H122" s="91"/>
      <c r="I122" s="91"/>
      <c r="J122" s="91"/>
      <c r="K122" s="91"/>
    </row>
    <row r="123" spans="1:11">
      <c r="A123" s="96"/>
      <c r="B123" s="91"/>
      <c r="C123" s="91"/>
      <c r="D123" s="91"/>
      <c r="E123" s="91"/>
      <c r="F123" s="91"/>
      <c r="G123" s="91"/>
      <c r="H123" s="91"/>
      <c r="I123" s="91"/>
      <c r="J123" s="91"/>
      <c r="K123" s="91"/>
    </row>
    <row r="124" spans="1:11">
      <c r="A124" s="92"/>
      <c r="B124" s="91"/>
      <c r="C124" s="91"/>
      <c r="D124" s="91"/>
      <c r="E124" s="91"/>
      <c r="F124" s="91"/>
      <c r="G124" s="91"/>
      <c r="H124" s="91"/>
      <c r="I124" s="91"/>
      <c r="J124" s="91"/>
      <c r="K124" s="91"/>
    </row>
    <row r="125" spans="1:11">
      <c r="A125" s="91"/>
      <c r="B125" s="91"/>
      <c r="C125" s="91"/>
      <c r="D125" s="91"/>
      <c r="E125" s="91"/>
      <c r="F125" s="91"/>
      <c r="G125" s="91"/>
      <c r="H125" s="91"/>
      <c r="I125" s="91"/>
      <c r="J125" s="91"/>
      <c r="K125" s="91"/>
    </row>
    <row r="126" spans="1:11">
      <c r="A126" s="91"/>
      <c r="B126" s="91"/>
      <c r="C126" s="91"/>
      <c r="D126" s="91"/>
      <c r="E126" s="91"/>
      <c r="F126" s="91"/>
      <c r="G126" s="91"/>
      <c r="H126" s="91"/>
      <c r="I126" s="91"/>
      <c r="J126" s="91"/>
      <c r="K126" s="91"/>
    </row>
    <row r="127" spans="1:11">
      <c r="A127" s="90"/>
      <c r="B127" s="91"/>
      <c r="C127" s="91"/>
      <c r="D127" s="91"/>
      <c r="E127" s="91"/>
      <c r="F127" s="91"/>
      <c r="G127" s="91"/>
      <c r="H127" s="91"/>
      <c r="I127" s="91"/>
      <c r="J127" s="91"/>
      <c r="K127" s="91"/>
    </row>
    <row r="128" spans="1:11">
      <c r="A128" s="93"/>
      <c r="B128" s="91"/>
      <c r="C128" s="91"/>
      <c r="D128" s="91"/>
      <c r="E128" s="91"/>
      <c r="F128" s="91"/>
      <c r="G128" s="91"/>
      <c r="H128" s="91"/>
      <c r="I128" s="91"/>
      <c r="J128" s="91"/>
      <c r="K128" s="91"/>
    </row>
    <row r="131" spans="1:11">
      <c r="A131" s="90"/>
      <c r="B131" s="91"/>
      <c r="C131" s="91"/>
      <c r="D131" s="91"/>
      <c r="E131" s="91"/>
      <c r="F131" s="91"/>
      <c r="G131" s="91"/>
      <c r="H131" s="91"/>
      <c r="I131" s="91"/>
      <c r="J131" s="91"/>
      <c r="K131" s="91"/>
    </row>
    <row r="132" spans="1:11">
      <c r="A132" s="90"/>
      <c r="B132" s="91"/>
      <c r="C132" s="91"/>
      <c r="D132" s="91"/>
      <c r="E132" s="91"/>
      <c r="F132" s="91"/>
      <c r="G132" s="91"/>
      <c r="H132" s="91"/>
      <c r="I132" s="91"/>
      <c r="J132" s="91"/>
      <c r="K132" s="91"/>
    </row>
    <row r="133" spans="1:11">
      <c r="A133" s="93"/>
      <c r="B133" s="91"/>
      <c r="C133" s="91"/>
      <c r="D133" s="91"/>
      <c r="E133" s="91"/>
      <c r="F133" s="91"/>
      <c r="G133" s="91"/>
      <c r="H133" s="91"/>
      <c r="I133" s="91"/>
      <c r="J133" s="91"/>
      <c r="K133" s="91"/>
    </row>
    <row r="134" spans="1:11">
      <c r="A134" s="90"/>
    </row>
    <row r="135" spans="1:11">
      <c r="A135" s="93"/>
    </row>
    <row r="136" spans="1:11">
      <c r="A136" s="90"/>
    </row>
    <row r="137" spans="1:11">
      <c r="A137" s="93"/>
    </row>
    <row r="138" spans="1:11">
      <c r="A138" s="75"/>
      <c r="B138" s="75"/>
      <c r="C138" s="75"/>
      <c r="D138" s="75"/>
      <c r="E138" s="75"/>
      <c r="F138" s="75"/>
      <c r="G138" s="75"/>
      <c r="H138" s="75"/>
      <c r="I138" s="75"/>
      <c r="J138" s="75"/>
      <c r="K138" s="75"/>
    </row>
    <row r="139" spans="1:11">
      <c r="A139" s="75"/>
      <c r="B139" s="75"/>
      <c r="C139" s="75"/>
      <c r="D139" s="75"/>
      <c r="E139" s="75"/>
      <c r="F139" s="75"/>
      <c r="G139" s="75"/>
      <c r="H139" s="75"/>
      <c r="I139" s="75"/>
      <c r="J139" s="75"/>
      <c r="K139" s="75"/>
    </row>
    <row r="140" spans="1:11">
      <c r="A140" s="75"/>
      <c r="B140" s="75"/>
      <c r="C140" s="75"/>
      <c r="D140" s="75"/>
      <c r="E140" s="75"/>
      <c r="F140" s="75"/>
      <c r="G140" s="75"/>
      <c r="H140" s="75"/>
      <c r="I140" s="75"/>
      <c r="J140" s="75"/>
      <c r="K140" s="75"/>
    </row>
    <row r="150" spans="1:1">
      <c r="A150" s="80"/>
    </row>
    <row r="151" spans="1:1">
      <c r="A151" s="81"/>
    </row>
  </sheetData>
  <sheetProtection algorithmName="SHA-512" hashValue="sk73c1NFUeR0ygnhtyzgHTGRcOXIfEA+6Wrr/SuVAP+i5wbF1w+wpwXU0XJQBUDNCsYkAegqZd8jg9PHnm+p9Q==" saltValue="rmEWUlRGWqm1jUyewirGVA==" spinCount="100000" sheet="1" objects="1" scenarios="1"/>
  <mergeCells count="68">
    <mergeCell ref="A33:K33"/>
    <mergeCell ref="A23:K23"/>
    <mergeCell ref="A24:K24"/>
    <mergeCell ref="A25:K25"/>
    <mergeCell ref="A26:K26"/>
    <mergeCell ref="A27:K27"/>
    <mergeCell ref="A30:K30"/>
    <mergeCell ref="A31:K31"/>
    <mergeCell ref="A32:K32"/>
    <mergeCell ref="A22:K22"/>
    <mergeCell ref="A21:K21"/>
    <mergeCell ref="A12:K12"/>
    <mergeCell ref="A28:K28"/>
    <mergeCell ref="A29:K29"/>
    <mergeCell ref="A45:K45"/>
    <mergeCell ref="A34:K34"/>
    <mergeCell ref="A35:K35"/>
    <mergeCell ref="A36:K36"/>
    <mergeCell ref="A37:K37"/>
    <mergeCell ref="A38:K38"/>
    <mergeCell ref="A39:K39"/>
    <mergeCell ref="A40:K40"/>
    <mergeCell ref="A41:K41"/>
    <mergeCell ref="A42:K42"/>
    <mergeCell ref="A43:K43"/>
    <mergeCell ref="A44:K44"/>
    <mergeCell ref="A113:K114"/>
    <mergeCell ref="A46:K46"/>
    <mergeCell ref="A47:K47"/>
    <mergeCell ref="A48:K48"/>
    <mergeCell ref="A49:K49"/>
    <mergeCell ref="A50:K50"/>
    <mergeCell ref="A51:K51"/>
    <mergeCell ref="A57:K57"/>
    <mergeCell ref="A52:K52"/>
    <mergeCell ref="A53:K53"/>
    <mergeCell ref="A94:K97"/>
    <mergeCell ref="A54:K54"/>
    <mergeCell ref="A55:K55"/>
    <mergeCell ref="A56:K56"/>
    <mergeCell ref="A111:K112"/>
    <mergeCell ref="A98:K100"/>
    <mergeCell ref="A101:K102"/>
    <mergeCell ref="A103:K104"/>
    <mergeCell ref="A105:K106"/>
    <mergeCell ref="A107:K108"/>
    <mergeCell ref="A109:K110"/>
    <mergeCell ref="A85:K88"/>
    <mergeCell ref="A89:K89"/>
    <mergeCell ref="A90:K91"/>
    <mergeCell ref="A92:K92"/>
    <mergeCell ref="A93:K93"/>
    <mergeCell ref="A115:K116"/>
    <mergeCell ref="A117:K117"/>
    <mergeCell ref="A119:K119"/>
    <mergeCell ref="A120:K120"/>
    <mergeCell ref="A62:K62"/>
    <mergeCell ref="A63:K64"/>
    <mergeCell ref="A65:K66"/>
    <mergeCell ref="A67:K68"/>
    <mergeCell ref="A69:K69"/>
    <mergeCell ref="A70:K70"/>
    <mergeCell ref="A71:K71"/>
    <mergeCell ref="A72:K73"/>
    <mergeCell ref="A75:K78"/>
    <mergeCell ref="A79:K80"/>
    <mergeCell ref="A81:K82"/>
    <mergeCell ref="A83:K84"/>
  </mergeCells>
  <hyperlinks>
    <hyperlink ref="A56:K56" location="'Allotj.municipi_04 (41)'!A1" display="Distribució de la capacitat d'allotjament per municipis a Mallorca (2004)……………..…………………....................................................…………………………………………pàg 41" xr:uid="{00000000-0004-0000-0000-000000000000}"/>
    <hyperlink ref="A55:K55" location="'TotalAllotj_04 (40)'!A1" display="Capacitat d'allotjament per tipus d'establiment i categoria a Mallorca (2004)………………………....................................................…………………………………………...pàg 40" xr:uid="{00000000-0004-0000-0000-000001000000}"/>
    <hyperlink ref="A54:K54" location="'Allotj.municipi_05 (39)'!A1" display="Distribució de la capacitat d'allotjament per municipis a Mallorca (2005)……………..…………………………………....................................................…………………………pàg 39" xr:uid="{00000000-0004-0000-0000-000002000000}"/>
    <hyperlink ref="A53:K53" location="'TotalAllotj_05 (38)'!A1" display="Capacitat d'allotjament per tipus d'establiment i categoria a Mallorca (2005)………………………………………………....................................................…………………...pàg 38" xr:uid="{00000000-0004-0000-0000-000003000000}"/>
    <hyperlink ref="A52:K52" location="'Allotj.municipi_06 (37)'!A1" display="Distribució de la capacitat d'allotjament per municipis a Mallorca (2006)……………..…………………………………………....................................................…………………pàg 37" xr:uid="{00000000-0004-0000-0000-000004000000}"/>
    <hyperlink ref="A51:K51" location="'TotalAllotj_06 (36)'!A1" display="Capacitat d'allotjament per tipus d'establiment i categoria a Mallorca (2006)………………………………………………....................................................…………………...pàg 36" xr:uid="{00000000-0004-0000-0000-000005000000}"/>
    <hyperlink ref="A50:K50" location="'Allotj.municipi_07 (35)'!A1" display="Distribució de la capacitat d'allotjament per municipis a Mallorca (2007)……………..……………………………....................................................………………………………pàg 35" xr:uid="{00000000-0004-0000-0000-000006000000}"/>
    <hyperlink ref="A49:K49" location="'TotalAllotj_07 (34)'!A1" display="Capacitat d'allotjament per tipus d'establiment i categoria a Mallorca (2007)………………....................................................…………………………………………………...pàg 34" xr:uid="{00000000-0004-0000-0000-000007000000}"/>
    <hyperlink ref="A48:K48" location="'Allotj.municipi_08 (33)'!A1" display="Distribució de la capacitat d'allotjament per municipis a Mallorca (2008)……………..………………………………......................................................………………………...pàg 33" xr:uid="{00000000-0004-0000-0000-000008000000}"/>
    <hyperlink ref="A47:K47" location="'TotalAllotj_08 (32)'!A1" display="Capacitat d'allotjament per tipus d'establiment i categoria a Mallorca (2008)…………………………………………......................................................……………………….pàg 32" xr:uid="{00000000-0004-0000-0000-000009000000}"/>
    <hyperlink ref="A46:K46" location="'Allotj.municipi_09 (31)'!A1" display="Distribució de la capacitat d'allotjament per municipis a Mallorca (2009)…..……………………………………………......................................................……………………...pàg 31" xr:uid="{00000000-0004-0000-0000-00000A000000}"/>
    <hyperlink ref="A45:K45" location="'TotalAllotj_09 (30)'!A1" display="Capacitat d'allotjament per tipus d'establiment i categoria a Mallorca (2009)……………………………………………………......................................................…………….pàg 30" xr:uid="{00000000-0004-0000-0000-00000B000000}"/>
    <hyperlink ref="A44:K44" location="'Allotj.municipi_10 (29)'!A1" display="Distribució de la capacitat d'allotjament per municipis a Mallorca (2010)……………..……………………………………………....................................................………………pàg 29" xr:uid="{00000000-0004-0000-0000-00000C000000}"/>
    <hyperlink ref="A43:K43" location="'TotalAllotj_10 (28)'!A1" display="Capacitat d'allotjament per tipus d'establiment i categoria a Mallorca (2010)………………………………....................................................…………………………………...pàg 28" xr:uid="{00000000-0004-0000-0000-00000D000000}"/>
    <hyperlink ref="A42:K42" location="'Allotj.municipi_11 (27)'!A1" display="Distribució de la capacitat d'allotjament per municipis a Mallorca (2011)……………..…………………………………………………....................................................…………pàg 27" xr:uid="{00000000-0004-0000-0000-00000E000000}"/>
    <hyperlink ref="A41:K41" location="'TotalAllotj_11 (26)'!A1" display="Capacitat d'allotjament per tipus d'establiment i categoria a Mallorca (2011)…………………………....................................................………………………………………...pàg 26" xr:uid="{00000000-0004-0000-0000-00000F000000}"/>
    <hyperlink ref="A40:K40" location="'Allotj.municipi_12 (25)'!A1" display="Distribució de la capacitat d'allotjament per municipis a Mallorca (2012)……………..……..…………………….......................................................……………………………pàg 25" xr:uid="{00000000-0004-0000-0000-000010000000}"/>
    <hyperlink ref="A39:K39" location="'TotalAllotj_12 (24)'!A1" display="Capacitat d'allotjament per tipus d'establiment i categoria a Mallorca (2012)…………………………………………………....................................................………………...pàg 24" xr:uid="{00000000-0004-0000-0000-000011000000}"/>
    <hyperlink ref="A38:K38" location="'Allotj.municipi_13 (23)'!A1" display="Distribució de la capacitat d'allotjament per municipis a Mallorca (2013)……………..…………………………………………....................................................…………………pàg 23" xr:uid="{00000000-0004-0000-0000-000012000000}"/>
    <hyperlink ref="A37:K37" location="'TotalAllotj_13 (22)'!A1" display="Capacitat d'allotjament per tipus d'establiment i categoria a Mallorca (2013)……………………………………………………....................................................……………...pàg 22" xr:uid="{00000000-0004-0000-0000-000013000000}"/>
    <hyperlink ref="A36:K36" location="'Allotj.municipi_14 (21)'!A1" display="Distribució de la capacitat d'allotjament per municipis a Mallorca (2014)……………..…………………………………....................................................…………………………pàg 21" xr:uid="{00000000-0004-0000-0000-000014000000}"/>
    <hyperlink ref="A35:K35" location="'TotalAllotj_14 (20)'!A1" display="Capacitat d'allotjament per tipus d'establiment i categoria a Mallorca (2014)……………………………………....................................................……………………………...pàg 20" xr:uid="{00000000-0004-0000-0000-000015000000}"/>
    <hyperlink ref="A34:K34" location="'Allotj.municipi_15 (19)'!A1" display="Distribució de la capacitat d'allotjament per municipis a Mallorca (2015)……………..………………………....................................................……………………………………pàg 19" xr:uid="{00000000-0004-0000-0000-000016000000}"/>
    <hyperlink ref="A21:K21" location="'TotalAllotj_21 (6)'!A1" display="Capacitat d'allotjament per tipus d'establiment i categoria a Mallorca (2021)………………..............................…………….….………………....................…………………...pàg 6" xr:uid="{704BEB6D-9CB1-45B2-9547-3D8B59039052}"/>
    <hyperlink ref="A22:K22" location="'Allotj.municipi_21 (7)'!A1" display="Distribució de la capacitat d'allotjament per municipis a Mallorca (2021)……………..……………………..................................……...………....................……………………pàg 7" xr:uid="{9504579B-5EB6-46A8-841C-4470D6255B11}"/>
    <hyperlink ref="A23:K23" location="'TotalAllotj_20 (8)'!A1" display="Capacitat d'allotjament per tipus d'establiment i categoria a Mallorca (2020)…………………………......................................……..……….................……………………...pàg 8" xr:uid="{554170A3-8D0E-4F2E-BC5B-AF162A5A4023}"/>
    <hyperlink ref="A24:K24" location="'Allotj.municipi_20 (9)'!A1" display="Distribució de la capacitat d'allotjament per municipis a Mallorca (2020)……………..…....................................................……..…..................……………………………pàg 9" xr:uid="{BDEE1FE0-46C4-473A-85D2-BD9F69DAEA43}"/>
    <hyperlink ref="A25:K25" location="'TotalAllotj_19 (10)'!A1" display="Capacitat d'allotjament per tipus d'establiment i categoria a Mallorca (2019)………………………………............................................................…………………………...pàg 10" xr:uid="{EB422E07-0903-4AB3-892C-158B79477F9E}"/>
    <hyperlink ref="A26:K26" location="'Allotj.municipi_19 (11)'!A1" display="Distribució de la capacitat d'allotjament per municipis a Mallorca (2019)……………..……………………………......................................................................……………pàg 11" xr:uid="{BAD16B31-3412-4F0E-9254-E4DC3EC8C1FA}"/>
    <hyperlink ref="A27:K27" location="'TotalAllotj_18 (12)'!A1" display="Capacitat d'allotjament per tipus d'establiment i categoria a Mallorca (2018)………………………......................................……………..................………………………...pàg 12" xr:uid="{A3C64A93-D872-412E-91C3-23488F72086D}"/>
    <hyperlink ref="A28:K28" location="'Allotj.municipi_18 (13)'!A1" display="Distribució de la capacitat d'allotjament per municipis a Mallorca (2018)……………...……………….........................................................................……………………pàg 13" xr:uid="{C4B80A43-04E9-4FF3-BD01-6A73FB1FFB2B}"/>
    <hyperlink ref="A29:K29" location="'TotalAllotj_17 (14)'!A1" display="Capacitat d'allotjament per tipus d'establiment i categoria a Mallorca (2017)…………..…………...................................................................…………………………...pàg 14" xr:uid="{0702ED26-F1CA-4657-869D-D07B953CF802}"/>
    <hyperlink ref="A30:K30" location="'Allotj.municipi_17 (15)'!A1" display="Distribució de la capacitat d'allotjament per municipis a Mallorca (2017)……………..…….……….........................................................................………………………pàg 15" xr:uid="{E3F8EE49-75A7-44C5-B0D4-4B53B88EBE88}"/>
    <hyperlink ref="A31:K31" location="'TotalAllotj_16 (16)'!A1" display="Capacitat d'allotjament per tipus d'establiment i categoria a Mallorca (2016)……………………………………….....................................................................………...pàg 16" xr:uid="{BE113B75-A7A5-4011-A2DC-4A9C07677645}"/>
    <hyperlink ref="A32:K32" location="'Allotj.municipi_16 (17)'!A1" display="Distribució de la capacitat d'allotjament per municipis a Mallorca (2016)……………..…….......………..................................................…………………………………………pàg 17" xr:uid="{8692F82A-96C9-443E-B852-87567BC82314}"/>
    <hyperlink ref="A33:K33" location="'TotalAllotj_15 (18)'!A1" display="Capacitat d'allotjament per tipus d'establiment i categoria a Mallorca (2015)…………………………………………………....................................................………………...pàg 18" xr:uid="{3DFBFC10-39D3-4ABE-B00D-6617350C6A00}"/>
    <hyperlink ref="A19:K19" location="'TotalAllotj_22 (4)'!A1" display="Capacitat d'allotjament per tipus d'establiment i categoria a Mallorca (2022)………………..............................…………….….………………....................…………………...pàg 4" xr:uid="{AD2D25C3-07EC-45CA-AD2D-3E29AEE79A32}"/>
    <hyperlink ref="A20:K20" location="'Allotj.municipi_22 (5)'!A1" display="Distribució de la capacitat d'allotjament per municipis a Mallorca (2022)……………..……………………..................................……...………....................……………………pàg 5" xr:uid="{331AAD5E-F4B0-4ACD-9BCA-903E5C63DD2E}"/>
    <hyperlink ref="A17:K17" location="'TotalAllotj_22 (4)'!A1" display="Capacitat d'allotjament per tipus d'establiment i categoria a Mallorca (2022)………………..............................…………….….………………....................…………………...pàg 4" xr:uid="{E190AF3B-814D-41FF-B1E3-D52330F8285F}"/>
    <hyperlink ref="A18:K18" location="'Allotj.municipi_22 (5)'!A1" display="Distribució de la capacitat d'allotjament per municipis a Mallorca (2022)……………..……………………..................................……...………....................……………………pàg 5" xr:uid="{7C7D5C9B-5BC7-424F-AF73-0A286ADA9BE6}"/>
    <hyperlink ref="A17:XFD17" location="'TotalAllotj_23 (4)'!A1" display="Capacitat d'allotjament per tipus d'establiment i categoria a Mallorca (2023)………………..............................…………….….………………....................…………………...pàg 4" xr:uid="{3F6EF498-4A2B-46F4-A3EA-E96C2CC3922F}"/>
    <hyperlink ref="A18:XFD18" location="'Allotj.municipi_23 (5)'!A1" display="Distribució de la capacitat d'allotjament per municipis a Mallorca (2023)……………..……………………..................................……...………....................……………………pàg 5" xr:uid="{4B725828-63C8-4184-9C46-C61662792785}"/>
    <hyperlink ref="A19:XFD19" location="'TotalAllotj_22 (6)'!A1" display="Capacitat d'allotjament per tipus d'establiment i categoria a Mallorca (2022)………………..............................…………….….………………....................…………………...pàg 6" xr:uid="{506E5AA1-E022-40FA-A4EA-001A7F630D34}"/>
    <hyperlink ref="A20:XFD20" location="'Allotj.municipi_22 (7)'!A1" display="Distribució de la capacitat d'allotjament per municipis a Mallorca (2022)……………..……………………..................................……...………....................……………………pàg 7" xr:uid="{BDC41DD8-6E47-4764-93EA-02925A4E749D}"/>
    <hyperlink ref="A21:XFD21" location="'TotalAllotj_21 (8)'!A1" display="Capacitat d'allotjament per tipus d'establiment i categoria a Mallorca (2021)………………..............................…………….….………………....................…………………...pàg 8" xr:uid="{328FF903-ED40-440A-939C-78B0D542BC7C}"/>
    <hyperlink ref="A22:XFD22" location="'Allotj.municipi_21 (9)'!A1" display="Distribució de la capacitat d'allotjament per municipis a Mallorca (2021)……………..……………………..................................……...………....................……………………pàg 9" xr:uid="{587C7340-4922-4152-98D8-D672B5511B91}"/>
    <hyperlink ref="A23:XFD23" location="'TotalAllotj_20 (10)'!A1" display="Capacitat d'allotjament per tipus d'establiment i categoria a Mallorca (2020)…………………………......................................……..……….................……………………...pàg 10" xr:uid="{ACBCC4A9-BAA4-4C7E-B12A-DD7666437B28}"/>
    <hyperlink ref="A24:XFD24" location="'Allotj.municipi_20 (11)'!A1" display="Distribució de la capacitat d'allotjament per municipis a Mallorca (2020)……………..…....................................................……..…..................……………………………pàg 11" xr:uid="{6F1A9F1A-C11C-4045-BCA2-3520572F3423}"/>
    <hyperlink ref="A25:XFD25" location="'TotalAllotj_19 (12)'!A1" display="Capacitat d'allotjament per tipus d'establiment i categoria a Mallorca (2019)………………………………...........................................................…………………………...pàg 12" xr:uid="{03A6F30C-56FE-44E5-B481-6B5FF05D2567}"/>
    <hyperlink ref="A26:XFD26" location="'Allotj.municipi_19 (13)'!A1" display="Distribució de la capacitat d'allotjament per municipis a Mallorca (2019)……………..………….……………….......................................................................……………pàg 13" xr:uid="{FB0793D1-C0D2-4CFE-9201-CA616F4244EC}"/>
    <hyperlink ref="A27:XFD27" location="'TotalAllotj_18 (14)'!A1" display="Capacitat d'allotjament per tipus d'establiment i categoria a Mallorca (2018)………………………......................................……………...................………………………...pàg 14" xr:uid="{3F05D86B-5781-4F94-90AD-6964F74FD9C0}"/>
    <hyperlink ref="A28:XFD28" location="'Allotj.municipi_18 (15)'!A1" display="Distribució de la capacitat d'allotjament per municipis a Mallorca (2018)……………...………………............................................................................…………………pàg 15" xr:uid="{0FED1400-5340-4198-8F6C-DF1281E05F4E}"/>
    <hyperlink ref="A29:XFD29" location="'TotalAllotj_17 (16)'!A1" display="Capacitat d'allotjament per tipus d'establiment i categoria a Mallorca (2017)…………..…………...................................................................…………………………...pàg 16" xr:uid="{99132CC8-0882-417F-AE42-713856746E35}"/>
    <hyperlink ref="A30:XFD30" location="'Allotj.municipi_17 (17)'!A1" display="Distribució de la capacitat d'allotjament per municipis a Mallorca (2017)……………..…….……….........................................................................………………………pàg 17" xr:uid="{A3F78DCF-AF6F-409E-972C-94AF8315FFEB}"/>
    <hyperlink ref="A31:XFD31" location="'TotalAllotj_16 (18)'!A1" display="Capacitat d'allotjament per tipus d'establiment i categoria a Mallorca (2016)……………………………………….....................................................................………...pàg 18" xr:uid="{78562D58-FCE2-453F-AFC7-EFF9BB9B1C47}"/>
    <hyperlink ref="A32:XFD32" location="'Allotj.municipi_16 (19)'!A1" display="Distribució de la capacitat d'allotjament per municipis a Mallorca (2016)……………..…….......………..................................................…………………………………………pàg 19" xr:uid="{63F70A0D-E9FD-43CD-A063-3257C50A9078}"/>
    <hyperlink ref="A33:XFD33" location="'TotalAllotj_15 (20)'!A1" display="Capacitat d'allotjament per tipus d'establiment i categoria a Mallorca (2015)…………………………………………………....................................................………………...pàg 20" xr:uid="{BE61A3CE-68A2-4A0D-A2FF-731008726187}"/>
    <hyperlink ref="A34:XFD34" location="'Allotj.municipi_15 (21)'!A1" display="Distribució de la capacitat d'allotjament per municipis a Mallorca (2015)……………..………………………....................................................……………………………………pàg 21" xr:uid="{7239A6FD-1661-4F93-A38F-CA9955333DCE}"/>
    <hyperlink ref="A35:XFD35" location="'TotalAllotj_14 (22)'!A1" display="Capacitat d'allotjament per tipus d'establiment i categoria a Mallorca (2014)……………………………………....................................................……………………………...pàg 22" xr:uid="{3D7037B7-282F-4599-937B-90448B755F08}"/>
    <hyperlink ref="A36:XFD36" location="'Allotj.municipi_14 (23)'!A1" display="Distribució de la capacitat d'allotjament per municipis a Mallorca (2014)……………..…………………………………....................................................…………………………pàg 23" xr:uid="{86EAE70C-7E85-4901-B8E7-5BA3671BC401}"/>
    <hyperlink ref="A37:XFD37" location="'TotalAllotj_13 (24)'!A1" display="Capacitat d'allotjament per tipus d'establiment i categoria a Mallorca (2013)……………………………………………………....................................................……………...pàg 24" xr:uid="{20EACF7A-7036-409D-95A8-B22EABA5E0D1}"/>
    <hyperlink ref="A38:XFD38" location="'Allotj.municipi_13 (25)'!A1" display="Distribució de la capacitat d'allotjament per municipis a Mallorca (2013)……………..…………………………………………....................................................…………………pàg 25" xr:uid="{74A89A34-A64F-45AF-9A3C-26CEE01E37CD}"/>
    <hyperlink ref="A39:XFD39" location="'TotalAllotj_12 (26)'!A1" display="Capacitat d'allotjament per tipus d'establiment i categoria a Mallorca (2012)…………………………………………………....................................................………………...pàg 26" xr:uid="{CA2C85D6-58DD-485B-B66F-563455B641C2}"/>
    <hyperlink ref="A40:XFD40" location="'Allotj.municipi_12 (27)'!A1" display="Distribució de la capacitat d'allotjament per municipis a Mallorca (2012)……………..……..…………………….......................................................……………………………pàg 27" xr:uid="{EC48D622-E924-48B2-9907-54B2A14A38E2}"/>
    <hyperlink ref="A41:XFD41" location="'TotalAllotj_11 (28)'!A1" display="Capacitat d'allotjament per tipus d'establiment i categoria a Mallorca (2011)…………………………....................................................………………………………………...pàg 28" xr:uid="{C7CCC773-E98A-4B85-A0E7-2355ADCDEF4A}"/>
    <hyperlink ref="A42:XFD42" location="'Allotj.municipi_11 (29)'!A1" display="Distribució de la capacitat d'allotjament per municipis a Mallorca (2011)……………..…………………………………………………....................................................…………pàg 29" xr:uid="{D8E74A11-77EE-47E9-8D8E-7BD0C9371D01}"/>
    <hyperlink ref="A43:XFD43" location="'TotalAllotj_10 (30)'!A1" display="Capacitat d'allotjament per tipus d'establiment i categoria a Mallorca (2010)………………………………....................................................…………………………………...pàg 30" xr:uid="{C95242C7-A590-4C98-B76E-6C1502BCBA8B}"/>
    <hyperlink ref="A44:XFD44" location="'Allotj.municipi_10 (31)'!A1" display="Distribució de la capacitat d'allotjament per municipis a Mallorca (2010)……………..……………………………………………....................................................………………pàg 31" xr:uid="{23DCF3ED-A5FE-4E38-B1AC-8A4F3E97A3F3}"/>
    <hyperlink ref="A45:XFD45" location="'TotalAllotj_09 (32)'!A1" display="Capacitat d'allotjament per tipus d'establiment i categoria a Mallorca (2009)……………………………………………………......................................................…………….pàg 32" xr:uid="{78F3AF72-33F3-4D48-A874-916421B3F458}"/>
    <hyperlink ref="A46:XFD46" location="'Allotj.municipi_09 (33)'!A1" display="Distribució de la capacitat d'allotjament per municipis a Mallorca (2009)…..……………………………………………......................................................……………………...pàg 33" xr:uid="{72109A10-6AD0-4408-BDC2-9D236B8C7802}"/>
    <hyperlink ref="A47:XFD47" location="'TotalAllotj_08 (34)'!A1" display="Capacitat d'allotjament per tipus d'establiment i categoria a Mallorca (2008)…………………………………………......................................................……………………….pàg 34" xr:uid="{5BCEAF71-3172-4EAB-89C9-CC5C06A1DC11}"/>
    <hyperlink ref="A48:XFD48" location="'Allotj.municipi_08 (35)'!A1" display="Distribució de la capacitat d'allotjament per municipis a Mallorca (2008)……………..………………………………......................................................………………………...pàg 35" xr:uid="{A7B18C43-0BB4-434B-9D6F-CDDD31447AB4}"/>
    <hyperlink ref="A49:XFD49" location="'TotalAllotj_07 (36)'!A1" display="Capacitat d'allotjament per tipus d'establiment i categoria a Mallorca (2007)………………....................................................…………………………………………………...pàg 36" xr:uid="{3CF2D7B5-B2BE-43EC-AFDB-5D9CAF5EF26D}"/>
    <hyperlink ref="A50:XFD50" location="'Allotj.municipi_07 (37)'!A1" display="Distribució de la capacitat d'allotjament per municipis a Mallorca (2007)……………..……………………………....................................................………………………………pàg 37" xr:uid="{A0F2406A-95DB-4E99-8FC4-88407E4A893A}"/>
    <hyperlink ref="A51:XFD51" location="'TotalAllotj_06 (38)'!A1" display="Capacitat d'allotjament per tipus d'establiment i categoria a Mallorca (2006)………………………………………………....................................................…………………...pàg 38" xr:uid="{FB2F9C72-C2DF-4CD7-9CAE-33C43AED2961}"/>
    <hyperlink ref="A52:XFD52" location="'Allotj.municipi_06 (39)'!A1" display="Distribució de la capacitat d'allotjament per municipis a Mallorca (2006)……………..…………………………………………....................................................…………………pàg 39" xr:uid="{AACAF622-6593-468D-A827-A36F222099F5}"/>
    <hyperlink ref="A53:XFD53" location="'TotalAllotj_05 (40)'!A1" display="Capacitat d'allotjament per tipus d'establiment i categoria a Mallorca (2005)………………………………………………....................................................…………………...pàg 40" xr:uid="{9F141CA9-176F-4C4F-947C-AEB27554F572}"/>
    <hyperlink ref="A54:XFD54" location="'Allotj.municipi_05 (41)'!A1" display="Distribució de la capacitat d'allotjament per municipis a Mallorca (2005)……………..…………………………………....................................................…………………………pàg 41" xr:uid="{69D4C5D9-C053-44A3-8438-97E770DEBC70}"/>
    <hyperlink ref="A55:XFD55" location="'TotalAllotj_04 (42)'!A1" display="Capacitat d'allotjament per tipus d'establiment i categoria a Mallorca (2004)………………………....................................................…………………………………………...pàg 42" xr:uid="{8BBDCFCD-EE9B-40C0-9463-62C5C8619C0F}"/>
    <hyperlink ref="A56:XFD56" location="'Allotj.municipi_04 (43)'!A1" display="Distribució de la capacitat d'allotjament per municipis a Mallorca (2004)……………..…………………....................................................…………………………………………pàg 43" xr:uid="{A38FAF51-0B32-41D1-B40D-CC8A335D9297}"/>
  </hyperlinks>
  <pageMargins left="0.70866141732283472" right="0" top="0.74803149606299213" bottom="0.74803149606299213" header="0.31496062992125984" footer="0.31496062992125984"/>
  <pageSetup paperSize="9" scale="98" fitToHeight="0" orientation="landscape" r:id="rId1"/>
  <rowBreaks count="3" manualBreakCount="3">
    <brk id="34" max="10" man="1"/>
    <brk id="57" max="10" man="1"/>
    <brk id="88"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147"/>
  <sheetViews>
    <sheetView showGridLines="0" view="pageBreakPreview" zoomScaleNormal="100" zoomScaleSheetLayoutView="100" workbookViewId="0">
      <selection activeCell="A12" sqref="A12:K12"/>
    </sheetView>
  </sheetViews>
  <sheetFormatPr baseColWidth="10" defaultRowHeight="15"/>
  <cols>
    <col min="1" max="11" width="12.7109375" customWidth="1"/>
  </cols>
  <sheetData>
    <row r="1" spans="1:11">
      <c r="A1" s="75"/>
      <c r="B1" s="75"/>
      <c r="C1" s="75"/>
      <c r="D1" s="75"/>
      <c r="E1" s="75"/>
      <c r="F1" s="75"/>
      <c r="G1" s="75"/>
      <c r="H1" s="75"/>
      <c r="I1" s="75"/>
      <c r="J1" s="75"/>
      <c r="K1" s="75"/>
    </row>
    <row r="2" spans="1:11">
      <c r="A2" s="75"/>
      <c r="B2" s="75"/>
      <c r="C2" s="75"/>
      <c r="D2" s="75"/>
      <c r="E2" s="75"/>
      <c r="F2" s="75"/>
      <c r="G2" s="75"/>
      <c r="H2" s="75"/>
      <c r="I2" s="75"/>
      <c r="J2" s="75"/>
      <c r="K2" s="75"/>
    </row>
    <row r="3" spans="1:11">
      <c r="A3" s="75"/>
      <c r="B3" s="75"/>
      <c r="C3" s="75"/>
      <c r="D3" s="75"/>
      <c r="E3" s="75"/>
      <c r="F3" s="75"/>
      <c r="G3" s="75"/>
      <c r="H3" s="75"/>
      <c r="I3" s="75"/>
      <c r="J3" s="75"/>
      <c r="K3" s="75"/>
    </row>
    <row r="4" spans="1:11">
      <c r="A4" s="75"/>
      <c r="B4" s="75"/>
      <c r="C4" s="75"/>
      <c r="D4" s="75"/>
      <c r="E4" s="75"/>
      <c r="F4" s="75"/>
      <c r="G4" s="75"/>
      <c r="H4" s="75"/>
      <c r="I4" s="75"/>
      <c r="J4" s="75"/>
      <c r="K4" s="75"/>
    </row>
    <row r="5" spans="1:11">
      <c r="A5" s="75"/>
      <c r="B5" s="75"/>
      <c r="C5" s="75"/>
      <c r="D5" s="75"/>
      <c r="E5" s="75"/>
      <c r="F5" s="75"/>
      <c r="G5" s="75"/>
      <c r="H5" s="75"/>
      <c r="I5" s="75"/>
      <c r="J5" s="75"/>
      <c r="K5" s="75"/>
    </row>
    <row r="6" spans="1:11">
      <c r="A6" s="75"/>
      <c r="B6" s="75"/>
      <c r="C6" s="75"/>
      <c r="D6" s="75"/>
      <c r="E6" s="75"/>
      <c r="F6" s="75"/>
      <c r="G6" s="75"/>
      <c r="H6" s="75"/>
      <c r="I6" s="75"/>
      <c r="J6" s="75"/>
      <c r="K6" s="75"/>
    </row>
    <row r="7" spans="1:11">
      <c r="A7" s="75"/>
      <c r="B7" s="75"/>
      <c r="C7" s="75"/>
      <c r="D7" s="75"/>
      <c r="E7" s="75"/>
      <c r="F7" s="75"/>
      <c r="G7" s="75"/>
      <c r="H7" s="75"/>
      <c r="I7" s="75"/>
      <c r="J7" s="75"/>
      <c r="K7" s="75"/>
    </row>
    <row r="8" spans="1:11">
      <c r="A8" s="75"/>
      <c r="B8" s="75"/>
      <c r="C8" s="75"/>
      <c r="D8" s="75"/>
      <c r="E8" s="75"/>
      <c r="F8" s="75"/>
      <c r="G8" s="75"/>
      <c r="H8" s="75"/>
      <c r="I8" s="75"/>
      <c r="J8" s="75"/>
      <c r="K8" s="75"/>
    </row>
    <row r="9" spans="1:11">
      <c r="A9" s="75"/>
      <c r="B9" s="75"/>
      <c r="C9" s="75"/>
      <c r="D9" s="75"/>
      <c r="E9" s="75"/>
      <c r="F9" s="75"/>
      <c r="G9" s="75"/>
      <c r="H9" s="75"/>
      <c r="I9" s="75"/>
      <c r="J9" s="75"/>
      <c r="K9" s="75"/>
    </row>
    <row r="10" spans="1:11">
      <c r="A10" s="75"/>
      <c r="B10" s="75"/>
      <c r="C10" s="75"/>
      <c r="D10" s="75"/>
      <c r="E10" s="75"/>
      <c r="F10" s="75"/>
      <c r="G10" s="75"/>
      <c r="H10" s="75"/>
      <c r="I10" s="75"/>
      <c r="J10" s="75"/>
      <c r="K10" s="75"/>
    </row>
    <row r="11" spans="1:11">
      <c r="A11" s="75"/>
      <c r="B11" s="75"/>
      <c r="C11" s="75"/>
      <c r="D11" s="75"/>
      <c r="E11" s="75"/>
      <c r="F11" s="75"/>
      <c r="G11" s="75"/>
      <c r="H11" s="75"/>
      <c r="I11" s="75"/>
      <c r="J11" s="75"/>
      <c r="K11" s="75"/>
    </row>
    <row r="12" spans="1:11">
      <c r="A12" s="124" t="s">
        <v>219</v>
      </c>
      <c r="B12" s="124"/>
      <c r="C12" s="124"/>
      <c r="D12" s="124"/>
      <c r="E12" s="124"/>
      <c r="F12" s="124"/>
      <c r="G12" s="124"/>
      <c r="H12" s="124"/>
      <c r="I12" s="124"/>
      <c r="J12" s="124"/>
      <c r="K12" s="124"/>
    </row>
    <row r="13" spans="1:11">
      <c r="A13" s="75"/>
      <c r="B13" s="75"/>
      <c r="C13" s="75"/>
      <c r="D13" s="75"/>
      <c r="E13" s="75"/>
      <c r="F13" s="75"/>
      <c r="G13" s="75"/>
      <c r="H13" s="75"/>
      <c r="I13" s="75"/>
      <c r="J13" s="75"/>
      <c r="K13" s="75"/>
    </row>
    <row r="14" spans="1:11">
      <c r="A14" s="75"/>
      <c r="B14" s="75"/>
      <c r="C14" s="75"/>
      <c r="D14" s="75"/>
      <c r="E14" s="75"/>
      <c r="F14" s="75"/>
      <c r="G14" s="75"/>
      <c r="H14" s="75"/>
      <c r="I14" s="75"/>
      <c r="J14" s="75"/>
      <c r="K14" s="75"/>
    </row>
    <row r="15" spans="1:11">
      <c r="A15" s="76"/>
      <c r="B15" s="76"/>
      <c r="C15" s="76"/>
      <c r="D15" s="76"/>
      <c r="E15" s="76"/>
      <c r="F15" s="76"/>
      <c r="G15" s="76"/>
      <c r="H15" s="76"/>
      <c r="I15" s="76"/>
      <c r="J15" s="76"/>
      <c r="K15" s="76"/>
    </row>
    <row r="16" spans="1:11">
      <c r="A16" s="75"/>
      <c r="B16" s="75"/>
      <c r="C16" s="75"/>
      <c r="D16" s="75"/>
      <c r="E16" s="75"/>
      <c r="F16" s="75"/>
      <c r="G16" s="75"/>
      <c r="H16" s="75"/>
      <c r="I16" s="75"/>
      <c r="J16" s="75"/>
      <c r="K16" s="75"/>
    </row>
    <row r="17" spans="1:11" s="111" customFormat="1">
      <c r="A17" s="125" t="s">
        <v>424</v>
      </c>
      <c r="B17" s="125"/>
      <c r="C17" s="125"/>
      <c r="D17" s="125"/>
      <c r="E17" s="125"/>
      <c r="F17" s="125"/>
      <c r="G17" s="125"/>
      <c r="H17" s="125"/>
      <c r="I17" s="125"/>
      <c r="J17" s="125"/>
      <c r="K17" s="125"/>
    </row>
    <row r="18" spans="1:11" s="111" customFormat="1">
      <c r="A18" s="125" t="s">
        <v>425</v>
      </c>
      <c r="B18" s="125"/>
      <c r="C18" s="125"/>
      <c r="D18" s="125"/>
      <c r="E18" s="125"/>
      <c r="F18" s="125"/>
      <c r="G18" s="125"/>
      <c r="H18" s="125"/>
      <c r="I18" s="125"/>
      <c r="J18" s="125"/>
      <c r="K18" s="125"/>
    </row>
    <row r="19" spans="1:11" s="111" customFormat="1">
      <c r="A19" s="125" t="s">
        <v>426</v>
      </c>
      <c r="B19" s="125"/>
      <c r="C19" s="125"/>
      <c r="D19" s="125"/>
      <c r="E19" s="125"/>
      <c r="F19" s="125"/>
      <c r="G19" s="125"/>
      <c r="H19" s="125"/>
      <c r="I19" s="125"/>
      <c r="J19" s="125"/>
      <c r="K19" s="125"/>
    </row>
    <row r="20" spans="1:11" s="111" customFormat="1">
      <c r="A20" s="125" t="s">
        <v>427</v>
      </c>
      <c r="B20" s="125"/>
      <c r="C20" s="125"/>
      <c r="D20" s="125"/>
      <c r="E20" s="125"/>
      <c r="F20" s="125"/>
      <c r="G20" s="125"/>
      <c r="H20" s="125"/>
      <c r="I20" s="125"/>
      <c r="J20" s="125"/>
      <c r="K20" s="125"/>
    </row>
    <row r="21" spans="1:11" s="111" customFormat="1">
      <c r="A21" s="125" t="s">
        <v>428</v>
      </c>
      <c r="B21" s="125"/>
      <c r="C21" s="125"/>
      <c r="D21" s="125"/>
      <c r="E21" s="125"/>
      <c r="F21" s="125"/>
      <c r="G21" s="125"/>
      <c r="H21" s="125"/>
      <c r="I21" s="125"/>
      <c r="J21" s="125"/>
      <c r="K21" s="125"/>
    </row>
    <row r="22" spans="1:11" s="111" customFormat="1">
      <c r="A22" s="125" t="s">
        <v>429</v>
      </c>
      <c r="B22" s="125"/>
      <c r="C22" s="125"/>
      <c r="D22" s="125"/>
      <c r="E22" s="125"/>
      <c r="F22" s="125"/>
      <c r="G22" s="125"/>
      <c r="H22" s="125"/>
      <c r="I22" s="125"/>
      <c r="J22" s="125"/>
      <c r="K22" s="125"/>
    </row>
    <row r="23" spans="1:11" s="111" customFormat="1">
      <c r="A23" s="125" t="s">
        <v>430</v>
      </c>
      <c r="B23" s="125"/>
      <c r="C23" s="125"/>
      <c r="D23" s="125"/>
      <c r="E23" s="125"/>
      <c r="F23" s="125"/>
      <c r="G23" s="125"/>
      <c r="H23" s="125"/>
      <c r="I23" s="125"/>
      <c r="J23" s="125"/>
      <c r="K23" s="125"/>
    </row>
    <row r="24" spans="1:11" s="111" customFormat="1">
      <c r="A24" s="125" t="s">
        <v>431</v>
      </c>
      <c r="B24" s="125"/>
      <c r="C24" s="125"/>
      <c r="D24" s="125"/>
      <c r="E24" s="125"/>
      <c r="F24" s="125"/>
      <c r="G24" s="125"/>
      <c r="H24" s="125"/>
      <c r="I24" s="125"/>
      <c r="J24" s="125"/>
      <c r="K24" s="125"/>
    </row>
    <row r="25" spans="1:11" s="111" customFormat="1">
      <c r="A25" s="125" t="s">
        <v>432</v>
      </c>
      <c r="B25" s="125"/>
      <c r="C25" s="125"/>
      <c r="D25" s="125"/>
      <c r="E25" s="125"/>
      <c r="F25" s="125"/>
      <c r="G25" s="125"/>
      <c r="H25" s="125"/>
      <c r="I25" s="125"/>
      <c r="J25" s="125"/>
      <c r="K25" s="125"/>
    </row>
    <row r="26" spans="1:11" s="111" customFormat="1">
      <c r="A26" s="125" t="s">
        <v>433</v>
      </c>
      <c r="B26" s="125"/>
      <c r="C26" s="125"/>
      <c r="D26" s="125"/>
      <c r="E26" s="125"/>
      <c r="F26" s="125"/>
      <c r="G26" s="125"/>
      <c r="H26" s="125"/>
      <c r="I26" s="125"/>
      <c r="J26" s="125"/>
      <c r="K26" s="125"/>
    </row>
    <row r="27" spans="1:11" s="111" customFormat="1">
      <c r="A27" s="125" t="s">
        <v>434</v>
      </c>
      <c r="B27" s="125"/>
      <c r="C27" s="125"/>
      <c r="D27" s="125"/>
      <c r="E27" s="125"/>
      <c r="F27" s="125"/>
      <c r="G27" s="125"/>
      <c r="H27" s="125"/>
      <c r="I27" s="125"/>
      <c r="J27" s="125"/>
      <c r="K27" s="125"/>
    </row>
    <row r="28" spans="1:11" s="111" customFormat="1">
      <c r="A28" s="125" t="s">
        <v>435</v>
      </c>
      <c r="B28" s="125"/>
      <c r="C28" s="125"/>
      <c r="D28" s="125"/>
      <c r="E28" s="125"/>
      <c r="F28" s="125"/>
      <c r="G28" s="125"/>
      <c r="H28" s="125"/>
      <c r="I28" s="125"/>
      <c r="J28" s="125"/>
      <c r="K28" s="125"/>
    </row>
    <row r="29" spans="1:11" s="111" customFormat="1">
      <c r="A29" s="125" t="s">
        <v>436</v>
      </c>
      <c r="B29" s="125"/>
      <c r="C29" s="125"/>
      <c r="D29" s="125"/>
      <c r="E29" s="125"/>
      <c r="F29" s="125"/>
      <c r="G29" s="125"/>
      <c r="H29" s="125"/>
      <c r="I29" s="125"/>
      <c r="J29" s="125"/>
      <c r="K29" s="125"/>
    </row>
    <row r="30" spans="1:11" s="111" customFormat="1">
      <c r="A30" s="125" t="s">
        <v>437</v>
      </c>
      <c r="B30" s="125"/>
      <c r="C30" s="125"/>
      <c r="D30" s="125"/>
      <c r="E30" s="125"/>
      <c r="F30" s="125"/>
      <c r="G30" s="125"/>
      <c r="H30" s="125"/>
      <c r="I30" s="125"/>
      <c r="J30" s="125"/>
      <c r="K30" s="125"/>
    </row>
    <row r="31" spans="1:11" s="111" customFormat="1">
      <c r="A31" s="125" t="s">
        <v>438</v>
      </c>
      <c r="B31" s="125"/>
      <c r="C31" s="125"/>
      <c r="D31" s="125"/>
      <c r="E31" s="125"/>
      <c r="F31" s="125"/>
      <c r="G31" s="125"/>
      <c r="H31" s="125"/>
      <c r="I31" s="125"/>
      <c r="J31" s="125"/>
      <c r="K31" s="125"/>
    </row>
    <row r="32" spans="1:11" s="111" customFormat="1">
      <c r="A32" s="125" t="s">
        <v>439</v>
      </c>
      <c r="B32" s="125"/>
      <c r="C32" s="125"/>
      <c r="D32" s="125"/>
      <c r="E32" s="125"/>
      <c r="F32" s="125"/>
      <c r="G32" s="125"/>
      <c r="H32" s="125"/>
      <c r="I32" s="125"/>
      <c r="J32" s="125"/>
      <c r="K32" s="125"/>
    </row>
    <row r="33" spans="1:11" s="111" customFormat="1">
      <c r="A33" s="125" t="s">
        <v>440</v>
      </c>
      <c r="B33" s="125"/>
      <c r="C33" s="125"/>
      <c r="D33" s="125"/>
      <c r="E33" s="125"/>
      <c r="F33" s="125"/>
      <c r="G33" s="125"/>
      <c r="H33" s="125"/>
      <c r="I33" s="125"/>
      <c r="J33" s="125"/>
      <c r="K33" s="125"/>
    </row>
    <row r="34" spans="1:11" s="111" customFormat="1">
      <c r="A34" s="125" t="s">
        <v>441</v>
      </c>
      <c r="B34" s="125"/>
      <c r="C34" s="125"/>
      <c r="D34" s="125"/>
      <c r="E34" s="125"/>
      <c r="F34" s="125"/>
      <c r="G34" s="125"/>
      <c r="H34" s="125"/>
      <c r="I34" s="125"/>
      <c r="J34" s="125"/>
      <c r="K34" s="125"/>
    </row>
    <row r="35" spans="1:11" s="111" customFormat="1">
      <c r="A35" s="125" t="s">
        <v>442</v>
      </c>
      <c r="B35" s="125"/>
      <c r="C35" s="125"/>
      <c r="D35" s="125"/>
      <c r="E35" s="125"/>
      <c r="F35" s="125"/>
      <c r="G35" s="125"/>
      <c r="H35" s="125"/>
      <c r="I35" s="125"/>
      <c r="J35" s="125"/>
      <c r="K35" s="125"/>
    </row>
    <row r="36" spans="1:11" s="111" customFormat="1">
      <c r="A36" s="125" t="s">
        <v>443</v>
      </c>
      <c r="B36" s="125"/>
      <c r="C36" s="125"/>
      <c r="D36" s="125"/>
      <c r="E36" s="125"/>
      <c r="F36" s="125"/>
      <c r="G36" s="125"/>
      <c r="H36" s="125"/>
      <c r="I36" s="125"/>
      <c r="J36" s="125"/>
      <c r="K36" s="125"/>
    </row>
    <row r="37" spans="1:11" s="111" customFormat="1">
      <c r="A37" s="125" t="s">
        <v>444</v>
      </c>
      <c r="B37" s="125"/>
      <c r="C37" s="125"/>
      <c r="D37" s="125"/>
      <c r="E37" s="125"/>
      <c r="F37" s="125"/>
      <c r="G37" s="125"/>
      <c r="H37" s="125"/>
      <c r="I37" s="125"/>
      <c r="J37" s="125"/>
      <c r="K37" s="125"/>
    </row>
    <row r="38" spans="1:11" s="111" customFormat="1">
      <c r="A38" s="125" t="s">
        <v>445</v>
      </c>
      <c r="B38" s="125"/>
      <c r="C38" s="125"/>
      <c r="D38" s="125"/>
      <c r="E38" s="125"/>
      <c r="F38" s="125"/>
      <c r="G38" s="125"/>
      <c r="H38" s="125"/>
      <c r="I38" s="125"/>
      <c r="J38" s="125"/>
      <c r="K38" s="125"/>
    </row>
    <row r="39" spans="1:11" s="111" customFormat="1">
      <c r="A39" s="125" t="s">
        <v>446</v>
      </c>
      <c r="B39" s="125"/>
      <c r="C39" s="125"/>
      <c r="D39" s="125"/>
      <c r="E39" s="125"/>
      <c r="F39" s="125"/>
      <c r="G39" s="125"/>
      <c r="H39" s="125"/>
      <c r="I39" s="125"/>
      <c r="J39" s="125"/>
      <c r="K39" s="125"/>
    </row>
    <row r="40" spans="1:11" s="111" customFormat="1">
      <c r="A40" s="125" t="s">
        <v>447</v>
      </c>
      <c r="B40" s="125"/>
      <c r="C40" s="125"/>
      <c r="D40" s="125"/>
      <c r="E40" s="125"/>
      <c r="F40" s="125"/>
      <c r="G40" s="125"/>
      <c r="H40" s="125"/>
      <c r="I40" s="125"/>
      <c r="J40" s="125"/>
      <c r="K40" s="125"/>
    </row>
    <row r="41" spans="1:11" s="111" customFormat="1">
      <c r="A41" s="125" t="s">
        <v>448</v>
      </c>
      <c r="B41" s="125"/>
      <c r="C41" s="125"/>
      <c r="D41" s="125"/>
      <c r="E41" s="125"/>
      <c r="F41" s="125"/>
      <c r="G41" s="125"/>
      <c r="H41" s="125"/>
      <c r="I41" s="125"/>
      <c r="J41" s="125"/>
      <c r="K41" s="125"/>
    </row>
    <row r="42" spans="1:11" s="111" customFormat="1">
      <c r="A42" s="125" t="s">
        <v>449</v>
      </c>
      <c r="B42" s="125"/>
      <c r="C42" s="125"/>
      <c r="D42" s="125"/>
      <c r="E42" s="125"/>
      <c r="F42" s="125"/>
      <c r="G42" s="125"/>
      <c r="H42" s="125"/>
      <c r="I42" s="125"/>
      <c r="J42" s="125"/>
      <c r="K42" s="125"/>
    </row>
    <row r="43" spans="1:11" s="111" customFormat="1">
      <c r="A43" s="125" t="s">
        <v>450</v>
      </c>
      <c r="B43" s="125"/>
      <c r="C43" s="125"/>
      <c r="D43" s="125"/>
      <c r="E43" s="125"/>
      <c r="F43" s="125"/>
      <c r="G43" s="125"/>
      <c r="H43" s="125"/>
      <c r="I43" s="125"/>
      <c r="J43" s="125"/>
      <c r="K43" s="125"/>
    </row>
    <row r="44" spans="1:11" s="111" customFormat="1">
      <c r="A44" s="125" t="s">
        <v>451</v>
      </c>
      <c r="B44" s="125"/>
      <c r="C44" s="125"/>
      <c r="D44" s="125"/>
      <c r="E44" s="125"/>
      <c r="F44" s="125"/>
      <c r="G44" s="125"/>
      <c r="H44" s="125"/>
      <c r="I44" s="125"/>
      <c r="J44" s="125"/>
      <c r="K44" s="125"/>
    </row>
    <row r="45" spans="1:11" s="111" customFormat="1">
      <c r="A45" s="125" t="s">
        <v>452</v>
      </c>
      <c r="B45" s="125"/>
      <c r="C45" s="125"/>
      <c r="D45" s="125"/>
      <c r="E45" s="125"/>
      <c r="F45" s="125"/>
      <c r="G45" s="125"/>
      <c r="H45" s="125"/>
      <c r="I45" s="125"/>
      <c r="J45" s="125"/>
      <c r="K45" s="125"/>
    </row>
    <row r="46" spans="1:11" s="111" customFormat="1">
      <c r="A46" s="125" t="s">
        <v>453</v>
      </c>
      <c r="B46" s="125"/>
      <c r="C46" s="125"/>
      <c r="D46" s="125"/>
      <c r="E46" s="125"/>
      <c r="F46" s="125"/>
      <c r="G46" s="125"/>
      <c r="H46" s="125"/>
      <c r="I46" s="125"/>
      <c r="J46" s="125"/>
      <c r="K46" s="125"/>
    </row>
    <row r="47" spans="1:11" s="111" customFormat="1">
      <c r="A47" s="125" t="s">
        <v>454</v>
      </c>
      <c r="B47" s="125"/>
      <c r="C47" s="125"/>
      <c r="D47" s="125"/>
      <c r="E47" s="125"/>
      <c r="F47" s="125"/>
      <c r="G47" s="125"/>
      <c r="H47" s="125"/>
      <c r="I47" s="125"/>
      <c r="J47" s="125"/>
      <c r="K47" s="125"/>
    </row>
    <row r="48" spans="1:11" s="111" customFormat="1">
      <c r="A48" s="125" t="s">
        <v>455</v>
      </c>
      <c r="B48" s="125"/>
      <c r="C48" s="125"/>
      <c r="D48" s="125"/>
      <c r="E48" s="125"/>
      <c r="F48" s="125"/>
      <c r="G48" s="125"/>
      <c r="H48" s="125"/>
      <c r="I48" s="125"/>
      <c r="J48" s="125"/>
      <c r="K48" s="125"/>
    </row>
    <row r="49" spans="1:11" s="111" customFormat="1">
      <c r="A49" s="125" t="s">
        <v>456</v>
      </c>
      <c r="B49" s="125"/>
      <c r="C49" s="125"/>
      <c r="D49" s="125"/>
      <c r="E49" s="125"/>
      <c r="F49" s="125"/>
      <c r="G49" s="125"/>
      <c r="H49" s="125"/>
      <c r="I49" s="125"/>
      <c r="J49" s="125"/>
      <c r="K49" s="125"/>
    </row>
    <row r="50" spans="1:11" s="111" customFormat="1">
      <c r="A50" s="125" t="s">
        <v>457</v>
      </c>
      <c r="B50" s="125"/>
      <c r="C50" s="125"/>
      <c r="D50" s="125"/>
      <c r="E50" s="125"/>
      <c r="F50" s="125"/>
      <c r="G50" s="125"/>
      <c r="H50" s="125"/>
      <c r="I50" s="125"/>
      <c r="J50" s="125"/>
      <c r="K50" s="125"/>
    </row>
    <row r="51" spans="1:11" s="111" customFormat="1">
      <c r="A51" s="125" t="s">
        <v>458</v>
      </c>
      <c r="B51" s="125"/>
      <c r="C51" s="125"/>
      <c r="D51" s="125"/>
      <c r="E51" s="125"/>
      <c r="F51" s="125"/>
      <c r="G51" s="125"/>
      <c r="H51" s="125"/>
      <c r="I51" s="125"/>
      <c r="J51" s="125"/>
      <c r="K51" s="125"/>
    </row>
    <row r="52" spans="1:11" s="111" customFormat="1">
      <c r="A52" s="125" t="s">
        <v>459</v>
      </c>
      <c r="B52" s="125"/>
      <c r="C52" s="125"/>
      <c r="D52" s="125"/>
      <c r="E52" s="125"/>
      <c r="F52" s="125"/>
      <c r="G52" s="125"/>
      <c r="H52" s="125"/>
      <c r="I52" s="125"/>
      <c r="J52" s="125"/>
      <c r="K52" s="125"/>
    </row>
    <row r="53" spans="1:11" s="111" customFormat="1">
      <c r="A53" s="125" t="s">
        <v>460</v>
      </c>
      <c r="B53" s="125"/>
      <c r="C53" s="125"/>
      <c r="D53" s="125"/>
      <c r="E53" s="125"/>
      <c r="F53" s="125"/>
      <c r="G53" s="125"/>
      <c r="H53" s="125"/>
      <c r="I53" s="125"/>
      <c r="J53" s="125"/>
      <c r="K53" s="125"/>
    </row>
    <row r="54" spans="1:11" s="111" customFormat="1">
      <c r="A54" s="125" t="s">
        <v>461</v>
      </c>
      <c r="B54" s="125"/>
      <c r="C54" s="125"/>
      <c r="D54" s="125"/>
      <c r="E54" s="125"/>
      <c r="F54" s="125"/>
      <c r="G54" s="125"/>
      <c r="H54" s="125"/>
      <c r="I54" s="125"/>
      <c r="J54" s="125"/>
      <c r="K54" s="125"/>
    </row>
    <row r="55" spans="1:11" s="111" customFormat="1">
      <c r="A55" s="125" t="s">
        <v>462</v>
      </c>
      <c r="B55" s="125"/>
      <c r="C55" s="125"/>
      <c r="D55" s="125"/>
      <c r="E55" s="125"/>
      <c r="F55" s="125"/>
      <c r="G55" s="125"/>
      <c r="H55" s="125"/>
      <c r="I55" s="125"/>
      <c r="J55" s="125"/>
      <c r="K55" s="125"/>
    </row>
    <row r="56" spans="1:11" s="111" customFormat="1">
      <c r="A56" s="125" t="s">
        <v>463</v>
      </c>
      <c r="B56" s="125"/>
      <c r="C56" s="125"/>
      <c r="D56" s="125"/>
      <c r="E56" s="125"/>
      <c r="F56" s="125"/>
      <c r="G56" s="125"/>
      <c r="H56" s="125"/>
      <c r="I56" s="125"/>
      <c r="J56" s="125"/>
      <c r="K56" s="125"/>
    </row>
    <row r="57" spans="1:11">
      <c r="A57" s="119"/>
      <c r="B57" s="119"/>
      <c r="C57" s="119"/>
      <c r="D57" s="119"/>
      <c r="E57" s="119"/>
      <c r="F57" s="119"/>
      <c r="G57" s="119"/>
      <c r="H57" s="119"/>
      <c r="I57" s="119"/>
      <c r="J57" s="119"/>
      <c r="K57" s="119"/>
    </row>
    <row r="58" spans="1:11">
      <c r="A58" s="76"/>
      <c r="B58" s="76"/>
      <c r="C58" s="76"/>
      <c r="D58" s="76"/>
      <c r="E58" s="76"/>
      <c r="F58" s="76"/>
      <c r="G58" s="76"/>
      <c r="H58" s="76"/>
      <c r="I58" s="76"/>
      <c r="J58" s="76"/>
      <c r="K58" s="76"/>
    </row>
    <row r="59" spans="1:11">
      <c r="A59" s="75"/>
      <c r="B59" s="75"/>
      <c r="C59" s="75"/>
      <c r="D59" s="75"/>
      <c r="E59" s="75"/>
      <c r="F59" s="75"/>
      <c r="G59" s="75"/>
      <c r="H59" s="75"/>
      <c r="I59" s="75"/>
      <c r="J59" s="75"/>
      <c r="K59" s="75"/>
    </row>
    <row r="60" spans="1:11">
      <c r="A60" s="97" t="s">
        <v>237</v>
      </c>
      <c r="B60" s="87"/>
      <c r="C60" s="87"/>
      <c r="D60" s="87"/>
      <c r="E60" s="87"/>
      <c r="F60" s="87"/>
      <c r="G60" s="87"/>
      <c r="H60" s="87"/>
      <c r="I60" s="87"/>
      <c r="J60" s="87"/>
      <c r="K60" s="87"/>
    </row>
    <row r="61" spans="1:11">
      <c r="A61" s="87"/>
      <c r="B61" s="87"/>
      <c r="C61" s="87"/>
      <c r="D61" s="87"/>
      <c r="E61" s="87"/>
      <c r="F61" s="87"/>
      <c r="G61" s="87"/>
      <c r="H61" s="87"/>
      <c r="I61" s="87"/>
      <c r="J61" s="87"/>
      <c r="K61" s="87"/>
    </row>
    <row r="62" spans="1:11">
      <c r="A62" s="98" t="s">
        <v>318</v>
      </c>
      <c r="B62" s="87"/>
      <c r="C62" s="87"/>
      <c r="D62" s="87"/>
      <c r="E62" s="87"/>
      <c r="F62" s="87"/>
      <c r="G62" s="87"/>
      <c r="H62" s="87"/>
      <c r="I62" s="87"/>
      <c r="J62" s="87"/>
      <c r="K62" s="87"/>
    </row>
    <row r="63" spans="1:11" ht="15" customHeight="1">
      <c r="A63" s="121" t="s">
        <v>319</v>
      </c>
      <c r="B63" s="121"/>
      <c r="C63" s="121"/>
      <c r="D63" s="121"/>
      <c r="E63" s="121"/>
      <c r="F63" s="121"/>
      <c r="G63" s="121"/>
      <c r="H63" s="121"/>
      <c r="I63" s="121"/>
      <c r="J63" s="121"/>
      <c r="K63" s="121"/>
    </row>
    <row r="64" spans="1:11">
      <c r="A64" s="121"/>
      <c r="B64" s="121"/>
      <c r="C64" s="121"/>
      <c r="D64" s="121"/>
      <c r="E64" s="121"/>
      <c r="F64" s="121"/>
      <c r="G64" s="121"/>
      <c r="H64" s="121"/>
      <c r="I64" s="121"/>
      <c r="J64" s="121"/>
      <c r="K64" s="121"/>
    </row>
    <row r="65" spans="1:11" ht="15" customHeight="1">
      <c r="A65" s="121" t="s">
        <v>320</v>
      </c>
      <c r="B65" s="121"/>
      <c r="C65" s="121"/>
      <c r="D65" s="121"/>
      <c r="E65" s="121"/>
      <c r="F65" s="121"/>
      <c r="G65" s="121"/>
      <c r="H65" s="121"/>
      <c r="I65" s="121"/>
      <c r="J65" s="121"/>
      <c r="K65" s="121"/>
    </row>
    <row r="66" spans="1:11" ht="15" customHeight="1">
      <c r="A66" s="121"/>
      <c r="B66" s="121"/>
      <c r="C66" s="121"/>
      <c r="D66" s="121"/>
      <c r="E66" s="121"/>
      <c r="F66" s="121"/>
      <c r="G66" s="121"/>
      <c r="H66" s="121"/>
      <c r="I66" s="121"/>
      <c r="J66" s="121"/>
      <c r="K66" s="121"/>
    </row>
    <row r="67" spans="1:11" ht="15" customHeight="1">
      <c r="A67" s="121" t="s">
        <v>238</v>
      </c>
      <c r="B67" s="121"/>
      <c r="C67" s="121"/>
      <c r="D67" s="121"/>
      <c r="E67" s="121"/>
      <c r="F67" s="121"/>
      <c r="G67" s="121"/>
      <c r="H67" s="121"/>
      <c r="I67" s="121"/>
      <c r="J67" s="121"/>
      <c r="K67" s="121"/>
    </row>
    <row r="68" spans="1:11">
      <c r="A68" s="121"/>
      <c r="B68" s="121"/>
      <c r="C68" s="121"/>
      <c r="D68" s="121"/>
      <c r="E68" s="121"/>
      <c r="F68" s="121"/>
      <c r="G68" s="121"/>
      <c r="H68" s="121"/>
      <c r="I68" s="121"/>
      <c r="J68" s="121"/>
      <c r="K68" s="121"/>
    </row>
    <row r="69" spans="1:11">
      <c r="A69" s="98" t="s">
        <v>239</v>
      </c>
      <c r="B69" s="87"/>
      <c r="C69" s="87"/>
      <c r="D69" s="87"/>
      <c r="E69" s="87"/>
      <c r="F69" s="87"/>
      <c r="G69" s="87"/>
      <c r="H69" s="87"/>
      <c r="I69" s="87"/>
      <c r="J69" s="87"/>
      <c r="K69" s="87"/>
    </row>
    <row r="70" spans="1:11">
      <c r="A70" s="98" t="s">
        <v>240</v>
      </c>
      <c r="B70" s="87"/>
      <c r="C70" s="87"/>
      <c r="D70" s="87"/>
      <c r="E70" s="87"/>
      <c r="F70" s="87"/>
      <c r="G70" s="87"/>
      <c r="H70" s="87"/>
      <c r="I70" s="87"/>
      <c r="J70" s="87"/>
      <c r="K70" s="87"/>
    </row>
    <row r="71" spans="1:11" ht="15" customHeight="1">
      <c r="A71" s="98" t="s">
        <v>241</v>
      </c>
      <c r="B71" s="87"/>
      <c r="C71" s="87"/>
      <c r="D71" s="87"/>
      <c r="E71" s="87"/>
      <c r="F71" s="87"/>
      <c r="G71" s="87"/>
      <c r="H71" s="87"/>
      <c r="I71" s="87"/>
      <c r="J71" s="87"/>
      <c r="K71" s="87"/>
    </row>
    <row r="72" spans="1:11" ht="15" customHeight="1">
      <c r="A72" s="121" t="s">
        <v>321</v>
      </c>
      <c r="B72" s="121"/>
      <c r="C72" s="121"/>
      <c r="D72" s="121"/>
      <c r="E72" s="121"/>
      <c r="F72" s="121"/>
      <c r="G72" s="121"/>
      <c r="H72" s="121"/>
      <c r="I72" s="121"/>
      <c r="J72" s="121"/>
      <c r="K72" s="121"/>
    </row>
    <row r="73" spans="1:11">
      <c r="A73" s="121"/>
      <c r="B73" s="121"/>
      <c r="C73" s="121"/>
      <c r="D73" s="121"/>
      <c r="E73" s="121"/>
      <c r="F73" s="121"/>
      <c r="G73" s="121"/>
      <c r="H73" s="121"/>
      <c r="I73" s="121"/>
      <c r="J73" s="121"/>
      <c r="K73" s="121"/>
    </row>
    <row r="74" spans="1:11" ht="15" customHeight="1">
      <c r="A74" s="98" t="s">
        <v>322</v>
      </c>
      <c r="B74" s="87"/>
      <c r="C74" s="87"/>
      <c r="D74" s="87"/>
      <c r="E74" s="87"/>
      <c r="F74" s="87"/>
      <c r="G74" s="87"/>
      <c r="H74" s="87"/>
      <c r="I74" s="87"/>
      <c r="J74" s="87"/>
      <c r="K74" s="87"/>
    </row>
    <row r="75" spans="1:11" ht="15" customHeight="1">
      <c r="A75" s="123" t="s">
        <v>323</v>
      </c>
      <c r="B75" s="123"/>
      <c r="C75" s="123"/>
      <c r="D75" s="123"/>
      <c r="E75" s="123"/>
      <c r="F75" s="123"/>
      <c r="G75" s="123"/>
      <c r="H75" s="123"/>
      <c r="I75" s="123"/>
      <c r="J75" s="123"/>
      <c r="K75" s="123"/>
    </row>
    <row r="76" spans="1:11">
      <c r="A76" s="123"/>
      <c r="B76" s="123"/>
      <c r="C76" s="123"/>
      <c r="D76" s="123"/>
      <c r="E76" s="123"/>
      <c r="F76" s="123"/>
      <c r="G76" s="123"/>
      <c r="H76" s="123"/>
      <c r="I76" s="123"/>
      <c r="J76" s="123"/>
      <c r="K76" s="123"/>
    </row>
    <row r="77" spans="1:11" ht="15" customHeight="1">
      <c r="A77" s="123"/>
      <c r="B77" s="123"/>
      <c r="C77" s="123"/>
      <c r="D77" s="123"/>
      <c r="E77" s="123"/>
      <c r="F77" s="123"/>
      <c r="G77" s="123"/>
      <c r="H77" s="123"/>
      <c r="I77" s="123"/>
      <c r="J77" s="123"/>
      <c r="K77" s="123"/>
    </row>
    <row r="78" spans="1:11">
      <c r="A78" s="123"/>
      <c r="B78" s="123"/>
      <c r="C78" s="123"/>
      <c r="D78" s="123"/>
      <c r="E78" s="123"/>
      <c r="F78" s="123"/>
      <c r="G78" s="123"/>
      <c r="H78" s="123"/>
      <c r="I78" s="123"/>
      <c r="J78" s="123"/>
      <c r="K78" s="123"/>
    </row>
    <row r="79" spans="1:11" ht="15" customHeight="1">
      <c r="A79" s="121" t="s">
        <v>377</v>
      </c>
      <c r="B79" s="121"/>
      <c r="C79" s="121"/>
      <c r="D79" s="121"/>
      <c r="E79" s="121"/>
      <c r="F79" s="121"/>
      <c r="G79" s="121"/>
      <c r="H79" s="121"/>
      <c r="I79" s="121"/>
      <c r="J79" s="121"/>
      <c r="K79" s="121"/>
    </row>
    <row r="80" spans="1:11" ht="15" customHeight="1">
      <c r="A80" s="121"/>
      <c r="B80" s="121"/>
      <c r="C80" s="121"/>
      <c r="D80" s="121"/>
      <c r="E80" s="121"/>
      <c r="F80" s="121"/>
      <c r="G80" s="121"/>
      <c r="H80" s="121"/>
      <c r="I80" s="121"/>
      <c r="J80" s="121"/>
      <c r="K80" s="121"/>
    </row>
    <row r="81" spans="1:11" ht="15" customHeight="1">
      <c r="A81" s="121" t="s">
        <v>324</v>
      </c>
      <c r="B81" s="121"/>
      <c r="C81" s="121"/>
      <c r="D81" s="121"/>
      <c r="E81" s="121"/>
      <c r="F81" s="121"/>
      <c r="G81" s="121"/>
      <c r="H81" s="121"/>
      <c r="I81" s="121"/>
      <c r="J81" s="121"/>
      <c r="K81" s="121"/>
    </row>
    <row r="82" spans="1:11" ht="15" customHeight="1">
      <c r="A82" s="121"/>
      <c r="B82" s="121"/>
      <c r="C82" s="121"/>
      <c r="D82" s="121"/>
      <c r="E82" s="121"/>
      <c r="F82" s="121"/>
      <c r="G82" s="121"/>
      <c r="H82" s="121"/>
      <c r="I82" s="121"/>
      <c r="J82" s="121"/>
      <c r="K82" s="121"/>
    </row>
    <row r="83" spans="1:11" ht="15" customHeight="1">
      <c r="A83" s="121" t="s">
        <v>325</v>
      </c>
      <c r="B83" s="121"/>
      <c r="C83" s="121"/>
      <c r="D83" s="121"/>
      <c r="E83" s="121"/>
      <c r="F83" s="121"/>
      <c r="G83" s="121"/>
      <c r="H83" s="121"/>
      <c r="I83" s="121"/>
      <c r="J83" s="121"/>
      <c r="K83" s="121"/>
    </row>
    <row r="84" spans="1:11">
      <c r="A84" s="121"/>
      <c r="B84" s="121"/>
      <c r="C84" s="121"/>
      <c r="D84" s="121"/>
      <c r="E84" s="121"/>
      <c r="F84" s="121"/>
      <c r="G84" s="121"/>
      <c r="H84" s="121"/>
      <c r="I84" s="121"/>
      <c r="J84" s="121"/>
      <c r="K84" s="121"/>
    </row>
    <row r="85" spans="1:11" ht="15" customHeight="1">
      <c r="A85" s="121" t="s">
        <v>326</v>
      </c>
      <c r="B85" s="121"/>
      <c r="C85" s="121"/>
      <c r="D85" s="121"/>
      <c r="E85" s="121"/>
      <c r="F85" s="121"/>
      <c r="G85" s="121"/>
      <c r="H85" s="121"/>
      <c r="I85" s="121"/>
      <c r="J85" s="121"/>
      <c r="K85" s="121"/>
    </row>
    <row r="86" spans="1:11">
      <c r="A86" s="121"/>
      <c r="B86" s="121"/>
      <c r="C86" s="121"/>
      <c r="D86" s="121"/>
      <c r="E86" s="121"/>
      <c r="F86" s="121"/>
      <c r="G86" s="121"/>
      <c r="H86" s="121"/>
      <c r="I86" s="121"/>
      <c r="J86" s="121"/>
      <c r="K86" s="121"/>
    </row>
    <row r="87" spans="1:11" ht="15" customHeight="1">
      <c r="A87" s="121"/>
      <c r="B87" s="121"/>
      <c r="C87" s="121"/>
      <c r="D87" s="121"/>
      <c r="E87" s="121"/>
      <c r="F87" s="121"/>
      <c r="G87" s="121"/>
      <c r="H87" s="121"/>
      <c r="I87" s="121"/>
      <c r="J87" s="121"/>
      <c r="K87" s="121"/>
    </row>
    <row r="88" spans="1:11">
      <c r="A88" s="121"/>
      <c r="B88" s="121"/>
      <c r="C88" s="121"/>
      <c r="D88" s="121"/>
      <c r="E88" s="121"/>
      <c r="F88" s="121"/>
      <c r="G88" s="121"/>
      <c r="H88" s="121"/>
      <c r="I88" s="121"/>
      <c r="J88" s="121"/>
      <c r="K88" s="121"/>
    </row>
    <row r="89" spans="1:11" ht="15" customHeight="1">
      <c r="A89" s="121" t="s">
        <v>327</v>
      </c>
      <c r="B89" s="121"/>
      <c r="C89" s="121"/>
      <c r="D89" s="121"/>
      <c r="E89" s="121"/>
      <c r="F89" s="121"/>
      <c r="G89" s="121"/>
      <c r="H89" s="121"/>
      <c r="I89" s="121"/>
      <c r="J89" s="121"/>
      <c r="K89" s="121"/>
    </row>
    <row r="90" spans="1:11" ht="15" customHeight="1">
      <c r="A90" s="122" t="s">
        <v>242</v>
      </c>
      <c r="B90" s="122"/>
      <c r="C90" s="122"/>
      <c r="D90" s="122"/>
      <c r="E90" s="122"/>
      <c r="F90" s="122"/>
      <c r="G90" s="122"/>
      <c r="H90" s="122"/>
      <c r="I90" s="122"/>
      <c r="J90" s="122"/>
      <c r="K90" s="122"/>
    </row>
    <row r="91" spans="1:11" ht="15" customHeight="1">
      <c r="A91" s="122"/>
      <c r="B91" s="122"/>
      <c r="C91" s="122"/>
      <c r="D91" s="122"/>
      <c r="E91" s="122"/>
      <c r="F91" s="122"/>
      <c r="G91" s="122"/>
      <c r="H91" s="122"/>
      <c r="I91" s="122"/>
      <c r="J91" s="122"/>
      <c r="K91" s="122"/>
    </row>
    <row r="92" spans="1:11">
      <c r="A92" s="98" t="s">
        <v>243</v>
      </c>
      <c r="B92" s="87"/>
      <c r="C92" s="87"/>
      <c r="D92" s="87"/>
      <c r="E92" s="87"/>
      <c r="F92" s="87"/>
      <c r="G92" s="87"/>
      <c r="H92" s="87"/>
      <c r="I92" s="87"/>
      <c r="J92" s="87"/>
      <c r="K92" s="87"/>
    </row>
    <row r="93" spans="1:11">
      <c r="A93" s="98" t="s">
        <v>244</v>
      </c>
      <c r="B93" s="87"/>
      <c r="C93" s="87"/>
      <c r="D93" s="87"/>
      <c r="E93" s="87"/>
      <c r="F93" s="87"/>
      <c r="G93" s="87"/>
      <c r="H93" s="87"/>
      <c r="I93" s="87"/>
      <c r="J93" s="87"/>
      <c r="K93" s="87"/>
    </row>
    <row r="94" spans="1:11" ht="15" customHeight="1">
      <c r="A94" s="121" t="s">
        <v>328</v>
      </c>
      <c r="B94" s="121"/>
      <c r="C94" s="121"/>
      <c r="D94" s="121"/>
      <c r="E94" s="121"/>
      <c r="F94" s="121"/>
      <c r="G94" s="121"/>
      <c r="H94" s="121"/>
      <c r="I94" s="121"/>
      <c r="J94" s="121"/>
      <c r="K94" s="121"/>
    </row>
    <row r="95" spans="1:11">
      <c r="A95" s="121"/>
      <c r="B95" s="121"/>
      <c r="C95" s="121"/>
      <c r="D95" s="121"/>
      <c r="E95" s="121"/>
      <c r="F95" s="121"/>
      <c r="G95" s="121"/>
      <c r="H95" s="121"/>
      <c r="I95" s="121"/>
      <c r="J95" s="121"/>
      <c r="K95" s="121"/>
    </row>
    <row r="96" spans="1:11" ht="15" customHeight="1">
      <c r="A96" s="121"/>
      <c r="B96" s="121"/>
      <c r="C96" s="121"/>
      <c r="D96" s="121"/>
      <c r="E96" s="121"/>
      <c r="F96" s="121"/>
      <c r="G96" s="121"/>
      <c r="H96" s="121"/>
      <c r="I96" s="121"/>
      <c r="J96" s="121"/>
      <c r="K96" s="121"/>
    </row>
    <row r="97" spans="1:11" ht="15" customHeight="1">
      <c r="A97" s="121"/>
      <c r="B97" s="121"/>
      <c r="C97" s="121"/>
      <c r="D97" s="121"/>
      <c r="E97" s="121"/>
      <c r="F97" s="121"/>
      <c r="G97" s="121"/>
      <c r="H97" s="121"/>
      <c r="I97" s="121"/>
      <c r="J97" s="121"/>
      <c r="K97" s="121"/>
    </row>
    <row r="98" spans="1:11" ht="15" customHeight="1">
      <c r="A98" s="121" t="s">
        <v>329</v>
      </c>
      <c r="B98" s="121"/>
      <c r="C98" s="121"/>
      <c r="D98" s="121"/>
      <c r="E98" s="121"/>
      <c r="F98" s="121"/>
      <c r="G98" s="121"/>
      <c r="H98" s="121"/>
      <c r="I98" s="121"/>
      <c r="J98" s="121"/>
      <c r="K98" s="121"/>
    </row>
    <row r="99" spans="1:11" ht="15" customHeight="1">
      <c r="A99" s="121"/>
      <c r="B99" s="121"/>
      <c r="C99" s="121"/>
      <c r="D99" s="121"/>
      <c r="E99" s="121"/>
      <c r="F99" s="121"/>
      <c r="G99" s="121"/>
      <c r="H99" s="121"/>
      <c r="I99" s="121"/>
      <c r="J99" s="121"/>
      <c r="K99" s="121"/>
    </row>
    <row r="100" spans="1:11">
      <c r="A100" s="121"/>
      <c r="B100" s="121"/>
      <c r="C100" s="121"/>
      <c r="D100" s="121"/>
      <c r="E100" s="121"/>
      <c r="F100" s="121"/>
      <c r="G100" s="121"/>
      <c r="H100" s="121"/>
      <c r="I100" s="121"/>
      <c r="J100" s="121"/>
      <c r="K100" s="121"/>
    </row>
    <row r="101" spans="1:11" ht="15" customHeight="1">
      <c r="A101" s="121" t="s">
        <v>330</v>
      </c>
      <c r="B101" s="121"/>
      <c r="C101" s="121"/>
      <c r="D101" s="121"/>
      <c r="E101" s="121"/>
      <c r="F101" s="121"/>
      <c r="G101" s="121"/>
      <c r="H101" s="121"/>
      <c r="I101" s="121"/>
      <c r="J101" s="121"/>
      <c r="K101" s="121"/>
    </row>
    <row r="102" spans="1:11">
      <c r="A102" s="121"/>
      <c r="B102" s="121"/>
      <c r="C102" s="121"/>
      <c r="D102" s="121"/>
      <c r="E102" s="121"/>
      <c r="F102" s="121"/>
      <c r="G102" s="121"/>
      <c r="H102" s="121"/>
      <c r="I102" s="121"/>
      <c r="J102" s="121"/>
      <c r="K102" s="121"/>
    </row>
    <row r="103" spans="1:11" ht="15" customHeight="1">
      <c r="A103" s="121" t="s">
        <v>331</v>
      </c>
      <c r="B103" s="121"/>
      <c r="C103" s="121"/>
      <c r="D103" s="121"/>
      <c r="E103" s="121"/>
      <c r="F103" s="121"/>
      <c r="G103" s="121"/>
      <c r="H103" s="121"/>
      <c r="I103" s="121"/>
      <c r="J103" s="121"/>
      <c r="K103" s="121"/>
    </row>
    <row r="104" spans="1:11">
      <c r="A104" s="121"/>
      <c r="B104" s="121"/>
      <c r="C104" s="121"/>
      <c r="D104" s="121"/>
      <c r="E104" s="121"/>
      <c r="F104" s="121"/>
      <c r="G104" s="121"/>
      <c r="H104" s="121"/>
      <c r="I104" s="121"/>
      <c r="J104" s="121"/>
      <c r="K104" s="121"/>
    </row>
    <row r="105" spans="1:11" ht="15" customHeight="1">
      <c r="A105" s="121" t="s">
        <v>332</v>
      </c>
      <c r="B105" s="121"/>
      <c r="C105" s="121"/>
      <c r="D105" s="121"/>
      <c r="E105" s="121"/>
      <c r="F105" s="121"/>
      <c r="G105" s="121"/>
      <c r="H105" s="121"/>
      <c r="I105" s="121"/>
      <c r="J105" s="121"/>
      <c r="K105" s="121"/>
    </row>
    <row r="106" spans="1:11">
      <c r="A106" s="121"/>
      <c r="B106" s="121"/>
      <c r="C106" s="121"/>
      <c r="D106" s="121"/>
      <c r="E106" s="121"/>
      <c r="F106" s="121"/>
      <c r="G106" s="121"/>
      <c r="H106" s="121"/>
      <c r="I106" s="121"/>
      <c r="J106" s="121"/>
      <c r="K106" s="121"/>
    </row>
    <row r="107" spans="1:11" ht="15" customHeight="1">
      <c r="A107" s="121" t="s">
        <v>333</v>
      </c>
      <c r="B107" s="121"/>
      <c r="C107" s="121"/>
      <c r="D107" s="121"/>
      <c r="E107" s="121"/>
      <c r="F107" s="121"/>
      <c r="G107" s="121"/>
      <c r="H107" s="121"/>
      <c r="I107" s="121"/>
      <c r="J107" s="121"/>
      <c r="K107" s="121"/>
    </row>
    <row r="108" spans="1:11">
      <c r="A108" s="121"/>
      <c r="B108" s="121"/>
      <c r="C108" s="121"/>
      <c r="D108" s="121"/>
      <c r="E108" s="121"/>
      <c r="F108" s="121"/>
      <c r="G108" s="121"/>
      <c r="H108" s="121"/>
      <c r="I108" s="121"/>
      <c r="J108" s="121"/>
      <c r="K108" s="121"/>
    </row>
    <row r="109" spans="1:11" ht="15" customHeight="1">
      <c r="A109" s="121" t="s">
        <v>334</v>
      </c>
      <c r="B109" s="121"/>
      <c r="C109" s="121"/>
      <c r="D109" s="121"/>
      <c r="E109" s="121"/>
      <c r="F109" s="121"/>
      <c r="G109" s="121"/>
      <c r="H109" s="121"/>
      <c r="I109" s="121"/>
      <c r="J109" s="121"/>
      <c r="K109" s="121"/>
    </row>
    <row r="110" spans="1:11">
      <c r="A110" s="121"/>
      <c r="B110" s="121"/>
      <c r="C110" s="121"/>
      <c r="D110" s="121"/>
      <c r="E110" s="121"/>
      <c r="F110" s="121"/>
      <c r="G110" s="121"/>
      <c r="H110" s="121"/>
      <c r="I110" s="121"/>
      <c r="J110" s="121"/>
      <c r="K110" s="121"/>
    </row>
    <row r="111" spans="1:11" ht="15" customHeight="1">
      <c r="A111" s="121" t="s">
        <v>335</v>
      </c>
      <c r="B111" s="121"/>
      <c r="C111" s="121"/>
      <c r="D111" s="121"/>
      <c r="E111" s="121"/>
      <c r="F111" s="121"/>
      <c r="G111" s="121"/>
      <c r="H111" s="121"/>
      <c r="I111" s="121"/>
      <c r="J111" s="121"/>
      <c r="K111" s="121"/>
    </row>
    <row r="112" spans="1:11">
      <c r="A112" s="121"/>
      <c r="B112" s="121"/>
      <c r="C112" s="121"/>
      <c r="D112" s="121"/>
      <c r="E112" s="121"/>
      <c r="F112" s="121"/>
      <c r="G112" s="121"/>
      <c r="H112" s="121"/>
      <c r="I112" s="121"/>
      <c r="J112" s="121"/>
      <c r="K112" s="121"/>
    </row>
    <row r="113" spans="1:11" ht="15" customHeight="1">
      <c r="A113" s="121" t="s">
        <v>336</v>
      </c>
      <c r="B113" s="121"/>
      <c r="C113" s="121"/>
      <c r="D113" s="121"/>
      <c r="E113" s="121"/>
      <c r="F113" s="121"/>
      <c r="G113" s="121"/>
      <c r="H113" s="121"/>
      <c r="I113" s="121"/>
      <c r="J113" s="121"/>
      <c r="K113" s="121"/>
    </row>
    <row r="114" spans="1:11">
      <c r="A114" s="121"/>
      <c r="B114" s="121"/>
      <c r="C114" s="121"/>
      <c r="D114" s="121"/>
      <c r="E114" s="121"/>
      <c r="F114" s="121"/>
      <c r="G114" s="121"/>
      <c r="H114" s="121"/>
      <c r="I114" s="121"/>
      <c r="J114" s="121"/>
      <c r="K114" s="121"/>
    </row>
    <row r="115" spans="1:11" ht="15" customHeight="1">
      <c r="A115" s="121" t="s">
        <v>337</v>
      </c>
      <c r="B115" s="121"/>
      <c r="C115" s="121"/>
      <c r="D115" s="121"/>
      <c r="E115" s="121"/>
      <c r="F115" s="121"/>
      <c r="G115" s="121"/>
      <c r="H115" s="121"/>
      <c r="I115" s="121"/>
      <c r="J115" s="121"/>
      <c r="K115" s="121"/>
    </row>
    <row r="116" spans="1:11">
      <c r="A116" s="121"/>
      <c r="B116" s="121"/>
      <c r="C116" s="121"/>
      <c r="D116" s="121"/>
      <c r="E116" s="121"/>
      <c r="F116" s="121"/>
      <c r="G116" s="121"/>
      <c r="H116" s="121"/>
      <c r="I116" s="121"/>
      <c r="J116" s="121"/>
      <c r="K116" s="121"/>
    </row>
    <row r="117" spans="1:11">
      <c r="A117" s="98" t="s">
        <v>338</v>
      </c>
      <c r="B117" s="87"/>
      <c r="C117" s="87"/>
      <c r="D117" s="87"/>
      <c r="E117" s="87"/>
      <c r="F117" s="87"/>
      <c r="G117" s="87"/>
      <c r="H117" s="87"/>
      <c r="I117" s="87"/>
      <c r="J117" s="87"/>
      <c r="K117" s="87"/>
    </row>
    <row r="118" spans="1:11">
      <c r="A118" s="87" t="s">
        <v>245</v>
      </c>
      <c r="B118" s="87"/>
      <c r="C118" s="87"/>
      <c r="D118" s="87"/>
      <c r="E118" s="87"/>
      <c r="F118" s="87"/>
      <c r="G118" s="87"/>
      <c r="H118" s="87"/>
      <c r="I118" s="87"/>
      <c r="J118" s="87"/>
      <c r="K118" s="87"/>
    </row>
    <row r="119" spans="1:11">
      <c r="A119" s="99" t="s">
        <v>339</v>
      </c>
      <c r="B119" s="87"/>
      <c r="C119" s="87"/>
      <c r="D119" s="87"/>
      <c r="E119" s="87"/>
      <c r="F119" s="87"/>
      <c r="G119" s="87"/>
      <c r="H119" s="87"/>
      <c r="I119" s="87"/>
      <c r="J119" s="87"/>
      <c r="K119" s="87"/>
    </row>
    <row r="120" spans="1:11">
      <c r="A120" s="87" t="s">
        <v>505</v>
      </c>
      <c r="B120" s="87"/>
      <c r="C120" s="87"/>
      <c r="D120" s="87"/>
      <c r="E120" s="87"/>
      <c r="F120" s="87"/>
      <c r="G120" s="87"/>
      <c r="H120" s="87"/>
      <c r="I120" s="87"/>
      <c r="J120" s="87"/>
      <c r="K120" s="87"/>
    </row>
    <row r="121" spans="1:11">
      <c r="A121" s="87"/>
      <c r="B121" s="87"/>
      <c r="C121" s="87"/>
      <c r="D121" s="87"/>
      <c r="E121" s="87"/>
      <c r="F121" s="87"/>
      <c r="G121" s="87"/>
      <c r="H121" s="87"/>
      <c r="I121" s="87"/>
      <c r="J121" s="87"/>
      <c r="K121" s="87"/>
    </row>
    <row r="122" spans="1:11">
      <c r="A122" s="87"/>
      <c r="B122" s="87"/>
      <c r="C122" s="87"/>
      <c r="D122" s="87"/>
      <c r="E122" s="87"/>
      <c r="F122" s="87"/>
      <c r="G122" s="87"/>
      <c r="H122" s="87"/>
      <c r="I122" s="87"/>
      <c r="J122" s="87"/>
      <c r="K122" s="87"/>
    </row>
    <row r="123" spans="1:11">
      <c r="A123" s="87"/>
      <c r="B123" s="87"/>
      <c r="C123" s="87"/>
      <c r="D123" s="87"/>
      <c r="E123" s="87"/>
      <c r="F123" s="87"/>
      <c r="G123" s="87"/>
      <c r="H123" s="87"/>
      <c r="I123" s="87"/>
      <c r="J123" s="87"/>
      <c r="K123" s="87"/>
    </row>
    <row r="124" spans="1:11">
      <c r="A124" s="87"/>
      <c r="B124" s="87"/>
      <c r="C124" s="87"/>
      <c r="D124" s="87"/>
      <c r="E124" s="87"/>
      <c r="F124" s="87"/>
      <c r="G124" s="87"/>
      <c r="H124" s="87"/>
      <c r="I124" s="87"/>
      <c r="J124" s="87"/>
      <c r="K124" s="87"/>
    </row>
    <row r="125" spans="1:11">
      <c r="A125" s="87"/>
      <c r="B125" s="87"/>
      <c r="C125" s="87"/>
      <c r="D125" s="87"/>
      <c r="E125" s="87"/>
      <c r="F125" s="87"/>
      <c r="G125" s="87"/>
      <c r="H125" s="87"/>
      <c r="I125" s="87"/>
      <c r="J125" s="87"/>
      <c r="K125" s="87"/>
    </row>
    <row r="126" spans="1:11">
      <c r="A126" s="88"/>
      <c r="B126" s="87"/>
      <c r="C126" s="87"/>
      <c r="D126" s="87"/>
      <c r="E126" s="87"/>
      <c r="F126" s="87"/>
      <c r="G126" s="87"/>
      <c r="H126" s="87"/>
      <c r="I126" s="87"/>
      <c r="J126" s="87"/>
      <c r="K126" s="87"/>
    </row>
    <row r="127" spans="1:11">
      <c r="A127" s="88"/>
      <c r="B127" s="87"/>
      <c r="C127" s="87"/>
      <c r="D127" s="87"/>
      <c r="E127" s="87"/>
      <c r="F127" s="87"/>
      <c r="G127" s="87"/>
      <c r="H127" s="87"/>
      <c r="I127" s="87"/>
      <c r="J127" s="87"/>
      <c r="K127" s="87"/>
    </row>
    <row r="128" spans="1:11">
      <c r="A128" s="86"/>
      <c r="B128" s="87"/>
      <c r="C128" s="87"/>
      <c r="D128" s="87"/>
      <c r="E128" s="87"/>
      <c r="F128" s="87"/>
      <c r="G128" s="87"/>
      <c r="H128" s="87"/>
      <c r="I128" s="87"/>
      <c r="J128" s="87"/>
      <c r="K128" s="87"/>
    </row>
    <row r="129" spans="1:11">
      <c r="A129" s="88"/>
      <c r="B129" s="87"/>
      <c r="C129" s="87"/>
      <c r="D129" s="87"/>
      <c r="E129" s="87"/>
      <c r="F129" s="87"/>
      <c r="G129" s="87"/>
      <c r="H129" s="87"/>
      <c r="I129" s="87"/>
      <c r="J129" s="87"/>
      <c r="K129" s="87"/>
    </row>
    <row r="130" spans="1:11">
      <c r="A130" s="75"/>
      <c r="B130" s="75"/>
      <c r="C130" s="75"/>
      <c r="D130" s="75"/>
      <c r="E130" s="75"/>
      <c r="F130" s="75"/>
      <c r="G130" s="75"/>
      <c r="H130" s="75"/>
      <c r="I130" s="75"/>
      <c r="J130" s="75"/>
      <c r="K130" s="75"/>
    </row>
    <row r="131" spans="1:11">
      <c r="A131" s="99"/>
      <c r="B131" s="75"/>
      <c r="C131" s="75"/>
      <c r="D131" s="75"/>
      <c r="E131" s="75"/>
      <c r="F131" s="75"/>
      <c r="G131" s="75"/>
      <c r="H131" s="75"/>
      <c r="I131" s="75"/>
      <c r="J131" s="75"/>
      <c r="K131" s="75"/>
    </row>
    <row r="132" spans="1:11">
      <c r="A132" s="87"/>
      <c r="B132" s="75"/>
      <c r="C132" s="75"/>
      <c r="D132" s="75"/>
      <c r="E132" s="75"/>
      <c r="F132" s="75"/>
      <c r="G132" s="75"/>
      <c r="H132" s="75"/>
      <c r="I132" s="75"/>
      <c r="J132" s="75"/>
      <c r="K132" s="75"/>
    </row>
    <row r="133" spans="1:11">
      <c r="A133" s="75"/>
      <c r="B133" s="75"/>
      <c r="C133" s="75"/>
      <c r="D133" s="75"/>
      <c r="E133" s="75"/>
      <c r="F133" s="75"/>
      <c r="G133" s="75"/>
      <c r="H133" s="75"/>
      <c r="I133" s="75"/>
      <c r="J133" s="75"/>
      <c r="K133" s="75"/>
    </row>
    <row r="134" spans="1:11">
      <c r="A134" s="75"/>
      <c r="B134" s="75"/>
      <c r="C134" s="75"/>
      <c r="D134" s="75"/>
      <c r="E134" s="75"/>
      <c r="F134" s="75"/>
      <c r="G134" s="75"/>
      <c r="H134" s="75"/>
      <c r="I134" s="75"/>
      <c r="J134" s="75"/>
      <c r="K134" s="75"/>
    </row>
    <row r="135" spans="1:11">
      <c r="A135" s="75"/>
      <c r="B135" s="75"/>
      <c r="C135" s="75"/>
      <c r="D135" s="75"/>
      <c r="E135" s="75"/>
      <c r="F135" s="75"/>
      <c r="G135" s="75"/>
      <c r="H135" s="75"/>
      <c r="I135" s="75"/>
      <c r="J135" s="75"/>
      <c r="K135" s="75"/>
    </row>
    <row r="136" spans="1:11">
      <c r="A136" s="75"/>
      <c r="B136" s="75"/>
      <c r="C136" s="75"/>
      <c r="D136" s="75"/>
      <c r="E136" s="75"/>
      <c r="F136" s="75"/>
      <c r="G136" s="75"/>
      <c r="H136" s="75"/>
      <c r="I136" s="75"/>
      <c r="J136" s="75"/>
      <c r="K136" s="75"/>
    </row>
    <row r="146" spans="1:1">
      <c r="A146" s="80"/>
    </row>
    <row r="147" spans="1:1">
      <c r="A147" s="81"/>
    </row>
  </sheetData>
  <sheetProtection algorithmName="SHA-512" hashValue="DWBh5Jq7C7iZrdA1afLoWf3GITShlruVmtB5yvQ3uTuPWSzNhOWRzfCmgcMlpWVOSRVBb/XFCRYcwyrSJ78ueg==" saltValue="Q3Rybiwz23J+t+gAzEO76Q==" spinCount="100000" sheet="1" objects="1" scenarios="1"/>
  <mergeCells count="63">
    <mergeCell ref="A53:K53"/>
    <mergeCell ref="A52:K52"/>
    <mergeCell ref="A47:K47"/>
    <mergeCell ref="A17:K17"/>
    <mergeCell ref="A18:K18"/>
    <mergeCell ref="A50:K50"/>
    <mergeCell ref="A48:K48"/>
    <mergeCell ref="A49:K49"/>
    <mergeCell ref="A43:K43"/>
    <mergeCell ref="A37:K37"/>
    <mergeCell ref="A38:K38"/>
    <mergeCell ref="A39:K39"/>
    <mergeCell ref="A45:K45"/>
    <mergeCell ref="A19:K19"/>
    <mergeCell ref="A20:K20"/>
    <mergeCell ref="A83:K84"/>
    <mergeCell ref="A42:K42"/>
    <mergeCell ref="A27:K27"/>
    <mergeCell ref="A28:K28"/>
    <mergeCell ref="A33:K33"/>
    <mergeCell ref="A34:K34"/>
    <mergeCell ref="A29:K29"/>
    <mergeCell ref="A63:K64"/>
    <mergeCell ref="A56:K56"/>
    <mergeCell ref="A57:K57"/>
    <mergeCell ref="A65:K66"/>
    <mergeCell ref="A54:K54"/>
    <mergeCell ref="A40:K40"/>
    <mergeCell ref="A41:K41"/>
    <mergeCell ref="A44:K44"/>
    <mergeCell ref="A30:K30"/>
    <mergeCell ref="A79:K80"/>
    <mergeCell ref="A81:K82"/>
    <mergeCell ref="A12:K12"/>
    <mergeCell ref="A26:K26"/>
    <mergeCell ref="A31:K31"/>
    <mergeCell ref="A32:K32"/>
    <mergeCell ref="A36:K36"/>
    <mergeCell ref="A35:K35"/>
    <mergeCell ref="A25:K25"/>
    <mergeCell ref="A23:K23"/>
    <mergeCell ref="A24:K24"/>
    <mergeCell ref="A21:K21"/>
    <mergeCell ref="A22:K22"/>
    <mergeCell ref="A46:K46"/>
    <mergeCell ref="A51:K51"/>
    <mergeCell ref="A55:K55"/>
    <mergeCell ref="A67:K68"/>
    <mergeCell ref="A113:K114"/>
    <mergeCell ref="A115:K116"/>
    <mergeCell ref="A85:K88"/>
    <mergeCell ref="A89:K89"/>
    <mergeCell ref="A90:K91"/>
    <mergeCell ref="A94:K97"/>
    <mergeCell ref="A98:K100"/>
    <mergeCell ref="A111:K112"/>
    <mergeCell ref="A107:K108"/>
    <mergeCell ref="A109:K110"/>
    <mergeCell ref="A101:K102"/>
    <mergeCell ref="A103:K104"/>
    <mergeCell ref="A105:K106"/>
    <mergeCell ref="A72:K73"/>
    <mergeCell ref="A75:K78"/>
  </mergeCells>
  <hyperlinks>
    <hyperlink ref="A43:K43" location="'TotalAllotj_10 (28)'!A1" display="Capacidad de alojamiento por tipo de establecimiento y categoría en Mallorca (2010)………………………………….…………………....................................…………………pág 28" xr:uid="{00000000-0004-0000-0100-000000000000}"/>
    <hyperlink ref="A44:K44" location="'Allotj.municipi_10 (29)'!A1" display="Distribución de la capacidad de alojamiento por municipios en Mallorca (2010)……………………………….…….....................................……………………………………………pág 29" xr:uid="{00000000-0004-0000-0100-000001000000}"/>
    <hyperlink ref="A45:K45" location="'TotalAllotj_09 (30)'!A1" display="Capacidad de alojamiento por tipo de establecimiento y categoría en Mallorca (2009)…………...……………………....................................………....………………………..pág 30" xr:uid="{00000000-0004-0000-0100-000002000000}"/>
    <hyperlink ref="A46:K46" location="'Allotj.municipi_09 (31)'!A1" display="Distribución de la capacidad de alojamiento por municipios en Mallorca (2009)…………...………………..………………………………….....................................……………….pág 31" xr:uid="{00000000-0004-0000-0100-000003000000}"/>
    <hyperlink ref="A47:K47" location="'TotalAllotj_08 (32)'!A1" display="Capacidad de alojamiento por tipo de establecimiento y categoría en Mallorca (2008)……….…………..……………….…………….......................................………………..pág 32" xr:uid="{00000000-0004-0000-0100-000004000000}"/>
    <hyperlink ref="A48:K48" location="'Allotj.municipi_08 (33)'!A1" display="Distribución de la capacidad de alojamiento por municipios en Mallorca (2008)…...………………………..……………………….....................................………………………….pág 33" xr:uid="{00000000-0004-0000-0100-000005000000}"/>
    <hyperlink ref="A49:K49" location="'TotalAllotj_07 (34)'!A1" display="Capacidad de alojamiento por tipo de establecimiento y categoría en Mallorca (2007)………………………….…..…….……….......................................……………………..pág 34" xr:uid="{00000000-0004-0000-0100-000006000000}"/>
    <hyperlink ref="A50:K50" location="'Allotj.municipi_07 (35)'!A1" display="Distribución de la capacidad de alojamiento por municipios en Mallorca (2007)…………………...………..…………………………….....................................…………………….pág 35" xr:uid="{00000000-0004-0000-0100-000007000000}"/>
    <hyperlink ref="A52:K52" location="'Allotj.municipi_06 (37)'!A1" display="Distribución de la capacidad de alojamiento por municipios en Mallorca (2006)…………….………………..………………………………....................................………………….pág 37" xr:uid="{00000000-0004-0000-0100-000008000000}"/>
    <hyperlink ref="A54:K54" location="'Allotj.municipi_05 (39)'!A1" display="Distribución de la capacidad de alojamiento por municipios en Mallorca (2005)…………….………………..………………………....................................………………………….pág 39" xr:uid="{00000000-0004-0000-0100-000009000000}"/>
    <hyperlink ref="A56:K56" location="'Allotj.municipi_04 (41)'!A1" display="Distribución de la capacidad de alojamiento por municipios en Mallorca (2004)…………………………..…….………………....................................……………………………….pág 41" xr:uid="{00000000-0004-0000-0100-00000A000000}"/>
    <hyperlink ref="A41:K41" location="'TotalAllotj_11 (26)'!A1" display="Capacidad de alojamiento por tipo de establecimiento y categoría en Mallorca (2011)………….…………………………………………....................................…………………pág 26" xr:uid="{00000000-0004-0000-0100-00000B000000}"/>
    <hyperlink ref="A42:K42" location="'Allotj.municipi_11 (27)'!A1" display="Distribución de la capacidad de alojamiento por municipios en Mallorca (2011)……….……………………………………………….......................................………………………pág 27" xr:uid="{00000000-0004-0000-0100-00000C000000}"/>
    <hyperlink ref="A40:K40" location="'Allotj.municipi_12 (25)'!A1" display="Distribución de la capacidad de alojamiento por municipios en Mallorca (2012)……….…………………………………………….......................................…………………………pág 25" xr:uid="{00000000-0004-0000-0100-00000D000000}"/>
    <hyperlink ref="A51:K51" location="'TotalAllotj_06 (36)'!A1" display="Capacidad de alojamiento por tipo de establecimiento y categoría en Mallorca (2006)………………………………….……………….…….....................................…………….pàg 36" xr:uid="{00000000-0004-0000-0100-00000E000000}"/>
    <hyperlink ref="A53:K53" location="'TotalAllotj_05 (38)'!A1" display="Capacidad de alojamiento por tipo de establecimiento y categoría en Mallorca (2005)…....……………………………………………………………....................................…..pàg 38" xr:uid="{00000000-0004-0000-0100-00000F000000}"/>
    <hyperlink ref="A55:K55" location="'TotalAllotj_04 (40)'!A1" display="Capacidad de alojamiento por tipo de establecimiento y categoría en Mallorca (2004)……………………….…………….………....................................………………………..pág 40" xr:uid="{00000000-0004-0000-0100-000010000000}"/>
    <hyperlink ref="A39:K39" location="'TotalAllotj_12 (24)'!A1" display="Capacidad de alojamiento por tipo de establecimiento y categoría en Mallorca (2012)………….………………………………....................................……………………………pág 24" xr:uid="{00000000-0004-0000-0100-000011000000}"/>
    <hyperlink ref="A38:K38" location="'Allotj.municipi_13 (23)'!A1" display="Distribución de la capacidad de alojamiento por municipios en Mallorca (2013)……….…………………………………………………….......................................…………………pág 23" xr:uid="{00000000-0004-0000-0100-000012000000}"/>
    <hyperlink ref="A37:K37" location="'TotalAllotj_13 (22)'!A1" display="Capacidad de alojamiento por tipo de establecimiento y categoría en Mallorca (2013)………….……………………………………....................................………………………pág 22" xr:uid="{00000000-0004-0000-0100-000013000000}"/>
    <hyperlink ref="A36:K36" location="'Allotj.municipi_14 (21)'!A1" display="Distribución de la capacidad de alojamiento por municipios en Mallorca (2014)……….………………………………………………………….......................................……………pág 21" xr:uid="{00000000-0004-0000-0100-000014000000}"/>
    <hyperlink ref="A35:K35" location="'TotalAllotj_14 (20)'!A1" display="Capacidad de alojamiento por tipo de establecimiento y categoría en Mallorca (2014)………….…………………………………………....................................…………………pág 20" xr:uid="{00000000-0004-0000-0100-000015000000}"/>
    <hyperlink ref="A34:K34" location="'Allotj.municipi_15 (19)'!A1" display="Distribución de la capacidad de alojamiento por municipios en Mallorca (2015)……….………………………………………………………….......................................……………pág 19" xr:uid="{00000000-0004-0000-0100-000016000000}"/>
    <hyperlink ref="A31:K31" location="'TotalAllotj_16 (16)'!A1" display="Capacidad de alojamiento por tipo de establecimiento y categoría en Mallorca (2016)………….…………………………...……....................................…………………………pág 16" xr:uid="{00000000-0004-0000-0100-000017000000}"/>
    <hyperlink ref="A30:K30" location="'Allotj.municipi_17 (15)'!A1" display="Distribución de la capacidad de alojamiento por municipios en Mallorca (2017)……….………………………………………….....................................………………………………pág 15" xr:uid="{00000000-0004-0000-0100-000018000000}"/>
    <hyperlink ref="A29:K29" location="'TotalAllotj_17 (14)'!A1" display="Capacidad de alojamiento por tipo de establecimiento y categoría en Mallorca (2017)………….……………………………....................................…...…………………………pág 14" xr:uid="{00000000-0004-0000-0100-000019000000}"/>
    <hyperlink ref="A28:K28" location="'Allotj.municipi_18 (13)'!A1" display="Distribución de la capacidad de alojamiento por municipios en Mallorca (2018)……….………………………………………….....................................………………………………pág 13" xr:uid="{00000000-0004-0000-0100-00001A000000}"/>
    <hyperlink ref="A27:K27" location="'TotalAllotj_18 (12)'!A1" display="Capacidad de alojamiento por tipo de establecimiento y categoría en Mallorca (2018)………….……………………………….....................................……………………………pág 12" xr:uid="{00000000-0004-0000-0100-00001B000000}"/>
    <hyperlink ref="A26:K26" location="'Allotj.municipi_19 (11)'!A1" display="Distribución de la capacidad de alojamiento por municipios en Mallorca (2019)……….…………………………………………….....................................……………………………pág 11" xr:uid="{00000000-0004-0000-0100-00001C000000}"/>
    <hyperlink ref="A25:K25" location="'TotalAllotj_19 (10)'!A1" display="Capacidad de alojamiento por tipo de establecimiento y categoría en Mallorca (2019)………….………………..…………………….....................................……………………pág 10" xr:uid="{00000000-0004-0000-0100-00001D000000}"/>
    <hyperlink ref="A33:K33" location="'TotalAllotj_15 (18)'!A1" display="Capacidad de alojamiento por tipo de establecimiento y categoría en Mallorca (2015)………….……………………………………………....................................………………pág 18" xr:uid="{00000000-0004-0000-0100-00001E000000}"/>
    <hyperlink ref="A32:K32" location="'Allotj.municipi_16 (17)'!A1" display="Distribución de la capacidad de alojamiento por municipios en Mallorca (2016)……….……………………………………………………..................................………………………pág 17" xr:uid="{00000000-0004-0000-0100-00001F000000}"/>
    <hyperlink ref="A24:K24" location="'Allotj.municipi_20 (9)'!A1" display="Distribución de la capacidad de alojamiento por municipios en Mallorca (2020)……….………………………………..…………….……….………......................................………pág 9" xr:uid="{00000000-0004-0000-0100-000020000000}"/>
    <hyperlink ref="A23:K23" location="'TotalAllotj_20 (8)'!A1" display="Capacidad de alojamiento por tipo de establecimiento y categoría en Mallorca (2020)………….…………….………………....................................………………………………pág 8" xr:uid="{00000000-0004-0000-0100-000021000000}"/>
    <hyperlink ref="A22:K22" location="'Allotj.municipi_21 (7)'!A1" display="Distribución de la capacidad de alojamiento por municipios en Mallorca (2021)……….…………………………………...….....................................…………………………………pág 7" xr:uid="{00000000-0004-0000-0100-000022000000}"/>
    <hyperlink ref="A21:K21" location="'TotalAllotj_21 (6)'!A1" display="Capacidad de alojamiento por tipo de establecimiento y categoría en Mallorca (2021)………….…………......................................……..…………………………………………pág 6" xr:uid="{00000000-0004-0000-0100-000023000000}"/>
    <hyperlink ref="A20:K20" location="'Allotj.municipi_22 (5)'!A1" display="Distribución de la capacidad de alojamiento por municipios en Mallorca (2022)……….…………………………………...….....................................…………………………………pág 5" xr:uid="{F8AD58A1-A0AE-4692-BFC6-74BA4BF60DCF}"/>
    <hyperlink ref="A19:K19" location="'TotalAllotj_22 (4)'!A1" display="Capacidad de alojamiento por tipo de establecimiento y categoría en Mallorca (2022)………….…………......................................……..…………………………………………pág 4" xr:uid="{C7194BE8-42E9-4929-A142-A6DC81C6FF93}"/>
    <hyperlink ref="A18:K18" location="'Allotj.municipi_22 (5)'!A1" display="Distribución de la capacidad de alojamiento por municipios en Mallorca (2022)……….…………………………………...….....................................…………………………………pág 5" xr:uid="{D33DC562-02A2-4023-AE10-72C740F3A679}"/>
    <hyperlink ref="A17:K17" location="'TotalAllotj_22 (4)'!A1" display="Capacidad de alojamiento por tipo de establecimiento y categoría en Mallorca (2022)………….…………......................................……..…………………………………………pág 4" xr:uid="{48EB48BF-6771-44A0-B076-BDC452725328}"/>
    <hyperlink ref="A17:XFD17" location="'TotalAllotj_23 (4)'!A1" display="Capacidad de alojamiento por tipo de establecimiento y categoría en Mallorca (2023)………….…………......................................……..…………………………………………pág 4" xr:uid="{16198F4C-0093-4179-8293-A9F3E891989C}"/>
    <hyperlink ref="A18:XFD18" location="'Allotj.municipi_23 (5)'!A1" display="Distribución de la capacidad de alojamiento por municipios en Mallorca (2023)……….…………………………………...….....................................…………………………………pág 5" xr:uid="{572DD80C-75A6-4BE8-ACEE-0F46C2461871}"/>
    <hyperlink ref="A19:XFD19" location="'TotalAllotj_22 (6)'!A1" display="Capacidad de alojamiento por tipo de establecimiento y categoría en Mallorca (2022)………….…………......................................……..…………………………………………pág 6" xr:uid="{A9ABE84D-F8F1-40FC-BC52-C938903A9CF3}"/>
    <hyperlink ref="A20:XFD20" location="'Allotj.municipi_22 (7)'!A1" display="Distribución de la capacidad de alojamiento por municipios en Mallorca (2022)……….…………………………………...….....................................…………………………………pág 7" xr:uid="{6FEAF398-B411-498E-8B14-50DA0B3D73E3}"/>
    <hyperlink ref="A21:XFD21" location="'TotalAllotj_21 (8)'!A1" display="Capacidad de alojamiento por tipo de establecimiento y categoría en Mallorca (2021)………….…………......................................……..…………………………………………pág 8" xr:uid="{D06F294D-CA82-4C86-9E2C-4879564E7272}"/>
    <hyperlink ref="A22:XFD22" location="'Allotj.municipi_21 (9)'!A1" display="Distribución de la capacidad de alojamiento por municipios en Mallorca (2021)……….…………………………………...….....................................…………………………………pág 9" xr:uid="{0EB398C4-D3D4-4365-8AC8-4649E8EA84B8}"/>
    <hyperlink ref="A23:XFD23" location="'TotalAllotj_20 (10)'!A1" display="Capacidad de alojamiento por tipo de establecimiento y categoría en Mallorca (2020)………….…………….………………....................................………………………………pág 10" xr:uid="{1EAA42A8-2B00-49B2-BC30-4F5868325A47}"/>
    <hyperlink ref="A24:XFD24" location="'Allotj.municipi_20 (11)'!A1" display="Distribución de la capacidad de alojamiento por municipios en Mallorca (2020)……….………………………………..…………….……….………......................................………pág 11" xr:uid="{102D5213-BC42-413E-AD61-45980671F46A}"/>
    <hyperlink ref="A25:XFD25" location="'TotalAllotj_19 (12)'!A1" display="Capacidad de alojamiento por tipo de establecimiento y categoría en Mallorca (2019)………….………………..…………………….....................................……………………pág 12" xr:uid="{E67FBEA8-5773-4CF8-BEC7-AEF5C0A3B1B1}"/>
    <hyperlink ref="A26:XFD26" location="'Allotj.municipi_19 (13)'!A1" display="Distribución de la capacidad de alojamiento por municipios en Mallorca (2019)……….…………………………………………….....................................……………………………pág 13" xr:uid="{F6135F35-EEB8-4C10-992C-B04672C36AE5}"/>
    <hyperlink ref="A27:XFD27" location="'TotalAllotj_18 (14)'!A1" display="Capacidad de alojamiento por tipo de establecimiento y categoría en Mallorca (2018)………….……………………………….....................................……………………………pág 14" xr:uid="{DBCD0326-BD37-4C4B-A06C-2042754BB14B}"/>
    <hyperlink ref="A28:XFD28" location="'Allotj.municipi_18 (15)'!A1" display="Distribución de la capacidad de alojamiento por municipios en Mallorca (2018)……….………………………………………….....................................………………………………pág 15" xr:uid="{6EA40BB1-C5E6-4A69-99FD-68D383231383}"/>
    <hyperlink ref="A29:XFD29" location="'TotalAllotj_17 (16)'!A1" display="Capacidad de alojamiento por tipo de establecimiento y categoría en Mallorca (2017)………….……………………………....................................…...…………………………pág 16" xr:uid="{4574261A-3EAB-4AB6-AD31-A794EDC03441}"/>
    <hyperlink ref="A30:XFD30" location="'Allotj.municipi_17 (17)'!A1" display="Distribución de la capacidad de alojamiento por municipios en Mallorca (2017)……….………………………………………….....................................………………………………pág 17" xr:uid="{B45D75BD-A587-486B-8DE8-4A068E927471}"/>
    <hyperlink ref="A31:XFD31" location="'TotalAllotj_16 (18)'!A1" display="Capacidad de alojamiento por tipo de establecimiento y categoría en Mallorca (2016)………….…………………………...……....................................…………………………pág 18" xr:uid="{AFDFD599-4A70-4DEB-A01E-F6D1698576BF}"/>
    <hyperlink ref="A32:XFD32" location="'Allotj.municipi_16 (19)'!A1" display="Distribución de la capacidad de alojamiento por municipios en Mallorca (2016)……….……………………………………………………..................................………………………pág 19" xr:uid="{102BCE73-7B3F-4DF2-A450-35D0E3A51691}"/>
    <hyperlink ref="A33:XFD33" location="'TotalAllotj_15 (20)'!A1" display="Capacidad de alojamiento por tipo de establecimiento y categoría en Mallorca (2015)………….……………………………………………....................................………………pág 20" xr:uid="{C0BC36FE-FC84-4A3B-A2CC-8B75A8F9CF67}"/>
    <hyperlink ref="A34:XFD34" location="'Allotj.municipi_15 (21)'!A1" display="Distribución de la capacidad de alojamiento por municipios en Mallorca (2015)……….………………………………………………………….......................................……………pág 21" xr:uid="{F6EDDA9C-CA19-4348-95D4-920A209B00EB}"/>
    <hyperlink ref="A35:XFD35" location="'TotalAllotj_14 (22)'!A1" display="Capacidad de alojamiento por tipo de establecimiento y categoría en Mallorca (2014)………….…………………………………………....................................…………………pág 22" xr:uid="{E662CDD0-924E-41DB-AFA4-BF28D17BF245}"/>
    <hyperlink ref="A36:XFD36" location="'Allotj.municipi_14 (23)'!A1" display="Distribución de la capacidad de alojamiento por municipios en Mallorca (2014)……….………………………………………………………….......................................……………pág 23" xr:uid="{292D22B8-655E-4708-9E0F-23880B7CD986}"/>
    <hyperlink ref="A37:XFD37" location="'TotalAllotj_13 (24)'!A1" display="Capacidad de alojamiento por tipo de establecimiento y categoría en Mallorca (2013)………….……………………………………....................................………………………pág 24" xr:uid="{0B9C9A50-B764-480D-95B7-5FCD0070B049}"/>
    <hyperlink ref="A38:XFD38" location="'Allotj.municipi_13 (25)'!A1" display="Distribución de la capacidad de alojamiento por municipios en Mallorca (2013)……….…………………………………………………….......................................…………………pág 25" xr:uid="{EB6953E4-EEBB-40AC-9BE9-59EE580758BE}"/>
    <hyperlink ref="A39:XFD39" location="'TotalAllotj_12 (26)'!A1" display="Capacidad de alojamiento por tipo de establecimiento y categoría en Mallorca (2012)………….………………………………....................................……………………………pág 26" xr:uid="{41544303-BAD6-467F-A6B6-A6085D5D9A1B}"/>
    <hyperlink ref="A40:XFD40" location="'Allotj.municipi_12 (27)'!A1" display="Distribución de la capacidad de alojamiento por municipios en Mallorca (2012)……….…………………………………………….......................................…………………………pág 27" xr:uid="{35A2EE7E-1B61-46A5-B8C5-0690493BB050}"/>
    <hyperlink ref="A41:XFD41" location="'TotalAllotj_11 (28)'!A1" display="Capacidad de alojamiento por tipo de establecimiento y categoría en Mallorca (2011)………….…………………………………………....................................…………………pág 28" xr:uid="{EFDF4317-4FD8-499F-B243-2E81A9231B42}"/>
    <hyperlink ref="A42:XFD42" location="'Allotj.municipi_11 (29)'!A1" display="Distribución de la capacidad de alojamiento por municipios en Mallorca (2011)……….……………………………………………….......................................………………………pág 29" xr:uid="{AD837A8B-99CB-4106-BDEE-70891DF32114}"/>
    <hyperlink ref="A43:XFD43" location="'TotalAllotj_10 (30)'!A1" display="Capacidad de alojamiento por tipo de establecimiento y categoría en Mallorca (2010)………………………………….…………………....................................…………………pág 30" xr:uid="{279BAAC3-994B-48A0-BA2E-F6FCA17745EA}"/>
    <hyperlink ref="A44:XFD44" location="'Allotj.municipi_10 (31)'!A1" display="Distribución de la capacidad de alojamiento por municipios en Mallorca (2010)……………………………….…….....................................……………………………………………pág 31" xr:uid="{82EE142E-11B9-4127-AC98-163F02EF70F5}"/>
    <hyperlink ref="A45:XFD45" location="'TotalAllotj_09 (32)'!A1" display="Capacidad de alojamiento por tipo de establecimiento y categoría en Mallorca (2009)…………...……………………....................................………....………………………..pág 32" xr:uid="{B8F5F9EE-7B91-4E7F-8CE5-2D7761835167}"/>
    <hyperlink ref="A46:XFD46" location="'Allotj.municipi_09 (33)'!A1" display="Distribución de la capacidad de alojamiento por municipios en Mallorca (2009)…………...………………..………………………………….....................................……………….pág 33" xr:uid="{6D2AA2F9-3B74-4033-9600-2973927CF207}"/>
    <hyperlink ref="A47:XFD47" location="'TotalAllotj_08 (34)'!A1" display="Capacidad de alojamiento por tipo de establecimiento y categoría en Mallorca (2008)……….…………..……………….…………….......................................………………..pág 34" xr:uid="{C51997EC-66DE-496A-825C-320998DC2F01}"/>
    <hyperlink ref="A48:XFD48" location="'Allotj.municipi_08 (35)'!A1" display="Distribución de la capacidad de alojamiento por municipios en Mallorca (2008)…...………………………..……………………….....................................………………………….pág 35" xr:uid="{06C7C4C9-3407-4873-98AD-A7299F073695}"/>
    <hyperlink ref="A49:XFD49" location="'TotalAllotj_07 (36)'!A1" display="Capacidad de alojamiento por tipo de establecimiento y categoría en Mallorca (2007)………………………….…..…….……….......................................……………………..pág 36" xr:uid="{91978947-1B47-4046-8E7E-AA6C5E2B960F}"/>
    <hyperlink ref="A50:XFD50" location="'Allotj.municipi_07 (37)'!A1" display="Distribución de la capacidad de alojamiento por municipios en Mallorca (2007)…………………...………..…………………………….....................................…………………….pág 37" xr:uid="{DCA69A4C-FEC3-4432-A74C-B7A5FD851961}"/>
    <hyperlink ref="A51:XFD51" location="'TotalAllotj_06 (38)'!A1" display="Capacidad de alojamiento por tipo de establecimiento y categoría en Mallorca (2006)………………………………….……………….…….....................................…………….pàg 38" xr:uid="{BCBAC688-D4D5-452B-94F9-0FEEDF2E5CA4}"/>
    <hyperlink ref="A52:XFD52" location="'Allotj.municipi_06 (39)'!A1" display="Distribución de la capacidad de alojamiento por municipios en Mallorca (2006)…………….………………..………………………………....................................………………….pág 39" xr:uid="{4D3B8B1C-3E1F-4858-8798-A2A86CE691B4}"/>
    <hyperlink ref="A53:XFD53" location="'TotalAllotj_05 (40)'!A1" display="Capacidad de alojamiento por tipo de establecimiento y categoría en Mallorca (2005)…....……………………………………………………………....................................…..pàg 40" xr:uid="{29E9B2A2-A27B-4C55-884C-C383057CF4FF}"/>
    <hyperlink ref="A54:XFD54" location="'Allotj.municipi_05 (41)'!A1" display="Distribución de la capacidad de alojamiento por municipios en Mallorca (2005)…………….………………..………………………....................................………………………….pág 41" xr:uid="{237BB79A-097C-4C4B-98F9-043008CC27C1}"/>
    <hyperlink ref="A55:XFD55" location="'TotalAllotj_04 (42)'!A1" display="Capacidad de alojamiento por tipo de establecimiento y categoría en Mallorca (2004)……………………….…………….………....................................………………………..pág 42" xr:uid="{ACD7AAB5-AAE8-465B-A5A6-75A8A70A2EB2}"/>
    <hyperlink ref="A56:XFD56" location="'Allotj.municipi_04 (43)'!A1" display="Distribución de la capacidad de alojamiento por municipios en Mallorca (2004)…………………………..…….………………....................................……………………………….pág 43" xr:uid="{7FE03CA6-7DD0-4FB2-BAF5-7AB66C8D1EB3}"/>
  </hyperlinks>
  <pageMargins left="0.7" right="0.7" top="0.75" bottom="0.75" header="0.3" footer="0.3"/>
  <pageSetup paperSize="9" scale="93" fitToHeight="0" orientation="landscape" r:id="rId1"/>
  <rowBreaks count="3" manualBreakCount="3">
    <brk id="35" max="10" man="1"/>
    <brk id="57" max="10" man="1"/>
    <brk id="88" max="10"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29"/>
  <sheetViews>
    <sheetView showGridLines="0" view="pageBreakPreview" zoomScaleNormal="100" zoomScaleSheetLayoutView="100" workbookViewId="0">
      <selection activeCell="A12" sqref="A12:K12"/>
    </sheetView>
  </sheetViews>
  <sheetFormatPr baseColWidth="10" defaultRowHeight="15"/>
  <cols>
    <col min="1" max="11" width="12.7109375" customWidth="1"/>
  </cols>
  <sheetData>
    <row r="1" spans="1:11" s="75" customFormat="1"/>
    <row r="2" spans="1:11" s="75" customFormat="1"/>
    <row r="3" spans="1:11" s="75" customFormat="1"/>
    <row r="4" spans="1:11" s="75" customFormat="1"/>
    <row r="5" spans="1:11" s="75" customFormat="1"/>
    <row r="6" spans="1:11" s="75" customFormat="1"/>
    <row r="7" spans="1:11" s="75" customFormat="1"/>
    <row r="8" spans="1:11" s="75" customFormat="1"/>
    <row r="9" spans="1:11" s="75" customFormat="1"/>
    <row r="10" spans="1:11" s="75" customFormat="1"/>
    <row r="11" spans="1:11" s="75" customFormat="1"/>
    <row r="12" spans="1:11" s="75" customFormat="1">
      <c r="A12" s="124" t="s">
        <v>269</v>
      </c>
      <c r="B12" s="124"/>
      <c r="C12" s="124"/>
      <c r="D12" s="124"/>
      <c r="E12" s="124"/>
      <c r="F12" s="124"/>
      <c r="G12" s="124"/>
      <c r="H12" s="124"/>
      <c r="I12" s="124"/>
      <c r="J12" s="124"/>
      <c r="K12" s="124"/>
    </row>
    <row r="13" spans="1:11" s="75" customFormat="1"/>
    <row r="14" spans="1:11" s="75" customFormat="1"/>
    <row r="15" spans="1:11" s="75" customFormat="1">
      <c r="A15" s="76"/>
      <c r="B15" s="76"/>
      <c r="C15" s="76"/>
      <c r="D15" s="76"/>
      <c r="E15" s="76"/>
      <c r="F15" s="76"/>
      <c r="G15" s="76"/>
      <c r="H15" s="76"/>
      <c r="I15" s="76"/>
      <c r="J15" s="76"/>
      <c r="K15" s="76"/>
    </row>
    <row r="16" spans="1:11" s="75" customFormat="1"/>
    <row r="17" spans="1:11" s="111" customFormat="1">
      <c r="A17" s="125" t="s">
        <v>464</v>
      </c>
      <c r="B17" s="125"/>
      <c r="C17" s="125"/>
      <c r="D17" s="125"/>
      <c r="E17" s="125"/>
      <c r="F17" s="125"/>
      <c r="G17" s="125"/>
      <c r="H17" s="125"/>
      <c r="I17" s="125"/>
      <c r="J17" s="125"/>
      <c r="K17" s="125"/>
    </row>
    <row r="18" spans="1:11" s="111" customFormat="1">
      <c r="A18" s="125" t="s">
        <v>465</v>
      </c>
      <c r="B18" s="125"/>
      <c r="C18" s="125"/>
      <c r="D18" s="125"/>
      <c r="E18" s="125"/>
      <c r="F18" s="125"/>
      <c r="G18" s="125"/>
      <c r="H18" s="125"/>
      <c r="I18" s="125"/>
      <c r="J18" s="125"/>
      <c r="K18" s="125"/>
    </row>
    <row r="19" spans="1:11" s="111" customFormat="1">
      <c r="A19" s="125" t="s">
        <v>466</v>
      </c>
      <c r="B19" s="125"/>
      <c r="C19" s="125"/>
      <c r="D19" s="125"/>
      <c r="E19" s="125"/>
      <c r="F19" s="125"/>
      <c r="G19" s="125"/>
      <c r="H19" s="125"/>
      <c r="I19" s="125"/>
      <c r="J19" s="125"/>
      <c r="K19" s="125"/>
    </row>
    <row r="20" spans="1:11" s="111" customFormat="1">
      <c r="A20" s="125" t="s">
        <v>467</v>
      </c>
      <c r="B20" s="125"/>
      <c r="C20" s="125"/>
      <c r="D20" s="125"/>
      <c r="E20" s="125"/>
      <c r="F20" s="125"/>
      <c r="G20" s="125"/>
      <c r="H20" s="125"/>
      <c r="I20" s="125"/>
      <c r="J20" s="125"/>
      <c r="K20" s="125"/>
    </row>
    <row r="21" spans="1:11" s="111" customFormat="1">
      <c r="A21" s="125" t="s">
        <v>468</v>
      </c>
      <c r="B21" s="125"/>
      <c r="C21" s="125"/>
      <c r="D21" s="125"/>
      <c r="E21" s="125"/>
      <c r="F21" s="125"/>
      <c r="G21" s="125"/>
      <c r="H21" s="125"/>
      <c r="I21" s="125"/>
      <c r="J21" s="125"/>
      <c r="K21" s="125"/>
    </row>
    <row r="22" spans="1:11" s="111" customFormat="1">
      <c r="A22" s="125" t="s">
        <v>469</v>
      </c>
      <c r="B22" s="125"/>
      <c r="C22" s="125"/>
      <c r="D22" s="125"/>
      <c r="E22" s="125"/>
      <c r="F22" s="125"/>
      <c r="G22" s="125"/>
      <c r="H22" s="125"/>
      <c r="I22" s="125"/>
      <c r="J22" s="125"/>
      <c r="K22" s="125"/>
    </row>
    <row r="23" spans="1:11" s="111" customFormat="1">
      <c r="A23" s="125" t="s">
        <v>470</v>
      </c>
      <c r="B23" s="125"/>
      <c r="C23" s="125"/>
      <c r="D23" s="125"/>
      <c r="E23" s="125"/>
      <c r="F23" s="125"/>
      <c r="G23" s="125"/>
      <c r="H23" s="125"/>
      <c r="I23" s="125"/>
      <c r="J23" s="125"/>
      <c r="K23" s="125"/>
    </row>
    <row r="24" spans="1:11" s="111" customFormat="1">
      <c r="A24" s="125" t="s">
        <v>471</v>
      </c>
      <c r="B24" s="125"/>
      <c r="C24" s="125"/>
      <c r="D24" s="125"/>
      <c r="E24" s="125"/>
      <c r="F24" s="125"/>
      <c r="G24" s="125"/>
      <c r="H24" s="125"/>
      <c r="I24" s="125"/>
      <c r="J24" s="125"/>
      <c r="K24" s="125"/>
    </row>
    <row r="25" spans="1:11" s="111" customFormat="1">
      <c r="A25" s="125" t="s">
        <v>472</v>
      </c>
      <c r="B25" s="125"/>
      <c r="C25" s="125"/>
      <c r="D25" s="125"/>
      <c r="E25" s="125"/>
      <c r="F25" s="125"/>
      <c r="G25" s="125"/>
      <c r="H25" s="125"/>
      <c r="I25" s="125"/>
      <c r="J25" s="125"/>
      <c r="K25" s="125"/>
    </row>
    <row r="26" spans="1:11" s="111" customFormat="1">
      <c r="A26" s="125" t="s">
        <v>473</v>
      </c>
      <c r="B26" s="125"/>
      <c r="C26" s="125"/>
      <c r="D26" s="125"/>
      <c r="E26" s="125"/>
      <c r="F26" s="125"/>
      <c r="G26" s="125"/>
      <c r="H26" s="125"/>
      <c r="I26" s="125"/>
      <c r="J26" s="125"/>
      <c r="K26" s="125"/>
    </row>
    <row r="27" spans="1:11" s="111" customFormat="1">
      <c r="A27" s="125" t="s">
        <v>474</v>
      </c>
      <c r="B27" s="125"/>
      <c r="C27" s="125"/>
      <c r="D27" s="125"/>
      <c r="E27" s="125"/>
      <c r="F27" s="125"/>
      <c r="G27" s="125"/>
      <c r="H27" s="125"/>
      <c r="I27" s="125"/>
      <c r="J27" s="125"/>
      <c r="K27" s="125"/>
    </row>
    <row r="28" spans="1:11" s="111" customFormat="1">
      <c r="A28" s="125" t="s">
        <v>475</v>
      </c>
      <c r="B28" s="125"/>
      <c r="C28" s="125"/>
      <c r="D28" s="125"/>
      <c r="E28" s="125"/>
      <c r="F28" s="125"/>
      <c r="G28" s="125"/>
      <c r="H28" s="125"/>
      <c r="I28" s="125"/>
      <c r="J28" s="125"/>
      <c r="K28" s="125"/>
    </row>
    <row r="29" spans="1:11" s="111" customFormat="1">
      <c r="A29" s="125" t="s">
        <v>476</v>
      </c>
      <c r="B29" s="125"/>
      <c r="C29" s="125"/>
      <c r="D29" s="125"/>
      <c r="E29" s="125"/>
      <c r="F29" s="125"/>
      <c r="G29" s="125"/>
      <c r="H29" s="125"/>
      <c r="I29" s="125"/>
      <c r="J29" s="125"/>
      <c r="K29" s="125"/>
    </row>
    <row r="30" spans="1:11" s="111" customFormat="1">
      <c r="A30" s="125" t="s">
        <v>477</v>
      </c>
      <c r="B30" s="125"/>
      <c r="C30" s="125"/>
      <c r="D30" s="125"/>
      <c r="E30" s="125"/>
      <c r="F30" s="125"/>
      <c r="G30" s="125"/>
      <c r="H30" s="125"/>
      <c r="I30" s="125"/>
      <c r="J30" s="125"/>
      <c r="K30" s="125"/>
    </row>
    <row r="31" spans="1:11" s="111" customFormat="1">
      <c r="A31" s="125" t="s">
        <v>478</v>
      </c>
      <c r="B31" s="125"/>
      <c r="C31" s="125"/>
      <c r="D31" s="125"/>
      <c r="E31" s="125"/>
      <c r="F31" s="125"/>
      <c r="G31" s="125"/>
      <c r="H31" s="125"/>
      <c r="I31" s="125"/>
      <c r="J31" s="125"/>
      <c r="K31" s="125"/>
    </row>
    <row r="32" spans="1:11" s="111" customFormat="1">
      <c r="A32" s="125" t="s">
        <v>479</v>
      </c>
      <c r="B32" s="125"/>
      <c r="C32" s="125"/>
      <c r="D32" s="125"/>
      <c r="E32" s="125"/>
      <c r="F32" s="125"/>
      <c r="G32" s="125"/>
      <c r="H32" s="125"/>
      <c r="I32" s="125"/>
      <c r="J32" s="125"/>
      <c r="K32" s="125"/>
    </row>
    <row r="33" spans="1:11" s="111" customFormat="1">
      <c r="A33" s="125" t="s">
        <v>480</v>
      </c>
      <c r="B33" s="125"/>
      <c r="C33" s="125"/>
      <c r="D33" s="125"/>
      <c r="E33" s="125"/>
      <c r="F33" s="125"/>
      <c r="G33" s="125"/>
      <c r="H33" s="125"/>
      <c r="I33" s="125"/>
      <c r="J33" s="125"/>
      <c r="K33" s="125"/>
    </row>
    <row r="34" spans="1:11" s="111" customFormat="1">
      <c r="A34" s="125" t="s">
        <v>481</v>
      </c>
      <c r="B34" s="125"/>
      <c r="C34" s="125"/>
      <c r="D34" s="125"/>
      <c r="E34" s="125"/>
      <c r="F34" s="125"/>
      <c r="G34" s="125"/>
      <c r="H34" s="125"/>
      <c r="I34" s="125"/>
      <c r="J34" s="125"/>
      <c r="K34" s="125"/>
    </row>
    <row r="35" spans="1:11" s="111" customFormat="1">
      <c r="A35" s="125" t="s">
        <v>482</v>
      </c>
      <c r="B35" s="125"/>
      <c r="C35" s="125"/>
      <c r="D35" s="125"/>
      <c r="E35" s="125"/>
      <c r="F35" s="125"/>
      <c r="G35" s="125"/>
      <c r="H35" s="125"/>
      <c r="I35" s="125"/>
      <c r="J35" s="125"/>
      <c r="K35" s="125"/>
    </row>
    <row r="36" spans="1:11" s="111" customFormat="1">
      <c r="A36" s="125" t="s">
        <v>483</v>
      </c>
      <c r="B36" s="125"/>
      <c r="C36" s="125"/>
      <c r="D36" s="125"/>
      <c r="E36" s="125"/>
      <c r="F36" s="125"/>
      <c r="G36" s="125"/>
      <c r="H36" s="125"/>
      <c r="I36" s="125"/>
      <c r="J36" s="125"/>
      <c r="K36" s="125"/>
    </row>
    <row r="37" spans="1:11" s="111" customFormat="1">
      <c r="A37" s="125" t="s">
        <v>484</v>
      </c>
      <c r="B37" s="125"/>
      <c r="C37" s="125"/>
      <c r="D37" s="125"/>
      <c r="E37" s="125"/>
      <c r="F37" s="125"/>
      <c r="G37" s="125"/>
      <c r="H37" s="125"/>
      <c r="I37" s="125"/>
      <c r="J37" s="125"/>
      <c r="K37" s="125"/>
    </row>
    <row r="38" spans="1:11" s="111" customFormat="1">
      <c r="A38" s="125" t="s">
        <v>485</v>
      </c>
      <c r="B38" s="125"/>
      <c r="C38" s="125"/>
      <c r="D38" s="125"/>
      <c r="E38" s="125"/>
      <c r="F38" s="125"/>
      <c r="G38" s="125"/>
      <c r="H38" s="125"/>
      <c r="I38" s="125"/>
      <c r="J38" s="125"/>
      <c r="K38" s="125"/>
    </row>
    <row r="39" spans="1:11" s="111" customFormat="1">
      <c r="A39" s="125" t="s">
        <v>486</v>
      </c>
      <c r="B39" s="125"/>
      <c r="C39" s="125"/>
      <c r="D39" s="125"/>
      <c r="E39" s="125"/>
      <c r="F39" s="125"/>
      <c r="G39" s="125"/>
      <c r="H39" s="125"/>
      <c r="I39" s="125"/>
      <c r="J39" s="125"/>
      <c r="K39" s="125"/>
    </row>
    <row r="40" spans="1:11" s="111" customFormat="1">
      <c r="A40" s="125" t="s">
        <v>487</v>
      </c>
      <c r="B40" s="125"/>
      <c r="C40" s="125"/>
      <c r="D40" s="125"/>
      <c r="E40" s="125"/>
      <c r="F40" s="125"/>
      <c r="G40" s="125"/>
      <c r="H40" s="125"/>
      <c r="I40" s="125"/>
      <c r="J40" s="125"/>
      <c r="K40" s="125"/>
    </row>
    <row r="41" spans="1:11" s="111" customFormat="1">
      <c r="A41" s="125" t="s">
        <v>488</v>
      </c>
      <c r="B41" s="125"/>
      <c r="C41" s="125"/>
      <c r="D41" s="125"/>
      <c r="E41" s="125"/>
      <c r="F41" s="125"/>
      <c r="G41" s="125"/>
      <c r="H41" s="125"/>
      <c r="I41" s="125"/>
      <c r="J41" s="125"/>
      <c r="K41" s="125"/>
    </row>
    <row r="42" spans="1:11" s="111" customFormat="1">
      <c r="A42" s="125" t="s">
        <v>489</v>
      </c>
      <c r="B42" s="125"/>
      <c r="C42" s="125"/>
      <c r="D42" s="125"/>
      <c r="E42" s="125"/>
      <c r="F42" s="125"/>
      <c r="G42" s="125"/>
      <c r="H42" s="125"/>
      <c r="I42" s="125"/>
      <c r="J42" s="125"/>
      <c r="K42" s="125"/>
    </row>
    <row r="43" spans="1:11" s="111" customFormat="1">
      <c r="A43" s="125" t="s">
        <v>490</v>
      </c>
      <c r="B43" s="125"/>
      <c r="C43" s="125"/>
      <c r="D43" s="125"/>
      <c r="E43" s="125"/>
      <c r="F43" s="125"/>
      <c r="G43" s="125"/>
      <c r="H43" s="125"/>
      <c r="I43" s="125"/>
      <c r="J43" s="125"/>
      <c r="K43" s="125"/>
    </row>
    <row r="44" spans="1:11" s="111" customFormat="1">
      <c r="A44" s="125" t="s">
        <v>491</v>
      </c>
      <c r="B44" s="125"/>
      <c r="C44" s="125"/>
      <c r="D44" s="125"/>
      <c r="E44" s="125"/>
      <c r="F44" s="125"/>
      <c r="G44" s="125"/>
      <c r="H44" s="125"/>
      <c r="I44" s="125"/>
      <c r="J44" s="125"/>
      <c r="K44" s="125"/>
    </row>
    <row r="45" spans="1:11" s="111" customFormat="1">
      <c r="A45" s="125" t="s">
        <v>492</v>
      </c>
      <c r="B45" s="125"/>
      <c r="C45" s="125"/>
      <c r="D45" s="125"/>
      <c r="E45" s="125"/>
      <c r="F45" s="125"/>
      <c r="G45" s="125"/>
      <c r="H45" s="125"/>
      <c r="I45" s="125"/>
      <c r="J45" s="125"/>
      <c r="K45" s="125"/>
    </row>
    <row r="46" spans="1:11" s="111" customFormat="1">
      <c r="A46" s="125" t="s">
        <v>493</v>
      </c>
      <c r="B46" s="125"/>
      <c r="C46" s="125"/>
      <c r="D46" s="125"/>
      <c r="E46" s="125"/>
      <c r="F46" s="125"/>
      <c r="G46" s="125"/>
      <c r="H46" s="125"/>
      <c r="I46" s="125"/>
      <c r="J46" s="125"/>
      <c r="K46" s="125"/>
    </row>
    <row r="47" spans="1:11" s="111" customFormat="1">
      <c r="A47" s="125" t="s">
        <v>494</v>
      </c>
      <c r="B47" s="125"/>
      <c r="C47" s="125"/>
      <c r="D47" s="125"/>
      <c r="E47" s="125"/>
      <c r="F47" s="125"/>
      <c r="G47" s="125"/>
      <c r="H47" s="125"/>
      <c r="I47" s="125"/>
      <c r="J47" s="125"/>
      <c r="K47" s="125"/>
    </row>
    <row r="48" spans="1:11" s="111" customFormat="1">
      <c r="A48" s="125" t="s">
        <v>495</v>
      </c>
      <c r="B48" s="125"/>
      <c r="C48" s="125"/>
      <c r="D48" s="125"/>
      <c r="E48" s="125"/>
      <c r="F48" s="125"/>
      <c r="G48" s="125"/>
      <c r="H48" s="125"/>
      <c r="I48" s="125"/>
      <c r="J48" s="125"/>
      <c r="K48" s="125"/>
    </row>
    <row r="49" spans="1:12" s="111" customFormat="1">
      <c r="A49" s="125" t="s">
        <v>496</v>
      </c>
      <c r="B49" s="125"/>
      <c r="C49" s="125"/>
      <c r="D49" s="125"/>
      <c r="E49" s="125"/>
      <c r="F49" s="125"/>
      <c r="G49" s="125"/>
      <c r="H49" s="125"/>
      <c r="I49" s="125"/>
      <c r="J49" s="125"/>
      <c r="K49" s="125"/>
    </row>
    <row r="50" spans="1:12" s="111" customFormat="1">
      <c r="A50" s="125" t="s">
        <v>497</v>
      </c>
      <c r="B50" s="125"/>
      <c r="C50" s="125"/>
      <c r="D50" s="125"/>
      <c r="E50" s="125"/>
      <c r="F50" s="125"/>
      <c r="G50" s="125"/>
      <c r="H50" s="125"/>
      <c r="I50" s="125"/>
      <c r="J50" s="125"/>
      <c r="K50" s="125"/>
    </row>
    <row r="51" spans="1:12" s="111" customFormat="1">
      <c r="A51" s="125" t="s">
        <v>498</v>
      </c>
      <c r="B51" s="125"/>
      <c r="C51" s="125"/>
      <c r="D51" s="125"/>
      <c r="E51" s="125"/>
      <c r="F51" s="125"/>
      <c r="G51" s="125"/>
      <c r="H51" s="125"/>
      <c r="I51" s="125"/>
      <c r="J51" s="125"/>
      <c r="K51" s="125"/>
    </row>
    <row r="52" spans="1:12" s="111" customFormat="1">
      <c r="A52" s="125" t="s">
        <v>499</v>
      </c>
      <c r="B52" s="125"/>
      <c r="C52" s="125"/>
      <c r="D52" s="125"/>
      <c r="E52" s="125"/>
      <c r="F52" s="125"/>
      <c r="G52" s="125"/>
      <c r="H52" s="125"/>
      <c r="I52" s="125"/>
      <c r="J52" s="125"/>
      <c r="K52" s="125"/>
    </row>
    <row r="53" spans="1:12" s="111" customFormat="1">
      <c r="A53" s="125" t="s">
        <v>500</v>
      </c>
      <c r="B53" s="125"/>
      <c r="C53" s="125"/>
      <c r="D53" s="125"/>
      <c r="E53" s="125"/>
      <c r="F53" s="125"/>
      <c r="G53" s="125"/>
      <c r="H53" s="125"/>
      <c r="I53" s="125"/>
      <c r="J53" s="125"/>
      <c r="K53" s="125"/>
    </row>
    <row r="54" spans="1:12" s="111" customFormat="1">
      <c r="A54" s="125" t="s">
        <v>501</v>
      </c>
      <c r="B54" s="125"/>
      <c r="C54" s="125"/>
      <c r="D54" s="125"/>
      <c r="E54" s="125"/>
      <c r="F54" s="125"/>
      <c r="G54" s="125"/>
      <c r="H54" s="125"/>
      <c r="I54" s="125"/>
      <c r="J54" s="125"/>
      <c r="K54" s="125"/>
    </row>
    <row r="55" spans="1:12" s="111" customFormat="1">
      <c r="A55" s="125" t="s">
        <v>502</v>
      </c>
      <c r="B55" s="125"/>
      <c r="C55" s="125"/>
      <c r="D55" s="125"/>
      <c r="E55" s="125"/>
      <c r="F55" s="125"/>
      <c r="G55" s="125"/>
      <c r="H55" s="125"/>
      <c r="I55" s="125"/>
      <c r="J55" s="125"/>
      <c r="K55" s="125"/>
    </row>
    <row r="56" spans="1:12" s="111" customFormat="1">
      <c r="A56" s="125" t="s">
        <v>503</v>
      </c>
      <c r="B56" s="125"/>
      <c r="C56" s="125"/>
      <c r="D56" s="125"/>
      <c r="E56" s="125"/>
      <c r="F56" s="125"/>
      <c r="G56" s="125"/>
      <c r="H56" s="125"/>
      <c r="I56" s="125"/>
      <c r="J56" s="125"/>
      <c r="K56" s="125"/>
    </row>
    <row r="57" spans="1:12" s="77" customFormat="1" ht="13.5" customHeight="1">
      <c r="A57" s="128"/>
      <c r="B57" s="128"/>
      <c r="C57" s="128"/>
      <c r="D57" s="128"/>
      <c r="E57" s="128"/>
      <c r="F57" s="128"/>
      <c r="G57" s="128"/>
      <c r="H57" s="128"/>
      <c r="I57" s="128"/>
      <c r="J57" s="128"/>
      <c r="K57" s="128"/>
    </row>
    <row r="58" spans="1:12" s="75" customFormat="1">
      <c r="A58" s="76"/>
      <c r="B58" s="76"/>
      <c r="C58" s="76"/>
      <c r="D58" s="76"/>
      <c r="E58" s="76"/>
      <c r="F58" s="76"/>
      <c r="G58" s="76"/>
      <c r="H58" s="76"/>
      <c r="I58" s="76"/>
      <c r="J58" s="76"/>
      <c r="K58" s="76"/>
    </row>
    <row r="59" spans="1:12" s="75" customFormat="1"/>
    <row r="60" spans="1:12" s="75" customFormat="1">
      <c r="A60" s="98" t="s">
        <v>348</v>
      </c>
      <c r="B60" s="87"/>
      <c r="C60" s="87"/>
      <c r="D60" s="87"/>
      <c r="E60" s="87"/>
      <c r="F60" s="87"/>
      <c r="G60" s="87"/>
      <c r="H60" s="87"/>
      <c r="I60" s="87"/>
      <c r="J60" s="87"/>
      <c r="K60" s="87"/>
      <c r="L60" s="87"/>
    </row>
    <row r="61" spans="1:12" s="75" customFormat="1">
      <c r="A61" s="87" t="s">
        <v>290</v>
      </c>
      <c r="B61" s="87"/>
      <c r="C61" s="87"/>
      <c r="D61" s="87"/>
      <c r="E61" s="87"/>
      <c r="F61" s="87"/>
      <c r="G61" s="87"/>
      <c r="H61" s="87"/>
      <c r="I61" s="87"/>
      <c r="J61" s="87"/>
      <c r="K61" s="87"/>
      <c r="L61" s="87"/>
    </row>
    <row r="62" spans="1:12" s="75" customFormat="1">
      <c r="A62" s="98" t="s">
        <v>349</v>
      </c>
      <c r="B62" s="87"/>
      <c r="C62" s="87"/>
      <c r="D62" s="87"/>
      <c r="E62" s="87"/>
      <c r="F62" s="87"/>
      <c r="G62" s="87"/>
      <c r="H62" s="87"/>
      <c r="I62" s="87"/>
      <c r="J62" s="87"/>
      <c r="K62" s="87"/>
      <c r="L62" s="87"/>
    </row>
    <row r="63" spans="1:12" s="75" customFormat="1" ht="15" customHeight="1">
      <c r="A63" s="121" t="s">
        <v>350</v>
      </c>
      <c r="B63" s="126"/>
      <c r="C63" s="126"/>
      <c r="D63" s="126"/>
      <c r="E63" s="126"/>
      <c r="F63" s="126"/>
      <c r="G63" s="126"/>
      <c r="H63" s="126"/>
      <c r="I63" s="126"/>
      <c r="J63" s="126"/>
      <c r="K63" s="126"/>
      <c r="L63" s="87"/>
    </row>
    <row r="64" spans="1:12" s="75" customFormat="1">
      <c r="A64" s="126"/>
      <c r="B64" s="126"/>
      <c r="C64" s="126"/>
      <c r="D64" s="126"/>
      <c r="E64" s="126"/>
      <c r="F64" s="126"/>
      <c r="G64" s="126"/>
      <c r="H64" s="126"/>
      <c r="I64" s="126"/>
      <c r="J64" s="126"/>
      <c r="K64" s="126"/>
      <c r="L64" s="87"/>
    </row>
    <row r="65" spans="1:12" s="75" customFormat="1">
      <c r="A65" s="121" t="s">
        <v>340</v>
      </c>
      <c r="B65" s="126"/>
      <c r="C65" s="126"/>
      <c r="D65" s="126"/>
      <c r="E65" s="126"/>
      <c r="F65" s="126"/>
      <c r="G65" s="126"/>
      <c r="H65" s="126"/>
      <c r="I65" s="126"/>
      <c r="J65" s="126"/>
      <c r="K65" s="126"/>
      <c r="L65" s="87"/>
    </row>
    <row r="66" spans="1:12" s="75" customFormat="1" ht="15" customHeight="1">
      <c r="A66" s="126"/>
      <c r="B66" s="126"/>
      <c r="C66" s="126"/>
      <c r="D66" s="126"/>
      <c r="E66" s="126"/>
      <c r="F66" s="126"/>
      <c r="G66" s="126"/>
      <c r="H66" s="126"/>
      <c r="I66" s="126"/>
      <c r="J66" s="126"/>
      <c r="K66" s="126"/>
      <c r="L66" s="87"/>
    </row>
    <row r="67" spans="1:12" s="75" customFormat="1">
      <c r="A67" s="121" t="s">
        <v>341</v>
      </c>
      <c r="B67" s="126"/>
      <c r="C67" s="126"/>
      <c r="D67" s="126"/>
      <c r="E67" s="126"/>
      <c r="F67" s="126"/>
      <c r="G67" s="126"/>
      <c r="H67" s="126"/>
      <c r="I67" s="126"/>
      <c r="J67" s="126"/>
      <c r="K67" s="126"/>
      <c r="L67" s="87"/>
    </row>
    <row r="68" spans="1:12" s="75" customFormat="1">
      <c r="A68" s="126"/>
      <c r="B68" s="126"/>
      <c r="C68" s="126"/>
      <c r="D68" s="126"/>
      <c r="E68" s="126"/>
      <c r="F68" s="126"/>
      <c r="G68" s="126"/>
      <c r="H68" s="126"/>
      <c r="I68" s="126"/>
      <c r="J68" s="126"/>
      <c r="K68" s="126"/>
      <c r="L68" s="87"/>
    </row>
    <row r="69" spans="1:12" s="75" customFormat="1">
      <c r="A69" s="98" t="s">
        <v>342</v>
      </c>
      <c r="B69" s="87"/>
      <c r="C69" s="87"/>
      <c r="D69" s="87"/>
      <c r="E69" s="87"/>
      <c r="F69" s="87"/>
      <c r="G69" s="87"/>
      <c r="H69" s="87"/>
      <c r="I69" s="87"/>
      <c r="J69" s="87"/>
      <c r="K69" s="87"/>
      <c r="L69" s="87"/>
    </row>
    <row r="70" spans="1:12" s="75" customFormat="1" ht="15" customHeight="1">
      <c r="A70" s="98" t="s">
        <v>343</v>
      </c>
      <c r="B70" s="87"/>
      <c r="C70" s="87"/>
      <c r="D70" s="87"/>
      <c r="E70" s="87"/>
      <c r="F70" s="87"/>
      <c r="G70" s="87"/>
      <c r="H70" s="87"/>
      <c r="I70" s="87"/>
      <c r="J70" s="87"/>
      <c r="K70" s="87"/>
      <c r="L70" s="87"/>
    </row>
    <row r="71" spans="1:12" s="75" customFormat="1">
      <c r="A71" s="121" t="s">
        <v>351</v>
      </c>
      <c r="B71" s="126"/>
      <c r="C71" s="126"/>
      <c r="D71" s="126"/>
      <c r="E71" s="126"/>
      <c r="F71" s="126"/>
      <c r="G71" s="126"/>
      <c r="H71" s="126"/>
      <c r="I71" s="126"/>
      <c r="J71" s="126"/>
      <c r="K71" s="126"/>
      <c r="L71" s="87"/>
    </row>
    <row r="72" spans="1:12" s="75" customFormat="1">
      <c r="A72" s="126"/>
      <c r="B72" s="126"/>
      <c r="C72" s="126"/>
      <c r="D72" s="126"/>
      <c r="E72" s="126"/>
      <c r="F72" s="126"/>
      <c r="G72" s="126"/>
      <c r="H72" s="126"/>
      <c r="I72" s="126"/>
      <c r="J72" s="126"/>
      <c r="K72" s="126"/>
      <c r="L72" s="87"/>
    </row>
    <row r="73" spans="1:12" s="75" customFormat="1" ht="15" customHeight="1">
      <c r="A73" s="98" t="s">
        <v>352</v>
      </c>
      <c r="B73" s="87"/>
      <c r="C73" s="87"/>
      <c r="D73" s="87"/>
      <c r="E73" s="87"/>
      <c r="F73" s="87"/>
      <c r="G73" s="87"/>
      <c r="H73" s="87"/>
      <c r="I73" s="87"/>
      <c r="J73" s="87"/>
      <c r="K73" s="87"/>
      <c r="L73" s="87"/>
    </row>
    <row r="74" spans="1:12" s="75" customFormat="1">
      <c r="A74" s="121" t="s">
        <v>353</v>
      </c>
      <c r="B74" s="126"/>
      <c r="C74" s="126"/>
      <c r="D74" s="126"/>
      <c r="E74" s="126"/>
      <c r="F74" s="126"/>
      <c r="G74" s="126"/>
      <c r="H74" s="126"/>
      <c r="I74" s="126"/>
      <c r="J74" s="126"/>
      <c r="K74" s="126"/>
      <c r="L74" s="87"/>
    </row>
    <row r="75" spans="1:12" s="75" customFormat="1" ht="15" customHeight="1">
      <c r="A75" s="126"/>
      <c r="B75" s="126"/>
      <c r="C75" s="126"/>
      <c r="D75" s="126"/>
      <c r="E75" s="126"/>
      <c r="F75" s="126"/>
      <c r="G75" s="126"/>
      <c r="H75" s="126"/>
      <c r="I75" s="126"/>
      <c r="J75" s="126"/>
      <c r="K75" s="126"/>
      <c r="L75" s="87"/>
    </row>
    <row r="76" spans="1:12" s="75" customFormat="1">
      <c r="A76" s="126"/>
      <c r="B76" s="126"/>
      <c r="C76" s="126"/>
      <c r="D76" s="126"/>
      <c r="E76" s="126"/>
      <c r="F76" s="126"/>
      <c r="G76" s="126"/>
      <c r="H76" s="126"/>
      <c r="I76" s="126"/>
      <c r="J76" s="126"/>
      <c r="K76" s="126"/>
      <c r="L76" s="87"/>
    </row>
    <row r="77" spans="1:12" s="75" customFormat="1" ht="15" customHeight="1">
      <c r="A77" s="121" t="s">
        <v>354</v>
      </c>
      <c r="B77" s="126"/>
      <c r="C77" s="126"/>
      <c r="D77" s="126"/>
      <c r="E77" s="126"/>
      <c r="F77" s="126"/>
      <c r="G77" s="126"/>
      <c r="H77" s="126"/>
      <c r="I77" s="126"/>
      <c r="J77" s="126"/>
      <c r="K77" s="126"/>
      <c r="L77" s="87"/>
    </row>
    <row r="78" spans="1:12" s="75" customFormat="1">
      <c r="A78" s="126"/>
      <c r="B78" s="126"/>
      <c r="C78" s="126"/>
      <c r="D78" s="126"/>
      <c r="E78" s="126"/>
      <c r="F78" s="126"/>
      <c r="G78" s="126"/>
      <c r="H78" s="126"/>
      <c r="I78" s="126"/>
      <c r="J78" s="126"/>
      <c r="K78" s="126"/>
      <c r="L78" s="87"/>
    </row>
    <row r="79" spans="1:12" s="75" customFormat="1" ht="15" customHeight="1">
      <c r="A79" s="121" t="s">
        <v>355</v>
      </c>
      <c r="B79" s="126"/>
      <c r="C79" s="126"/>
      <c r="D79" s="126"/>
      <c r="E79" s="126"/>
      <c r="F79" s="126"/>
      <c r="G79" s="126"/>
      <c r="H79" s="126"/>
      <c r="I79" s="126"/>
      <c r="J79" s="126"/>
      <c r="K79" s="126"/>
      <c r="L79" s="87"/>
    </row>
    <row r="80" spans="1:12" s="75" customFormat="1">
      <c r="A80" s="126"/>
      <c r="B80" s="126"/>
      <c r="C80" s="126"/>
      <c r="D80" s="126"/>
      <c r="E80" s="126"/>
      <c r="F80" s="126"/>
      <c r="G80" s="126"/>
      <c r="H80" s="126"/>
      <c r="I80" s="126"/>
      <c r="J80" s="126"/>
      <c r="K80" s="126"/>
      <c r="L80" s="87"/>
    </row>
    <row r="81" spans="1:12" s="75" customFormat="1" ht="15" customHeight="1">
      <c r="A81" s="121" t="s">
        <v>356</v>
      </c>
      <c r="B81" s="126"/>
      <c r="C81" s="126"/>
      <c r="D81" s="126"/>
      <c r="E81" s="126"/>
      <c r="F81" s="126"/>
      <c r="G81" s="126"/>
      <c r="H81" s="126"/>
      <c r="I81" s="126"/>
      <c r="J81" s="126"/>
      <c r="K81" s="126"/>
      <c r="L81" s="87"/>
    </row>
    <row r="82" spans="1:12" s="75" customFormat="1">
      <c r="A82" s="126"/>
      <c r="B82" s="126"/>
      <c r="C82" s="126"/>
      <c r="D82" s="126"/>
      <c r="E82" s="126"/>
      <c r="F82" s="126"/>
      <c r="G82" s="126"/>
      <c r="H82" s="126"/>
      <c r="I82" s="126"/>
      <c r="J82" s="126"/>
      <c r="K82" s="126"/>
      <c r="L82" s="87"/>
    </row>
    <row r="83" spans="1:12" s="75" customFormat="1">
      <c r="A83" s="121" t="s">
        <v>357</v>
      </c>
      <c r="B83" s="121"/>
      <c r="C83" s="121"/>
      <c r="D83" s="121"/>
      <c r="E83" s="121"/>
      <c r="F83" s="121"/>
      <c r="G83" s="121"/>
      <c r="H83" s="121"/>
      <c r="I83" s="121"/>
      <c r="J83" s="121"/>
      <c r="K83" s="121"/>
      <c r="L83" s="87"/>
    </row>
    <row r="84" spans="1:12" s="75" customFormat="1">
      <c r="A84" s="121"/>
      <c r="B84" s="121"/>
      <c r="C84" s="121"/>
      <c r="D84" s="121"/>
      <c r="E84" s="121"/>
      <c r="F84" s="121"/>
      <c r="G84" s="121"/>
      <c r="H84" s="121"/>
      <c r="I84" s="121"/>
      <c r="J84" s="121"/>
      <c r="K84" s="121"/>
      <c r="L84" s="87"/>
    </row>
    <row r="85" spans="1:12" s="75" customFormat="1">
      <c r="A85" s="121"/>
      <c r="B85" s="121"/>
      <c r="C85" s="121"/>
      <c r="D85" s="121"/>
      <c r="E85" s="121"/>
      <c r="F85" s="121"/>
      <c r="G85" s="121"/>
      <c r="H85" s="121"/>
      <c r="I85" s="121"/>
      <c r="J85" s="121"/>
      <c r="K85" s="121"/>
      <c r="L85" s="87"/>
    </row>
    <row r="86" spans="1:12" s="75" customFormat="1">
      <c r="A86" s="121"/>
      <c r="B86" s="121"/>
      <c r="C86" s="121"/>
      <c r="D86" s="121"/>
      <c r="E86" s="121"/>
      <c r="F86" s="121"/>
      <c r="G86" s="121"/>
      <c r="H86" s="121"/>
      <c r="I86" s="121"/>
      <c r="J86" s="121"/>
      <c r="K86" s="121"/>
      <c r="L86" s="87"/>
    </row>
    <row r="87" spans="1:12" s="75" customFormat="1">
      <c r="A87" s="127" t="s">
        <v>358</v>
      </c>
      <c r="B87" s="127"/>
      <c r="C87" s="127"/>
      <c r="D87" s="127"/>
      <c r="E87" s="127"/>
      <c r="F87" s="127"/>
      <c r="G87" s="127"/>
      <c r="H87" s="127"/>
      <c r="I87" s="127"/>
      <c r="J87" s="127"/>
      <c r="K87" s="127"/>
      <c r="L87" s="87"/>
    </row>
    <row r="88" spans="1:12" s="75" customFormat="1">
      <c r="A88" s="127"/>
      <c r="B88" s="127"/>
      <c r="C88" s="127"/>
      <c r="D88" s="127"/>
      <c r="E88" s="127"/>
      <c r="F88" s="127"/>
      <c r="G88" s="127"/>
      <c r="H88" s="127"/>
      <c r="I88" s="127"/>
      <c r="J88" s="127"/>
      <c r="K88" s="127"/>
      <c r="L88" s="87"/>
    </row>
    <row r="89" spans="1:12" s="75" customFormat="1" ht="15" customHeight="1">
      <c r="A89" s="121" t="s">
        <v>344</v>
      </c>
      <c r="B89" s="126"/>
      <c r="C89" s="126"/>
      <c r="D89" s="126"/>
      <c r="E89" s="126"/>
      <c r="F89" s="126"/>
      <c r="G89" s="126"/>
      <c r="H89" s="126"/>
      <c r="I89" s="126"/>
      <c r="J89" s="126"/>
      <c r="K89" s="126"/>
      <c r="L89" s="87"/>
    </row>
    <row r="90" spans="1:12" s="75" customFormat="1">
      <c r="A90" s="126"/>
      <c r="B90" s="126"/>
      <c r="C90" s="126"/>
      <c r="D90" s="126"/>
      <c r="E90" s="126"/>
      <c r="F90" s="126"/>
      <c r="G90" s="126"/>
      <c r="H90" s="126"/>
      <c r="I90" s="126"/>
      <c r="J90" s="126"/>
      <c r="K90" s="126"/>
      <c r="L90" s="87"/>
    </row>
    <row r="91" spans="1:12" s="75" customFormat="1" ht="15" customHeight="1">
      <c r="A91" s="98" t="s">
        <v>345</v>
      </c>
      <c r="B91" s="87"/>
      <c r="C91" s="87"/>
      <c r="D91" s="87"/>
      <c r="E91" s="87"/>
      <c r="F91" s="87"/>
      <c r="G91" s="87"/>
      <c r="H91" s="87"/>
      <c r="I91" s="87"/>
      <c r="J91" s="87"/>
      <c r="K91" s="87"/>
      <c r="L91" s="87"/>
    </row>
    <row r="92" spans="1:12" s="75" customFormat="1">
      <c r="A92" s="98" t="s">
        <v>346</v>
      </c>
      <c r="B92" s="87"/>
      <c r="C92" s="87"/>
      <c r="D92" s="87"/>
      <c r="E92" s="87"/>
      <c r="F92" s="87"/>
      <c r="G92" s="87"/>
      <c r="H92" s="87"/>
      <c r="I92" s="87"/>
      <c r="J92" s="87"/>
      <c r="K92" s="87"/>
      <c r="L92" s="87"/>
    </row>
    <row r="93" spans="1:12" s="75" customFormat="1" ht="15" customHeight="1">
      <c r="A93" s="121" t="s">
        <v>359</v>
      </c>
      <c r="B93" s="126"/>
      <c r="C93" s="126"/>
      <c r="D93" s="126"/>
      <c r="E93" s="126"/>
      <c r="F93" s="126"/>
      <c r="G93" s="126"/>
      <c r="H93" s="126"/>
      <c r="I93" s="126"/>
      <c r="J93" s="126"/>
      <c r="K93" s="126"/>
      <c r="L93" s="87"/>
    </row>
    <row r="94" spans="1:12" s="75" customFormat="1">
      <c r="A94" s="126"/>
      <c r="B94" s="126"/>
      <c r="C94" s="126"/>
      <c r="D94" s="126"/>
      <c r="E94" s="126"/>
      <c r="F94" s="126"/>
      <c r="G94" s="126"/>
      <c r="H94" s="126"/>
      <c r="I94" s="126"/>
      <c r="J94" s="126"/>
      <c r="K94" s="126"/>
      <c r="L94" s="87"/>
    </row>
    <row r="95" spans="1:12" s="75" customFormat="1" ht="15" customHeight="1">
      <c r="A95" s="126"/>
      <c r="B95" s="126"/>
      <c r="C95" s="126"/>
      <c r="D95" s="126"/>
      <c r="E95" s="126"/>
      <c r="F95" s="126"/>
      <c r="G95" s="126"/>
      <c r="H95" s="126"/>
      <c r="I95" s="126"/>
      <c r="J95" s="126"/>
      <c r="K95" s="126"/>
      <c r="L95" s="87"/>
    </row>
    <row r="96" spans="1:12" s="75" customFormat="1" ht="15" customHeight="1">
      <c r="A96" s="129" t="s">
        <v>360</v>
      </c>
      <c r="B96" s="129"/>
      <c r="C96" s="129"/>
      <c r="D96" s="129"/>
      <c r="E96" s="129"/>
      <c r="F96" s="129"/>
      <c r="G96" s="129"/>
      <c r="H96" s="129"/>
      <c r="I96" s="129"/>
      <c r="J96" s="129"/>
      <c r="K96" s="129"/>
      <c r="L96" s="87"/>
    </row>
    <row r="97" spans="1:12" s="75" customFormat="1">
      <c r="A97" s="129"/>
      <c r="B97" s="129"/>
      <c r="C97" s="129"/>
      <c r="D97" s="129"/>
      <c r="E97" s="129"/>
      <c r="F97" s="129"/>
      <c r="G97" s="129"/>
      <c r="H97" s="129"/>
      <c r="I97" s="129"/>
      <c r="J97" s="129"/>
      <c r="K97" s="129"/>
      <c r="L97" s="87"/>
    </row>
    <row r="98" spans="1:12" s="75" customFormat="1">
      <c r="A98" s="129"/>
      <c r="B98" s="129"/>
      <c r="C98" s="129"/>
      <c r="D98" s="129"/>
      <c r="E98" s="129"/>
      <c r="F98" s="129"/>
      <c r="G98" s="129"/>
      <c r="H98" s="129"/>
      <c r="I98" s="129"/>
      <c r="J98" s="129"/>
      <c r="K98" s="129"/>
      <c r="L98" s="87"/>
    </row>
    <row r="99" spans="1:12" s="75" customFormat="1" ht="15" customHeight="1">
      <c r="A99" s="127" t="s">
        <v>361</v>
      </c>
      <c r="B99" s="127"/>
      <c r="C99" s="127"/>
      <c r="D99" s="127"/>
      <c r="E99" s="127"/>
      <c r="F99" s="127"/>
      <c r="G99" s="127"/>
      <c r="H99" s="127"/>
      <c r="I99" s="127"/>
      <c r="J99" s="127"/>
      <c r="K99" s="127"/>
      <c r="L99" s="87"/>
    </row>
    <row r="100" spans="1:12" s="75" customFormat="1">
      <c r="A100" s="121" t="s">
        <v>362</v>
      </c>
      <c r="B100" s="126"/>
      <c r="C100" s="126"/>
      <c r="D100" s="126"/>
      <c r="E100" s="126"/>
      <c r="F100" s="126"/>
      <c r="G100" s="126"/>
      <c r="H100" s="126"/>
      <c r="I100" s="126"/>
      <c r="J100" s="126"/>
      <c r="K100" s="126"/>
      <c r="L100" s="87"/>
    </row>
    <row r="101" spans="1:12" s="75" customFormat="1">
      <c r="A101" s="126"/>
      <c r="B101" s="126"/>
      <c r="C101" s="126"/>
      <c r="D101" s="126"/>
      <c r="E101" s="126"/>
      <c r="F101" s="126"/>
      <c r="G101" s="126"/>
      <c r="H101" s="126"/>
      <c r="I101" s="126"/>
      <c r="J101" s="126"/>
      <c r="K101" s="126"/>
      <c r="L101" s="87"/>
    </row>
    <row r="102" spans="1:12" s="75" customFormat="1">
      <c r="A102" s="121" t="s">
        <v>363</v>
      </c>
      <c r="B102" s="126"/>
      <c r="C102" s="126"/>
      <c r="D102" s="126"/>
      <c r="E102" s="126"/>
      <c r="F102" s="126"/>
      <c r="G102" s="126"/>
      <c r="H102" s="126"/>
      <c r="I102" s="126"/>
      <c r="J102" s="126"/>
      <c r="K102" s="126"/>
      <c r="L102" s="87"/>
    </row>
    <row r="103" spans="1:12" s="75" customFormat="1">
      <c r="A103" s="126"/>
      <c r="B103" s="126"/>
      <c r="C103" s="126"/>
      <c r="D103" s="126"/>
      <c r="E103" s="126"/>
      <c r="F103" s="126"/>
      <c r="G103" s="126"/>
      <c r="H103" s="126"/>
      <c r="I103" s="126"/>
      <c r="J103" s="126"/>
      <c r="K103" s="126"/>
      <c r="L103" s="87"/>
    </row>
    <row r="104" spans="1:12" s="75" customFormat="1">
      <c r="A104" s="121" t="s">
        <v>364</v>
      </c>
      <c r="B104" s="126"/>
      <c r="C104" s="126"/>
      <c r="D104" s="126"/>
      <c r="E104" s="126"/>
      <c r="F104" s="126"/>
      <c r="G104" s="126"/>
      <c r="H104" s="126"/>
      <c r="I104" s="126"/>
      <c r="J104" s="126"/>
      <c r="K104" s="126"/>
      <c r="L104" s="87"/>
    </row>
    <row r="105" spans="1:12" s="75" customFormat="1">
      <c r="A105" s="126"/>
      <c r="B105" s="126"/>
      <c r="C105" s="126"/>
      <c r="D105" s="126"/>
      <c r="E105" s="126"/>
      <c r="F105" s="126"/>
      <c r="G105" s="126"/>
      <c r="H105" s="126"/>
      <c r="I105" s="126"/>
      <c r="J105" s="126"/>
      <c r="K105" s="126"/>
      <c r="L105" s="87"/>
    </row>
    <row r="106" spans="1:12" s="75" customFormat="1">
      <c r="A106" s="121" t="s">
        <v>365</v>
      </c>
      <c r="B106" s="126"/>
      <c r="C106" s="126"/>
      <c r="D106" s="126"/>
      <c r="E106" s="126"/>
      <c r="F106" s="126"/>
      <c r="G106" s="126"/>
      <c r="H106" s="126"/>
      <c r="I106" s="126"/>
      <c r="J106" s="126"/>
      <c r="K106" s="126"/>
      <c r="L106" s="87"/>
    </row>
    <row r="107" spans="1:12" s="75" customFormat="1">
      <c r="A107" s="126"/>
      <c r="B107" s="126"/>
      <c r="C107" s="126"/>
      <c r="D107" s="126"/>
      <c r="E107" s="126"/>
      <c r="F107" s="126"/>
      <c r="G107" s="126"/>
      <c r="H107" s="126"/>
      <c r="I107" s="126"/>
      <c r="J107" s="126"/>
      <c r="K107" s="126"/>
    </row>
    <row r="108" spans="1:12" s="75" customFormat="1" ht="15" customHeight="1">
      <c r="A108" s="127" t="s">
        <v>366</v>
      </c>
      <c r="B108" s="127"/>
      <c r="C108" s="127"/>
      <c r="D108" s="127"/>
      <c r="E108" s="127"/>
      <c r="F108" s="127"/>
      <c r="G108" s="127"/>
      <c r="H108" s="127"/>
      <c r="I108" s="127"/>
      <c r="J108" s="127"/>
      <c r="K108" s="127"/>
    </row>
    <row r="109" spans="1:12" s="75" customFormat="1">
      <c r="A109" s="127"/>
      <c r="B109" s="127"/>
      <c r="C109" s="127"/>
      <c r="D109" s="127"/>
      <c r="E109" s="127"/>
      <c r="F109" s="127"/>
      <c r="G109" s="127"/>
      <c r="H109" s="127"/>
      <c r="I109" s="127"/>
      <c r="J109" s="127"/>
      <c r="K109" s="127"/>
    </row>
    <row r="110" spans="1:12" s="75" customFormat="1">
      <c r="A110" s="121" t="s">
        <v>367</v>
      </c>
      <c r="B110" s="126"/>
      <c r="C110" s="126"/>
      <c r="D110" s="126"/>
      <c r="E110" s="126"/>
      <c r="F110" s="126"/>
      <c r="G110" s="126"/>
      <c r="H110" s="126"/>
      <c r="I110" s="126"/>
      <c r="J110" s="126"/>
      <c r="K110" s="126"/>
    </row>
    <row r="111" spans="1:12" s="75" customFormat="1">
      <c r="A111" s="126"/>
      <c r="B111" s="126"/>
      <c r="C111" s="126"/>
      <c r="D111" s="126"/>
      <c r="E111" s="126"/>
      <c r="F111" s="126"/>
      <c r="G111" s="126"/>
      <c r="H111" s="126"/>
      <c r="I111" s="126"/>
      <c r="J111" s="126"/>
      <c r="K111" s="126"/>
    </row>
    <row r="112" spans="1:12" s="75" customFormat="1">
      <c r="A112" s="121" t="s">
        <v>368</v>
      </c>
      <c r="B112" s="126"/>
      <c r="C112" s="126"/>
      <c r="D112" s="126"/>
      <c r="E112" s="126"/>
      <c r="F112" s="126"/>
      <c r="G112" s="126"/>
      <c r="H112" s="126"/>
      <c r="I112" s="126"/>
      <c r="J112" s="126"/>
      <c r="K112" s="126"/>
    </row>
    <row r="113" spans="1:11" s="75" customFormat="1">
      <c r="A113" s="126"/>
      <c r="B113" s="126"/>
      <c r="C113" s="126"/>
      <c r="D113" s="126"/>
      <c r="E113" s="126"/>
      <c r="F113" s="126"/>
      <c r="G113" s="126"/>
      <c r="H113" s="126"/>
      <c r="I113" s="126"/>
      <c r="J113" s="126"/>
      <c r="K113" s="126"/>
    </row>
    <row r="114" spans="1:11" s="75" customFormat="1">
      <c r="A114" s="98" t="s">
        <v>369</v>
      </c>
      <c r="B114" s="87"/>
      <c r="C114" s="87"/>
      <c r="D114" s="87"/>
      <c r="E114" s="87"/>
      <c r="F114" s="87"/>
      <c r="G114" s="87"/>
      <c r="H114" s="87"/>
      <c r="I114" s="87"/>
      <c r="J114" s="87"/>
      <c r="K114" s="87"/>
    </row>
    <row r="115" spans="1:11" s="75" customFormat="1">
      <c r="A115" s="87"/>
      <c r="B115" s="87"/>
      <c r="C115" s="87"/>
      <c r="D115" s="87"/>
      <c r="E115" s="87"/>
      <c r="F115" s="87"/>
      <c r="G115" s="87"/>
      <c r="H115" s="87"/>
      <c r="I115" s="87"/>
      <c r="J115" s="87"/>
      <c r="K115" s="87"/>
    </row>
    <row r="116" spans="1:11">
      <c r="A116" s="99" t="s">
        <v>347</v>
      </c>
      <c r="B116" s="87"/>
      <c r="C116" s="87"/>
      <c r="D116" s="87"/>
      <c r="E116" s="87"/>
      <c r="F116" s="87"/>
      <c r="G116" s="87"/>
      <c r="H116" s="87"/>
      <c r="I116" s="87"/>
      <c r="J116" s="87"/>
      <c r="K116" s="87"/>
    </row>
    <row r="117" spans="1:11">
      <c r="A117" s="87" t="s">
        <v>506</v>
      </c>
      <c r="B117" s="87"/>
      <c r="C117" s="87"/>
      <c r="D117" s="87"/>
      <c r="E117" s="87"/>
      <c r="F117" s="87"/>
      <c r="G117" s="87"/>
      <c r="H117" s="87"/>
      <c r="I117" s="87"/>
      <c r="J117" s="87"/>
      <c r="K117" s="87"/>
    </row>
    <row r="118" spans="1:11">
      <c r="A118" s="91"/>
      <c r="B118" s="91"/>
      <c r="C118" s="91"/>
      <c r="D118" s="91"/>
      <c r="E118" s="91"/>
      <c r="F118" s="91"/>
      <c r="G118" s="91"/>
      <c r="H118" s="91"/>
      <c r="I118" s="91"/>
      <c r="J118" s="91"/>
      <c r="K118" s="91"/>
    </row>
    <row r="119" spans="1:11">
      <c r="A119" s="91"/>
      <c r="B119" s="91"/>
      <c r="C119" s="91"/>
      <c r="D119" s="91"/>
      <c r="E119" s="91"/>
      <c r="F119" s="91"/>
      <c r="G119" s="91"/>
      <c r="H119" s="91"/>
      <c r="I119" s="91"/>
      <c r="J119" s="91"/>
      <c r="K119" s="91"/>
    </row>
    <row r="120" spans="1:11">
      <c r="A120" s="91"/>
      <c r="B120" s="91"/>
      <c r="C120" s="91"/>
      <c r="D120" s="91"/>
      <c r="E120" s="91"/>
      <c r="F120" s="91"/>
      <c r="G120" s="91"/>
      <c r="H120" s="91"/>
      <c r="I120" s="91"/>
      <c r="J120" s="91"/>
      <c r="K120" s="91"/>
    </row>
    <row r="121" spans="1:11">
      <c r="A121" s="91"/>
      <c r="B121" s="91"/>
      <c r="C121" s="91"/>
      <c r="D121" s="91"/>
      <c r="E121" s="91"/>
      <c r="F121" s="91"/>
      <c r="G121" s="91"/>
      <c r="H121" s="91"/>
      <c r="I121" s="91"/>
      <c r="J121" s="91"/>
      <c r="K121" s="91"/>
    </row>
    <row r="122" spans="1:11">
      <c r="A122" s="91"/>
      <c r="B122" s="91"/>
      <c r="C122" s="91"/>
      <c r="D122" s="91"/>
      <c r="E122" s="91"/>
      <c r="F122" s="91"/>
      <c r="G122" s="91"/>
      <c r="H122" s="91"/>
      <c r="I122" s="91"/>
      <c r="J122" s="91"/>
      <c r="K122" s="91"/>
    </row>
    <row r="123" spans="1:11">
      <c r="A123" s="91"/>
      <c r="B123" s="91"/>
      <c r="C123" s="91"/>
      <c r="D123" s="91"/>
      <c r="E123" s="91"/>
      <c r="F123" s="91"/>
      <c r="G123" s="91"/>
      <c r="H123" s="91"/>
      <c r="I123" s="91"/>
      <c r="J123" s="91"/>
      <c r="K123" s="91"/>
    </row>
    <row r="124" spans="1:11">
      <c r="A124" s="91"/>
      <c r="B124" s="91"/>
      <c r="C124" s="91"/>
      <c r="D124" s="91"/>
      <c r="E124" s="91"/>
      <c r="F124" s="91"/>
      <c r="G124" s="91"/>
      <c r="H124" s="91"/>
      <c r="I124" s="91"/>
      <c r="J124" s="91"/>
      <c r="K124" s="91"/>
    </row>
    <row r="125" spans="1:11">
      <c r="A125" s="91"/>
      <c r="B125" s="91"/>
      <c r="C125" s="91"/>
      <c r="D125" s="91"/>
      <c r="E125" s="91"/>
      <c r="F125" s="91"/>
      <c r="G125" s="91"/>
      <c r="H125" s="91"/>
      <c r="I125" s="91"/>
      <c r="J125" s="91"/>
      <c r="K125" s="91"/>
    </row>
    <row r="126" spans="1:11">
      <c r="A126" s="91"/>
      <c r="B126" s="91"/>
      <c r="C126" s="91"/>
      <c r="D126" s="91"/>
      <c r="E126" s="91"/>
      <c r="F126" s="91"/>
      <c r="G126" s="91"/>
      <c r="H126" s="91"/>
      <c r="I126" s="91"/>
      <c r="J126" s="91"/>
      <c r="K126" s="91"/>
    </row>
    <row r="127" spans="1:11">
      <c r="A127" s="86"/>
      <c r="B127" s="91"/>
      <c r="C127" s="91"/>
      <c r="D127" s="91"/>
      <c r="E127" s="91"/>
      <c r="F127" s="91"/>
      <c r="G127" s="91"/>
      <c r="H127" s="91"/>
      <c r="I127" s="91"/>
      <c r="J127" s="91"/>
      <c r="K127" s="91"/>
    </row>
    <row r="128" spans="1:11">
      <c r="A128" s="99"/>
      <c r="B128" s="91"/>
      <c r="C128" s="91"/>
      <c r="D128" s="91"/>
      <c r="E128" s="91"/>
      <c r="F128" s="91"/>
      <c r="G128" s="91"/>
      <c r="H128" s="91"/>
      <c r="I128" s="91"/>
      <c r="J128" s="91"/>
      <c r="K128" s="91"/>
    </row>
    <row r="129" spans="1:11">
      <c r="A129" s="87"/>
      <c r="B129" s="91"/>
      <c r="C129" s="91"/>
      <c r="D129" s="91"/>
      <c r="E129" s="91"/>
      <c r="F129" s="91"/>
      <c r="G129" s="91"/>
      <c r="H129" s="91"/>
      <c r="I129" s="91"/>
      <c r="J129" s="91"/>
      <c r="K129" s="91"/>
    </row>
  </sheetData>
  <sheetProtection algorithmName="SHA-512" hashValue="o2VkqyRfKJ9jKIPxnNPkKtZXILp+IWcX0D7fRuU2BLn8JfZ2c1d0HUA3atlIyMZsmxilwTodBClyzi9dCg68Mw==" saltValue="1nP/BOlSCEAROFirJ5DOXw==" spinCount="100000" sheet="1" objects="1" scenarios="1"/>
  <mergeCells count="63">
    <mergeCell ref="A17:K17"/>
    <mergeCell ref="A18:K18"/>
    <mergeCell ref="A87:K88"/>
    <mergeCell ref="A96:K98"/>
    <mergeCell ref="A108:K109"/>
    <mergeCell ref="A19:K19"/>
    <mergeCell ref="A20:K20"/>
    <mergeCell ref="A27:K27"/>
    <mergeCell ref="A28:K28"/>
    <mergeCell ref="A63:K64"/>
    <mergeCell ref="A41:K41"/>
    <mergeCell ref="A31:K31"/>
    <mergeCell ref="A32:K32"/>
    <mergeCell ref="A29:K29"/>
    <mergeCell ref="A30:K30"/>
    <mergeCell ref="A33:K33"/>
    <mergeCell ref="A36:K36"/>
    <mergeCell ref="A34:K34"/>
    <mergeCell ref="A51:K51"/>
    <mergeCell ref="A53:K53"/>
    <mergeCell ref="A21:K21"/>
    <mergeCell ref="A22:K22"/>
    <mergeCell ref="A25:K25"/>
    <mergeCell ref="A26:K26"/>
    <mergeCell ref="A23:K23"/>
    <mergeCell ref="A24:K24"/>
    <mergeCell ref="A37:K37"/>
    <mergeCell ref="A38:K38"/>
    <mergeCell ref="A35:K35"/>
    <mergeCell ref="A39:K39"/>
    <mergeCell ref="A40:K40"/>
    <mergeCell ref="A102:K103"/>
    <mergeCell ref="A104:K105"/>
    <mergeCell ref="A42:K42"/>
    <mergeCell ref="A43:K43"/>
    <mergeCell ref="A56:K56"/>
    <mergeCell ref="A44:K44"/>
    <mergeCell ref="A45:K45"/>
    <mergeCell ref="A46:K46"/>
    <mergeCell ref="A47:K47"/>
    <mergeCell ref="A48:K48"/>
    <mergeCell ref="A49:K49"/>
    <mergeCell ref="A54:K54"/>
    <mergeCell ref="A55:K55"/>
    <mergeCell ref="A52:K52"/>
    <mergeCell ref="A57:K57"/>
    <mergeCell ref="A50:K50"/>
    <mergeCell ref="A106:K107"/>
    <mergeCell ref="A110:K111"/>
    <mergeCell ref="A12:K12"/>
    <mergeCell ref="A112:K113"/>
    <mergeCell ref="A65:K66"/>
    <mergeCell ref="A67:K68"/>
    <mergeCell ref="A71:K72"/>
    <mergeCell ref="A74:K76"/>
    <mergeCell ref="A81:K82"/>
    <mergeCell ref="A83:K86"/>
    <mergeCell ref="A77:K78"/>
    <mergeCell ref="A79:K80"/>
    <mergeCell ref="A89:K90"/>
    <mergeCell ref="A93:K95"/>
    <mergeCell ref="A99:K99"/>
    <mergeCell ref="A100:K101"/>
  </mergeCells>
  <hyperlinks>
    <hyperlink ref="A43:IV43" location="'Total Allotjaments 2010 (6)'!A1" display="Accommodation capacity by type of establishment and category in Majorca (2010)……………………………….…………………………………………..pg 6" xr:uid="{00000000-0004-0000-0200-000000000000}"/>
    <hyperlink ref="A44:IV44" location="'Allotj. x municipi 2010 (9)'!A1" display="Distribution of accommodation capacity broken down by municipalities in Majorca (2010)………………...….………………….………………………….pg 9" xr:uid="{00000000-0004-0000-0200-000001000000}"/>
    <hyperlink ref="A45:IV45" location="'Total Allotjaments 2009 (8)'!A1" display="Accommodation capacity by type of establishment and category in Majorca (2009)……….…………………………………………………………………..pg 8" xr:uid="{00000000-0004-0000-0200-000002000000}"/>
    <hyperlink ref="A46:IV46" location="'Allotj. x municipi 2009 (11)'!A1" display="Distribution of accommodation capacity broken down by municipalities in Majorca (2009)………………..…..……………………………………………..pg 11" xr:uid="{00000000-0004-0000-0200-000003000000}"/>
    <hyperlink ref="A47:IV47" location="'Total Allotjaments 2008 (10)'!A1" display="Accommodation capacity by type of establishment and category in Majorca (2008)……………………………………….…………………………………..pg 10" xr:uid="{00000000-0004-0000-0200-000004000000}"/>
    <hyperlink ref="A48:IV48" location="'allotj. x municipi 2008 (11)'!A1" display="Distribution of accommodation capacity broken down by municipalities in Majorca (2008)…………….……..……………………………………………..pg 11" xr:uid="{00000000-0004-0000-0200-000005000000}"/>
    <hyperlink ref="A49:IV49" location="'Total Allotjaments 2007 (12)'!A1" display="Accommodation capacity by type of establishment and category in Majorca (2007)………….………………………………………………………………..pg 12" xr:uid="{00000000-0004-0000-0200-000006000000}"/>
    <hyperlink ref="A50:IV50" location="'allotj. x municipi 2007(13)'!A1" display="Distribution of accommodation capacity broken down by municipalities in Majorca (2007)…………..….…………………………………………………..pg 13" xr:uid="{00000000-0004-0000-0200-000007000000}"/>
    <hyperlink ref="A51:IV51" location="'Total Allotjaments 2006 (14)'!A1" display="Accommodation capacity by type of establishment and category in Majorca (2006)…………...…………………….………………………………………..pg 14" xr:uid="{00000000-0004-0000-0200-000008000000}"/>
    <hyperlink ref="A52:IV52" location="'allotj. x municipi 2006 (15)'!A1" display="Distribution of accommodation capacity broken down by municipalities in Majorca (2006)……….…………..……………………………………………..pg 15" xr:uid="{00000000-0004-0000-0200-000009000000}"/>
    <hyperlink ref="A53:IV53" location="'Total Allotjaments 2005 (16)'!A1" display="Accommodation capacity by type of establishment and category in Majorca (2005)………………………..………………………………………..………..pg 16" xr:uid="{00000000-0004-0000-0200-00000A000000}"/>
    <hyperlink ref="A54:IV54" location="'allotj. x municipi 2005(17)'!A1" display="Distribution of accommodation capacity broken down by municipalities in Majorca (2005)…………………...……………………………………………..pg 17" xr:uid="{00000000-0004-0000-0200-00000B000000}"/>
    <hyperlink ref="A55:IV55" location="'Total Allotjaments 2004 (18) '!A1" display="Accommodation capacity by type of establishment and category in Majorca (2004)…………………………….……………………………………………..pg 18" xr:uid="{00000000-0004-0000-0200-00000C000000}"/>
    <hyperlink ref="A56:IV56" location="'allotj. x municipi 2004 (19)'!A1" display="Distribution of accommodation capacity broken down by municipalities in Majorca (2004)………...………………………………………………………..pg 19" xr:uid="{00000000-0004-0000-0200-00000D000000}"/>
    <hyperlink ref="A39:IV39" location="'Total Allotjaments 2010 (4)'!A1" display="Capacidad de alojamiento por tipo de establecimiento y categoría en Mallorca (2010)……………………………………………………………………pág 4" xr:uid="{00000000-0004-0000-0200-00000E000000}"/>
    <hyperlink ref="A40:IV40" location="'Allotj. x municipi 2011 (5)'!A1" display="Distribución de la capacidad de alojamiento por municipios en Mallorca (2011)……………………………………………………………………………pág 5" xr:uid="{00000000-0004-0000-0200-00000F000000}"/>
    <hyperlink ref="A39:K39" location="'TotalAllotj_12 (24)'!A1" display="Accommodation capacity by type of establishment and category in Majorca (2012)………….……………...………….…………...................................……………………………pg 24" xr:uid="{00000000-0004-0000-0200-000010000000}"/>
    <hyperlink ref="A40:K40" location="'Allotj.municipi_12 (25)'!A1" display="Distribution of accommodation capacity broken down by municipalities in Majorca (2012)……….……..……………….………...............................………………………………pg 25" xr:uid="{00000000-0004-0000-0200-000011000000}"/>
    <hyperlink ref="A43:K43" location="'TotalAllotj_10 (28)'!A1" display="Accommodation capacity by type of establishment and category in Majorca (2010)…………………………...…….……….…..………...............................………………………..pg 28" xr:uid="{00000000-0004-0000-0200-000012000000}"/>
    <hyperlink ref="A45:K45" location="'TotalAllotj_09 (30)'!A1" display="Accommodation capacity by type of establishment and category in Majorca (2009)……...….………………………………..………................................…………………………..pg 30" xr:uid="{00000000-0004-0000-0200-000013000000}"/>
    <hyperlink ref="A47:K47" location="'TotalAllotj_08 (32)'!A1" display="Accommodation capacity by type of establishment and category in Majorca (2008)…………………………...………….….……..……………...............................………………..pg 32" xr:uid="{00000000-0004-0000-0200-000014000000}"/>
    <hyperlink ref="A48:K48" location="'Allotj.municipi_08 (33)'!A1" display="Distribution of accommodation capacity broken down by municipalities in Majorca (2008)…………….………..……..…….................................………………………………..pg 33" xr:uid="{00000000-0004-0000-0200-000015000000}"/>
    <hyperlink ref="A49:K49" location="'TotalAllotj_07 (34)'!A1" display="Accommodation capacity by type of establishment and category in Majorca (2007)………….………….………………..….…….................................……………………………..pg 34" xr:uid="{00000000-0004-0000-0200-000016000000}"/>
    <hyperlink ref="A50:K50" location="'Allotj.municipi_07 (35)'!A1" display="Distribution of accommodation capacity broken down by municipalities in Majorca (2007)……….…..….…………………….………......................................………………..pg 35" xr:uid="{00000000-0004-0000-0200-000017000000}"/>
    <hyperlink ref="A51:K51" location="'TotalAllotj_06 (36)'!A1" display="Accommodation capacity by type of establishment and category in Majorca (2006)……………….……..…………….…………..................................……………………………..pg 36" xr:uid="{00000000-0004-0000-0200-000018000000}"/>
    <hyperlink ref="A52:K52" location="'Allotj.municipi_06 (37)'!A1" display="Distribution of accommodation capacity broken down by municipalities in Majorca (2006)……….…………..…...…….....................................………………………………..pg 37" xr:uid="{00000000-0004-0000-0200-000019000000}"/>
    <hyperlink ref="A53:K53" location="'TotalAllotj_05 (38)'!A1" display="Accommodation capacity by type of establishment and category in Majorca (2005)………………….…..………..................................……….…...……………………..………..pg 38" xr:uid="{00000000-0004-0000-0200-00001A000000}"/>
    <hyperlink ref="A54:K54" location="'Allotj.municipi_05 (39)'!A1" display="Distribution of accommodation capacity broken down by municipalities in Majorca (2005)…………………...……………..................................….……………………………..pg 39" xr:uid="{00000000-0004-0000-0200-00001B000000}"/>
    <hyperlink ref="A55:K55" location="'TotalAllotj_04 (40)'!A1" display="Accommodation capacity by type of establishment and category in Majorca (2004)……………….……………….…….……................................….…..…………………………..pg 40" xr:uid="{00000000-0004-0000-0200-00001C000000}"/>
    <hyperlink ref="A41:IV41" location="'Total Allotjaments 2010 (4)'!A1" display="Capacidad de alojamiento por tipo de establecimiento y categoría en Mallorca (2010)……………………………………………………………………pág 4" xr:uid="{00000000-0004-0000-0200-00001D000000}"/>
    <hyperlink ref="A42:IV42" location="'Allotj. x municipi 2011 (5)'!A1" display="Distribución de la capacidad de alojamiento por municipios en Mallorca (2011)……………………………………………………………………………pág 5" xr:uid="{00000000-0004-0000-0200-00001E000000}"/>
    <hyperlink ref="A41:K41" location="'TotalAllotj_11 (26)'!A1" display="Accommodation capacity by type of establishment and category in Majorca (2011)…………………….…………………..….…………...............................…………………………pg 26" xr:uid="{00000000-0004-0000-0200-00001F000000}"/>
    <hyperlink ref="A42:K42" location="'Allotj.municipi_11 (27)'!A1" display="Distribution of accommodation capacity broken down by municipalities in Majorca (2011)……….……………………...…………...............................……………………………pg 27" xr:uid="{00000000-0004-0000-0200-000020000000}"/>
    <hyperlink ref="A37:K37" location="'TotalAllotj_13 (22)'!A1" display="Accommodation capacity by type of establishment and category in Majorca (2013)………….……………...…………….………...................................……………………………pg 22" xr:uid="{00000000-0004-0000-0200-000021000000}"/>
    <hyperlink ref="A38:K38" location="'Allotj.municipi_13 (23)'!A1" display="Distribution of accommodation capacity broken down by municipalities in Majorca (2013)……….………………….………....................................…..…………………………pg 23" xr:uid="{00000000-0004-0000-0200-000022000000}"/>
    <hyperlink ref="A44:K44" location="'Allotj.municipi_10 (29)'!A1" display="Distribution of accommodation capacity broken down by municipalities in Majorca (2010)………………...….…...………………................................………………………….pg 29" xr:uid="{00000000-0004-0000-0200-000023000000}"/>
    <hyperlink ref="A46:K46" location="'Allotj.municipi_09 (31)'!A1" display="Distribution of accommodation capacity broken down by municipalities in Majorca (2009)………………..…..……….…..……...............................……………………………..pg 31" xr:uid="{00000000-0004-0000-0200-000024000000}"/>
    <hyperlink ref="A35:K35" location="'TotalAllotj_14 (20)'!A1" display="Accommodation capacity by type of establishment and category in Majorca (2014)………….…………...……………………...………..............................…………………………pg 20" xr:uid="{00000000-0004-0000-0200-000025000000}"/>
    <hyperlink ref="A36:K36" location="'Allotj.municipi_14 (21)'!A1" display="Distribution of accommodation capacity broken down by municipalities in Majorca (2014)……….………………………..………................................……………………………pg 21" xr:uid="{00000000-0004-0000-0200-000026000000}"/>
    <hyperlink ref="A33:K33" location="'TotalAllotj_15 (18)'!A1" display="Accommodation capacity by type of establishment and category in Majorca (2015)………….……………...…………..…….………………..............................……………………pg 18" xr:uid="{00000000-0004-0000-0200-000027000000}"/>
    <hyperlink ref="A34:K34" location="'Allotj.municipi_15 (19)'!A1" display="Distribution of accommodation capacity broken down by municipalities in Majorca (2015)……….……………..………...………..............................…………………………….pg 19" xr:uid="{00000000-0004-0000-0200-000028000000}"/>
    <hyperlink ref="A31:K31" location="'TotalAllotj_16 (16)'!A1" display="Accommodation capacity by type of establishment and category in Majorca (2016)………….……….…....……………….………….................................…………………………pg 16" xr:uid="{00000000-0004-0000-0200-000029000000}"/>
    <hyperlink ref="A32:K32" location="'Allotj.municipi_16 (17)'!A1" display="Distribution of accommodation capacity broken down by municipalities in Majorca (2016)……….….…….….…..….………………..............................…………………………pg 17" xr:uid="{00000000-0004-0000-0200-00002A000000}"/>
    <hyperlink ref="A29:K29" location="'TotalAllotj_17 (14)'!A1" display="Accommodation capacity by type of establishment and category in Majorca (2017)………….……………...…………...……………….................................………………………pg 14" xr:uid="{00000000-0004-0000-0200-00002B000000}"/>
    <hyperlink ref="A30:K30" location="'Allotj.municipi_17 (15)'!A1" display="Distribution of accommodation capacity broken down by municipalities in Majorca (2017)…….….…………………………….................................………………………………pg 15" xr:uid="{00000000-0004-0000-0200-00002C000000}"/>
    <hyperlink ref="A27:K27" location="'TotalAllotj_18 (12)'!A1" display="Accommodation capacity by type of establishment and category in Majorca (2018)………….……………...…………………………..............................…………………….………pg 12" xr:uid="{00000000-0004-0000-0200-00002D000000}"/>
    <hyperlink ref="A28:K28" location="'Allotj.municipi_18 (13)'!A1" display="Distribution of accommodation capacity broken down by municipalities in Majorca (2018)…….….…………………………………….................................………………………pg 13" xr:uid="{00000000-0004-0000-0200-00002E000000}"/>
    <hyperlink ref="A25:K25" location="'TotalAllotj_19 (10)'!A1" display="Accommodation capacity by type of establishment and category in Majorca (2019)………….……………...……………………..............................………………………….………pg 10" xr:uid="{00000000-0004-0000-0200-00002F000000}"/>
    <hyperlink ref="A26:K26" location="'Allotj.municipi_19 (11)'!A1" display="Distribution of accommodation capacity broken down by municipalities in Majorca (2019)……….………….………………….………................................………………………pg 11" xr:uid="{00000000-0004-0000-0200-000030000000}"/>
    <hyperlink ref="A23:K23" location="'TotalAllotj_20 (8)'!A1" display="Accommodation capacity by type of establishment and category in Majorca (2020)………….……………...…………………………..............................…………………….………pg 8" xr:uid="{00000000-0004-0000-0200-000031000000}"/>
    <hyperlink ref="A24:K24" location="'Allotj.municipi_20 (9)'!A1" display="Distribution of accommodation capacity broken down by municipalities in Majorca (2020)……….………….……………….................................…………………………………pg 9" xr:uid="{00000000-0004-0000-0200-000032000000}"/>
    <hyperlink ref="A56:K56" location="'Allotj.municipi_04 (41)'!A1" display="Distribution of accommodation capacity broken down by municipalities in Majorca (2004)………...………………...............................……………….…………………………..pg 41" xr:uid="{00000000-0004-0000-0200-000033000000}"/>
    <hyperlink ref="A21:K21" location="'TotalAllotj_21 (6)'!A1" display="Accommodation capacity by type of establishment and category in Majorca (2021)………….…….............................…………......…..……..……………………………….………pg 6" xr:uid="{00000000-0004-0000-0200-000034000000}"/>
    <hyperlink ref="A22:K22" location="'Allotj.municipi_21 (7)'!A1" display="Distribution of accommodation capacity broken down by municipalities in Majorca (2021)……….………….…………..……….............................…………………………………pg 7" xr:uid="{00000000-0004-0000-0200-000035000000}"/>
    <hyperlink ref="A19:K19" location="'TotalAllotj_22 (4)'!A1" display="Accommodation capacity by type of establishment and category in Majorca (2022)………….…….............................…………......…..……..……………………………….………pg 4" xr:uid="{ACC73A9E-384B-4E2D-B091-08C91AACDC97}"/>
    <hyperlink ref="A20:K20" location="'Allotj.municipi_22 (5)'!A1" display="Distribution of accommodation capacity broken down by municipalities in Majorca (2022)……….………….…………..……….............................…………………………………pg 5" xr:uid="{872E7BF4-9126-40D1-87D9-1C70DD6AB2D0}"/>
    <hyperlink ref="A17:K17" location="'TotalAllotj_22 (4)'!A1" display="Accommodation capacity by type of establishment and category in Majorca (2022)………….…….............................…………......…..……..……………………………….………pg 4" xr:uid="{3A5C666B-4C1E-4315-BBC2-AB2D8CCD2FEA}"/>
    <hyperlink ref="A18:K18" location="'Allotj.municipi_22 (5)'!A1" display="Distribution of accommodation capacity broken down by municipalities in Majorca (2022)……….………….…………..……….............................…………………………………pg 5" xr:uid="{56CE5A55-DE89-4715-AB59-625764F58E34}"/>
    <hyperlink ref="A17:XFD17" location="'TotalAllotj_23 (4)'!A1" display="Accommodation capacity by type of establishment and category in Majorca (2023)………….…….............................…………......…..……..……………………………….………pg 4" xr:uid="{D3CBB92F-37D1-459E-882C-08E11B4301BC}"/>
    <hyperlink ref="A18:XFD18" location="'Allotj.municipi_23 (5)'!A1" display="Distribution of accommodation capacity broken down by municipalities in Majorca (2023)……….………….…………..……….............................…………………………………pg 5" xr:uid="{076D8CE5-C7FD-4E51-BD75-BE384546FC05}"/>
    <hyperlink ref="A19:XFD19" location="'TotalAllotj_22 (6)'!A1" display="Accommodation capacity by type of establishment and category in Majorca (2022)………….…….............................…………......…..……..……………………………….………pg 6" xr:uid="{8D9ABA4D-B8FE-48C3-B82A-41AF762D37E8}"/>
    <hyperlink ref="A20:XFD20" location="'Allotj.municipi_22 (7)'!A1" display="Distribution of accommodation capacity broken down by municipalities in Majorca (2022)……….………….…………..……….............................…………………………………pg 7" xr:uid="{E73A9F2E-8679-4EE3-9B30-4F8E40F9A86E}"/>
    <hyperlink ref="A21:XFD21" location="'TotalAllotj_21 (8)'!A1" display="Accommodation capacity by type of establishment and category in Majorca (2021)………….…….............................…………......…..……..……………………………….………pg 8" xr:uid="{0E9CB76B-CB06-48C9-B193-48DDFA13F3AA}"/>
    <hyperlink ref="A22:XFD22" location="'Allotj.municipi_21 (9)'!A1" display="Distribution of accommodation capacity broken down by municipalities in Majorca (2021)……….………….…………..……….............................…………………………………pg 9" xr:uid="{2C0E9359-EF0E-43A4-B9F4-C60B0B3D08CD}"/>
    <hyperlink ref="A23:XFD23" location="'TotalAllotj_20 (10)'!A1" display="Accommodation capacity by type of establishment and category in Majorca (2020)………….……………...…………………………..............................…………………….………pg 10" xr:uid="{31C95D92-7BD2-48EF-9042-8EDAB654FC01}"/>
    <hyperlink ref="A24:XFD24" location="'Allotj.municipi_20 (11)'!A1" display="Distribution of accommodation capacity broken down by municipalities in Majorca (2020)……….………….……………….................................…………………………………pg 11" xr:uid="{F9A7F492-08D0-4D18-9854-C07A0106925A}"/>
    <hyperlink ref="A25:XFD25" location="'TotalAllotj_19 (12)'!A1" display="Accommodation capacity by type of establishment and category in Majorca (2019)………….……………...……………………..............................………………………….………pg 12" xr:uid="{1641B8D0-719B-449D-91D2-079728A4095F}"/>
    <hyperlink ref="A26:XFD26" location="'Allotj.municipi_19 (13)'!A1" display="Distribution of accommodation capacity broken down by municipalities in Majorca (2019)……….………….………………….………................................………………………pg 13" xr:uid="{D3AABEDE-90B6-4BC5-9886-8CAAAD35D02F}"/>
    <hyperlink ref="A27:XFD27" location="'TotalAllotj_18 (14)'!A1" display="Accommodation capacity by type of establishment and category in Majorca (2018)………….……………...…………………………..............................…………………….………pg 14" xr:uid="{F87DAFC6-F462-41C7-9A6D-39C5B95303F8}"/>
    <hyperlink ref="A28:XFD28" location="'Allotj.municipi_18 (15)'!A1" display="Distribution of accommodation capacity broken down by municipalities in Majorca (2018)…….….…………………………………….................................………………………pg 15" xr:uid="{EB1E106D-341F-41FD-932E-9EA0979890A6}"/>
    <hyperlink ref="A29:XFD29" location="'TotalAllotj_17 (16)'!A1" display="Accommodation capacity by type of establishment and category in Majorca (2017)………….……………...…………...……………….................................………………………pg 16" xr:uid="{6B2B3767-02CE-436B-98FE-9F10DCBBD3D1}"/>
    <hyperlink ref="A30:XFD30" location="'Allotj.municipi_17 (17)'!A1" display="Distribution of accommodation capacity broken down by municipalities in Majorca (2017)…….….…………………………….................................………………………………pg 17" xr:uid="{EEB6C5B0-1AD0-41B3-8857-FFB4C28C25B1}"/>
    <hyperlink ref="A31:XFD31" location="'TotalAllotj_16 (18)'!A1" display="Accommodation capacity by type of establishment and category in Majorca (2016)………….……….…....……………….………….................................…………………………pg 18" xr:uid="{12B0969E-C822-4D8E-8AAE-59B2CC009D94}"/>
    <hyperlink ref="A32:XFD32" location="'Allotj.municipi_16 (19)'!A1" display="Distribution of accommodation capacity broken down by municipalities in Majorca (2016)……….….…….….…..….………………..............................…………………………pg 19" xr:uid="{E7DB2C01-3AE4-471A-AD38-4B33B6273529}"/>
    <hyperlink ref="A33:XFD33" location="'TotalAllotj_15 (20)'!A1" display="Accommodation capacity by type of establishment and category in Majorca (2015)………….……………...…………..…….………………..............................……………………pg 20" xr:uid="{206D1B03-81D9-4902-93D3-DEDFB15A27DA}"/>
    <hyperlink ref="A34:XFD34" location="'Allotj.municipi_15 (21)'!A1" display="Distribution of accommodation capacity broken down by municipalities in Majorca (2015)……….……………..………...………..............................…………………………….pg 21" xr:uid="{E5D9CB30-063C-46B8-99F7-5B9CC024DBEE}"/>
    <hyperlink ref="A35:XFD35" location="'TotalAllotj_14 (22)'!A1" display="Accommodation capacity by type of establishment and category in Majorca (2014)………….…………...……………………...………..............................…………………………pg 22" xr:uid="{78EDB048-E7D2-4283-AE91-DF99472D71BB}"/>
    <hyperlink ref="A36:XFD36" location="'Allotj.municipi_14 (23)'!A1" display="Distribution of accommodation capacity broken down by municipalities in Majorca (2014)……….………………………..………................................……………………………pg 23" xr:uid="{1726FF21-58B9-4CBA-9965-820728C1FF71}"/>
    <hyperlink ref="A37:XFD37" location="'TotalAllotj_13 (24)'!A1" display="Accommodation capacity by type of establishment and category in Majorca (2013)………….……………...…………….………...................................……………………………pg 24" xr:uid="{EAA3C926-15FD-43B7-8415-DD1506130AE8}"/>
    <hyperlink ref="A38:XFD38" location="'Allotj.municipi_13 (25)'!A1" display="Distribution of accommodation capacity broken down by municipalities in Majorca (2013)……….………………….………....................................…..…………………………pg 25" xr:uid="{E10BA9F3-5819-49F5-BC38-FB5889E16D3E}"/>
    <hyperlink ref="A39:XFD39" location="'TotalAllotj_12 (26)'!A1" display="Accommodation capacity by type of establishment and category in Majorca (2012)………….……………...………….…………...................................……………………………pg 26" xr:uid="{4795FCEE-4D4B-4DA4-AC77-F7E4D20AC0A0}"/>
    <hyperlink ref="A40:XFD40" location="'Allotj.municipi_12 (27)'!A1" display="Distribution of accommodation capacity broken down by municipalities in Majorca (2012)……….……..……………….………...............................………………………………pg 27" xr:uid="{294A9D75-836B-4EA4-AC40-BBB06F9A24F0}"/>
    <hyperlink ref="A41:XFD41" location="'TotalAllotj_11 (28)'!A1" display="Accommodation capacity by type of establishment and category in Majorca (2011)…………………….…………………..….…………...............................…………………………pg 28" xr:uid="{1AA342D6-304A-42D1-81C3-E65D947002EF}"/>
    <hyperlink ref="A42:XFD42" location="'Allotj.municipi_11 (29)'!A1" display="Distribution of accommodation capacity broken down by municipalities in Majorca (2011)……….……………………...…………...............................……………………………pg 29" xr:uid="{266FFCA5-1E0D-40B5-BD1D-5FBCDAE12353}"/>
    <hyperlink ref="A43:XFD43" location="'TotalAllotj_10 (30)'!A1" display="Accommodation capacity by type of establishment and category in Majorca (2010)…………………………...…….……….…..………...............................………………………..pg 30" xr:uid="{00C3671F-010C-4B17-9195-AD3F3683DAEA}"/>
    <hyperlink ref="A44:XFD44" location="'Allotj.municipi_10 (31)'!A1" display="Distribution of accommodation capacity broken down by municipalities in Majorca (2010)………………...….…...………………................................………………………….pg 31" xr:uid="{DCC7FC10-30FF-4485-B2AC-00174507A073}"/>
    <hyperlink ref="A45:XFD45" location="'TotalAllotj_09 (32)'!A1" display="Accommodation capacity by type of establishment and category in Majorca (2009)……...….………………………………..………................................…………………………..pg 32" xr:uid="{08D04E70-69F5-4D1D-84CE-6957499DE721}"/>
    <hyperlink ref="A46:XFD46" location="'Allotj.municipi_09 (33)'!A1" display="Distribution of accommodation capacity broken down by municipalities in Majorca (2009)………………..…..……….…..……...............................……………………………..pg 33" xr:uid="{3C38D733-841E-407A-96C9-1DD91FD24BA7}"/>
    <hyperlink ref="A47:XFD47" location="'TotalAllotj_08 (34)'!A1" display="Accommodation capacity by type of establishment and category in Majorca (2008)…………………………...………….….……..……………...............................………………..pg 34" xr:uid="{900E1466-C839-404F-A7C9-CC9433BFF409}"/>
    <hyperlink ref="A48:XFD48" location="'Allotj.municipi_08 (35)'!A1" display="Distribution of accommodation capacity broken down by municipalities in Majorca (2008)…………….………..……..…….................................………………………………..pg 35" xr:uid="{CAA8DB81-C339-4071-A1A2-2219CFA59E4B}"/>
    <hyperlink ref="A49:XFD49" location="'TotalAllotj_07 (36)'!A1" display="Accommodation capacity by type of establishment and category in Majorca (2007)………….………….………………..….…….................................……………………………..pg 36" xr:uid="{B5331687-1D21-496E-8C69-4A31FBC37921}"/>
    <hyperlink ref="A50:XFD50" location="'Allotj.municipi_07 (37)'!A1" display="Distribution of accommodation capacity broken down by municipalities in Majorca (2007)……….…..….…………………….………......................................………………..pg 37" xr:uid="{AAB5660B-5873-4F1B-A2EC-107124A838C6}"/>
    <hyperlink ref="A51:XFD51" location="'TotalAllotj_06 (38)'!A1" display="Accommodation capacity by type of establishment and category in Majorca (2006)……………….……..…………….…………..................................……………………………..pg 38" xr:uid="{BF8013AC-D8EE-4A6E-B2B1-C9113EE37A99}"/>
    <hyperlink ref="A52:XFD52" location="'Allotj.municipi_06 (39)'!A1" display="Distribution of accommodation capacity broken down by municipalities in Majorca (2006)……….…………..…...…….....................................………………………………..pg 39" xr:uid="{26EE52B1-8BC1-4DD6-B8E6-FF180FC2FCB3}"/>
    <hyperlink ref="A53:XFD53" location="'TotalAllotj_05 (40)'!A1" display="Accommodation capacity by type of establishment and category in Majorca (2005)………………….…..………..................................……….…...……………………..………..pg 40" xr:uid="{2C03000A-8E67-4964-AC28-B67975AF9435}"/>
    <hyperlink ref="A54:XFD54" location="'Allotj.municipi_05 (41)'!A1" display="Distribution of accommodation capacity broken down by municipalities in Majorca (2005)…………………...……………..................................….……………………………..pg 41" xr:uid="{69E84BFB-CBE3-4E5A-8977-B6DF34F7C6D9}"/>
    <hyperlink ref="A55:XFD55" location="'TotalAllotj_04 (42)'!A1" display="Accommodation capacity by type of establishment and category in Majorca (2004)……………….……………….…….……................................….…..…………………………..pg 42" xr:uid="{B71B1033-7768-4091-BB21-C4345F1A5254}"/>
    <hyperlink ref="A56:XFD56" location="'Allotj.municipi_04 (43)'!A1" display="Distribution of accommodation capacity broken down by municipalities in Majorca (2004)………...………………...............................……………….…………………………..pg 43" xr:uid="{F0CC3C6A-8A7C-4EE9-AAF1-8E515EF37A12}"/>
  </hyperlinks>
  <pageMargins left="0.70866141732283472" right="0.70866141732283472" top="0.74803149606299213" bottom="0.74803149606299213" header="0.31496062992125984" footer="0.31496062992125984"/>
  <pageSetup paperSize="9" scale="93" fitToHeight="0" orientation="landscape" r:id="rId1"/>
  <rowBreaks count="3" manualBreakCount="3">
    <brk id="35" max="10" man="1"/>
    <brk id="57" max="10" man="1"/>
    <brk id="86" max="10"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DC4AF-F274-4225-803B-3465965C8487}">
  <sheetPr>
    <pageSetUpPr fitToPage="1"/>
  </sheetPr>
  <dimension ref="A3:N53"/>
  <sheetViews>
    <sheetView showGridLines="0" zoomScaleNormal="100" workbookViewId="0"/>
  </sheetViews>
  <sheetFormatPr baseColWidth="10" defaultRowHeight="15"/>
  <cols>
    <col min="1" max="1" width="25.140625" customWidth="1"/>
    <col min="2" max="2" width="5.7109375" customWidth="1"/>
    <col min="3" max="3" width="17" bestFit="1" customWidth="1"/>
    <col min="4" max="4" width="15.140625" bestFit="1" customWidth="1"/>
    <col min="5" max="5" width="14" bestFit="1" customWidth="1"/>
    <col min="8" max="8" width="25.140625" customWidth="1"/>
    <col min="9" max="9" width="5.7109375" customWidth="1"/>
    <col min="10" max="10" width="17" customWidth="1"/>
    <col min="11" max="11" width="15.140625" customWidth="1"/>
    <col min="12" max="12" width="14" customWidth="1"/>
  </cols>
  <sheetData>
    <row r="3" spans="1:13" s="60" customFormat="1" ht="16.5">
      <c r="A3" s="58" t="s">
        <v>378</v>
      </c>
      <c r="B3" s="59"/>
      <c r="H3" s="59"/>
      <c r="I3" s="59"/>
    </row>
    <row r="4" spans="1:13" s="63" customFormat="1" ht="16.5">
      <c r="A4" s="61" t="s">
        <v>379</v>
      </c>
      <c r="B4" s="62"/>
      <c r="H4" s="62"/>
      <c r="I4" s="62"/>
      <c r="L4" s="64"/>
    </row>
    <row r="5" spans="1:13" s="63" customFormat="1" ht="16.5">
      <c r="A5" s="61" t="s">
        <v>380</v>
      </c>
      <c r="B5" s="62"/>
      <c r="H5" s="62"/>
      <c r="I5" s="62"/>
    </row>
    <row r="6" spans="1:13" s="60" customFormat="1" ht="12.75">
      <c r="A6" s="59"/>
      <c r="B6" s="59"/>
      <c r="H6" s="59"/>
      <c r="I6" s="59"/>
    </row>
    <row r="7" spans="1:13" s="60" customFormat="1" ht="12.75">
      <c r="A7" s="59"/>
      <c r="B7" s="59"/>
      <c r="H7" s="59"/>
      <c r="I7" s="59"/>
    </row>
    <row r="8" spans="1:13" s="60" customFormat="1" ht="12.75">
      <c r="A8" s="130" t="s">
        <v>104</v>
      </c>
      <c r="B8" s="130"/>
      <c r="C8" s="103" t="s">
        <v>105</v>
      </c>
      <c r="D8" s="103" t="s">
        <v>106</v>
      </c>
      <c r="E8" s="103" t="s">
        <v>107</v>
      </c>
      <c r="F8" s="103" t="s">
        <v>108</v>
      </c>
      <c r="G8" s="104"/>
      <c r="H8" s="130" t="s">
        <v>104</v>
      </c>
      <c r="I8" s="130"/>
      <c r="J8" s="103" t="s">
        <v>105</v>
      </c>
      <c r="K8" s="103" t="s">
        <v>106</v>
      </c>
      <c r="L8" s="103" t="s">
        <v>107</v>
      </c>
      <c r="M8" s="103" t="s">
        <v>108</v>
      </c>
    </row>
    <row r="9" spans="1:13" s="63" customFormat="1" ht="12.75">
      <c r="A9" s="131" t="s">
        <v>109</v>
      </c>
      <c r="B9" s="131"/>
      <c r="C9" s="105" t="s">
        <v>110</v>
      </c>
      <c r="D9" s="105" t="s">
        <v>111</v>
      </c>
      <c r="E9" s="105" t="s">
        <v>112</v>
      </c>
      <c r="F9" s="105" t="s">
        <v>113</v>
      </c>
      <c r="G9" s="106"/>
      <c r="H9" s="131" t="s">
        <v>109</v>
      </c>
      <c r="I9" s="131"/>
      <c r="J9" s="105" t="s">
        <v>110</v>
      </c>
      <c r="K9" s="105" t="s">
        <v>111</v>
      </c>
      <c r="L9" s="105" t="s">
        <v>112</v>
      </c>
      <c r="M9" s="105" t="s">
        <v>113</v>
      </c>
    </row>
    <row r="10" spans="1:13" s="63" customFormat="1" ht="12.75">
      <c r="A10" s="131" t="s">
        <v>114</v>
      </c>
      <c r="B10" s="131"/>
      <c r="C10" s="105" t="s">
        <v>115</v>
      </c>
      <c r="D10" s="105" t="s">
        <v>116</v>
      </c>
      <c r="E10" s="105" t="s">
        <v>117</v>
      </c>
      <c r="F10" s="105" t="s">
        <v>118</v>
      </c>
      <c r="G10" s="106"/>
      <c r="H10" s="131" t="s">
        <v>114</v>
      </c>
      <c r="I10" s="131"/>
      <c r="J10" s="105" t="s">
        <v>115</v>
      </c>
      <c r="K10" s="105" t="s">
        <v>116</v>
      </c>
      <c r="L10" s="105" t="s">
        <v>117</v>
      </c>
      <c r="M10" s="105" t="s">
        <v>118</v>
      </c>
    </row>
    <row r="11" spans="1:13" s="60" customFormat="1">
      <c r="A11" s="132" t="s">
        <v>119</v>
      </c>
      <c r="B11" s="132"/>
      <c r="C11" s="66">
        <v>62</v>
      </c>
      <c r="D11" s="66">
        <v>907</v>
      </c>
      <c r="E11" s="66">
        <v>2920</v>
      </c>
      <c r="F11" s="67">
        <f t="shared" ref="F11:F16" si="0">E11/E$17</f>
        <v>9.0151281259648039E-2</v>
      </c>
      <c r="G11" s="68"/>
      <c r="H11" s="132" t="s">
        <v>25</v>
      </c>
      <c r="I11" s="132"/>
      <c r="J11" s="66">
        <v>3</v>
      </c>
      <c r="K11" s="66">
        <v>33</v>
      </c>
      <c r="L11" s="66">
        <v>78</v>
      </c>
      <c r="M11" s="67">
        <f>L11/L$19</f>
        <v>9.59492207201112E-4</v>
      </c>
    </row>
    <row r="12" spans="1:13" s="60" customFormat="1">
      <c r="A12" s="132" t="s">
        <v>120</v>
      </c>
      <c r="B12" s="132"/>
      <c r="C12" s="66">
        <v>107</v>
      </c>
      <c r="D12" s="66">
        <v>3549</v>
      </c>
      <c r="E12" s="66">
        <v>10016</v>
      </c>
      <c r="F12" s="67">
        <f t="shared" si="0"/>
        <v>0.30923124421117631</v>
      </c>
      <c r="G12" s="68"/>
      <c r="H12" s="132" t="s">
        <v>26</v>
      </c>
      <c r="I12" s="132"/>
      <c r="J12" s="66">
        <v>9</v>
      </c>
      <c r="K12" s="66">
        <v>400</v>
      </c>
      <c r="L12" s="66">
        <v>885</v>
      </c>
      <c r="M12" s="67">
        <f t="shared" ref="M12:M17" si="1">L12/L$19</f>
        <v>1.088654619708954E-2</v>
      </c>
    </row>
    <row r="13" spans="1:13" s="60" customFormat="1">
      <c r="A13" s="132" t="s">
        <v>121</v>
      </c>
      <c r="B13" s="132"/>
      <c r="C13" s="66">
        <v>97</v>
      </c>
      <c r="D13" s="66">
        <v>6080</v>
      </c>
      <c r="E13" s="66">
        <v>15768</v>
      </c>
      <c r="F13" s="67">
        <f t="shared" si="0"/>
        <v>0.48681691880209943</v>
      </c>
      <c r="G13" s="68"/>
      <c r="H13" s="132" t="s">
        <v>27</v>
      </c>
      <c r="I13" s="132"/>
      <c r="J13" s="66">
        <v>44</v>
      </c>
      <c r="K13" s="66">
        <v>7262</v>
      </c>
      <c r="L13" s="66">
        <v>16299</v>
      </c>
      <c r="M13" s="67">
        <f t="shared" si="1"/>
        <v>0.2004969677586016</v>
      </c>
    </row>
    <row r="14" spans="1:13" s="60" customFormat="1">
      <c r="A14" s="132" t="s">
        <v>251</v>
      </c>
      <c r="B14" s="132"/>
      <c r="C14" s="66">
        <v>6</v>
      </c>
      <c r="D14" s="66">
        <v>559</v>
      </c>
      <c r="E14" s="66">
        <v>1335</v>
      </c>
      <c r="F14" s="67">
        <f t="shared" si="0"/>
        <v>4.1216424822476075E-2</v>
      </c>
      <c r="G14" s="68"/>
      <c r="H14" s="132" t="s">
        <v>209</v>
      </c>
      <c r="I14" s="132"/>
      <c r="J14" s="66">
        <v>10</v>
      </c>
      <c r="K14" s="66">
        <v>1472</v>
      </c>
      <c r="L14" s="66">
        <v>4178</v>
      </c>
      <c r="M14" s="67">
        <f t="shared" si="1"/>
        <v>5.1394338995977513E-2</v>
      </c>
    </row>
    <row r="15" spans="1:13" s="60" customFormat="1">
      <c r="A15" s="132" t="s">
        <v>122</v>
      </c>
      <c r="B15" s="132"/>
      <c r="C15" s="66">
        <v>17</v>
      </c>
      <c r="D15" s="66">
        <v>700</v>
      </c>
      <c r="E15" s="66">
        <v>2333</v>
      </c>
      <c r="F15" s="67">
        <f t="shared" si="0"/>
        <v>7.202840382834208E-2</v>
      </c>
      <c r="G15" s="68"/>
      <c r="H15" s="132" t="s">
        <v>28</v>
      </c>
      <c r="I15" s="132"/>
      <c r="J15" s="66">
        <v>132</v>
      </c>
      <c r="K15" s="66">
        <v>25058</v>
      </c>
      <c r="L15" s="66">
        <v>55431</v>
      </c>
      <c r="M15" s="67">
        <f t="shared" si="1"/>
        <v>0.68186682740211335</v>
      </c>
    </row>
    <row r="16" spans="1:13" s="60" customFormat="1">
      <c r="A16" s="132" t="s">
        <v>268</v>
      </c>
      <c r="B16" s="132"/>
      <c r="C16" s="66">
        <v>1</v>
      </c>
      <c r="D16" s="66">
        <v>9</v>
      </c>
      <c r="E16" s="66">
        <v>18</v>
      </c>
      <c r="F16" s="67">
        <f t="shared" si="0"/>
        <v>5.5572707625810432E-4</v>
      </c>
      <c r="G16" s="68"/>
      <c r="H16" s="132" t="s">
        <v>210</v>
      </c>
      <c r="I16" s="132"/>
      <c r="J16" s="66">
        <v>6</v>
      </c>
      <c r="K16" s="66">
        <v>1167</v>
      </c>
      <c r="L16" s="66">
        <v>2387</v>
      </c>
      <c r="M16" s="67">
        <f t="shared" si="1"/>
        <v>2.9362921776782749E-2</v>
      </c>
    </row>
    <row r="17" spans="1:14" s="60" customFormat="1">
      <c r="A17" s="133" t="s">
        <v>123</v>
      </c>
      <c r="B17" s="133"/>
      <c r="C17" s="69">
        <f>SUM(C11:C16)</f>
        <v>290</v>
      </c>
      <c r="D17" s="69">
        <f>SUM(D11:D16)</f>
        <v>11804</v>
      </c>
      <c r="E17" s="69">
        <f>SUM(E11:E16)</f>
        <v>32390</v>
      </c>
      <c r="F17" s="70">
        <f>SUM(F11:F16)</f>
        <v>1</v>
      </c>
      <c r="G17" s="68"/>
      <c r="H17" s="132" t="s">
        <v>29</v>
      </c>
      <c r="I17" s="132"/>
      <c r="J17" s="66">
        <v>7</v>
      </c>
      <c r="K17" s="66">
        <v>1031</v>
      </c>
      <c r="L17" s="66">
        <v>2035</v>
      </c>
      <c r="M17" s="67">
        <f t="shared" si="1"/>
        <v>2.503290566223414E-2</v>
      </c>
    </row>
    <row r="18" spans="1:14" s="60" customFormat="1">
      <c r="A18" s="132"/>
      <c r="B18" s="132"/>
      <c r="C18" s="66"/>
      <c r="D18" s="66"/>
      <c r="E18" s="66"/>
      <c r="F18" s="67"/>
      <c r="G18" s="68"/>
      <c r="H18" s="132" t="s">
        <v>211</v>
      </c>
      <c r="I18" s="132"/>
      <c r="J18" s="66"/>
      <c r="K18" s="66"/>
      <c r="L18" s="66"/>
      <c r="M18" s="67"/>
    </row>
    <row r="19" spans="1:14" s="60" customFormat="1">
      <c r="A19" s="133" t="s">
        <v>7</v>
      </c>
      <c r="B19" s="133"/>
      <c r="C19" s="69">
        <v>39</v>
      </c>
      <c r="D19" s="69">
        <v>957</v>
      </c>
      <c r="E19" s="69">
        <v>1891</v>
      </c>
      <c r="F19" s="70">
        <v>1</v>
      </c>
      <c r="G19" s="68"/>
      <c r="H19" s="133" t="s">
        <v>124</v>
      </c>
      <c r="I19" s="133"/>
      <c r="J19" s="69">
        <f>SUM(J11:J18)</f>
        <v>211</v>
      </c>
      <c r="K19" s="69">
        <f>SUM(K11:K18)</f>
        <v>36423</v>
      </c>
      <c r="L19" s="69">
        <f>SUM(L11:L18)</f>
        <v>81293</v>
      </c>
      <c r="M19" s="70">
        <f>SUM(M11:M18)</f>
        <v>1</v>
      </c>
    </row>
    <row r="20" spans="1:14" s="60" customFormat="1">
      <c r="A20" s="133" t="s">
        <v>167</v>
      </c>
      <c r="B20" s="133"/>
      <c r="C20" s="69">
        <v>292</v>
      </c>
      <c r="D20" s="69">
        <v>2648</v>
      </c>
      <c r="E20" s="69">
        <v>5811</v>
      </c>
      <c r="F20" s="70">
        <v>1</v>
      </c>
      <c r="G20" s="68"/>
      <c r="H20" s="66"/>
      <c r="I20" s="66"/>
      <c r="J20" s="66"/>
      <c r="K20" s="66"/>
      <c r="L20" s="66"/>
      <c r="M20" s="66"/>
    </row>
    <row r="21" spans="1:14" s="60" customFormat="1">
      <c r="A21" s="133" t="s">
        <v>8</v>
      </c>
      <c r="B21" s="133"/>
      <c r="C21" s="69">
        <v>173</v>
      </c>
      <c r="D21" s="69">
        <v>1270</v>
      </c>
      <c r="E21" s="69">
        <v>2627</v>
      </c>
      <c r="F21" s="70">
        <v>1</v>
      </c>
      <c r="G21" s="68"/>
      <c r="H21" s="132" t="s">
        <v>30</v>
      </c>
      <c r="I21" s="132"/>
      <c r="J21" s="66"/>
      <c r="K21" s="66"/>
      <c r="L21" s="66"/>
      <c r="M21" s="67"/>
      <c r="N21" s="79"/>
    </row>
    <row r="22" spans="1:14" s="60" customFormat="1">
      <c r="A22" s="133" t="s">
        <v>207</v>
      </c>
      <c r="B22" s="133"/>
      <c r="C22" s="69">
        <v>1</v>
      </c>
      <c r="D22" s="69"/>
      <c r="E22" s="69">
        <v>500</v>
      </c>
      <c r="F22" s="70">
        <v>1</v>
      </c>
      <c r="G22" s="68"/>
      <c r="H22" s="132" t="s">
        <v>31</v>
      </c>
      <c r="I22" s="132"/>
      <c r="J22" s="66"/>
      <c r="K22" s="66"/>
      <c r="L22" s="66"/>
      <c r="M22" s="67"/>
    </row>
    <row r="23" spans="1:14" s="60" customFormat="1">
      <c r="A23" s="132"/>
      <c r="B23" s="132"/>
      <c r="C23" s="66"/>
      <c r="D23" s="66"/>
      <c r="E23" s="66"/>
      <c r="F23" s="67"/>
      <c r="G23" s="68"/>
      <c r="H23" s="132" t="s">
        <v>32</v>
      </c>
      <c r="I23" s="132"/>
      <c r="J23" s="66"/>
      <c r="K23" s="66"/>
      <c r="L23" s="66"/>
      <c r="M23" s="67"/>
    </row>
    <row r="24" spans="1:14" s="60" customFormat="1">
      <c r="A24" s="132" t="s">
        <v>12</v>
      </c>
      <c r="B24" s="132"/>
      <c r="C24" s="66"/>
      <c r="D24" s="66"/>
      <c r="E24" s="66"/>
      <c r="F24" s="67"/>
      <c r="G24" s="68"/>
      <c r="H24" s="132" t="s">
        <v>33</v>
      </c>
      <c r="I24" s="132"/>
      <c r="J24" s="66"/>
      <c r="K24" s="66"/>
      <c r="L24" s="66"/>
      <c r="M24" s="67"/>
    </row>
    <row r="25" spans="1:14" s="60" customFormat="1">
      <c r="A25" s="132" t="s">
        <v>13</v>
      </c>
      <c r="B25" s="132"/>
      <c r="C25" s="66"/>
      <c r="D25" s="66"/>
      <c r="E25" s="66"/>
      <c r="F25" s="67"/>
      <c r="G25" s="68"/>
      <c r="H25" s="133" t="s">
        <v>125</v>
      </c>
      <c r="I25" s="133"/>
      <c r="J25" s="69">
        <f>SUM(J21:J24)</f>
        <v>0</v>
      </c>
      <c r="K25" s="69">
        <f t="shared" ref="K25:L25" si="2">SUM(K21:K24)</f>
        <v>0</v>
      </c>
      <c r="L25" s="69">
        <f t="shared" si="2"/>
        <v>0</v>
      </c>
      <c r="M25" s="70"/>
    </row>
    <row r="26" spans="1:14" s="60" customFormat="1">
      <c r="A26" s="132" t="s">
        <v>14</v>
      </c>
      <c r="B26" s="132"/>
      <c r="C26" s="66"/>
      <c r="D26" s="66"/>
      <c r="E26" s="66"/>
      <c r="F26" s="67"/>
      <c r="G26" s="68"/>
      <c r="H26" s="134"/>
      <c r="I26" s="134"/>
      <c r="J26" s="71"/>
      <c r="K26" s="71"/>
      <c r="L26" s="71"/>
      <c r="M26" s="72"/>
      <c r="N26" s="79"/>
    </row>
    <row r="27" spans="1:14" s="60" customFormat="1">
      <c r="A27" s="133" t="s">
        <v>129</v>
      </c>
      <c r="B27" s="133"/>
      <c r="C27" s="69"/>
      <c r="D27" s="69"/>
      <c r="E27" s="69"/>
      <c r="F27" s="70"/>
      <c r="G27" s="68"/>
      <c r="H27" s="132" t="s">
        <v>35</v>
      </c>
      <c r="I27" s="132"/>
      <c r="J27" s="66">
        <v>33</v>
      </c>
      <c r="K27" s="66">
        <v>767</v>
      </c>
      <c r="L27" s="66">
        <v>1447</v>
      </c>
      <c r="M27" s="67">
        <f>L27/L$30</f>
        <v>0.62023146163737675</v>
      </c>
    </row>
    <row r="28" spans="1:14" s="60" customFormat="1">
      <c r="A28" s="132"/>
      <c r="B28" s="132"/>
      <c r="C28" s="66"/>
      <c r="D28" s="66"/>
      <c r="E28" s="66"/>
      <c r="F28" s="67"/>
      <c r="G28" s="68"/>
      <c r="H28" s="132" t="s">
        <v>36</v>
      </c>
      <c r="I28" s="132"/>
      <c r="J28" s="66">
        <v>15</v>
      </c>
      <c r="K28" s="66">
        <v>431</v>
      </c>
      <c r="L28" s="66">
        <v>814</v>
      </c>
      <c r="M28" s="67">
        <f>L28/L$30</f>
        <v>0.34890698671238746</v>
      </c>
    </row>
    <row r="29" spans="1:14" s="60" customFormat="1">
      <c r="A29" s="132" t="s">
        <v>15</v>
      </c>
      <c r="B29" s="132"/>
      <c r="C29" s="66">
        <v>13</v>
      </c>
      <c r="D29" s="66">
        <v>489</v>
      </c>
      <c r="E29" s="66">
        <v>930</v>
      </c>
      <c r="F29" s="67">
        <f>E29/E$37</f>
        <v>5.2346296077404979E-3</v>
      </c>
      <c r="G29" s="68"/>
      <c r="H29" s="132" t="s">
        <v>37</v>
      </c>
      <c r="I29" s="132"/>
      <c r="J29" s="66">
        <v>1</v>
      </c>
      <c r="K29" s="66">
        <v>41</v>
      </c>
      <c r="L29" s="66">
        <v>72</v>
      </c>
      <c r="M29" s="67">
        <f>L29/L$30</f>
        <v>3.0861551650235748E-2</v>
      </c>
    </row>
    <row r="30" spans="1:14" s="60" customFormat="1">
      <c r="A30" s="132" t="s">
        <v>16</v>
      </c>
      <c r="B30" s="132"/>
      <c r="C30" s="66">
        <v>37</v>
      </c>
      <c r="D30" s="66">
        <v>2323</v>
      </c>
      <c r="E30" s="66">
        <v>4418</v>
      </c>
      <c r="F30" s="67">
        <f t="shared" ref="F30:F36" si="3">E30/E$37</f>
        <v>2.4867304953760772E-2</v>
      </c>
      <c r="G30" s="68"/>
      <c r="H30" s="133" t="s">
        <v>128</v>
      </c>
      <c r="I30" s="133"/>
      <c r="J30" s="69">
        <f>SUM(J27:J29)</f>
        <v>49</v>
      </c>
      <c r="K30" s="69">
        <f t="shared" ref="K30:L30" si="4">SUM(K27:K29)</f>
        <v>1239</v>
      </c>
      <c r="L30" s="69">
        <f t="shared" si="4"/>
        <v>2333</v>
      </c>
      <c r="M30" s="70">
        <f>SUM(M27:M29)</f>
        <v>1</v>
      </c>
    </row>
    <row r="31" spans="1:14" s="60" customFormat="1">
      <c r="A31" s="132" t="s">
        <v>17</v>
      </c>
      <c r="B31" s="132"/>
      <c r="C31" s="66">
        <v>178</v>
      </c>
      <c r="D31" s="66">
        <v>21915</v>
      </c>
      <c r="E31" s="66">
        <v>41379</v>
      </c>
      <c r="F31" s="67">
        <f t="shared" si="3"/>
        <v>0.23290724574053123</v>
      </c>
      <c r="G31" s="68"/>
      <c r="H31" s="134"/>
      <c r="I31" s="134"/>
      <c r="J31" s="71"/>
      <c r="K31" s="71"/>
      <c r="L31" s="71"/>
      <c r="M31" s="72"/>
    </row>
    <row r="32" spans="1:14" s="60" customFormat="1">
      <c r="A32" s="132" t="s">
        <v>208</v>
      </c>
      <c r="B32" s="132"/>
      <c r="C32" s="66">
        <v>10</v>
      </c>
      <c r="D32" s="66">
        <v>1382</v>
      </c>
      <c r="E32" s="66">
        <v>2637</v>
      </c>
      <c r="F32" s="67">
        <f t="shared" si="3"/>
        <v>1.4842707823238379E-2</v>
      </c>
      <c r="G32" s="68"/>
      <c r="H32" s="132" t="s">
        <v>38</v>
      </c>
      <c r="I32" s="132"/>
      <c r="J32" s="66">
        <v>43</v>
      </c>
      <c r="K32" s="66">
        <v>887</v>
      </c>
      <c r="L32" s="66">
        <v>1684</v>
      </c>
      <c r="M32" s="67">
        <f>L32/L$35</f>
        <v>0.69615543613063247</v>
      </c>
    </row>
    <row r="33" spans="1:13" s="60" customFormat="1">
      <c r="A33" s="132" t="s">
        <v>168</v>
      </c>
      <c r="B33" s="132"/>
      <c r="C33" s="66">
        <v>334</v>
      </c>
      <c r="D33" s="66">
        <v>52744</v>
      </c>
      <c r="E33" s="66">
        <v>102367</v>
      </c>
      <c r="F33" s="67">
        <f t="shared" si="3"/>
        <v>0.57618637532857153</v>
      </c>
      <c r="G33" s="68"/>
      <c r="H33" s="132" t="s">
        <v>39</v>
      </c>
      <c r="I33" s="132"/>
      <c r="J33" s="66">
        <v>17</v>
      </c>
      <c r="K33" s="66">
        <v>346</v>
      </c>
      <c r="L33" s="66">
        <v>649</v>
      </c>
      <c r="M33" s="67">
        <f>L33/L$35</f>
        <v>0.26829268292682928</v>
      </c>
    </row>
    <row r="34" spans="1:13" s="60" customFormat="1">
      <c r="A34" s="132" t="s">
        <v>200</v>
      </c>
      <c r="B34" s="132"/>
      <c r="C34" s="66">
        <v>47</v>
      </c>
      <c r="D34" s="66">
        <v>5789</v>
      </c>
      <c r="E34" s="66">
        <v>11391</v>
      </c>
      <c r="F34" s="67">
        <f t="shared" si="3"/>
        <v>6.4115769743840867E-2</v>
      </c>
      <c r="G34" s="68"/>
      <c r="H34" s="132" t="s">
        <v>40</v>
      </c>
      <c r="I34" s="132"/>
      <c r="J34" s="66">
        <v>2</v>
      </c>
      <c r="K34" s="66">
        <v>46</v>
      </c>
      <c r="L34" s="66">
        <v>86</v>
      </c>
      <c r="M34" s="67">
        <f>L34/L$35</f>
        <v>3.5551880942538236E-2</v>
      </c>
    </row>
    <row r="35" spans="1:13" s="60" customFormat="1">
      <c r="A35" s="132" t="s">
        <v>19</v>
      </c>
      <c r="B35" s="132"/>
      <c r="C35" s="66">
        <v>62</v>
      </c>
      <c r="D35" s="66">
        <v>6207</v>
      </c>
      <c r="E35" s="66">
        <v>12554</v>
      </c>
      <c r="F35" s="67">
        <f t="shared" si="3"/>
        <v>7.0661871070509905E-2</v>
      </c>
      <c r="G35" s="68"/>
      <c r="H35" s="133" t="s">
        <v>130</v>
      </c>
      <c r="I35" s="133"/>
      <c r="J35" s="69">
        <f>SUM(J32:J34)</f>
        <v>62</v>
      </c>
      <c r="K35" s="69">
        <f t="shared" ref="K35" si="5">SUM(K32:K34)</f>
        <v>1279</v>
      </c>
      <c r="L35" s="69">
        <f t="shared" ref="L35" si="6">SUM(L32:L34)</f>
        <v>2419</v>
      </c>
      <c r="M35" s="70">
        <f>SUM(M32:M34)</f>
        <v>1</v>
      </c>
    </row>
    <row r="36" spans="1:13" s="60" customFormat="1">
      <c r="A36" s="132" t="s">
        <v>169</v>
      </c>
      <c r="B36" s="135"/>
      <c r="C36" s="66">
        <v>9</v>
      </c>
      <c r="D36" s="66">
        <v>932</v>
      </c>
      <c r="E36" s="66">
        <v>1987</v>
      </c>
      <c r="F36" s="67">
        <f t="shared" si="3"/>
        <v>1.1184095731806848E-2</v>
      </c>
      <c r="G36" s="68"/>
      <c r="H36" s="136"/>
      <c r="I36" s="136"/>
      <c r="J36" s="73"/>
      <c r="K36" s="73"/>
      <c r="L36" s="73"/>
      <c r="M36" s="74"/>
    </row>
    <row r="37" spans="1:13" s="60" customFormat="1">
      <c r="A37" s="133" t="s">
        <v>131</v>
      </c>
      <c r="B37" s="133"/>
      <c r="C37" s="69">
        <f>SUM(C29:C36)</f>
        <v>690</v>
      </c>
      <c r="D37" s="69">
        <f t="shared" ref="D37:E37" si="7">SUM(D29:D36)</f>
        <v>91781</v>
      </c>
      <c r="E37" s="69">
        <f t="shared" si="7"/>
        <v>177663</v>
      </c>
      <c r="F37" s="70">
        <f>SUM(F29:F36)</f>
        <v>1</v>
      </c>
      <c r="G37" s="68"/>
      <c r="H37" s="133" t="s">
        <v>42</v>
      </c>
      <c r="I37" s="133"/>
      <c r="J37" s="69">
        <v>14</v>
      </c>
      <c r="K37" s="69">
        <v>250</v>
      </c>
      <c r="L37" s="69">
        <v>459</v>
      </c>
      <c r="M37" s="70">
        <v>1</v>
      </c>
    </row>
    <row r="38" spans="1:13" s="60" customFormat="1">
      <c r="A38" s="134"/>
      <c r="B38" s="134"/>
      <c r="C38" s="71"/>
      <c r="D38" s="71"/>
      <c r="E38" s="71"/>
      <c r="F38" s="72"/>
      <c r="G38" s="68"/>
      <c r="H38" s="133" t="s">
        <v>43</v>
      </c>
      <c r="I38" s="133"/>
      <c r="J38" s="69">
        <v>8</v>
      </c>
      <c r="K38" s="69">
        <v>136</v>
      </c>
      <c r="L38" s="69">
        <v>236</v>
      </c>
      <c r="M38" s="70">
        <v>1</v>
      </c>
    </row>
    <row r="39" spans="1:13" s="60" customFormat="1">
      <c r="A39" s="132" t="s">
        <v>20</v>
      </c>
      <c r="B39" s="132"/>
      <c r="C39" s="66"/>
      <c r="D39" s="66"/>
      <c r="E39" s="66"/>
      <c r="F39" s="67"/>
      <c r="G39" s="68"/>
      <c r="H39" s="133" t="s">
        <v>44</v>
      </c>
      <c r="I39" s="133"/>
      <c r="J39" s="69">
        <v>1</v>
      </c>
      <c r="K39" s="69">
        <v>12</v>
      </c>
      <c r="L39" s="69">
        <v>23</v>
      </c>
      <c r="M39" s="70">
        <v>1</v>
      </c>
    </row>
    <row r="40" spans="1:13" s="60" customFormat="1">
      <c r="A40" s="132" t="s">
        <v>21</v>
      </c>
      <c r="B40" s="132"/>
      <c r="C40" s="66"/>
      <c r="D40" s="66"/>
      <c r="E40" s="66"/>
      <c r="F40" s="67"/>
      <c r="G40" s="68"/>
      <c r="H40" s="133" t="s">
        <v>273</v>
      </c>
      <c r="I40" s="133"/>
      <c r="J40" s="69">
        <v>3</v>
      </c>
      <c r="K40" s="69">
        <v>68</v>
      </c>
      <c r="L40" s="69">
        <v>134</v>
      </c>
      <c r="M40" s="70">
        <v>1</v>
      </c>
    </row>
    <row r="41" spans="1:13" s="60" customFormat="1">
      <c r="A41" s="132" t="s">
        <v>22</v>
      </c>
      <c r="B41" s="132"/>
      <c r="C41" s="66"/>
      <c r="D41" s="66"/>
      <c r="E41" s="66"/>
      <c r="F41" s="67"/>
      <c r="G41" s="68"/>
      <c r="H41" s="66"/>
      <c r="I41" s="66"/>
      <c r="J41" s="65"/>
      <c r="K41" s="65"/>
      <c r="L41" s="65"/>
      <c r="M41" s="65"/>
    </row>
    <row r="42" spans="1:13" s="60" customFormat="1">
      <c r="A42" s="132" t="s">
        <v>172</v>
      </c>
      <c r="B42" s="132"/>
      <c r="C42" s="66"/>
      <c r="D42" s="66"/>
      <c r="E42" s="66"/>
      <c r="F42" s="67"/>
      <c r="G42" s="68"/>
      <c r="H42" s="133" t="s">
        <v>45</v>
      </c>
      <c r="I42" s="133"/>
      <c r="J42" s="69">
        <f>C17+C19+C20+C21+C22+C27+C37+C44+J25+J30+J35+J19+J37+J38+J39+J40</f>
        <v>1834</v>
      </c>
      <c r="K42" s="69">
        <f>D17+D19+D20+D21+D22+D27+D37+D44+K25+K30+K35+K19+K37+K38+K39+K40</f>
        <v>147934</v>
      </c>
      <c r="L42" s="69">
        <f>E17+E19+E20+E21+E22+E27+E37+E44+L25+L30+L35+L19+L37+L38+L39+L40</f>
        <v>307911</v>
      </c>
      <c r="M42" s="65"/>
    </row>
    <row r="43" spans="1:13" s="60" customFormat="1">
      <c r="A43" s="132" t="s">
        <v>24</v>
      </c>
      <c r="B43" s="132"/>
      <c r="C43" s="66">
        <v>1</v>
      </c>
      <c r="D43" s="66">
        <v>67</v>
      </c>
      <c r="E43" s="66">
        <v>132</v>
      </c>
      <c r="F43" s="78">
        <f>E43/E$44</f>
        <v>1</v>
      </c>
      <c r="G43" s="68"/>
    </row>
    <row r="44" spans="1:13" s="60" customFormat="1">
      <c r="A44" s="133" t="s">
        <v>132</v>
      </c>
      <c r="B44" s="133"/>
      <c r="C44" s="69">
        <f>SUM(C39:C43)</f>
        <v>1</v>
      </c>
      <c r="D44" s="69">
        <f t="shared" ref="D44:E44" si="8">SUM(D39:D43)</f>
        <v>67</v>
      </c>
      <c r="E44" s="69">
        <f t="shared" si="8"/>
        <v>132</v>
      </c>
      <c r="F44" s="70">
        <f>SUM(F39:F43)</f>
        <v>1</v>
      </c>
      <c r="G44" s="68"/>
    </row>
    <row r="45" spans="1:13" s="60" customFormat="1" ht="12.75"/>
    <row r="46" spans="1:13" s="60" customFormat="1" ht="12.75"/>
    <row r="47" spans="1:13" s="60" customFormat="1" ht="12.75">
      <c r="C47" s="85"/>
      <c r="D47" s="85"/>
    </row>
    <row r="48" spans="1:13" s="60" customFormat="1" ht="12.75"/>
    <row r="49" spans="1:13" s="60" customFormat="1" ht="12.75"/>
    <row r="50" spans="1:13" s="60" customFormat="1" ht="12.75"/>
    <row r="51" spans="1:13" s="60" customFormat="1">
      <c r="H51"/>
      <c r="I51"/>
      <c r="J51"/>
      <c r="K51"/>
      <c r="L51"/>
      <c r="M51"/>
    </row>
    <row r="52" spans="1:13" s="60" customFormat="1">
      <c r="H52"/>
      <c r="I52"/>
      <c r="J52"/>
      <c r="K52"/>
      <c r="L52"/>
      <c r="M52"/>
    </row>
    <row r="53" spans="1:13">
      <c r="A53" s="60"/>
      <c r="B53" s="60"/>
      <c r="C53" s="60"/>
      <c r="D53" s="60"/>
      <c r="E53" s="60"/>
      <c r="F53" s="60"/>
    </row>
  </sheetData>
  <sheetProtection algorithmName="SHA-512" hashValue="idOkvsuDfvBTMglTFwqxoqqBZhs/2NcF322kQ7YoU/QBvrL/caVeZO/qbQLBU7t7J+Ti+Zxj7A+KZjQtbf5Fag==" saltValue="4q+iTGbXlsFEdXovg/D8tA==" spinCount="100000" sheet="1" objects="1" scenarios="1"/>
  <mergeCells count="70">
    <mergeCell ref="A43:B43"/>
    <mergeCell ref="A44:B44"/>
    <mergeCell ref="A39:B39"/>
    <mergeCell ref="H39:I39"/>
    <mergeCell ref="A40:B40"/>
    <mergeCell ref="H40:I40"/>
    <mergeCell ref="A41:B41"/>
    <mergeCell ref="A42:B42"/>
    <mergeCell ref="H42:I42"/>
    <mergeCell ref="A36:B36"/>
    <mergeCell ref="H36:I36"/>
    <mergeCell ref="A37:B37"/>
    <mergeCell ref="H37:I37"/>
    <mergeCell ref="A38:B38"/>
    <mergeCell ref="H38:I38"/>
    <mergeCell ref="A33:B33"/>
    <mergeCell ref="H33:I33"/>
    <mergeCell ref="A34:B34"/>
    <mergeCell ref="H34:I34"/>
    <mergeCell ref="A35:B35"/>
    <mergeCell ref="H35:I35"/>
    <mergeCell ref="A30:B30"/>
    <mergeCell ref="H30:I30"/>
    <mergeCell ref="A31:B31"/>
    <mergeCell ref="H31:I31"/>
    <mergeCell ref="A32:B32"/>
    <mergeCell ref="H32:I32"/>
    <mergeCell ref="A27:B27"/>
    <mergeCell ref="H27:I27"/>
    <mergeCell ref="A28:B28"/>
    <mergeCell ref="H28:I28"/>
    <mergeCell ref="A29:B29"/>
    <mergeCell ref="H29:I29"/>
    <mergeCell ref="A24:B24"/>
    <mergeCell ref="H24:I24"/>
    <mergeCell ref="A25:B25"/>
    <mergeCell ref="H25:I25"/>
    <mergeCell ref="A26:B26"/>
    <mergeCell ref="H26:I26"/>
    <mergeCell ref="A23:B23"/>
    <mergeCell ref="H23:I23"/>
    <mergeCell ref="A17:B17"/>
    <mergeCell ref="H17:I17"/>
    <mergeCell ref="A18:B18"/>
    <mergeCell ref="H18:I18"/>
    <mergeCell ref="A19:B19"/>
    <mergeCell ref="H19:I19"/>
    <mergeCell ref="A20:B20"/>
    <mergeCell ref="A21:B21"/>
    <mergeCell ref="H21:I21"/>
    <mergeCell ref="A22:B22"/>
    <mergeCell ref="H22:I22"/>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 right="0.7" top="0.75" bottom="0.75" header="0.3" footer="0.3"/>
  <pageSetup paperSize="9" scale="6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CB5B2-C66D-45DE-8030-645F5E2D1C31}">
  <dimension ref="A2:EM65"/>
  <sheetViews>
    <sheetView showGridLines="0" zoomScaleNormal="100" workbookViewId="0"/>
  </sheetViews>
  <sheetFormatPr baseColWidth="10" defaultRowHeight="15"/>
  <cols>
    <col min="1" max="1" width="79.7109375" customWidth="1"/>
    <col min="2" max="71" width="11.42578125" customWidth="1"/>
  </cols>
  <sheetData>
    <row r="2" spans="1:104" s="27" customFormat="1" ht="16.5">
      <c r="A2" s="1" t="s">
        <v>381</v>
      </c>
      <c r="BV2" s="51"/>
      <c r="BW2" s="51"/>
    </row>
    <row r="3" spans="1:104" s="27" customFormat="1" ht="16.5">
      <c r="A3" s="3" t="s">
        <v>382</v>
      </c>
      <c r="BV3" s="51"/>
      <c r="BW3" s="51"/>
    </row>
    <row r="4" spans="1:104" s="27" customFormat="1" ht="16.5">
      <c r="A4" s="3" t="s">
        <v>383</v>
      </c>
      <c r="BV4" s="51"/>
      <c r="BW4" s="51"/>
    </row>
    <row r="5" spans="1:104" s="27" customFormat="1" ht="12.75">
      <c r="BV5" s="51"/>
      <c r="BW5" s="51"/>
    </row>
    <row r="6" spans="1:104" s="51" customFormat="1">
      <c r="A6" s="138" t="s">
        <v>187</v>
      </c>
      <c r="B6" s="137" t="s">
        <v>119</v>
      </c>
      <c r="C6" s="137"/>
      <c r="D6" s="137" t="s">
        <v>120</v>
      </c>
      <c r="E6" s="137"/>
      <c r="F6" s="137" t="s">
        <v>121</v>
      </c>
      <c r="G6" s="137"/>
      <c r="H6" s="137" t="s">
        <v>251</v>
      </c>
      <c r="I6" s="137"/>
      <c r="J6" s="137" t="s">
        <v>122</v>
      </c>
      <c r="K6" s="137"/>
      <c r="L6" s="137" t="s">
        <v>268</v>
      </c>
      <c r="M6" s="137"/>
      <c r="N6" s="137" t="s">
        <v>167</v>
      </c>
      <c r="O6" s="137"/>
      <c r="P6" s="137" t="s">
        <v>42</v>
      </c>
      <c r="Q6" s="137"/>
      <c r="R6" s="137" t="s">
        <v>198</v>
      </c>
      <c r="S6" s="137"/>
      <c r="T6" s="137" t="s">
        <v>43</v>
      </c>
      <c r="U6" s="137"/>
      <c r="V6" s="137" t="s">
        <v>15</v>
      </c>
      <c r="W6" s="137"/>
      <c r="X6" s="137" t="s">
        <v>16</v>
      </c>
      <c r="Y6" s="137"/>
      <c r="Z6" s="137" t="s">
        <v>17</v>
      </c>
      <c r="AA6" s="137"/>
      <c r="AB6" s="137" t="s">
        <v>199</v>
      </c>
      <c r="AC6" s="137"/>
      <c r="AD6" s="137" t="s">
        <v>168</v>
      </c>
      <c r="AE6" s="137"/>
      <c r="AF6" s="137" t="s">
        <v>200</v>
      </c>
      <c r="AG6" s="137"/>
      <c r="AH6" s="137" t="s">
        <v>19</v>
      </c>
      <c r="AI6" s="137"/>
      <c r="AJ6" s="137" t="s">
        <v>169</v>
      </c>
      <c r="AK6" s="137"/>
      <c r="AL6" s="137" t="s">
        <v>25</v>
      </c>
      <c r="AM6" s="137"/>
      <c r="AN6" s="137" t="s">
        <v>26</v>
      </c>
      <c r="AO6" s="137"/>
      <c r="AP6" s="137" t="s">
        <v>27</v>
      </c>
      <c r="AQ6" s="137"/>
      <c r="AR6" s="137" t="s">
        <v>209</v>
      </c>
      <c r="AS6" s="137"/>
      <c r="AT6" s="137" t="s">
        <v>28</v>
      </c>
      <c r="AU6" s="137"/>
      <c r="AV6" s="137" t="s">
        <v>210</v>
      </c>
      <c r="AW6" s="137"/>
      <c r="AX6" s="137" t="s">
        <v>29</v>
      </c>
      <c r="AY6" s="137"/>
      <c r="AZ6" s="137" t="s">
        <v>273</v>
      </c>
      <c r="BA6" s="137"/>
      <c r="BB6" s="137" t="s">
        <v>24</v>
      </c>
      <c r="BC6" s="137"/>
      <c r="BD6" s="137" t="s">
        <v>7</v>
      </c>
      <c r="BE6" s="137"/>
      <c r="BF6" s="137" t="s">
        <v>35</v>
      </c>
      <c r="BG6" s="137"/>
      <c r="BH6" s="137" t="s">
        <v>36</v>
      </c>
      <c r="BI6" s="137"/>
      <c r="BJ6" s="137" t="s">
        <v>37</v>
      </c>
      <c r="BK6" s="137"/>
      <c r="BL6" s="137" t="s">
        <v>38</v>
      </c>
      <c r="BM6" s="137"/>
      <c r="BN6" s="137" t="s">
        <v>39</v>
      </c>
      <c r="BO6" s="137"/>
      <c r="BP6" s="137" t="s">
        <v>40</v>
      </c>
      <c r="BQ6" s="137"/>
      <c r="BR6" s="137" t="s">
        <v>44</v>
      </c>
      <c r="BS6" s="137"/>
      <c r="BT6" s="137" t="s">
        <v>8</v>
      </c>
      <c r="BU6" s="137"/>
      <c r="BV6" s="137" t="s">
        <v>45</v>
      </c>
      <c r="BW6" s="137"/>
    </row>
    <row r="7" spans="1:104" s="51" customFormat="1">
      <c r="A7" s="138"/>
      <c r="B7" s="4"/>
      <c r="C7" s="4" t="s">
        <v>176</v>
      </c>
      <c r="D7" s="4"/>
      <c r="E7" s="4"/>
      <c r="F7" s="4"/>
      <c r="G7" s="4"/>
      <c r="H7" s="4"/>
      <c r="I7" s="4"/>
      <c r="J7" s="4"/>
      <c r="K7" s="4" t="s">
        <v>176</v>
      </c>
      <c r="L7" s="4"/>
      <c r="M7" s="4" t="s">
        <v>176</v>
      </c>
      <c r="N7" s="4"/>
      <c r="O7" s="4" t="s">
        <v>176</v>
      </c>
      <c r="P7" s="4"/>
      <c r="Q7" s="4" t="s">
        <v>176</v>
      </c>
      <c r="R7" s="4"/>
      <c r="S7" s="4" t="s">
        <v>176</v>
      </c>
      <c r="T7" s="4"/>
      <c r="U7" s="4" t="s">
        <v>176</v>
      </c>
      <c r="V7" s="4"/>
      <c r="W7" s="4" t="s">
        <v>176</v>
      </c>
      <c r="X7" s="4"/>
      <c r="Y7" s="4" t="s">
        <v>176</v>
      </c>
      <c r="Z7" s="4"/>
      <c r="AA7" s="4" t="s">
        <v>176</v>
      </c>
      <c r="AB7" s="4"/>
      <c r="AC7" s="4" t="s">
        <v>176</v>
      </c>
      <c r="AD7" s="4"/>
      <c r="AE7" s="4" t="s">
        <v>176</v>
      </c>
      <c r="AF7" s="4"/>
      <c r="AG7" s="4" t="s">
        <v>176</v>
      </c>
      <c r="AH7" s="4"/>
      <c r="AI7" s="4" t="s">
        <v>176</v>
      </c>
      <c r="AJ7" s="4"/>
      <c r="AK7" s="4" t="s">
        <v>176</v>
      </c>
      <c r="AL7" s="4"/>
      <c r="AM7" s="4" t="s">
        <v>176</v>
      </c>
      <c r="AN7" s="4"/>
      <c r="AO7" s="4" t="s">
        <v>176</v>
      </c>
      <c r="AP7" s="4"/>
      <c r="AQ7" s="4" t="s">
        <v>176</v>
      </c>
      <c r="AR7" s="4"/>
      <c r="AS7" s="4" t="s">
        <v>176</v>
      </c>
      <c r="AT7" s="4"/>
      <c r="AU7" s="4" t="s">
        <v>176</v>
      </c>
      <c r="AV7" s="4"/>
      <c r="AW7" s="4" t="s">
        <v>176</v>
      </c>
      <c r="AX7" s="4"/>
      <c r="AY7" s="4" t="s">
        <v>176</v>
      </c>
      <c r="AZ7" s="4"/>
      <c r="BA7" s="4" t="s">
        <v>176</v>
      </c>
      <c r="BB7" s="4"/>
      <c r="BC7" s="4" t="s">
        <v>176</v>
      </c>
      <c r="BD7" s="4"/>
      <c r="BE7" s="4" t="s">
        <v>176</v>
      </c>
      <c r="BF7" s="4"/>
      <c r="BG7" s="4" t="s">
        <v>176</v>
      </c>
      <c r="BH7" s="4"/>
      <c r="BI7" s="4" t="s">
        <v>176</v>
      </c>
      <c r="BJ7" s="4"/>
      <c r="BK7" s="4" t="s">
        <v>176</v>
      </c>
      <c r="BL7" s="4"/>
      <c r="BM7" s="4" t="s">
        <v>176</v>
      </c>
      <c r="BN7" s="4"/>
      <c r="BO7" s="4" t="s">
        <v>176</v>
      </c>
      <c r="BP7" s="4"/>
      <c r="BQ7" s="4" t="s">
        <v>176</v>
      </c>
      <c r="BR7" s="4"/>
      <c r="BS7" s="4" t="s">
        <v>176</v>
      </c>
      <c r="BT7" s="4"/>
      <c r="BU7" s="4" t="s">
        <v>176</v>
      </c>
      <c r="BV7" s="4"/>
      <c r="BW7" s="4"/>
    </row>
    <row r="8" spans="1:104" s="51" customFormat="1">
      <c r="A8" s="138" t="s">
        <v>188</v>
      </c>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201</v>
      </c>
      <c r="BC8" s="4" t="s">
        <v>202</v>
      </c>
      <c r="BD8" s="4" t="s">
        <v>201</v>
      </c>
      <c r="BE8" s="4" t="s">
        <v>202</v>
      </c>
      <c r="BF8" s="4" t="s">
        <v>46</v>
      </c>
      <c r="BG8" s="4" t="s">
        <v>47</v>
      </c>
      <c r="BH8" s="4" t="s">
        <v>46</v>
      </c>
      <c r="BI8" s="4" t="s">
        <v>47</v>
      </c>
      <c r="BJ8" s="4" t="s">
        <v>46</v>
      </c>
      <c r="BK8" s="4" t="s">
        <v>47</v>
      </c>
      <c r="BL8" s="4" t="s">
        <v>46</v>
      </c>
      <c r="BM8" s="4" t="s">
        <v>47</v>
      </c>
      <c r="BN8" s="4" t="s">
        <v>46</v>
      </c>
      <c r="BO8" s="4" t="s">
        <v>47</v>
      </c>
      <c r="BP8" s="4" t="s">
        <v>46</v>
      </c>
      <c r="BQ8" s="4" t="s">
        <v>47</v>
      </c>
      <c r="BR8" s="4" t="s">
        <v>46</v>
      </c>
      <c r="BS8" s="4" t="s">
        <v>47</v>
      </c>
      <c r="BT8" s="4" t="s">
        <v>46</v>
      </c>
      <c r="BU8" s="4" t="s">
        <v>47</v>
      </c>
      <c r="BV8" s="4" t="s">
        <v>46</v>
      </c>
      <c r="BW8" s="4" t="s">
        <v>47</v>
      </c>
    </row>
    <row r="9" spans="1:104" s="27" customFormat="1">
      <c r="A9" s="5" t="s">
        <v>48</v>
      </c>
      <c r="B9" s="6"/>
      <c r="C9" s="6"/>
      <c r="D9" s="6"/>
      <c r="E9" s="6"/>
      <c r="F9" s="6"/>
      <c r="G9" s="6"/>
      <c r="H9" s="6"/>
      <c r="I9" s="6"/>
      <c r="J9" s="6"/>
      <c r="K9" s="6"/>
      <c r="L9" s="6"/>
      <c r="M9" s="6"/>
      <c r="N9" s="6">
        <v>3</v>
      </c>
      <c r="O9" s="6">
        <v>29</v>
      </c>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v>1</v>
      </c>
      <c r="BE9" s="6">
        <v>50</v>
      </c>
      <c r="BF9" s="6"/>
      <c r="BG9" s="6"/>
      <c r="BH9" s="6"/>
      <c r="BI9" s="6"/>
      <c r="BJ9" s="6"/>
      <c r="BK9" s="6"/>
      <c r="BL9" s="6"/>
      <c r="BM9" s="6"/>
      <c r="BN9" s="6">
        <v>1</v>
      </c>
      <c r="BO9" s="6">
        <v>21</v>
      </c>
      <c r="BP9" s="6"/>
      <c r="BQ9" s="6"/>
      <c r="BR9" s="6"/>
      <c r="BS9" s="6"/>
      <c r="BT9" s="6">
        <v>9</v>
      </c>
      <c r="BU9" s="6">
        <v>127</v>
      </c>
      <c r="BV9" s="8">
        <f>B9+D9+F9+H9+J9+L9+N9+P9+R9+T9+V9+X9+Z9+AB9+AD9+AF9+AH9+AJ9+AL9+AN9+AP9+AR9+AT9+AV9+AX9+AZ9+BB9+BD9+BF9+BH9+BJ9+BL9+BN9+BP9+BR9+BT9</f>
        <v>14</v>
      </c>
      <c r="BW9" s="8">
        <f>C9+E9+G9+I9+K9+M9+O9+Q9+S9+U9+W9+Y9+AA9+AC9+AE9+AG9+AI9+AK9+AM9+AO9+AQ9+AS9+AU9+AW9+AY9+BA9+BC9+BE9+BG9+BI9+BK9+BM9+BO9+BQ9+BS9+BU9</f>
        <v>227</v>
      </c>
      <c r="BX9" s="52"/>
      <c r="BY9" s="52"/>
      <c r="BZ9" s="52"/>
      <c r="CZ9" s="53"/>
    </row>
    <row r="10" spans="1:104" s="27" customFormat="1">
      <c r="A10" s="10" t="s">
        <v>49</v>
      </c>
      <c r="B10" s="6">
        <v>4</v>
      </c>
      <c r="C10" s="6">
        <v>201</v>
      </c>
      <c r="D10" s="6">
        <v>17</v>
      </c>
      <c r="E10" s="6">
        <v>2053</v>
      </c>
      <c r="F10" s="6">
        <v>5</v>
      </c>
      <c r="G10" s="6">
        <v>4681</v>
      </c>
      <c r="H10" s="6">
        <v>1</v>
      </c>
      <c r="I10" s="6">
        <v>364</v>
      </c>
      <c r="J10" s="6"/>
      <c r="K10" s="6"/>
      <c r="L10" s="6"/>
      <c r="M10" s="6"/>
      <c r="N10" s="6">
        <v>4</v>
      </c>
      <c r="O10" s="6">
        <v>71</v>
      </c>
      <c r="P10" s="6"/>
      <c r="Q10" s="6"/>
      <c r="R10" s="6"/>
      <c r="S10" s="6"/>
      <c r="T10" s="6">
        <v>1</v>
      </c>
      <c r="U10" s="6">
        <v>32</v>
      </c>
      <c r="V10" s="6"/>
      <c r="W10" s="6"/>
      <c r="X10" s="6"/>
      <c r="Y10" s="6"/>
      <c r="Z10" s="6">
        <v>9</v>
      </c>
      <c r="AA10" s="6">
        <v>4400</v>
      </c>
      <c r="AB10" s="6"/>
      <c r="AC10" s="6"/>
      <c r="AD10" s="6">
        <v>15</v>
      </c>
      <c r="AE10" s="6">
        <v>6597</v>
      </c>
      <c r="AF10" s="6">
        <v>1</v>
      </c>
      <c r="AG10" s="6">
        <v>348</v>
      </c>
      <c r="AH10" s="6">
        <v>1</v>
      </c>
      <c r="AI10" s="6">
        <v>126</v>
      </c>
      <c r="AJ10" s="6"/>
      <c r="AK10" s="6"/>
      <c r="AL10" s="6"/>
      <c r="AM10" s="6"/>
      <c r="AN10" s="6"/>
      <c r="AO10" s="6"/>
      <c r="AP10" s="6">
        <v>4</v>
      </c>
      <c r="AQ10" s="6">
        <v>1824</v>
      </c>
      <c r="AR10" s="6">
        <v>1</v>
      </c>
      <c r="AS10" s="6">
        <v>336</v>
      </c>
      <c r="AT10" s="6">
        <v>13</v>
      </c>
      <c r="AU10" s="6">
        <v>5486</v>
      </c>
      <c r="AV10" s="6">
        <v>2</v>
      </c>
      <c r="AW10" s="6">
        <v>443</v>
      </c>
      <c r="AX10" s="6">
        <v>1</v>
      </c>
      <c r="AY10" s="6">
        <v>706</v>
      </c>
      <c r="AZ10" s="6">
        <v>1</v>
      </c>
      <c r="BA10" s="6">
        <v>22</v>
      </c>
      <c r="BB10" s="6"/>
      <c r="BC10" s="6"/>
      <c r="BD10" s="6"/>
      <c r="BE10" s="6"/>
      <c r="BF10" s="6">
        <v>2</v>
      </c>
      <c r="BG10" s="6">
        <v>76</v>
      </c>
      <c r="BH10" s="6"/>
      <c r="BI10" s="6"/>
      <c r="BJ10" s="6"/>
      <c r="BK10" s="6"/>
      <c r="BL10" s="6">
        <v>1</v>
      </c>
      <c r="BM10" s="6">
        <v>55</v>
      </c>
      <c r="BN10" s="6">
        <v>1</v>
      </c>
      <c r="BO10" s="6">
        <v>39</v>
      </c>
      <c r="BP10" s="6"/>
      <c r="BQ10" s="6"/>
      <c r="BR10" s="6"/>
      <c r="BS10" s="6"/>
      <c r="BT10" s="6">
        <v>10</v>
      </c>
      <c r="BU10" s="6">
        <v>139</v>
      </c>
      <c r="BV10" s="8">
        <f t="shared" ref="BV10:BW61" si="0">B10+D10+F10+H10+J10+L10+N10+P10+R10+T10+V10+X10+Z10+AB10+AD10+AF10+AH10+AJ10+AL10+AN10+AP10+AR10+AT10+AV10+AX10+AZ10+BB10+BD10+BF10+BH10+BJ10+BL10+BN10+BP10+BR10+BT10</f>
        <v>94</v>
      </c>
      <c r="BW10" s="8">
        <f t="shared" si="0"/>
        <v>27999</v>
      </c>
      <c r="BX10" s="52"/>
      <c r="BY10" s="52"/>
      <c r="BZ10" s="52"/>
    </row>
    <row r="11" spans="1:104" s="27" customFormat="1">
      <c r="A11" s="5" t="s">
        <v>50</v>
      </c>
      <c r="B11" s="6"/>
      <c r="C11" s="6"/>
      <c r="D11" s="6"/>
      <c r="E11" s="6"/>
      <c r="F11" s="6"/>
      <c r="G11" s="6"/>
      <c r="H11" s="6"/>
      <c r="I11" s="6"/>
      <c r="J11" s="6"/>
      <c r="K11" s="6"/>
      <c r="L11" s="6"/>
      <c r="M11" s="6"/>
      <c r="N11" s="6">
        <v>3</v>
      </c>
      <c r="O11" s="6">
        <v>44</v>
      </c>
      <c r="P11" s="6"/>
      <c r="Q11" s="6"/>
      <c r="R11" s="6"/>
      <c r="S11" s="6"/>
      <c r="T11" s="6"/>
      <c r="U11" s="6"/>
      <c r="V11" s="6"/>
      <c r="W11" s="6"/>
      <c r="X11" s="6"/>
      <c r="Y11" s="6"/>
      <c r="Z11" s="6"/>
      <c r="AA11" s="6"/>
      <c r="AB11" s="6"/>
      <c r="AC11" s="6"/>
      <c r="AD11" s="6">
        <v>1</v>
      </c>
      <c r="AE11" s="6">
        <v>50</v>
      </c>
      <c r="AF11" s="6"/>
      <c r="AG11" s="6"/>
      <c r="AH11" s="6"/>
      <c r="AI11" s="6"/>
      <c r="AJ11" s="6"/>
      <c r="AK11" s="6"/>
      <c r="AL11" s="6"/>
      <c r="AM11" s="6"/>
      <c r="AN11" s="6"/>
      <c r="AO11" s="6"/>
      <c r="AP11" s="6"/>
      <c r="AQ11" s="6"/>
      <c r="AR11" s="6"/>
      <c r="AS11" s="6"/>
      <c r="AT11" s="6"/>
      <c r="AU11" s="6"/>
      <c r="AV11" s="6"/>
      <c r="AW11" s="6"/>
      <c r="AX11" s="6"/>
      <c r="AY11" s="6"/>
      <c r="AZ11" s="6">
        <v>1</v>
      </c>
      <c r="BA11" s="6">
        <v>64</v>
      </c>
      <c r="BB11" s="6"/>
      <c r="BC11" s="6"/>
      <c r="BD11" s="6">
        <v>1</v>
      </c>
      <c r="BE11" s="6">
        <v>31</v>
      </c>
      <c r="BF11" s="6"/>
      <c r="BG11" s="6"/>
      <c r="BH11" s="6"/>
      <c r="BI11" s="6"/>
      <c r="BJ11" s="6"/>
      <c r="BK11" s="6"/>
      <c r="BL11" s="6"/>
      <c r="BM11" s="6"/>
      <c r="BN11" s="6"/>
      <c r="BO11" s="6"/>
      <c r="BP11" s="6"/>
      <c r="BQ11" s="6"/>
      <c r="BR11" s="6"/>
      <c r="BS11" s="6"/>
      <c r="BT11" s="6">
        <v>2</v>
      </c>
      <c r="BU11" s="6">
        <v>26</v>
      </c>
      <c r="BV11" s="8">
        <f t="shared" si="0"/>
        <v>8</v>
      </c>
      <c r="BW11" s="8">
        <f t="shared" si="0"/>
        <v>215</v>
      </c>
      <c r="BX11" s="52"/>
      <c r="BY11" s="52"/>
      <c r="BZ11" s="52"/>
    </row>
    <row r="12" spans="1:104" s="27" customFormat="1">
      <c r="A12" s="5" t="s">
        <v>51</v>
      </c>
      <c r="B12" s="6">
        <v>1</v>
      </c>
      <c r="C12" s="6">
        <v>54</v>
      </c>
      <c r="D12" s="6">
        <v>1</v>
      </c>
      <c r="E12" s="6">
        <v>98</v>
      </c>
      <c r="F12" s="6">
        <v>1</v>
      </c>
      <c r="G12" s="6">
        <v>414</v>
      </c>
      <c r="H12" s="6"/>
      <c r="I12" s="6"/>
      <c r="J12" s="6"/>
      <c r="K12" s="6"/>
      <c r="L12" s="6"/>
      <c r="M12" s="6"/>
      <c r="N12" s="6">
        <v>1</v>
      </c>
      <c r="O12" s="6">
        <v>14</v>
      </c>
      <c r="P12" s="6"/>
      <c r="Q12" s="6"/>
      <c r="R12" s="6"/>
      <c r="S12" s="6"/>
      <c r="T12" s="6"/>
      <c r="U12" s="6"/>
      <c r="V12" s="6"/>
      <c r="W12" s="6"/>
      <c r="X12" s="6"/>
      <c r="Y12" s="6"/>
      <c r="Z12" s="6">
        <v>1</v>
      </c>
      <c r="AA12" s="6">
        <v>109</v>
      </c>
      <c r="AB12" s="6"/>
      <c r="AC12" s="6"/>
      <c r="AD12" s="6">
        <v>4</v>
      </c>
      <c r="AE12" s="6">
        <v>1658</v>
      </c>
      <c r="AF12" s="6">
        <v>2</v>
      </c>
      <c r="AG12" s="6">
        <v>287</v>
      </c>
      <c r="AH12" s="6">
        <v>2</v>
      </c>
      <c r="AI12" s="6">
        <v>946</v>
      </c>
      <c r="AJ12" s="6"/>
      <c r="AK12" s="6"/>
      <c r="AL12" s="6"/>
      <c r="AM12" s="6"/>
      <c r="AN12" s="6"/>
      <c r="AO12" s="6"/>
      <c r="AP12" s="6"/>
      <c r="AQ12" s="6"/>
      <c r="AR12" s="6"/>
      <c r="AS12" s="6"/>
      <c r="AT12" s="6">
        <v>3</v>
      </c>
      <c r="AU12" s="6">
        <v>616</v>
      </c>
      <c r="AV12" s="6"/>
      <c r="AW12" s="6"/>
      <c r="AX12" s="6"/>
      <c r="AY12" s="6"/>
      <c r="AZ12" s="6"/>
      <c r="BA12" s="6"/>
      <c r="BB12" s="6"/>
      <c r="BC12" s="6"/>
      <c r="BD12" s="6"/>
      <c r="BE12" s="6"/>
      <c r="BF12" s="6">
        <v>1</v>
      </c>
      <c r="BG12" s="6">
        <v>40</v>
      </c>
      <c r="BH12" s="6"/>
      <c r="BI12" s="6"/>
      <c r="BJ12" s="6"/>
      <c r="BK12" s="6"/>
      <c r="BL12" s="6"/>
      <c r="BM12" s="6"/>
      <c r="BN12" s="6">
        <v>1</v>
      </c>
      <c r="BO12" s="6">
        <v>28</v>
      </c>
      <c r="BP12" s="6"/>
      <c r="BQ12" s="6"/>
      <c r="BR12" s="6"/>
      <c r="BS12" s="6"/>
      <c r="BT12" s="6">
        <v>2</v>
      </c>
      <c r="BU12" s="6">
        <v>22</v>
      </c>
      <c r="BV12" s="8">
        <f t="shared" si="0"/>
        <v>20</v>
      </c>
      <c r="BW12" s="8">
        <f t="shared" si="0"/>
        <v>4286</v>
      </c>
      <c r="BX12" s="52"/>
      <c r="BY12" s="52"/>
      <c r="BZ12" s="52"/>
    </row>
    <row r="13" spans="1:104" s="27" customFormat="1">
      <c r="A13" s="5" t="s">
        <v>203</v>
      </c>
      <c r="B13" s="6"/>
      <c r="C13" s="6"/>
      <c r="D13" s="6"/>
      <c r="E13" s="6"/>
      <c r="F13" s="6"/>
      <c r="G13" s="6"/>
      <c r="H13" s="6"/>
      <c r="I13" s="6"/>
      <c r="J13" s="6"/>
      <c r="K13" s="6"/>
      <c r="L13" s="6"/>
      <c r="M13" s="6"/>
      <c r="N13" s="6">
        <v>1</v>
      </c>
      <c r="O13" s="6">
        <v>22</v>
      </c>
      <c r="P13" s="6"/>
      <c r="Q13" s="6"/>
      <c r="R13" s="6"/>
      <c r="S13" s="6"/>
      <c r="T13" s="6"/>
      <c r="U13" s="6"/>
      <c r="V13" s="6"/>
      <c r="W13" s="6"/>
      <c r="X13" s="6"/>
      <c r="Y13" s="6"/>
      <c r="Z13" s="6"/>
      <c r="AA13" s="6"/>
      <c r="AB13" s="6"/>
      <c r="AC13" s="6"/>
      <c r="AD13" s="6"/>
      <c r="AE13" s="6"/>
      <c r="AF13" s="6">
        <v>1</v>
      </c>
      <c r="AG13" s="6">
        <v>50</v>
      </c>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v>1</v>
      </c>
      <c r="BU13" s="6">
        <v>32</v>
      </c>
      <c r="BV13" s="8">
        <f t="shared" si="0"/>
        <v>3</v>
      </c>
      <c r="BW13" s="8">
        <f t="shared" si="0"/>
        <v>104</v>
      </c>
      <c r="BX13" s="52"/>
      <c r="BY13" s="52"/>
      <c r="BZ13" s="52"/>
    </row>
    <row r="14" spans="1:104" s="27" customFormat="1">
      <c r="A14" s="5" t="s">
        <v>52</v>
      </c>
      <c r="B14" s="6">
        <v>1</v>
      </c>
      <c r="C14" s="6">
        <v>38</v>
      </c>
      <c r="D14" s="6"/>
      <c r="E14" s="6"/>
      <c r="F14" s="6"/>
      <c r="G14" s="6"/>
      <c r="H14" s="6"/>
      <c r="I14" s="6"/>
      <c r="J14" s="6"/>
      <c r="K14" s="6"/>
      <c r="L14" s="6"/>
      <c r="M14" s="6"/>
      <c r="N14" s="6">
        <v>9</v>
      </c>
      <c r="O14" s="6">
        <v>205</v>
      </c>
      <c r="P14" s="6"/>
      <c r="Q14" s="6"/>
      <c r="R14" s="6"/>
      <c r="S14" s="6"/>
      <c r="T14" s="6"/>
      <c r="U14" s="6"/>
      <c r="V14" s="6"/>
      <c r="W14" s="6"/>
      <c r="X14" s="6"/>
      <c r="Y14" s="6"/>
      <c r="Z14" s="6"/>
      <c r="AA14" s="6"/>
      <c r="AB14" s="6"/>
      <c r="AC14" s="6"/>
      <c r="AD14" s="6">
        <v>7</v>
      </c>
      <c r="AE14" s="6">
        <v>253</v>
      </c>
      <c r="AF14" s="6"/>
      <c r="AG14" s="6"/>
      <c r="AH14" s="6"/>
      <c r="AI14" s="6"/>
      <c r="AJ14" s="6"/>
      <c r="AK14" s="6"/>
      <c r="AL14" s="6"/>
      <c r="AM14" s="6"/>
      <c r="AN14" s="6"/>
      <c r="AO14" s="6"/>
      <c r="AP14" s="6"/>
      <c r="AQ14" s="6"/>
      <c r="AR14" s="6"/>
      <c r="AS14" s="6"/>
      <c r="AT14" s="6"/>
      <c r="AU14" s="6"/>
      <c r="AV14" s="6"/>
      <c r="AW14" s="6"/>
      <c r="AX14" s="6"/>
      <c r="AY14" s="6"/>
      <c r="AZ14" s="6"/>
      <c r="BA14" s="6"/>
      <c r="BB14" s="6"/>
      <c r="BC14" s="6"/>
      <c r="BD14" s="6">
        <v>1</v>
      </c>
      <c r="BE14" s="6">
        <v>154</v>
      </c>
      <c r="BF14" s="6">
        <v>1</v>
      </c>
      <c r="BG14" s="6">
        <v>15</v>
      </c>
      <c r="BH14" s="6"/>
      <c r="BI14" s="6"/>
      <c r="BJ14" s="6"/>
      <c r="BK14" s="6"/>
      <c r="BL14" s="6"/>
      <c r="BM14" s="6"/>
      <c r="BN14" s="6"/>
      <c r="BO14" s="6"/>
      <c r="BP14" s="6"/>
      <c r="BQ14" s="6"/>
      <c r="BR14" s="6"/>
      <c r="BS14" s="6"/>
      <c r="BT14" s="6">
        <v>6</v>
      </c>
      <c r="BU14" s="6">
        <v>65</v>
      </c>
      <c r="BV14" s="8">
        <f t="shared" si="0"/>
        <v>25</v>
      </c>
      <c r="BW14" s="8">
        <f t="shared" si="0"/>
        <v>730</v>
      </c>
      <c r="BX14" s="52"/>
      <c r="BY14" s="52"/>
      <c r="BZ14" s="52"/>
    </row>
    <row r="15" spans="1:104" s="27" customFormat="1">
      <c r="A15" s="5" t="s">
        <v>53</v>
      </c>
      <c r="B15" s="6"/>
      <c r="C15" s="6"/>
      <c r="D15" s="6"/>
      <c r="E15" s="6"/>
      <c r="F15" s="6"/>
      <c r="G15" s="6"/>
      <c r="H15" s="6"/>
      <c r="I15" s="6"/>
      <c r="J15" s="6"/>
      <c r="K15" s="6"/>
      <c r="L15" s="6"/>
      <c r="M15" s="6"/>
      <c r="N15" s="6"/>
      <c r="O15" s="6"/>
      <c r="P15" s="6"/>
      <c r="Q15" s="6"/>
      <c r="R15" s="6"/>
      <c r="S15" s="6"/>
      <c r="T15" s="6"/>
      <c r="U15" s="6"/>
      <c r="V15" s="6"/>
      <c r="W15" s="6"/>
      <c r="X15" s="6"/>
      <c r="Y15" s="6"/>
      <c r="Z15" s="6">
        <v>2</v>
      </c>
      <c r="AA15" s="6">
        <v>121</v>
      </c>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v>1</v>
      </c>
      <c r="BE15" s="6">
        <v>58</v>
      </c>
      <c r="BF15" s="6"/>
      <c r="BG15" s="6"/>
      <c r="BH15" s="6">
        <v>1</v>
      </c>
      <c r="BI15" s="6">
        <v>72</v>
      </c>
      <c r="BJ15" s="6"/>
      <c r="BK15" s="6"/>
      <c r="BL15" s="6"/>
      <c r="BM15" s="6"/>
      <c r="BN15" s="6"/>
      <c r="BO15" s="6"/>
      <c r="BP15" s="6"/>
      <c r="BQ15" s="6"/>
      <c r="BR15" s="6"/>
      <c r="BS15" s="6"/>
      <c r="BT15" s="6">
        <v>3</v>
      </c>
      <c r="BU15" s="6">
        <v>35</v>
      </c>
      <c r="BV15" s="8">
        <f t="shared" si="0"/>
        <v>7</v>
      </c>
      <c r="BW15" s="8">
        <f t="shared" si="0"/>
        <v>286</v>
      </c>
      <c r="BX15" s="52"/>
      <c r="BY15" s="52"/>
      <c r="BZ15" s="52"/>
    </row>
    <row r="16" spans="1:104" s="27" customFormat="1">
      <c r="A16" s="5" t="s">
        <v>54</v>
      </c>
      <c r="B16" s="6"/>
      <c r="C16" s="6"/>
      <c r="D16" s="6"/>
      <c r="E16" s="6"/>
      <c r="F16" s="6"/>
      <c r="G16" s="6"/>
      <c r="H16" s="6"/>
      <c r="I16" s="6"/>
      <c r="J16" s="6"/>
      <c r="K16" s="6"/>
      <c r="L16" s="6"/>
      <c r="M16" s="6"/>
      <c r="N16" s="6">
        <v>2</v>
      </c>
      <c r="O16" s="6">
        <v>78</v>
      </c>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v>1</v>
      </c>
      <c r="BE16" s="6">
        <v>6</v>
      </c>
      <c r="BF16" s="6"/>
      <c r="BG16" s="6"/>
      <c r="BH16" s="6"/>
      <c r="BI16" s="6"/>
      <c r="BJ16" s="6"/>
      <c r="BK16" s="6"/>
      <c r="BL16" s="6"/>
      <c r="BM16" s="6"/>
      <c r="BN16" s="6"/>
      <c r="BO16" s="6"/>
      <c r="BP16" s="6"/>
      <c r="BQ16" s="6"/>
      <c r="BR16" s="6"/>
      <c r="BS16" s="6"/>
      <c r="BT16" s="6"/>
      <c r="BU16" s="6"/>
      <c r="BV16" s="8">
        <f t="shared" si="0"/>
        <v>3</v>
      </c>
      <c r="BW16" s="8">
        <f t="shared" si="0"/>
        <v>84</v>
      </c>
      <c r="BX16" s="52"/>
      <c r="BY16" s="52"/>
      <c r="BZ16" s="52"/>
    </row>
    <row r="17" spans="1:78" s="27" customFormat="1">
      <c r="A17" s="5" t="s">
        <v>55</v>
      </c>
      <c r="B17" s="6"/>
      <c r="C17" s="6"/>
      <c r="D17" s="6"/>
      <c r="E17" s="6"/>
      <c r="F17" s="6"/>
      <c r="G17" s="6"/>
      <c r="H17" s="6"/>
      <c r="I17" s="6"/>
      <c r="J17" s="6"/>
      <c r="K17" s="6"/>
      <c r="L17" s="6"/>
      <c r="M17" s="6"/>
      <c r="N17" s="6">
        <v>1</v>
      </c>
      <c r="O17" s="6">
        <v>22</v>
      </c>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8">
        <f t="shared" si="0"/>
        <v>1</v>
      </c>
      <c r="BW17" s="8">
        <f t="shared" si="0"/>
        <v>22</v>
      </c>
      <c r="BX17" s="52"/>
      <c r="BY17" s="52"/>
      <c r="BZ17" s="52"/>
    </row>
    <row r="18" spans="1:78" s="27" customFormat="1">
      <c r="A18" s="5" t="s">
        <v>56</v>
      </c>
      <c r="B18" s="6"/>
      <c r="C18" s="6"/>
      <c r="D18" s="6"/>
      <c r="E18" s="6"/>
      <c r="F18" s="6"/>
      <c r="G18" s="6"/>
      <c r="H18" s="6"/>
      <c r="I18" s="6"/>
      <c r="J18" s="6"/>
      <c r="K18" s="6"/>
      <c r="L18" s="6"/>
      <c r="M18" s="6"/>
      <c r="N18" s="6">
        <v>12</v>
      </c>
      <c r="O18" s="6">
        <v>180</v>
      </c>
      <c r="P18" s="6"/>
      <c r="Q18" s="6"/>
      <c r="R18" s="6"/>
      <c r="S18" s="6"/>
      <c r="T18" s="6"/>
      <c r="U18" s="6"/>
      <c r="V18" s="6"/>
      <c r="W18" s="6"/>
      <c r="X18" s="6"/>
      <c r="Y18" s="6"/>
      <c r="Z18" s="6">
        <v>1</v>
      </c>
      <c r="AA18" s="6">
        <v>30</v>
      </c>
      <c r="AB18" s="6"/>
      <c r="AC18" s="6"/>
      <c r="AD18" s="6">
        <v>1</v>
      </c>
      <c r="AE18" s="6">
        <v>38</v>
      </c>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v>1</v>
      </c>
      <c r="BU18" s="6">
        <v>20</v>
      </c>
      <c r="BV18" s="8">
        <f t="shared" si="0"/>
        <v>15</v>
      </c>
      <c r="BW18" s="8">
        <f t="shared" si="0"/>
        <v>268</v>
      </c>
      <c r="BX18" s="52"/>
      <c r="BY18" s="52"/>
      <c r="BZ18" s="52"/>
    </row>
    <row r="19" spans="1:78" s="27" customFormat="1">
      <c r="A19" s="5" t="s">
        <v>57</v>
      </c>
      <c r="B19" s="6">
        <v>7</v>
      </c>
      <c r="C19" s="6">
        <v>341</v>
      </c>
      <c r="D19" s="6">
        <v>24</v>
      </c>
      <c r="E19" s="6">
        <v>2546</v>
      </c>
      <c r="F19" s="6">
        <v>23</v>
      </c>
      <c r="G19" s="6">
        <v>4332</v>
      </c>
      <c r="H19" s="6">
        <v>1</v>
      </c>
      <c r="I19" s="6">
        <v>566</v>
      </c>
      <c r="J19" s="6">
        <v>4</v>
      </c>
      <c r="K19" s="6">
        <v>747</v>
      </c>
      <c r="L19" s="6"/>
      <c r="M19" s="6"/>
      <c r="N19" s="6">
        <v>7</v>
      </c>
      <c r="O19" s="6">
        <v>107</v>
      </c>
      <c r="P19" s="6">
        <v>1</v>
      </c>
      <c r="Q19" s="6">
        <v>19</v>
      </c>
      <c r="R19" s="6"/>
      <c r="S19" s="6"/>
      <c r="T19" s="6"/>
      <c r="U19" s="6"/>
      <c r="V19" s="6">
        <v>2</v>
      </c>
      <c r="W19" s="6">
        <v>157</v>
      </c>
      <c r="X19" s="6">
        <v>4</v>
      </c>
      <c r="Y19" s="6">
        <v>331</v>
      </c>
      <c r="Z19" s="6">
        <v>31</v>
      </c>
      <c r="AA19" s="6">
        <v>5288</v>
      </c>
      <c r="AB19" s="6"/>
      <c r="AC19" s="6"/>
      <c r="AD19" s="6">
        <v>73</v>
      </c>
      <c r="AE19" s="6">
        <v>28363</v>
      </c>
      <c r="AF19" s="6">
        <v>8</v>
      </c>
      <c r="AG19" s="6">
        <v>2285</v>
      </c>
      <c r="AH19" s="6">
        <v>10</v>
      </c>
      <c r="AI19" s="6">
        <v>2666</v>
      </c>
      <c r="AJ19" s="6">
        <v>1</v>
      </c>
      <c r="AK19" s="6">
        <v>156</v>
      </c>
      <c r="AL19" s="6"/>
      <c r="AM19" s="6"/>
      <c r="AN19" s="6">
        <v>2</v>
      </c>
      <c r="AO19" s="6">
        <v>159</v>
      </c>
      <c r="AP19" s="6">
        <v>11</v>
      </c>
      <c r="AQ19" s="6">
        <v>4163</v>
      </c>
      <c r="AR19" s="6">
        <v>3</v>
      </c>
      <c r="AS19" s="6">
        <v>944</v>
      </c>
      <c r="AT19" s="6">
        <v>16</v>
      </c>
      <c r="AU19" s="6">
        <v>6840</v>
      </c>
      <c r="AV19" s="6"/>
      <c r="AW19" s="6"/>
      <c r="AX19" s="6">
        <v>2</v>
      </c>
      <c r="AY19" s="6">
        <v>586</v>
      </c>
      <c r="AZ19" s="6"/>
      <c r="BA19" s="6"/>
      <c r="BB19" s="6"/>
      <c r="BC19" s="6"/>
      <c r="BD19" s="6">
        <v>1</v>
      </c>
      <c r="BE19" s="6">
        <v>82</v>
      </c>
      <c r="BF19" s="6">
        <v>3</v>
      </c>
      <c r="BG19" s="6">
        <v>93</v>
      </c>
      <c r="BH19" s="6">
        <v>1</v>
      </c>
      <c r="BI19" s="6">
        <v>39</v>
      </c>
      <c r="BJ19" s="6">
        <v>1</v>
      </c>
      <c r="BK19" s="6">
        <v>72</v>
      </c>
      <c r="BL19" s="6">
        <v>8</v>
      </c>
      <c r="BM19" s="6">
        <v>323</v>
      </c>
      <c r="BN19" s="6">
        <v>2</v>
      </c>
      <c r="BO19" s="6">
        <v>103</v>
      </c>
      <c r="BP19" s="6">
        <v>2</v>
      </c>
      <c r="BQ19" s="6">
        <v>86</v>
      </c>
      <c r="BR19" s="6"/>
      <c r="BS19" s="6"/>
      <c r="BT19" s="6">
        <v>1</v>
      </c>
      <c r="BU19" s="6">
        <v>4</v>
      </c>
      <c r="BV19" s="8">
        <f t="shared" si="0"/>
        <v>249</v>
      </c>
      <c r="BW19" s="8">
        <f t="shared" si="0"/>
        <v>61398</v>
      </c>
      <c r="BX19" s="52"/>
      <c r="BY19" s="52"/>
      <c r="BZ19" s="52"/>
    </row>
    <row r="20" spans="1:78" s="27" customFormat="1">
      <c r="A20" s="5" t="s">
        <v>58</v>
      </c>
      <c r="B20" s="6"/>
      <c r="C20" s="6"/>
      <c r="D20" s="6"/>
      <c r="E20" s="6"/>
      <c r="F20" s="6"/>
      <c r="G20" s="6"/>
      <c r="H20" s="6"/>
      <c r="I20" s="6"/>
      <c r="J20" s="6"/>
      <c r="K20" s="6"/>
      <c r="L20" s="6"/>
      <c r="M20" s="6"/>
      <c r="N20" s="6">
        <v>4</v>
      </c>
      <c r="O20" s="6">
        <v>142</v>
      </c>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v>1</v>
      </c>
      <c r="BE20" s="6">
        <v>64</v>
      </c>
      <c r="BF20" s="6"/>
      <c r="BG20" s="6"/>
      <c r="BH20" s="6"/>
      <c r="BI20" s="6"/>
      <c r="BJ20" s="6"/>
      <c r="BK20" s="6"/>
      <c r="BL20" s="6"/>
      <c r="BM20" s="6"/>
      <c r="BN20" s="6"/>
      <c r="BO20" s="6"/>
      <c r="BP20" s="6"/>
      <c r="BQ20" s="6"/>
      <c r="BR20" s="6"/>
      <c r="BS20" s="6"/>
      <c r="BT20" s="6">
        <v>2</v>
      </c>
      <c r="BU20" s="6">
        <v>22</v>
      </c>
      <c r="BV20" s="8">
        <f t="shared" si="0"/>
        <v>7</v>
      </c>
      <c r="BW20" s="8">
        <f t="shared" si="0"/>
        <v>228</v>
      </c>
      <c r="BX20" s="52"/>
      <c r="BY20" s="52"/>
      <c r="BZ20" s="52"/>
    </row>
    <row r="21" spans="1:78" s="27" customFormat="1">
      <c r="A21" s="5" t="s">
        <v>59</v>
      </c>
      <c r="B21" s="6"/>
      <c r="C21" s="6"/>
      <c r="D21" s="6"/>
      <c r="E21" s="6"/>
      <c r="F21" s="6"/>
      <c r="G21" s="6"/>
      <c r="H21" s="6"/>
      <c r="I21" s="6"/>
      <c r="J21" s="6"/>
      <c r="K21" s="6"/>
      <c r="L21" s="6"/>
      <c r="M21" s="6"/>
      <c r="N21" s="6">
        <v>30</v>
      </c>
      <c r="O21" s="6">
        <v>620</v>
      </c>
      <c r="P21" s="6"/>
      <c r="Q21" s="6"/>
      <c r="R21" s="6"/>
      <c r="S21" s="6"/>
      <c r="T21" s="6"/>
      <c r="U21" s="6"/>
      <c r="V21" s="6"/>
      <c r="W21" s="6"/>
      <c r="X21" s="6"/>
      <c r="Y21" s="6"/>
      <c r="Z21" s="6"/>
      <c r="AA21" s="6"/>
      <c r="AB21" s="6"/>
      <c r="AC21" s="6"/>
      <c r="AD21" s="6"/>
      <c r="AE21" s="6"/>
      <c r="AF21" s="6"/>
      <c r="AG21" s="6"/>
      <c r="AH21" s="6">
        <v>1</v>
      </c>
      <c r="AI21" s="6">
        <v>76</v>
      </c>
      <c r="AJ21" s="6"/>
      <c r="AK21" s="6"/>
      <c r="AL21" s="6"/>
      <c r="AM21" s="6"/>
      <c r="AN21" s="6"/>
      <c r="AO21" s="6"/>
      <c r="AP21" s="6"/>
      <c r="AQ21" s="6"/>
      <c r="AR21" s="6"/>
      <c r="AS21" s="6"/>
      <c r="AT21" s="6"/>
      <c r="AU21" s="6"/>
      <c r="AV21" s="6"/>
      <c r="AW21" s="6"/>
      <c r="AX21" s="6"/>
      <c r="AY21" s="6"/>
      <c r="AZ21" s="6"/>
      <c r="BA21" s="6"/>
      <c r="BB21" s="6"/>
      <c r="BC21" s="6"/>
      <c r="BD21" s="6">
        <v>3</v>
      </c>
      <c r="BE21" s="6">
        <v>74</v>
      </c>
      <c r="BF21" s="6"/>
      <c r="BG21" s="6"/>
      <c r="BH21" s="6"/>
      <c r="BI21" s="6"/>
      <c r="BJ21" s="6"/>
      <c r="BK21" s="6"/>
      <c r="BL21" s="6">
        <v>1</v>
      </c>
      <c r="BM21" s="6">
        <v>41</v>
      </c>
      <c r="BN21" s="6"/>
      <c r="BO21" s="6"/>
      <c r="BP21" s="6"/>
      <c r="BQ21" s="6"/>
      <c r="BR21" s="6"/>
      <c r="BS21" s="6"/>
      <c r="BT21" s="6">
        <v>2</v>
      </c>
      <c r="BU21" s="6">
        <v>58</v>
      </c>
      <c r="BV21" s="8">
        <f t="shared" si="0"/>
        <v>37</v>
      </c>
      <c r="BW21" s="8">
        <f t="shared" si="0"/>
        <v>869</v>
      </c>
      <c r="BX21" s="52"/>
      <c r="BY21" s="52"/>
      <c r="BZ21" s="52"/>
    </row>
    <row r="22" spans="1:78" s="27" customFormat="1">
      <c r="A22" s="5" t="s">
        <v>60</v>
      </c>
      <c r="B22" s="6">
        <v>8</v>
      </c>
      <c r="C22" s="6">
        <v>423</v>
      </c>
      <c r="D22" s="6">
        <v>6</v>
      </c>
      <c r="E22" s="6">
        <v>316</v>
      </c>
      <c r="F22" s="6">
        <v>6</v>
      </c>
      <c r="G22" s="6">
        <v>538</v>
      </c>
      <c r="H22" s="6"/>
      <c r="I22" s="6"/>
      <c r="J22" s="6"/>
      <c r="K22" s="6"/>
      <c r="L22" s="6"/>
      <c r="M22" s="6"/>
      <c r="N22" s="6">
        <v>3</v>
      </c>
      <c r="O22" s="6">
        <v>114</v>
      </c>
      <c r="P22" s="6"/>
      <c r="Q22" s="6"/>
      <c r="R22" s="6"/>
      <c r="S22" s="6"/>
      <c r="T22" s="6">
        <v>1</v>
      </c>
      <c r="U22" s="6">
        <v>68</v>
      </c>
      <c r="V22" s="6">
        <v>5</v>
      </c>
      <c r="W22" s="6">
        <v>262</v>
      </c>
      <c r="X22" s="6">
        <v>1</v>
      </c>
      <c r="Y22" s="6">
        <v>35</v>
      </c>
      <c r="Z22" s="6">
        <v>10</v>
      </c>
      <c r="AA22" s="6">
        <v>1475</v>
      </c>
      <c r="AB22" s="6">
        <v>2</v>
      </c>
      <c r="AC22" s="6">
        <v>310</v>
      </c>
      <c r="AD22" s="6">
        <v>25</v>
      </c>
      <c r="AE22" s="6">
        <v>6396</v>
      </c>
      <c r="AF22" s="6">
        <v>5</v>
      </c>
      <c r="AG22" s="6">
        <v>1400</v>
      </c>
      <c r="AH22" s="6">
        <v>3</v>
      </c>
      <c r="AI22" s="6">
        <v>474</v>
      </c>
      <c r="AJ22" s="6">
        <v>1</v>
      </c>
      <c r="AK22" s="6">
        <v>284</v>
      </c>
      <c r="AL22" s="6">
        <v>3</v>
      </c>
      <c r="AM22" s="6">
        <v>78</v>
      </c>
      <c r="AN22" s="6"/>
      <c r="AO22" s="6"/>
      <c r="AP22" s="6">
        <v>3</v>
      </c>
      <c r="AQ22" s="6">
        <v>888</v>
      </c>
      <c r="AR22" s="6">
        <v>1</v>
      </c>
      <c r="AS22" s="6">
        <v>78</v>
      </c>
      <c r="AT22" s="6">
        <v>12</v>
      </c>
      <c r="AU22" s="6">
        <v>4129</v>
      </c>
      <c r="AV22" s="6">
        <v>1</v>
      </c>
      <c r="AW22" s="6">
        <v>840</v>
      </c>
      <c r="AX22" s="6">
        <v>1</v>
      </c>
      <c r="AY22" s="6">
        <v>96</v>
      </c>
      <c r="AZ22" s="6"/>
      <c r="BA22" s="6"/>
      <c r="BB22" s="6"/>
      <c r="BC22" s="6"/>
      <c r="BD22" s="6">
        <v>2</v>
      </c>
      <c r="BE22" s="6">
        <v>84</v>
      </c>
      <c r="BF22" s="6">
        <v>6</v>
      </c>
      <c r="BG22" s="6">
        <v>497</v>
      </c>
      <c r="BH22" s="6">
        <v>3</v>
      </c>
      <c r="BI22" s="6">
        <v>244</v>
      </c>
      <c r="BJ22" s="6"/>
      <c r="BK22" s="6"/>
      <c r="BL22" s="6">
        <v>4</v>
      </c>
      <c r="BM22" s="6">
        <v>132</v>
      </c>
      <c r="BN22" s="6">
        <v>2</v>
      </c>
      <c r="BO22" s="6">
        <v>83</v>
      </c>
      <c r="BP22" s="6"/>
      <c r="BQ22" s="6"/>
      <c r="BR22" s="6"/>
      <c r="BS22" s="6"/>
      <c r="BT22" s="6">
        <v>1</v>
      </c>
      <c r="BU22" s="6">
        <v>20</v>
      </c>
      <c r="BV22" s="8">
        <f t="shared" si="0"/>
        <v>115</v>
      </c>
      <c r="BW22" s="8">
        <f t="shared" si="0"/>
        <v>19264</v>
      </c>
      <c r="BX22" s="52"/>
      <c r="BY22" s="52"/>
      <c r="BZ22" s="52"/>
    </row>
    <row r="23" spans="1:78" s="27" customFormat="1">
      <c r="A23" s="5" t="s">
        <v>218</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v>1</v>
      </c>
      <c r="BE23" s="6">
        <v>50</v>
      </c>
      <c r="BF23" s="6"/>
      <c r="BG23" s="6"/>
      <c r="BH23" s="6"/>
      <c r="BI23" s="6"/>
      <c r="BJ23" s="6"/>
      <c r="BK23" s="6"/>
      <c r="BL23" s="6"/>
      <c r="BM23" s="6"/>
      <c r="BN23" s="6"/>
      <c r="BO23" s="6"/>
      <c r="BP23" s="6"/>
      <c r="BQ23" s="6"/>
      <c r="BR23" s="6"/>
      <c r="BS23" s="6"/>
      <c r="BT23" s="6"/>
      <c r="BU23" s="6"/>
      <c r="BV23" s="8">
        <f t="shared" si="0"/>
        <v>1</v>
      </c>
      <c r="BW23" s="8">
        <f t="shared" si="0"/>
        <v>50</v>
      </c>
      <c r="BX23" s="52"/>
      <c r="BY23" s="52"/>
      <c r="BZ23" s="52"/>
    </row>
    <row r="24" spans="1:78" s="27" customFormat="1">
      <c r="A24" s="5" t="s">
        <v>61</v>
      </c>
      <c r="B24" s="6"/>
      <c r="C24" s="6"/>
      <c r="D24" s="6"/>
      <c r="E24" s="6"/>
      <c r="F24" s="6"/>
      <c r="G24" s="6"/>
      <c r="H24" s="6"/>
      <c r="I24" s="6"/>
      <c r="J24" s="6"/>
      <c r="K24" s="6"/>
      <c r="L24" s="6"/>
      <c r="M24" s="6"/>
      <c r="N24" s="6">
        <v>2</v>
      </c>
      <c r="O24" s="6">
        <v>21</v>
      </c>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v>2</v>
      </c>
      <c r="BU24" s="6">
        <v>24</v>
      </c>
      <c r="BV24" s="8">
        <f t="shared" si="0"/>
        <v>4</v>
      </c>
      <c r="BW24" s="8">
        <f t="shared" si="0"/>
        <v>45</v>
      </c>
      <c r="BX24" s="52"/>
      <c r="BY24" s="52"/>
      <c r="BZ24" s="52"/>
    </row>
    <row r="25" spans="1:78" s="27" customFormat="1">
      <c r="A25" s="5" t="s">
        <v>62</v>
      </c>
      <c r="B25" s="6"/>
      <c r="C25" s="6"/>
      <c r="D25" s="6"/>
      <c r="E25" s="6"/>
      <c r="F25" s="6"/>
      <c r="G25" s="6"/>
      <c r="H25" s="6"/>
      <c r="I25" s="6"/>
      <c r="J25" s="6"/>
      <c r="K25" s="6"/>
      <c r="L25" s="6"/>
      <c r="M25" s="6"/>
      <c r="N25" s="6">
        <v>1</v>
      </c>
      <c r="O25" s="6">
        <v>16</v>
      </c>
      <c r="P25" s="6"/>
      <c r="Q25" s="6"/>
      <c r="R25" s="6"/>
      <c r="S25" s="6"/>
      <c r="T25" s="6">
        <v>1</v>
      </c>
      <c r="U25" s="6">
        <v>17</v>
      </c>
      <c r="V25" s="6"/>
      <c r="W25" s="6"/>
      <c r="X25" s="6"/>
      <c r="Y25" s="6"/>
      <c r="Z25" s="6"/>
      <c r="AA25" s="6"/>
      <c r="AB25" s="6"/>
      <c r="AC25" s="6"/>
      <c r="AD25" s="6">
        <v>2</v>
      </c>
      <c r="AE25" s="6">
        <v>244</v>
      </c>
      <c r="AF25" s="6"/>
      <c r="AG25" s="6"/>
      <c r="AH25" s="6"/>
      <c r="AI25" s="6"/>
      <c r="AJ25" s="6"/>
      <c r="AK25" s="6"/>
      <c r="AL25" s="6"/>
      <c r="AM25" s="6"/>
      <c r="AN25" s="6"/>
      <c r="AO25" s="6"/>
      <c r="AP25" s="6"/>
      <c r="AQ25" s="6"/>
      <c r="AR25" s="6"/>
      <c r="AS25" s="6"/>
      <c r="AT25" s="6">
        <v>1</v>
      </c>
      <c r="AU25" s="6">
        <v>52</v>
      </c>
      <c r="AV25" s="6"/>
      <c r="AW25" s="6"/>
      <c r="AX25" s="6"/>
      <c r="AY25" s="6"/>
      <c r="AZ25" s="6"/>
      <c r="BA25" s="6"/>
      <c r="BB25" s="6">
        <v>1</v>
      </c>
      <c r="BC25" s="6">
        <v>132</v>
      </c>
      <c r="BD25" s="6"/>
      <c r="BE25" s="6"/>
      <c r="BF25" s="6">
        <v>1</v>
      </c>
      <c r="BG25" s="6">
        <v>14</v>
      </c>
      <c r="BH25" s="6"/>
      <c r="BI25" s="6"/>
      <c r="BJ25" s="6"/>
      <c r="BK25" s="6"/>
      <c r="BL25" s="6"/>
      <c r="BM25" s="6"/>
      <c r="BN25" s="6"/>
      <c r="BO25" s="6"/>
      <c r="BP25" s="6"/>
      <c r="BQ25" s="6"/>
      <c r="BR25" s="6"/>
      <c r="BS25" s="6"/>
      <c r="BT25" s="6"/>
      <c r="BU25" s="6"/>
      <c r="BV25" s="8">
        <f t="shared" si="0"/>
        <v>7</v>
      </c>
      <c r="BW25" s="8">
        <f t="shared" si="0"/>
        <v>475</v>
      </c>
      <c r="BX25" s="52"/>
      <c r="BY25" s="52"/>
      <c r="BZ25" s="52"/>
    </row>
    <row r="26" spans="1:78" s="27" customFormat="1">
      <c r="A26" s="5" t="s">
        <v>249</v>
      </c>
      <c r="B26" s="6"/>
      <c r="C26" s="6"/>
      <c r="D26" s="6"/>
      <c r="E26" s="6"/>
      <c r="F26" s="6"/>
      <c r="G26" s="6"/>
      <c r="H26" s="6"/>
      <c r="I26" s="6"/>
      <c r="J26" s="6"/>
      <c r="K26" s="6"/>
      <c r="L26" s="6"/>
      <c r="M26" s="6"/>
      <c r="N26" s="6">
        <v>2</v>
      </c>
      <c r="O26" s="6">
        <v>10</v>
      </c>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8">
        <f t="shared" si="0"/>
        <v>2</v>
      </c>
      <c r="BW26" s="8">
        <f t="shared" si="0"/>
        <v>10</v>
      </c>
      <c r="BX26" s="52"/>
      <c r="BY26" s="52"/>
      <c r="BZ26" s="52"/>
    </row>
    <row r="27" spans="1:78" s="27" customFormat="1">
      <c r="A27" s="5" t="s">
        <v>63</v>
      </c>
      <c r="B27" s="6"/>
      <c r="C27" s="6"/>
      <c r="D27" s="6"/>
      <c r="E27" s="6"/>
      <c r="F27" s="6"/>
      <c r="G27" s="6"/>
      <c r="H27" s="6"/>
      <c r="I27" s="6"/>
      <c r="J27" s="6"/>
      <c r="K27" s="6"/>
      <c r="L27" s="6"/>
      <c r="M27" s="6"/>
      <c r="N27" s="6">
        <v>9</v>
      </c>
      <c r="O27" s="6">
        <v>154</v>
      </c>
      <c r="P27" s="6"/>
      <c r="Q27" s="6"/>
      <c r="R27" s="6"/>
      <c r="S27" s="6"/>
      <c r="T27" s="6"/>
      <c r="U27" s="6"/>
      <c r="V27" s="6"/>
      <c r="W27" s="6"/>
      <c r="X27" s="6"/>
      <c r="Y27" s="6"/>
      <c r="Z27" s="6"/>
      <c r="AA27" s="6"/>
      <c r="AB27" s="6"/>
      <c r="AC27" s="6"/>
      <c r="AD27" s="6">
        <v>1</v>
      </c>
      <c r="AE27" s="6">
        <v>37</v>
      </c>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v>1</v>
      </c>
      <c r="BG27" s="6">
        <v>16</v>
      </c>
      <c r="BH27" s="6"/>
      <c r="BI27" s="6"/>
      <c r="BJ27" s="6"/>
      <c r="BK27" s="6"/>
      <c r="BL27" s="6"/>
      <c r="BM27" s="6"/>
      <c r="BN27" s="6"/>
      <c r="BO27" s="6"/>
      <c r="BP27" s="6"/>
      <c r="BQ27" s="6"/>
      <c r="BR27" s="6"/>
      <c r="BS27" s="6"/>
      <c r="BT27" s="6">
        <v>1</v>
      </c>
      <c r="BU27" s="6">
        <v>12</v>
      </c>
      <c r="BV27" s="8">
        <f t="shared" si="0"/>
        <v>12</v>
      </c>
      <c r="BW27" s="8">
        <f t="shared" si="0"/>
        <v>219</v>
      </c>
      <c r="BX27" s="52"/>
      <c r="BY27" s="52"/>
      <c r="BZ27" s="52"/>
    </row>
    <row r="28" spans="1:78" s="27" customFormat="1">
      <c r="A28" s="5" t="s">
        <v>64</v>
      </c>
      <c r="B28" s="6"/>
      <c r="C28" s="6"/>
      <c r="D28" s="6"/>
      <c r="E28" s="6"/>
      <c r="F28" s="6"/>
      <c r="G28" s="6"/>
      <c r="H28" s="6"/>
      <c r="I28" s="6"/>
      <c r="J28" s="6"/>
      <c r="K28" s="6"/>
      <c r="L28" s="6"/>
      <c r="M28" s="6"/>
      <c r="N28" s="6">
        <v>1</v>
      </c>
      <c r="O28" s="6">
        <v>10</v>
      </c>
      <c r="P28" s="6"/>
      <c r="Q28" s="6"/>
      <c r="R28" s="6"/>
      <c r="S28" s="6"/>
      <c r="T28" s="6"/>
      <c r="U28" s="6"/>
      <c r="V28" s="6"/>
      <c r="W28" s="6"/>
      <c r="X28" s="6"/>
      <c r="Y28" s="6"/>
      <c r="Z28" s="6"/>
      <c r="AA28" s="6"/>
      <c r="AB28" s="6"/>
      <c r="AC28" s="6"/>
      <c r="AD28" s="6">
        <v>1</v>
      </c>
      <c r="AE28" s="6">
        <v>111</v>
      </c>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v>3</v>
      </c>
      <c r="BU28" s="6">
        <v>32</v>
      </c>
      <c r="BV28" s="8">
        <f t="shared" si="0"/>
        <v>5</v>
      </c>
      <c r="BW28" s="8">
        <f t="shared" si="0"/>
        <v>153</v>
      </c>
      <c r="BX28" s="52"/>
      <c r="BY28" s="52"/>
      <c r="BZ28" s="52"/>
    </row>
    <row r="29" spans="1:78" s="27" customFormat="1">
      <c r="A29" s="5" t="s">
        <v>65</v>
      </c>
      <c r="B29" s="6">
        <v>9</v>
      </c>
      <c r="C29" s="6">
        <v>245</v>
      </c>
      <c r="D29" s="6">
        <v>10</v>
      </c>
      <c r="E29" s="6">
        <v>532</v>
      </c>
      <c r="F29" s="6">
        <v>3</v>
      </c>
      <c r="G29" s="6">
        <v>420</v>
      </c>
      <c r="H29" s="6"/>
      <c r="I29" s="6"/>
      <c r="J29" s="6"/>
      <c r="K29" s="6"/>
      <c r="L29" s="6"/>
      <c r="M29" s="6"/>
      <c r="N29" s="6">
        <v>18</v>
      </c>
      <c r="O29" s="6">
        <v>350</v>
      </c>
      <c r="P29" s="6"/>
      <c r="Q29" s="6"/>
      <c r="R29" s="6"/>
      <c r="S29" s="6"/>
      <c r="T29" s="6"/>
      <c r="U29" s="6"/>
      <c r="V29" s="6"/>
      <c r="W29" s="6"/>
      <c r="X29" s="6"/>
      <c r="Y29" s="6"/>
      <c r="Z29" s="6">
        <v>3</v>
      </c>
      <c r="AA29" s="6">
        <v>658</v>
      </c>
      <c r="AB29" s="6"/>
      <c r="AC29" s="6"/>
      <c r="AD29" s="6">
        <v>5</v>
      </c>
      <c r="AE29" s="6">
        <v>2386</v>
      </c>
      <c r="AF29" s="6">
        <v>1</v>
      </c>
      <c r="AG29" s="6">
        <v>202</v>
      </c>
      <c r="AH29" s="6">
        <v>2</v>
      </c>
      <c r="AI29" s="6">
        <v>117</v>
      </c>
      <c r="AJ29" s="6"/>
      <c r="AK29" s="6"/>
      <c r="AL29" s="6"/>
      <c r="AM29" s="6"/>
      <c r="AN29" s="6"/>
      <c r="AO29" s="6"/>
      <c r="AP29" s="6"/>
      <c r="AQ29" s="6"/>
      <c r="AR29" s="6"/>
      <c r="AS29" s="6"/>
      <c r="AT29" s="6">
        <v>2</v>
      </c>
      <c r="AU29" s="6">
        <v>750</v>
      </c>
      <c r="AV29" s="6">
        <v>1</v>
      </c>
      <c r="AW29" s="6">
        <v>182</v>
      </c>
      <c r="AX29" s="6"/>
      <c r="AY29" s="6"/>
      <c r="AZ29" s="6">
        <v>1</v>
      </c>
      <c r="BA29" s="6">
        <v>48</v>
      </c>
      <c r="BB29" s="6"/>
      <c r="BC29" s="6"/>
      <c r="BD29" s="6">
        <v>3</v>
      </c>
      <c r="BE29" s="6">
        <v>108</v>
      </c>
      <c r="BF29" s="6">
        <v>1</v>
      </c>
      <c r="BG29" s="6">
        <v>35</v>
      </c>
      <c r="BH29" s="6"/>
      <c r="BI29" s="6"/>
      <c r="BJ29" s="6"/>
      <c r="BK29" s="6"/>
      <c r="BL29" s="6">
        <v>2</v>
      </c>
      <c r="BM29" s="6">
        <v>75</v>
      </c>
      <c r="BN29" s="6"/>
      <c r="BO29" s="6"/>
      <c r="BP29" s="6"/>
      <c r="BQ29" s="6"/>
      <c r="BR29" s="6"/>
      <c r="BS29" s="6"/>
      <c r="BT29" s="6">
        <v>3</v>
      </c>
      <c r="BU29" s="6">
        <v>29</v>
      </c>
      <c r="BV29" s="8">
        <f t="shared" si="0"/>
        <v>64</v>
      </c>
      <c r="BW29" s="8">
        <f t="shared" si="0"/>
        <v>6137</v>
      </c>
      <c r="BX29" s="52"/>
      <c r="BY29" s="52"/>
      <c r="BZ29" s="52"/>
    </row>
    <row r="30" spans="1:78" s="27" customFormat="1">
      <c r="A30" s="5" t="s">
        <v>66</v>
      </c>
      <c r="B30" s="6"/>
      <c r="C30" s="6"/>
      <c r="D30" s="6"/>
      <c r="E30" s="6"/>
      <c r="F30" s="6"/>
      <c r="G30" s="6"/>
      <c r="H30" s="6"/>
      <c r="I30" s="6"/>
      <c r="J30" s="6"/>
      <c r="K30" s="6"/>
      <c r="L30" s="6"/>
      <c r="M30" s="6"/>
      <c r="N30" s="6">
        <v>2</v>
      </c>
      <c r="O30" s="6">
        <v>25</v>
      </c>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v>2</v>
      </c>
      <c r="AU30" s="6">
        <v>62</v>
      </c>
      <c r="AV30" s="6"/>
      <c r="AW30" s="6"/>
      <c r="AX30" s="6"/>
      <c r="AY30" s="6"/>
      <c r="AZ30" s="6"/>
      <c r="BA30" s="6"/>
      <c r="BB30" s="6"/>
      <c r="BC30" s="6"/>
      <c r="BD30" s="6"/>
      <c r="BE30" s="6"/>
      <c r="BF30" s="6"/>
      <c r="BG30" s="6"/>
      <c r="BH30" s="6"/>
      <c r="BI30" s="6"/>
      <c r="BJ30" s="6"/>
      <c r="BK30" s="6"/>
      <c r="BL30" s="6"/>
      <c r="BM30" s="6"/>
      <c r="BN30" s="6"/>
      <c r="BO30" s="6"/>
      <c r="BP30" s="6"/>
      <c r="BQ30" s="6"/>
      <c r="BR30" s="6"/>
      <c r="BS30" s="6"/>
      <c r="BT30" s="6">
        <v>3</v>
      </c>
      <c r="BU30" s="6">
        <v>60</v>
      </c>
      <c r="BV30" s="8">
        <f t="shared" si="0"/>
        <v>7</v>
      </c>
      <c r="BW30" s="8">
        <f t="shared" si="0"/>
        <v>147</v>
      </c>
      <c r="BX30" s="52"/>
      <c r="BY30" s="52"/>
      <c r="BZ30" s="52"/>
    </row>
    <row r="31" spans="1:78" s="27" customFormat="1">
      <c r="A31" s="5" t="s">
        <v>67</v>
      </c>
      <c r="B31" s="6"/>
      <c r="C31" s="6"/>
      <c r="D31" s="6"/>
      <c r="E31" s="6"/>
      <c r="F31" s="6"/>
      <c r="G31" s="6"/>
      <c r="H31" s="6"/>
      <c r="I31" s="6"/>
      <c r="J31" s="6"/>
      <c r="K31" s="6"/>
      <c r="L31" s="6"/>
      <c r="M31" s="6"/>
      <c r="N31" s="6">
        <v>6</v>
      </c>
      <c r="O31" s="6">
        <v>102</v>
      </c>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v>1</v>
      </c>
      <c r="BE31" s="6">
        <v>30</v>
      </c>
      <c r="BF31" s="6"/>
      <c r="BG31" s="6"/>
      <c r="BH31" s="6"/>
      <c r="BI31" s="6"/>
      <c r="BJ31" s="6"/>
      <c r="BK31" s="6"/>
      <c r="BL31" s="6"/>
      <c r="BM31" s="6"/>
      <c r="BN31" s="6"/>
      <c r="BO31" s="6"/>
      <c r="BP31" s="6"/>
      <c r="BQ31" s="6"/>
      <c r="BR31" s="6"/>
      <c r="BS31" s="6"/>
      <c r="BT31" s="6">
        <v>2</v>
      </c>
      <c r="BU31" s="6">
        <v>27</v>
      </c>
      <c r="BV31" s="8">
        <f t="shared" si="0"/>
        <v>9</v>
      </c>
      <c r="BW31" s="8">
        <f t="shared" si="0"/>
        <v>159</v>
      </c>
      <c r="BX31" s="52"/>
      <c r="BY31" s="52"/>
      <c r="BZ31" s="52"/>
    </row>
    <row r="32" spans="1:78" s="27" customFormat="1">
      <c r="A32" s="5" t="s">
        <v>68</v>
      </c>
      <c r="B32" s="6"/>
      <c r="C32" s="6"/>
      <c r="D32" s="6"/>
      <c r="E32" s="6"/>
      <c r="F32" s="6"/>
      <c r="G32" s="6"/>
      <c r="H32" s="6"/>
      <c r="I32" s="6"/>
      <c r="J32" s="6"/>
      <c r="K32" s="6"/>
      <c r="L32" s="6"/>
      <c r="M32" s="6"/>
      <c r="N32" s="6">
        <v>3</v>
      </c>
      <c r="O32" s="6">
        <v>58</v>
      </c>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8">
        <f t="shared" si="0"/>
        <v>3</v>
      </c>
      <c r="BW32" s="8">
        <f t="shared" si="0"/>
        <v>58</v>
      </c>
      <c r="BX32" s="52"/>
      <c r="BY32" s="52"/>
      <c r="BZ32" s="52"/>
    </row>
    <row r="33" spans="1:78" s="27" customFormat="1">
      <c r="A33" s="5" t="s">
        <v>69</v>
      </c>
      <c r="B33" s="6"/>
      <c r="C33" s="6"/>
      <c r="D33" s="6"/>
      <c r="E33" s="6"/>
      <c r="F33" s="6"/>
      <c r="G33" s="6"/>
      <c r="H33" s="6"/>
      <c r="I33" s="6"/>
      <c r="J33" s="6"/>
      <c r="K33" s="6"/>
      <c r="L33" s="6"/>
      <c r="M33" s="6"/>
      <c r="N33" s="6">
        <v>1</v>
      </c>
      <c r="O33" s="6">
        <v>17</v>
      </c>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v>2</v>
      </c>
      <c r="BU33" s="6">
        <v>46</v>
      </c>
      <c r="BV33" s="8">
        <f t="shared" si="0"/>
        <v>3</v>
      </c>
      <c r="BW33" s="8">
        <f t="shared" si="0"/>
        <v>63</v>
      </c>
      <c r="BX33" s="52"/>
      <c r="BY33" s="52"/>
      <c r="BZ33" s="52"/>
    </row>
    <row r="34" spans="1:78" s="27" customFormat="1">
      <c r="A34" s="5" t="s">
        <v>177</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v>5</v>
      </c>
      <c r="BU34" s="6">
        <v>42</v>
      </c>
      <c r="BV34" s="8">
        <f t="shared" si="0"/>
        <v>5</v>
      </c>
      <c r="BW34" s="8">
        <f t="shared" si="0"/>
        <v>42</v>
      </c>
      <c r="BX34" s="52"/>
      <c r="BY34" s="52"/>
      <c r="BZ34" s="52"/>
    </row>
    <row r="35" spans="1:78" s="27" customFormat="1">
      <c r="A35" s="5" t="s">
        <v>71</v>
      </c>
      <c r="B35" s="6"/>
      <c r="C35" s="6"/>
      <c r="D35" s="6"/>
      <c r="E35" s="6"/>
      <c r="F35" s="6">
        <v>1</v>
      </c>
      <c r="G35" s="6">
        <v>120</v>
      </c>
      <c r="H35" s="6"/>
      <c r="I35" s="6"/>
      <c r="J35" s="6">
        <v>1</v>
      </c>
      <c r="K35" s="6">
        <v>936</v>
      </c>
      <c r="L35" s="6"/>
      <c r="M35" s="6"/>
      <c r="N35" s="6">
        <v>24</v>
      </c>
      <c r="O35" s="6">
        <v>627</v>
      </c>
      <c r="P35" s="6"/>
      <c r="Q35" s="6"/>
      <c r="R35" s="6"/>
      <c r="S35" s="6"/>
      <c r="T35" s="6">
        <v>1</v>
      </c>
      <c r="U35" s="6">
        <v>26</v>
      </c>
      <c r="V35" s="6"/>
      <c r="W35" s="6"/>
      <c r="X35" s="6">
        <v>4</v>
      </c>
      <c r="Y35" s="6">
        <v>1151</v>
      </c>
      <c r="Z35" s="6">
        <v>24</v>
      </c>
      <c r="AA35" s="6">
        <v>7283</v>
      </c>
      <c r="AB35" s="6">
        <v>2</v>
      </c>
      <c r="AC35" s="6">
        <v>617</v>
      </c>
      <c r="AD35" s="6">
        <v>5</v>
      </c>
      <c r="AE35" s="6">
        <v>1933</v>
      </c>
      <c r="AF35" s="6"/>
      <c r="AG35" s="6"/>
      <c r="AH35" s="6">
        <v>2</v>
      </c>
      <c r="AI35" s="6">
        <v>493</v>
      </c>
      <c r="AJ35" s="6"/>
      <c r="AK35" s="6"/>
      <c r="AL35" s="6"/>
      <c r="AM35" s="6"/>
      <c r="AN35" s="6"/>
      <c r="AO35" s="6"/>
      <c r="AP35" s="6">
        <v>1</v>
      </c>
      <c r="AQ35" s="6">
        <v>346</v>
      </c>
      <c r="AR35" s="6"/>
      <c r="AS35" s="6"/>
      <c r="AT35" s="6"/>
      <c r="AU35" s="6"/>
      <c r="AV35" s="6"/>
      <c r="AW35" s="6"/>
      <c r="AX35" s="6"/>
      <c r="AY35" s="6"/>
      <c r="AZ35" s="6"/>
      <c r="BA35" s="6"/>
      <c r="BB35" s="6"/>
      <c r="BC35" s="6"/>
      <c r="BD35" s="6">
        <v>2</v>
      </c>
      <c r="BE35" s="6">
        <v>92</v>
      </c>
      <c r="BF35" s="6">
        <v>3</v>
      </c>
      <c r="BG35" s="6">
        <v>161</v>
      </c>
      <c r="BH35" s="6"/>
      <c r="BI35" s="6"/>
      <c r="BJ35" s="6"/>
      <c r="BK35" s="6"/>
      <c r="BL35" s="6">
        <v>1</v>
      </c>
      <c r="BM35" s="6">
        <v>48</v>
      </c>
      <c r="BN35" s="6">
        <v>1</v>
      </c>
      <c r="BO35" s="6">
        <v>34</v>
      </c>
      <c r="BP35" s="6"/>
      <c r="BQ35" s="6"/>
      <c r="BR35" s="6"/>
      <c r="BS35" s="6"/>
      <c r="BT35" s="6">
        <v>1</v>
      </c>
      <c r="BU35" s="6">
        <v>28</v>
      </c>
      <c r="BV35" s="8">
        <f t="shared" si="0"/>
        <v>73</v>
      </c>
      <c r="BW35" s="8">
        <f t="shared" si="0"/>
        <v>13895</v>
      </c>
      <c r="BX35" s="52"/>
      <c r="BY35" s="52"/>
      <c r="BZ35" s="52"/>
    </row>
    <row r="36" spans="1:78" s="27" customFormat="1">
      <c r="A36" s="5" t="s">
        <v>72</v>
      </c>
      <c r="B36" s="6">
        <v>2</v>
      </c>
      <c r="C36" s="6">
        <v>237</v>
      </c>
      <c r="D36" s="6">
        <v>5</v>
      </c>
      <c r="E36" s="6">
        <v>612</v>
      </c>
      <c r="F36" s="6">
        <v>5</v>
      </c>
      <c r="G36" s="6">
        <v>203</v>
      </c>
      <c r="H36" s="6"/>
      <c r="I36" s="6"/>
      <c r="J36" s="6"/>
      <c r="K36" s="6"/>
      <c r="L36" s="6"/>
      <c r="M36" s="6"/>
      <c r="N36" s="6">
        <v>27</v>
      </c>
      <c r="O36" s="6">
        <v>484</v>
      </c>
      <c r="P36" s="6">
        <v>2</v>
      </c>
      <c r="Q36" s="6">
        <v>46</v>
      </c>
      <c r="R36" s="6"/>
      <c r="S36" s="6"/>
      <c r="T36" s="6"/>
      <c r="U36" s="6"/>
      <c r="V36" s="6"/>
      <c r="W36" s="6"/>
      <c r="X36" s="6">
        <v>1</v>
      </c>
      <c r="Y36" s="6">
        <v>41</v>
      </c>
      <c r="Z36" s="6">
        <v>7</v>
      </c>
      <c r="AA36" s="6">
        <v>2976</v>
      </c>
      <c r="AB36" s="6">
        <v>1</v>
      </c>
      <c r="AC36" s="6">
        <v>454</v>
      </c>
      <c r="AD36" s="6">
        <v>10</v>
      </c>
      <c r="AE36" s="6">
        <v>4299</v>
      </c>
      <c r="AF36" s="6"/>
      <c r="AG36" s="6"/>
      <c r="AH36" s="6"/>
      <c r="AI36" s="6"/>
      <c r="AJ36" s="6"/>
      <c r="AK36" s="6"/>
      <c r="AL36" s="6"/>
      <c r="AM36" s="6"/>
      <c r="AN36" s="6"/>
      <c r="AO36" s="6"/>
      <c r="AP36" s="6">
        <v>4</v>
      </c>
      <c r="AQ36" s="6">
        <v>1781</v>
      </c>
      <c r="AR36" s="6"/>
      <c r="AS36" s="6"/>
      <c r="AT36" s="6">
        <v>5</v>
      </c>
      <c r="AU36" s="6">
        <v>4069</v>
      </c>
      <c r="AV36" s="6"/>
      <c r="AW36" s="6"/>
      <c r="AX36" s="6"/>
      <c r="AY36" s="6"/>
      <c r="AZ36" s="6"/>
      <c r="BA36" s="6"/>
      <c r="BB36" s="6"/>
      <c r="BC36" s="6"/>
      <c r="BD36" s="6">
        <v>3</v>
      </c>
      <c r="BE36" s="6">
        <v>108</v>
      </c>
      <c r="BF36" s="6">
        <v>1</v>
      </c>
      <c r="BG36" s="6">
        <v>111</v>
      </c>
      <c r="BH36" s="6"/>
      <c r="BI36" s="6"/>
      <c r="BJ36" s="6"/>
      <c r="BK36" s="6"/>
      <c r="BL36" s="6"/>
      <c r="BM36" s="6"/>
      <c r="BN36" s="6"/>
      <c r="BO36" s="6"/>
      <c r="BP36" s="6"/>
      <c r="BQ36" s="6"/>
      <c r="BR36" s="6"/>
      <c r="BS36" s="6"/>
      <c r="BT36" s="6"/>
      <c r="BU36" s="6"/>
      <c r="BV36" s="8">
        <f t="shared" si="0"/>
        <v>73</v>
      </c>
      <c r="BW36" s="8">
        <f t="shared" si="0"/>
        <v>15421</v>
      </c>
      <c r="BX36" s="52"/>
      <c r="BY36" s="52"/>
      <c r="BZ36" s="52"/>
    </row>
    <row r="37" spans="1:78" s="27" customFormat="1">
      <c r="A37" s="5" t="s">
        <v>250</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v>1</v>
      </c>
      <c r="BU37" s="6">
        <v>22</v>
      </c>
      <c r="BV37" s="8">
        <f t="shared" si="0"/>
        <v>1</v>
      </c>
      <c r="BW37" s="8">
        <f t="shared" si="0"/>
        <v>22</v>
      </c>
      <c r="BX37" s="52"/>
      <c r="BY37" s="52"/>
      <c r="BZ37" s="52"/>
    </row>
    <row r="38" spans="1:78" s="27" customFormat="1">
      <c r="A38" s="5" t="s">
        <v>73</v>
      </c>
      <c r="B38" s="6"/>
      <c r="C38" s="6"/>
      <c r="D38" s="6"/>
      <c r="E38" s="6"/>
      <c r="F38" s="6"/>
      <c r="G38" s="6"/>
      <c r="H38" s="6"/>
      <c r="I38" s="6"/>
      <c r="J38" s="6"/>
      <c r="K38" s="6"/>
      <c r="L38" s="6"/>
      <c r="M38" s="6"/>
      <c r="N38" s="6">
        <v>5</v>
      </c>
      <c r="O38" s="6">
        <v>64</v>
      </c>
      <c r="P38" s="6"/>
      <c r="Q38" s="6"/>
      <c r="R38" s="6"/>
      <c r="S38" s="6"/>
      <c r="T38" s="6"/>
      <c r="U38" s="6"/>
      <c r="V38" s="6"/>
      <c r="W38" s="6"/>
      <c r="X38" s="6"/>
      <c r="Y38" s="6"/>
      <c r="Z38" s="6"/>
      <c r="AA38" s="6"/>
      <c r="AB38" s="6"/>
      <c r="AC38" s="6"/>
      <c r="AD38" s="6">
        <v>1</v>
      </c>
      <c r="AE38" s="6">
        <v>22</v>
      </c>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v>2</v>
      </c>
      <c r="BU38" s="6">
        <v>34</v>
      </c>
      <c r="BV38" s="8">
        <f t="shared" si="0"/>
        <v>8</v>
      </c>
      <c r="BW38" s="8">
        <f t="shared" si="0"/>
        <v>120</v>
      </c>
      <c r="BX38" s="52"/>
      <c r="BY38" s="52"/>
      <c r="BZ38" s="52"/>
    </row>
    <row r="39" spans="1:78" s="27" customFormat="1">
      <c r="A39" s="5" t="s">
        <v>74</v>
      </c>
      <c r="B39" s="6"/>
      <c r="C39" s="6"/>
      <c r="D39" s="6"/>
      <c r="E39" s="6"/>
      <c r="F39" s="6"/>
      <c r="G39" s="6"/>
      <c r="H39" s="6"/>
      <c r="I39" s="6"/>
      <c r="J39" s="6"/>
      <c r="K39" s="6"/>
      <c r="L39" s="6"/>
      <c r="M39" s="6"/>
      <c r="N39" s="6">
        <v>1</v>
      </c>
      <c r="O39" s="6">
        <v>24</v>
      </c>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v>1</v>
      </c>
      <c r="BU39" s="6">
        <v>10</v>
      </c>
      <c r="BV39" s="8">
        <f t="shared" si="0"/>
        <v>2</v>
      </c>
      <c r="BW39" s="8">
        <f t="shared" si="0"/>
        <v>34</v>
      </c>
      <c r="BX39" s="52"/>
      <c r="BY39" s="52"/>
      <c r="BZ39" s="52"/>
    </row>
    <row r="40" spans="1:78" s="27" customFormat="1">
      <c r="A40" s="5" t="s">
        <v>75</v>
      </c>
      <c r="B40" s="6"/>
      <c r="C40" s="6"/>
      <c r="D40" s="6"/>
      <c r="E40" s="6"/>
      <c r="F40" s="6"/>
      <c r="G40" s="6"/>
      <c r="H40" s="6"/>
      <c r="I40" s="6"/>
      <c r="J40" s="6"/>
      <c r="K40" s="6"/>
      <c r="L40" s="6"/>
      <c r="M40" s="6"/>
      <c r="N40" s="6">
        <v>3</v>
      </c>
      <c r="O40" s="6">
        <v>80</v>
      </c>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v>2</v>
      </c>
      <c r="BE40" s="6">
        <v>125</v>
      </c>
      <c r="BF40" s="6"/>
      <c r="BG40" s="6"/>
      <c r="BH40" s="6"/>
      <c r="BI40" s="6"/>
      <c r="BJ40" s="6"/>
      <c r="BK40" s="6"/>
      <c r="BL40" s="6"/>
      <c r="BM40" s="6"/>
      <c r="BN40" s="6"/>
      <c r="BO40" s="6"/>
      <c r="BP40" s="6"/>
      <c r="BQ40" s="6"/>
      <c r="BR40" s="6"/>
      <c r="BS40" s="6"/>
      <c r="BT40" s="6">
        <v>1</v>
      </c>
      <c r="BU40" s="6">
        <v>12</v>
      </c>
      <c r="BV40" s="8">
        <f t="shared" si="0"/>
        <v>6</v>
      </c>
      <c r="BW40" s="8">
        <f t="shared" si="0"/>
        <v>217</v>
      </c>
      <c r="BX40" s="52"/>
      <c r="BY40" s="52"/>
      <c r="BZ40" s="52"/>
    </row>
    <row r="41" spans="1:78" s="27" customFormat="1">
      <c r="A41" s="5" t="s">
        <v>76</v>
      </c>
      <c r="B41" s="6"/>
      <c r="C41" s="6"/>
      <c r="D41" s="6">
        <v>1</v>
      </c>
      <c r="E41" s="6">
        <v>358</v>
      </c>
      <c r="F41" s="6">
        <v>6</v>
      </c>
      <c r="G41" s="6">
        <v>795</v>
      </c>
      <c r="H41" s="6"/>
      <c r="I41" s="6"/>
      <c r="J41" s="6"/>
      <c r="K41" s="6"/>
      <c r="L41" s="6"/>
      <c r="M41" s="6"/>
      <c r="N41" s="6">
        <v>1</v>
      </c>
      <c r="O41" s="6">
        <v>22</v>
      </c>
      <c r="P41" s="6"/>
      <c r="Q41" s="6"/>
      <c r="R41" s="6">
        <v>1</v>
      </c>
      <c r="S41" s="6">
        <v>500</v>
      </c>
      <c r="T41" s="6"/>
      <c r="U41" s="6"/>
      <c r="V41" s="6"/>
      <c r="W41" s="6"/>
      <c r="X41" s="6"/>
      <c r="Y41" s="6"/>
      <c r="Z41" s="6">
        <v>2</v>
      </c>
      <c r="AA41" s="6">
        <v>372</v>
      </c>
      <c r="AB41" s="6"/>
      <c r="AC41" s="6"/>
      <c r="AD41" s="6">
        <v>8</v>
      </c>
      <c r="AE41" s="6">
        <v>3275</v>
      </c>
      <c r="AF41" s="6">
        <v>2</v>
      </c>
      <c r="AG41" s="6">
        <v>1080</v>
      </c>
      <c r="AH41" s="6">
        <v>3</v>
      </c>
      <c r="AI41" s="6">
        <v>1186</v>
      </c>
      <c r="AJ41" s="6"/>
      <c r="AK41" s="6"/>
      <c r="AL41" s="6"/>
      <c r="AM41" s="6"/>
      <c r="AN41" s="6"/>
      <c r="AO41" s="6"/>
      <c r="AP41" s="6">
        <v>1</v>
      </c>
      <c r="AQ41" s="6">
        <v>159</v>
      </c>
      <c r="AR41" s="6">
        <v>1</v>
      </c>
      <c r="AS41" s="6">
        <v>2205</v>
      </c>
      <c r="AT41" s="6">
        <v>12</v>
      </c>
      <c r="AU41" s="6">
        <v>6398</v>
      </c>
      <c r="AV41" s="6">
        <v>1</v>
      </c>
      <c r="AW41" s="6">
        <v>544</v>
      </c>
      <c r="AX41" s="6"/>
      <c r="AY41" s="6"/>
      <c r="AZ41" s="6"/>
      <c r="BA41" s="6"/>
      <c r="BB41" s="6"/>
      <c r="BC41" s="6"/>
      <c r="BD41" s="6">
        <v>1</v>
      </c>
      <c r="BE41" s="6">
        <v>30</v>
      </c>
      <c r="BF41" s="6"/>
      <c r="BG41" s="6"/>
      <c r="BH41" s="6"/>
      <c r="BI41" s="6"/>
      <c r="BJ41" s="6"/>
      <c r="BK41" s="6"/>
      <c r="BL41" s="6"/>
      <c r="BM41" s="6"/>
      <c r="BN41" s="6"/>
      <c r="BO41" s="6"/>
      <c r="BP41" s="6"/>
      <c r="BQ41" s="6"/>
      <c r="BR41" s="6"/>
      <c r="BS41" s="6"/>
      <c r="BT41" s="6">
        <v>1</v>
      </c>
      <c r="BU41" s="6">
        <v>10</v>
      </c>
      <c r="BV41" s="8">
        <f t="shared" si="0"/>
        <v>41</v>
      </c>
      <c r="BW41" s="8">
        <f t="shared" si="0"/>
        <v>16934</v>
      </c>
      <c r="BX41" s="52"/>
      <c r="BY41" s="52"/>
      <c r="BZ41" s="52"/>
    </row>
    <row r="42" spans="1:78" s="27" customFormat="1">
      <c r="A42" s="5" t="s">
        <v>77</v>
      </c>
      <c r="B42" s="6">
        <v>4</v>
      </c>
      <c r="C42" s="6">
        <v>277</v>
      </c>
      <c r="D42" s="6">
        <v>4</v>
      </c>
      <c r="E42" s="6">
        <v>336</v>
      </c>
      <c r="F42" s="6">
        <v>5</v>
      </c>
      <c r="G42" s="6">
        <v>462</v>
      </c>
      <c r="H42" s="6">
        <v>1</v>
      </c>
      <c r="I42" s="6">
        <v>146</v>
      </c>
      <c r="J42" s="6">
        <v>6</v>
      </c>
      <c r="K42" s="6">
        <v>225</v>
      </c>
      <c r="L42" s="6">
        <v>1</v>
      </c>
      <c r="M42" s="6">
        <v>18</v>
      </c>
      <c r="N42" s="6">
        <v>4</v>
      </c>
      <c r="O42" s="6">
        <v>49</v>
      </c>
      <c r="P42" s="6">
        <v>5</v>
      </c>
      <c r="Q42" s="6">
        <v>181</v>
      </c>
      <c r="R42" s="6"/>
      <c r="S42" s="6"/>
      <c r="T42" s="6">
        <v>1</v>
      </c>
      <c r="U42" s="6">
        <v>12</v>
      </c>
      <c r="V42" s="6">
        <v>2</v>
      </c>
      <c r="W42" s="6">
        <v>127</v>
      </c>
      <c r="X42" s="6">
        <v>13</v>
      </c>
      <c r="Y42" s="6">
        <v>1501</v>
      </c>
      <c r="Z42" s="6">
        <v>33</v>
      </c>
      <c r="AA42" s="6">
        <v>7616</v>
      </c>
      <c r="AB42" s="6">
        <v>2</v>
      </c>
      <c r="AC42" s="6">
        <v>803</v>
      </c>
      <c r="AD42" s="6">
        <v>93</v>
      </c>
      <c r="AE42" s="6">
        <v>25946</v>
      </c>
      <c r="AF42" s="6">
        <v>15</v>
      </c>
      <c r="AG42" s="6">
        <v>3357</v>
      </c>
      <c r="AH42" s="6">
        <v>25</v>
      </c>
      <c r="AI42" s="6">
        <v>4270</v>
      </c>
      <c r="AJ42" s="6">
        <v>5</v>
      </c>
      <c r="AK42" s="6">
        <v>542</v>
      </c>
      <c r="AL42" s="6"/>
      <c r="AM42" s="6"/>
      <c r="AN42" s="6">
        <v>5</v>
      </c>
      <c r="AO42" s="6">
        <v>463</v>
      </c>
      <c r="AP42" s="6">
        <v>1</v>
      </c>
      <c r="AQ42" s="6">
        <v>67</v>
      </c>
      <c r="AR42" s="6"/>
      <c r="AS42" s="6"/>
      <c r="AT42" s="6">
        <v>12</v>
      </c>
      <c r="AU42" s="6">
        <v>3486</v>
      </c>
      <c r="AV42" s="6"/>
      <c r="AW42" s="6"/>
      <c r="AX42" s="6">
        <v>1</v>
      </c>
      <c r="AY42" s="6">
        <v>405</v>
      </c>
      <c r="AZ42" s="6"/>
      <c r="BA42" s="6"/>
      <c r="BB42" s="6"/>
      <c r="BC42" s="6"/>
      <c r="BD42" s="6">
        <v>1</v>
      </c>
      <c r="BE42" s="6">
        <v>41</v>
      </c>
      <c r="BF42" s="6">
        <v>4</v>
      </c>
      <c r="BG42" s="6">
        <v>122</v>
      </c>
      <c r="BH42" s="6">
        <v>1</v>
      </c>
      <c r="BI42" s="6">
        <v>48</v>
      </c>
      <c r="BJ42" s="6"/>
      <c r="BK42" s="6"/>
      <c r="BL42" s="6">
        <v>15</v>
      </c>
      <c r="BM42" s="6">
        <v>618</v>
      </c>
      <c r="BN42" s="6">
        <v>4</v>
      </c>
      <c r="BO42" s="6">
        <v>173</v>
      </c>
      <c r="BP42" s="6"/>
      <c r="BQ42" s="6"/>
      <c r="BR42" s="6"/>
      <c r="BS42" s="6"/>
      <c r="BT42" s="6">
        <v>36</v>
      </c>
      <c r="BU42" s="6">
        <v>618</v>
      </c>
      <c r="BV42" s="8">
        <f t="shared" si="0"/>
        <v>299</v>
      </c>
      <c r="BW42" s="8">
        <f t="shared" si="0"/>
        <v>51909</v>
      </c>
      <c r="BX42" s="52"/>
      <c r="BY42" s="52"/>
      <c r="BZ42" s="52"/>
    </row>
    <row r="43" spans="1:78" s="27" customFormat="1">
      <c r="A43" s="5" t="s">
        <v>78</v>
      </c>
      <c r="B43" s="6"/>
      <c r="C43" s="6"/>
      <c r="D43" s="6"/>
      <c r="E43" s="6"/>
      <c r="F43" s="6"/>
      <c r="G43" s="6"/>
      <c r="H43" s="6"/>
      <c r="I43" s="6"/>
      <c r="J43" s="6"/>
      <c r="K43" s="6"/>
      <c r="L43" s="6"/>
      <c r="M43" s="6"/>
      <c r="N43" s="6">
        <v>5</v>
      </c>
      <c r="O43" s="6">
        <v>96</v>
      </c>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v>2</v>
      </c>
      <c r="BU43" s="6">
        <v>35</v>
      </c>
      <c r="BV43" s="8">
        <f t="shared" si="0"/>
        <v>7</v>
      </c>
      <c r="BW43" s="8">
        <f t="shared" si="0"/>
        <v>131</v>
      </c>
      <c r="BX43" s="52"/>
      <c r="BY43" s="52"/>
      <c r="BZ43" s="52"/>
    </row>
    <row r="44" spans="1:78" s="27" customFormat="1">
      <c r="A44" s="5" t="s">
        <v>178</v>
      </c>
      <c r="B44" s="6"/>
      <c r="C44" s="6"/>
      <c r="D44" s="6"/>
      <c r="E44" s="6"/>
      <c r="F44" s="6"/>
      <c r="G44" s="6"/>
      <c r="H44" s="6"/>
      <c r="I44" s="6"/>
      <c r="J44" s="6"/>
      <c r="K44" s="6"/>
      <c r="L44" s="6"/>
      <c r="M44" s="6"/>
      <c r="N44" s="6">
        <v>3</v>
      </c>
      <c r="O44" s="6">
        <v>76</v>
      </c>
      <c r="P44" s="6"/>
      <c r="Q44" s="6"/>
      <c r="R44" s="6"/>
      <c r="S44" s="6"/>
      <c r="T44" s="6">
        <v>1</v>
      </c>
      <c r="U44" s="6">
        <v>11</v>
      </c>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v>2</v>
      </c>
      <c r="BU44" s="6">
        <v>26</v>
      </c>
      <c r="BV44" s="8">
        <f t="shared" si="0"/>
        <v>6</v>
      </c>
      <c r="BW44" s="8">
        <f t="shared" si="0"/>
        <v>113</v>
      </c>
      <c r="BX44" s="52"/>
      <c r="BY44" s="52"/>
      <c r="BZ44" s="52"/>
    </row>
    <row r="45" spans="1:78" s="27" customFormat="1">
      <c r="A45" s="5" t="s">
        <v>79</v>
      </c>
      <c r="B45" s="6">
        <v>4</v>
      </c>
      <c r="C45" s="6">
        <v>172</v>
      </c>
      <c r="D45" s="6">
        <v>8</v>
      </c>
      <c r="E45" s="6">
        <v>397</v>
      </c>
      <c r="F45" s="6">
        <v>13</v>
      </c>
      <c r="G45" s="6">
        <v>884</v>
      </c>
      <c r="H45" s="6">
        <v>2</v>
      </c>
      <c r="I45" s="6">
        <v>177</v>
      </c>
      <c r="J45" s="6">
        <v>2</v>
      </c>
      <c r="K45" s="6">
        <v>286</v>
      </c>
      <c r="L45" s="6"/>
      <c r="M45" s="6"/>
      <c r="N45" s="6">
        <v>9</v>
      </c>
      <c r="O45" s="6">
        <v>164</v>
      </c>
      <c r="P45" s="6"/>
      <c r="Q45" s="6"/>
      <c r="R45" s="6"/>
      <c r="S45" s="6"/>
      <c r="T45" s="6"/>
      <c r="U45" s="6"/>
      <c r="V45" s="6"/>
      <c r="W45" s="6"/>
      <c r="X45" s="6"/>
      <c r="Y45" s="6"/>
      <c r="Z45" s="6">
        <v>10</v>
      </c>
      <c r="AA45" s="6">
        <v>1404</v>
      </c>
      <c r="AB45" s="6">
        <v>1</v>
      </c>
      <c r="AC45" s="6">
        <v>56</v>
      </c>
      <c r="AD45" s="6">
        <v>12</v>
      </c>
      <c r="AE45" s="6">
        <v>1321</v>
      </c>
      <c r="AF45" s="6">
        <v>2</v>
      </c>
      <c r="AG45" s="6">
        <v>448</v>
      </c>
      <c r="AH45" s="6">
        <v>5</v>
      </c>
      <c r="AI45" s="6">
        <v>414</v>
      </c>
      <c r="AJ45" s="6"/>
      <c r="AK45" s="6"/>
      <c r="AL45" s="6"/>
      <c r="AM45" s="6"/>
      <c r="AN45" s="6"/>
      <c r="AO45" s="6"/>
      <c r="AP45" s="6">
        <v>1</v>
      </c>
      <c r="AQ45" s="6">
        <v>176</v>
      </c>
      <c r="AR45" s="6"/>
      <c r="AS45" s="6"/>
      <c r="AT45" s="6">
        <v>6</v>
      </c>
      <c r="AU45" s="6">
        <v>1405</v>
      </c>
      <c r="AV45" s="6"/>
      <c r="AW45" s="6"/>
      <c r="AX45" s="6"/>
      <c r="AY45" s="6"/>
      <c r="AZ45" s="6"/>
      <c r="BA45" s="6"/>
      <c r="BB45" s="6"/>
      <c r="BC45" s="6"/>
      <c r="BD45" s="6"/>
      <c r="BE45" s="6"/>
      <c r="BF45" s="6"/>
      <c r="BG45" s="6"/>
      <c r="BH45" s="6">
        <v>1</v>
      </c>
      <c r="BI45" s="6">
        <v>34</v>
      </c>
      <c r="BJ45" s="6"/>
      <c r="BK45" s="6"/>
      <c r="BL45" s="6">
        <v>1</v>
      </c>
      <c r="BM45" s="6">
        <v>48</v>
      </c>
      <c r="BN45" s="6"/>
      <c r="BO45" s="6"/>
      <c r="BP45" s="6"/>
      <c r="BQ45" s="6"/>
      <c r="BR45" s="6">
        <v>1</v>
      </c>
      <c r="BS45" s="6">
        <v>23</v>
      </c>
      <c r="BT45" s="6">
        <v>4</v>
      </c>
      <c r="BU45" s="6">
        <v>65</v>
      </c>
      <c r="BV45" s="8">
        <f t="shared" si="0"/>
        <v>82</v>
      </c>
      <c r="BW45" s="8">
        <f t="shared" si="0"/>
        <v>7474</v>
      </c>
      <c r="BX45" s="52"/>
      <c r="BY45" s="52"/>
      <c r="BZ45" s="52"/>
    </row>
    <row r="46" spans="1:78" s="27" customFormat="1">
      <c r="A46" s="5" t="s">
        <v>80</v>
      </c>
      <c r="B46" s="6"/>
      <c r="C46" s="6"/>
      <c r="D46" s="6"/>
      <c r="E46" s="6"/>
      <c r="F46" s="6"/>
      <c r="G46" s="6"/>
      <c r="H46" s="6"/>
      <c r="I46" s="6"/>
      <c r="J46" s="6"/>
      <c r="K46" s="6"/>
      <c r="L46" s="6"/>
      <c r="M46" s="6"/>
      <c r="N46" s="6">
        <v>8</v>
      </c>
      <c r="O46" s="6">
        <v>120</v>
      </c>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v>2</v>
      </c>
      <c r="BE46" s="6">
        <v>116</v>
      </c>
      <c r="BF46" s="6"/>
      <c r="BG46" s="6"/>
      <c r="BH46" s="6"/>
      <c r="BI46" s="6"/>
      <c r="BJ46" s="6"/>
      <c r="BK46" s="6"/>
      <c r="BL46" s="6"/>
      <c r="BM46" s="6"/>
      <c r="BN46" s="6"/>
      <c r="BO46" s="6"/>
      <c r="BP46" s="6"/>
      <c r="BQ46" s="6"/>
      <c r="BR46" s="6"/>
      <c r="BS46" s="6"/>
      <c r="BT46" s="6">
        <v>1</v>
      </c>
      <c r="BU46" s="6">
        <v>18</v>
      </c>
      <c r="BV46" s="8">
        <f t="shared" si="0"/>
        <v>11</v>
      </c>
      <c r="BW46" s="8">
        <f t="shared" si="0"/>
        <v>254</v>
      </c>
      <c r="BX46" s="52"/>
      <c r="BY46" s="52"/>
      <c r="BZ46" s="52"/>
    </row>
    <row r="47" spans="1:78" s="27" customFormat="1">
      <c r="A47" s="5" t="s">
        <v>81</v>
      </c>
      <c r="B47" s="6"/>
      <c r="C47" s="6"/>
      <c r="D47" s="6"/>
      <c r="E47" s="6"/>
      <c r="F47" s="6">
        <v>1</v>
      </c>
      <c r="G47" s="6">
        <v>25</v>
      </c>
      <c r="H47" s="6"/>
      <c r="I47" s="6"/>
      <c r="J47" s="6"/>
      <c r="K47" s="6"/>
      <c r="L47" s="6"/>
      <c r="M47" s="6"/>
      <c r="N47" s="6">
        <v>3</v>
      </c>
      <c r="O47" s="6">
        <v>50</v>
      </c>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v>2</v>
      </c>
      <c r="BE47" s="6">
        <v>111</v>
      </c>
      <c r="BF47" s="6"/>
      <c r="BG47" s="6"/>
      <c r="BH47" s="6"/>
      <c r="BI47" s="6"/>
      <c r="BJ47" s="6"/>
      <c r="BK47" s="6"/>
      <c r="BL47" s="6"/>
      <c r="BM47" s="6"/>
      <c r="BN47" s="6"/>
      <c r="BO47" s="6"/>
      <c r="BP47" s="6"/>
      <c r="BQ47" s="6"/>
      <c r="BR47" s="6"/>
      <c r="BS47" s="6"/>
      <c r="BT47" s="6"/>
      <c r="BU47" s="6"/>
      <c r="BV47" s="8">
        <f t="shared" si="0"/>
        <v>6</v>
      </c>
      <c r="BW47" s="8">
        <f t="shared" si="0"/>
        <v>186</v>
      </c>
      <c r="BX47" s="52"/>
      <c r="BY47" s="52"/>
      <c r="BZ47" s="52"/>
    </row>
    <row r="48" spans="1:78" s="27" customFormat="1">
      <c r="A48" s="5" t="s">
        <v>179</v>
      </c>
      <c r="B48" s="6">
        <v>6</v>
      </c>
      <c r="C48" s="6">
        <v>222</v>
      </c>
      <c r="D48" s="6">
        <v>2</v>
      </c>
      <c r="E48" s="6">
        <v>75</v>
      </c>
      <c r="F48" s="6">
        <v>3</v>
      </c>
      <c r="G48" s="6">
        <v>109</v>
      </c>
      <c r="H48" s="6"/>
      <c r="I48" s="6"/>
      <c r="J48" s="6">
        <v>2</v>
      </c>
      <c r="K48" s="6">
        <v>82</v>
      </c>
      <c r="L48" s="6"/>
      <c r="M48" s="6"/>
      <c r="N48" s="6">
        <v>3</v>
      </c>
      <c r="O48" s="6">
        <v>50</v>
      </c>
      <c r="P48" s="6"/>
      <c r="Q48" s="6"/>
      <c r="R48" s="6"/>
      <c r="S48" s="6"/>
      <c r="T48" s="6"/>
      <c r="U48" s="6"/>
      <c r="V48" s="6"/>
      <c r="W48" s="6"/>
      <c r="X48" s="6"/>
      <c r="Y48" s="6"/>
      <c r="Z48" s="6">
        <v>5</v>
      </c>
      <c r="AA48" s="6">
        <v>1118</v>
      </c>
      <c r="AB48" s="6"/>
      <c r="AC48" s="6"/>
      <c r="AD48" s="6">
        <v>5</v>
      </c>
      <c r="AE48" s="6">
        <v>1583</v>
      </c>
      <c r="AF48" s="6">
        <v>2</v>
      </c>
      <c r="AG48" s="6">
        <v>253</v>
      </c>
      <c r="AH48" s="6">
        <v>2</v>
      </c>
      <c r="AI48" s="6">
        <v>342</v>
      </c>
      <c r="AJ48" s="6"/>
      <c r="AK48" s="6"/>
      <c r="AL48" s="6"/>
      <c r="AM48" s="6"/>
      <c r="AN48" s="6"/>
      <c r="AO48" s="6"/>
      <c r="AP48" s="6"/>
      <c r="AQ48" s="6"/>
      <c r="AR48" s="6"/>
      <c r="AS48" s="6"/>
      <c r="AT48" s="6">
        <v>1</v>
      </c>
      <c r="AU48" s="6">
        <v>156</v>
      </c>
      <c r="AV48" s="6"/>
      <c r="AW48" s="6"/>
      <c r="AX48" s="6"/>
      <c r="AY48" s="6"/>
      <c r="AZ48" s="6"/>
      <c r="BA48" s="6"/>
      <c r="BB48" s="6"/>
      <c r="BC48" s="6"/>
      <c r="BD48" s="6">
        <v>1</v>
      </c>
      <c r="BE48" s="6">
        <v>34</v>
      </c>
      <c r="BF48" s="6">
        <v>2</v>
      </c>
      <c r="BG48" s="6">
        <v>49</v>
      </c>
      <c r="BH48" s="6">
        <v>1</v>
      </c>
      <c r="BI48" s="6">
        <v>15</v>
      </c>
      <c r="BJ48" s="6"/>
      <c r="BK48" s="6"/>
      <c r="BL48" s="6"/>
      <c r="BM48" s="6"/>
      <c r="BN48" s="6"/>
      <c r="BO48" s="6"/>
      <c r="BP48" s="6"/>
      <c r="BQ48" s="6"/>
      <c r="BR48" s="6"/>
      <c r="BS48" s="6"/>
      <c r="BT48" s="6">
        <v>1</v>
      </c>
      <c r="BU48" s="6">
        <v>10</v>
      </c>
      <c r="BV48" s="8">
        <f t="shared" si="0"/>
        <v>36</v>
      </c>
      <c r="BW48" s="8">
        <f t="shared" si="0"/>
        <v>4098</v>
      </c>
      <c r="BX48" s="52"/>
      <c r="BY48" s="52"/>
      <c r="BZ48" s="52"/>
    </row>
    <row r="49" spans="1:143" s="27" customFormat="1">
      <c r="A49" s="5" t="s">
        <v>261</v>
      </c>
      <c r="B49" s="6"/>
      <c r="C49" s="6"/>
      <c r="D49" s="6"/>
      <c r="E49" s="6"/>
      <c r="F49" s="6"/>
      <c r="G49" s="6"/>
      <c r="H49" s="6"/>
      <c r="I49" s="6"/>
      <c r="J49" s="6"/>
      <c r="K49" s="6"/>
      <c r="L49" s="6"/>
      <c r="M49" s="6"/>
      <c r="N49" s="6">
        <v>3</v>
      </c>
      <c r="O49" s="6">
        <v>80</v>
      </c>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8">
        <f t="shared" si="0"/>
        <v>3</v>
      </c>
      <c r="BW49" s="8">
        <f t="shared" si="0"/>
        <v>80</v>
      </c>
      <c r="BX49" s="52"/>
      <c r="BY49" s="52"/>
      <c r="BZ49" s="52"/>
    </row>
    <row r="50" spans="1:143" s="27" customFormat="1">
      <c r="A50" s="5" t="s">
        <v>180</v>
      </c>
      <c r="B50" s="6">
        <v>1</v>
      </c>
      <c r="C50" s="6">
        <v>55</v>
      </c>
      <c r="D50" s="6">
        <v>6</v>
      </c>
      <c r="E50" s="6">
        <v>450</v>
      </c>
      <c r="F50" s="6">
        <v>6</v>
      </c>
      <c r="G50" s="6">
        <v>444</v>
      </c>
      <c r="H50" s="6"/>
      <c r="I50" s="6"/>
      <c r="J50" s="6"/>
      <c r="K50" s="6"/>
      <c r="L50" s="6"/>
      <c r="M50" s="6"/>
      <c r="N50" s="6">
        <v>10</v>
      </c>
      <c r="O50" s="6">
        <v>256</v>
      </c>
      <c r="P50" s="6">
        <v>2</v>
      </c>
      <c r="Q50" s="6">
        <v>108</v>
      </c>
      <c r="R50" s="6"/>
      <c r="S50" s="6"/>
      <c r="T50" s="6"/>
      <c r="U50" s="6"/>
      <c r="V50" s="6"/>
      <c r="W50" s="6"/>
      <c r="X50" s="6">
        <v>3</v>
      </c>
      <c r="Y50" s="6">
        <v>544</v>
      </c>
      <c r="Z50" s="6">
        <v>11</v>
      </c>
      <c r="AA50" s="6">
        <v>2364</v>
      </c>
      <c r="AB50" s="6"/>
      <c r="AC50" s="6"/>
      <c r="AD50" s="6">
        <v>22</v>
      </c>
      <c r="AE50" s="6">
        <v>7699</v>
      </c>
      <c r="AF50" s="6">
        <v>2</v>
      </c>
      <c r="AG50" s="6">
        <v>673</v>
      </c>
      <c r="AH50" s="6">
        <v>4</v>
      </c>
      <c r="AI50" s="6">
        <v>1306</v>
      </c>
      <c r="AJ50" s="6"/>
      <c r="AK50" s="6"/>
      <c r="AL50" s="6"/>
      <c r="AM50" s="6"/>
      <c r="AN50" s="6">
        <v>1</v>
      </c>
      <c r="AO50" s="6">
        <v>248</v>
      </c>
      <c r="AP50" s="6">
        <v>5</v>
      </c>
      <c r="AQ50" s="6">
        <v>2717</v>
      </c>
      <c r="AR50" s="6"/>
      <c r="AS50" s="6"/>
      <c r="AT50" s="6">
        <v>18</v>
      </c>
      <c r="AU50" s="6">
        <v>9384</v>
      </c>
      <c r="AV50" s="6"/>
      <c r="AW50" s="6"/>
      <c r="AX50" s="6"/>
      <c r="AY50" s="6"/>
      <c r="AZ50" s="6"/>
      <c r="BA50" s="6"/>
      <c r="BB50" s="6"/>
      <c r="BC50" s="6"/>
      <c r="BD50" s="6">
        <v>1</v>
      </c>
      <c r="BE50" s="6">
        <v>104</v>
      </c>
      <c r="BF50" s="6"/>
      <c r="BG50" s="6"/>
      <c r="BH50" s="6">
        <v>2</v>
      </c>
      <c r="BI50" s="6">
        <v>111</v>
      </c>
      <c r="BJ50" s="6"/>
      <c r="BK50" s="6"/>
      <c r="BL50" s="6"/>
      <c r="BM50" s="6"/>
      <c r="BN50" s="6"/>
      <c r="BO50" s="6"/>
      <c r="BP50" s="6"/>
      <c r="BQ50" s="6"/>
      <c r="BR50" s="6"/>
      <c r="BS50" s="6"/>
      <c r="BT50" s="6">
        <v>2</v>
      </c>
      <c r="BU50" s="6">
        <v>24</v>
      </c>
      <c r="BV50" s="8">
        <f t="shared" si="0"/>
        <v>96</v>
      </c>
      <c r="BW50" s="8">
        <f t="shared" si="0"/>
        <v>26487</v>
      </c>
      <c r="BX50" s="52"/>
      <c r="BY50" s="52"/>
      <c r="BZ50" s="52"/>
    </row>
    <row r="51" spans="1:143" s="27" customFormat="1">
      <c r="A51" s="5" t="s">
        <v>84</v>
      </c>
      <c r="B51" s="6"/>
      <c r="C51" s="6"/>
      <c r="D51" s="6"/>
      <c r="E51" s="6"/>
      <c r="F51" s="6"/>
      <c r="G51" s="6"/>
      <c r="H51" s="6"/>
      <c r="I51" s="6"/>
      <c r="J51" s="6"/>
      <c r="K51" s="6"/>
      <c r="L51" s="6"/>
      <c r="M51" s="6"/>
      <c r="N51" s="6">
        <v>1</v>
      </c>
      <c r="O51" s="6">
        <v>12</v>
      </c>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8">
        <f t="shared" si="0"/>
        <v>1</v>
      </c>
      <c r="BW51" s="8">
        <f t="shared" si="0"/>
        <v>12</v>
      </c>
      <c r="BX51" s="52"/>
      <c r="BY51" s="52"/>
      <c r="BZ51" s="52"/>
    </row>
    <row r="52" spans="1:143" s="27" customFormat="1">
      <c r="A52" s="5" t="s">
        <v>85</v>
      </c>
      <c r="B52" s="6">
        <v>3</v>
      </c>
      <c r="C52" s="6">
        <v>178</v>
      </c>
      <c r="D52" s="6">
        <v>3</v>
      </c>
      <c r="E52" s="6">
        <v>152</v>
      </c>
      <c r="F52" s="6">
        <v>4</v>
      </c>
      <c r="G52" s="6">
        <v>199</v>
      </c>
      <c r="H52" s="6"/>
      <c r="I52" s="6"/>
      <c r="J52" s="6"/>
      <c r="K52" s="6"/>
      <c r="L52" s="6"/>
      <c r="M52" s="6"/>
      <c r="N52" s="6">
        <v>7</v>
      </c>
      <c r="O52" s="6">
        <v>165</v>
      </c>
      <c r="P52" s="6"/>
      <c r="Q52" s="6"/>
      <c r="R52" s="6"/>
      <c r="S52" s="6"/>
      <c r="T52" s="6"/>
      <c r="U52" s="6"/>
      <c r="V52" s="6">
        <v>1</v>
      </c>
      <c r="W52" s="6">
        <v>117</v>
      </c>
      <c r="X52" s="6">
        <v>4</v>
      </c>
      <c r="Y52" s="6">
        <v>287</v>
      </c>
      <c r="Z52" s="6">
        <v>10</v>
      </c>
      <c r="AA52" s="6">
        <v>2503</v>
      </c>
      <c r="AB52" s="6">
        <v>1</v>
      </c>
      <c r="AC52" s="6">
        <v>329</v>
      </c>
      <c r="AD52" s="6">
        <v>10</v>
      </c>
      <c r="AE52" s="6">
        <v>3538</v>
      </c>
      <c r="AF52" s="6"/>
      <c r="AG52" s="6"/>
      <c r="AH52" s="6"/>
      <c r="AI52" s="6"/>
      <c r="AJ52" s="6"/>
      <c r="AK52" s="6"/>
      <c r="AL52" s="6"/>
      <c r="AM52" s="6"/>
      <c r="AN52" s="6"/>
      <c r="AO52" s="6"/>
      <c r="AP52" s="6">
        <v>1</v>
      </c>
      <c r="AQ52" s="6">
        <v>117</v>
      </c>
      <c r="AR52" s="6">
        <v>1</v>
      </c>
      <c r="AS52" s="6">
        <v>81</v>
      </c>
      <c r="AT52" s="6">
        <v>14</v>
      </c>
      <c r="AU52" s="6">
        <v>5712</v>
      </c>
      <c r="AV52" s="6"/>
      <c r="AW52" s="6"/>
      <c r="AX52" s="6"/>
      <c r="AY52" s="6"/>
      <c r="AZ52" s="6"/>
      <c r="BA52" s="6"/>
      <c r="BB52" s="6"/>
      <c r="BC52" s="6"/>
      <c r="BD52" s="6">
        <v>1</v>
      </c>
      <c r="BE52" s="6">
        <v>50</v>
      </c>
      <c r="BF52" s="6"/>
      <c r="BG52" s="6"/>
      <c r="BH52" s="6"/>
      <c r="BI52" s="6"/>
      <c r="BJ52" s="6"/>
      <c r="BK52" s="6"/>
      <c r="BL52" s="6">
        <v>1</v>
      </c>
      <c r="BM52" s="6">
        <v>48</v>
      </c>
      <c r="BN52" s="6"/>
      <c r="BO52" s="6"/>
      <c r="BP52" s="6"/>
      <c r="BQ52" s="6"/>
      <c r="BR52" s="6"/>
      <c r="BS52" s="6"/>
      <c r="BT52" s="6">
        <v>1</v>
      </c>
      <c r="BU52" s="6">
        <v>16</v>
      </c>
      <c r="BV52" s="8">
        <f t="shared" si="0"/>
        <v>62</v>
      </c>
      <c r="BW52" s="8">
        <f t="shared" si="0"/>
        <v>13492</v>
      </c>
      <c r="BX52" s="52"/>
      <c r="BY52" s="52"/>
      <c r="BZ52" s="52"/>
    </row>
    <row r="53" spans="1:143" s="27" customFormat="1">
      <c r="A53" s="5" t="s">
        <v>86</v>
      </c>
      <c r="B53" s="6"/>
      <c r="C53" s="6"/>
      <c r="D53" s="6"/>
      <c r="E53" s="6"/>
      <c r="F53" s="6"/>
      <c r="G53" s="6"/>
      <c r="H53" s="6"/>
      <c r="I53" s="6"/>
      <c r="J53" s="6"/>
      <c r="K53" s="6"/>
      <c r="L53" s="6"/>
      <c r="M53" s="6"/>
      <c r="N53" s="6">
        <v>6</v>
      </c>
      <c r="O53" s="6">
        <v>92</v>
      </c>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v>1</v>
      </c>
      <c r="BE53" s="6">
        <v>41</v>
      </c>
      <c r="BF53" s="6"/>
      <c r="BG53" s="6"/>
      <c r="BH53" s="6"/>
      <c r="BI53" s="6"/>
      <c r="BJ53" s="6"/>
      <c r="BK53" s="6"/>
      <c r="BL53" s="6"/>
      <c r="BM53" s="6"/>
      <c r="BN53" s="6"/>
      <c r="BO53" s="6"/>
      <c r="BP53" s="6"/>
      <c r="BQ53" s="6"/>
      <c r="BR53" s="6"/>
      <c r="BS53" s="6"/>
      <c r="BT53" s="6"/>
      <c r="BU53" s="6"/>
      <c r="BV53" s="8">
        <f t="shared" si="0"/>
        <v>7</v>
      </c>
      <c r="BW53" s="8">
        <f t="shared" si="0"/>
        <v>133</v>
      </c>
      <c r="BX53" s="52"/>
      <c r="BY53" s="52"/>
      <c r="BZ53" s="52"/>
    </row>
    <row r="54" spans="1:143" s="27" customFormat="1">
      <c r="A54" s="5" t="s">
        <v>87</v>
      </c>
      <c r="B54" s="6">
        <v>4</v>
      </c>
      <c r="C54" s="6">
        <v>103</v>
      </c>
      <c r="D54" s="6">
        <v>12</v>
      </c>
      <c r="E54" s="6">
        <v>1350</v>
      </c>
      <c r="F54" s="6">
        <v>11</v>
      </c>
      <c r="G54" s="6">
        <v>1478</v>
      </c>
      <c r="H54" s="6"/>
      <c r="I54" s="6"/>
      <c r="J54" s="6"/>
      <c r="K54" s="6"/>
      <c r="L54" s="6"/>
      <c r="M54" s="6"/>
      <c r="N54" s="6">
        <v>6</v>
      </c>
      <c r="O54" s="6">
        <v>126</v>
      </c>
      <c r="P54" s="6">
        <v>2</v>
      </c>
      <c r="Q54" s="6">
        <v>70</v>
      </c>
      <c r="R54" s="6"/>
      <c r="S54" s="6"/>
      <c r="T54" s="6">
        <v>2</v>
      </c>
      <c r="U54" s="6">
        <v>70</v>
      </c>
      <c r="V54" s="6">
        <v>2</v>
      </c>
      <c r="W54" s="6">
        <v>182</v>
      </c>
      <c r="X54" s="6">
        <v>4</v>
      </c>
      <c r="Y54" s="6">
        <v>231</v>
      </c>
      <c r="Z54" s="6">
        <v>12</v>
      </c>
      <c r="AA54" s="6">
        <v>2410</v>
      </c>
      <c r="AB54" s="6">
        <v>1</v>
      </c>
      <c r="AC54" s="6">
        <v>68</v>
      </c>
      <c r="AD54" s="6">
        <v>7</v>
      </c>
      <c r="AE54" s="6">
        <v>1762</v>
      </c>
      <c r="AF54" s="6">
        <v>2</v>
      </c>
      <c r="AG54" s="6">
        <v>445</v>
      </c>
      <c r="AH54" s="6">
        <v>1</v>
      </c>
      <c r="AI54" s="6">
        <v>64</v>
      </c>
      <c r="AJ54" s="6">
        <v>1</v>
      </c>
      <c r="AK54" s="6">
        <v>759</v>
      </c>
      <c r="AL54" s="6"/>
      <c r="AM54" s="6"/>
      <c r="AN54" s="6">
        <v>1</v>
      </c>
      <c r="AO54" s="6">
        <v>15</v>
      </c>
      <c r="AP54" s="6">
        <v>8</v>
      </c>
      <c r="AQ54" s="6">
        <v>2851</v>
      </c>
      <c r="AR54" s="6">
        <v>3</v>
      </c>
      <c r="AS54" s="6">
        <v>534</v>
      </c>
      <c r="AT54" s="6">
        <v>5</v>
      </c>
      <c r="AU54" s="6">
        <v>3390</v>
      </c>
      <c r="AV54" s="6">
        <v>1</v>
      </c>
      <c r="AW54" s="6">
        <v>378</v>
      </c>
      <c r="AX54" s="6">
        <v>1</v>
      </c>
      <c r="AY54" s="6">
        <v>106</v>
      </c>
      <c r="AZ54" s="6"/>
      <c r="BA54" s="6"/>
      <c r="BB54" s="6"/>
      <c r="BC54" s="6"/>
      <c r="BD54" s="6"/>
      <c r="BE54" s="6"/>
      <c r="BF54" s="6">
        <v>5</v>
      </c>
      <c r="BG54" s="6">
        <v>132</v>
      </c>
      <c r="BH54" s="6">
        <v>3</v>
      </c>
      <c r="BI54" s="6">
        <v>121</v>
      </c>
      <c r="BJ54" s="6"/>
      <c r="BK54" s="6"/>
      <c r="BL54" s="6">
        <v>6</v>
      </c>
      <c r="BM54" s="6">
        <v>195</v>
      </c>
      <c r="BN54" s="6">
        <v>4</v>
      </c>
      <c r="BO54" s="6">
        <v>105</v>
      </c>
      <c r="BP54" s="6"/>
      <c r="BQ54" s="6"/>
      <c r="BR54" s="6"/>
      <c r="BS54" s="6"/>
      <c r="BT54" s="6">
        <v>3</v>
      </c>
      <c r="BU54" s="6">
        <v>43</v>
      </c>
      <c r="BV54" s="8">
        <f t="shared" si="0"/>
        <v>107</v>
      </c>
      <c r="BW54" s="8">
        <f t="shared" si="0"/>
        <v>16988</v>
      </c>
      <c r="BX54" s="52"/>
      <c r="BY54" s="52"/>
      <c r="BZ54" s="52"/>
    </row>
    <row r="55" spans="1:143" s="27" customFormat="1">
      <c r="A55" s="5" t="s">
        <v>88</v>
      </c>
      <c r="B55" s="6"/>
      <c r="C55" s="6"/>
      <c r="D55" s="6"/>
      <c r="E55" s="6"/>
      <c r="F55" s="6"/>
      <c r="G55" s="6"/>
      <c r="H55" s="6"/>
      <c r="I55" s="6"/>
      <c r="J55" s="6"/>
      <c r="K55" s="6"/>
      <c r="L55" s="6"/>
      <c r="M55" s="6"/>
      <c r="N55" s="6">
        <v>10</v>
      </c>
      <c r="O55" s="6">
        <v>215</v>
      </c>
      <c r="P55" s="6"/>
      <c r="Q55" s="6"/>
      <c r="R55" s="6"/>
      <c r="S55" s="6"/>
      <c r="T55" s="6"/>
      <c r="U55" s="6"/>
      <c r="V55" s="6"/>
      <c r="W55" s="6"/>
      <c r="X55" s="6"/>
      <c r="Y55" s="6"/>
      <c r="Z55" s="6"/>
      <c r="AA55" s="6"/>
      <c r="AB55" s="6"/>
      <c r="AC55" s="6"/>
      <c r="AD55" s="6">
        <v>1</v>
      </c>
      <c r="AE55" s="6">
        <v>16</v>
      </c>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v>10</v>
      </c>
      <c r="BU55" s="6">
        <v>151</v>
      </c>
      <c r="BV55" s="8">
        <f t="shared" si="0"/>
        <v>21</v>
      </c>
      <c r="BW55" s="8">
        <f t="shared" si="0"/>
        <v>382</v>
      </c>
      <c r="BX55" s="52"/>
      <c r="BY55" s="52"/>
      <c r="BZ55" s="52"/>
    </row>
    <row r="56" spans="1:143" s="27" customFormat="1">
      <c r="A56" s="5" t="s">
        <v>89</v>
      </c>
      <c r="B56" s="6"/>
      <c r="C56" s="6"/>
      <c r="D56" s="6"/>
      <c r="E56" s="6"/>
      <c r="F56" s="6"/>
      <c r="G56" s="6"/>
      <c r="H56" s="6"/>
      <c r="I56" s="6"/>
      <c r="J56" s="6"/>
      <c r="K56" s="6"/>
      <c r="L56" s="6"/>
      <c r="M56" s="6"/>
      <c r="N56" s="6">
        <v>6</v>
      </c>
      <c r="O56" s="6">
        <v>90</v>
      </c>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v>1</v>
      </c>
      <c r="BE56" s="6">
        <v>39</v>
      </c>
      <c r="BF56" s="6"/>
      <c r="BG56" s="6"/>
      <c r="BH56" s="6"/>
      <c r="BI56" s="6"/>
      <c r="BJ56" s="6"/>
      <c r="BK56" s="6"/>
      <c r="BL56" s="6"/>
      <c r="BM56" s="6"/>
      <c r="BN56" s="6"/>
      <c r="BO56" s="6"/>
      <c r="BP56" s="6"/>
      <c r="BQ56" s="6"/>
      <c r="BR56" s="6"/>
      <c r="BS56" s="6"/>
      <c r="BT56" s="6">
        <v>2</v>
      </c>
      <c r="BU56" s="6">
        <v>24</v>
      </c>
      <c r="BV56" s="8">
        <f t="shared" si="0"/>
        <v>9</v>
      </c>
      <c r="BW56" s="8">
        <f t="shared" si="0"/>
        <v>153</v>
      </c>
      <c r="BX56" s="52"/>
      <c r="BY56" s="52"/>
      <c r="BZ56" s="52"/>
    </row>
    <row r="57" spans="1:143" s="27" customFormat="1">
      <c r="A57" s="5" t="s">
        <v>91</v>
      </c>
      <c r="B57" s="6"/>
      <c r="C57" s="6"/>
      <c r="D57" s="6"/>
      <c r="E57" s="6"/>
      <c r="F57" s="6"/>
      <c r="G57" s="6"/>
      <c r="H57" s="6"/>
      <c r="I57" s="6"/>
      <c r="J57" s="6"/>
      <c r="K57" s="6"/>
      <c r="L57" s="6"/>
      <c r="M57" s="6"/>
      <c r="N57" s="6">
        <v>1</v>
      </c>
      <c r="O57" s="6">
        <v>24</v>
      </c>
      <c r="P57" s="6"/>
      <c r="Q57" s="6"/>
      <c r="R57" s="6"/>
      <c r="S57" s="6"/>
      <c r="T57" s="6"/>
      <c r="U57" s="6"/>
      <c r="V57" s="6"/>
      <c r="W57" s="6"/>
      <c r="X57" s="6"/>
      <c r="Y57" s="6"/>
      <c r="Z57" s="6"/>
      <c r="AA57" s="6"/>
      <c r="AB57" s="6"/>
      <c r="AC57" s="6"/>
      <c r="AD57" s="6">
        <v>1</v>
      </c>
      <c r="AE57" s="6">
        <v>16</v>
      </c>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v>8</v>
      </c>
      <c r="BU57" s="6">
        <v>109</v>
      </c>
      <c r="BV57" s="8">
        <f t="shared" si="0"/>
        <v>10</v>
      </c>
      <c r="BW57" s="8">
        <f t="shared" si="0"/>
        <v>149</v>
      </c>
      <c r="BX57" s="52"/>
      <c r="BY57" s="52"/>
      <c r="BZ57" s="52"/>
    </row>
    <row r="58" spans="1:143" s="27" customFormat="1">
      <c r="A58" s="5" t="s">
        <v>92</v>
      </c>
      <c r="B58" s="6"/>
      <c r="C58" s="6"/>
      <c r="D58" s="6"/>
      <c r="E58" s="6"/>
      <c r="F58" s="6"/>
      <c r="G58" s="6"/>
      <c r="H58" s="6">
        <v>1</v>
      </c>
      <c r="I58" s="6">
        <v>82</v>
      </c>
      <c r="J58" s="6">
        <v>1</v>
      </c>
      <c r="K58" s="6">
        <v>39</v>
      </c>
      <c r="L58" s="6"/>
      <c r="M58" s="6"/>
      <c r="N58" s="6">
        <v>11</v>
      </c>
      <c r="O58" s="6">
        <v>211</v>
      </c>
      <c r="P58" s="6">
        <v>1</v>
      </c>
      <c r="Q58" s="6">
        <v>15</v>
      </c>
      <c r="R58" s="6"/>
      <c r="S58" s="6"/>
      <c r="T58" s="6"/>
      <c r="U58" s="6"/>
      <c r="V58" s="6">
        <v>1</v>
      </c>
      <c r="W58" s="6">
        <v>85</v>
      </c>
      <c r="X58" s="6">
        <v>1</v>
      </c>
      <c r="Y58" s="6">
        <v>72</v>
      </c>
      <c r="Z58" s="6">
        <v>1</v>
      </c>
      <c r="AA58" s="6">
        <v>207</v>
      </c>
      <c r="AB58" s="6"/>
      <c r="AC58" s="6"/>
      <c r="AD58" s="6">
        <v>8</v>
      </c>
      <c r="AE58" s="6">
        <v>1263</v>
      </c>
      <c r="AF58" s="6">
        <v>3</v>
      </c>
      <c r="AG58" s="6">
        <v>349</v>
      </c>
      <c r="AH58" s="6">
        <v>1</v>
      </c>
      <c r="AI58" s="6">
        <v>74</v>
      </c>
      <c r="AJ58" s="6">
        <v>1</v>
      </c>
      <c r="AK58" s="6">
        <v>246</v>
      </c>
      <c r="AL58" s="6"/>
      <c r="AM58" s="6"/>
      <c r="AN58" s="6"/>
      <c r="AO58" s="6"/>
      <c r="AP58" s="6"/>
      <c r="AQ58" s="6"/>
      <c r="AR58" s="6"/>
      <c r="AS58" s="6"/>
      <c r="AT58" s="6">
        <v>1</v>
      </c>
      <c r="AU58" s="6">
        <v>208</v>
      </c>
      <c r="AV58" s="6"/>
      <c r="AW58" s="6"/>
      <c r="AX58" s="6"/>
      <c r="AY58" s="6"/>
      <c r="AZ58" s="6"/>
      <c r="BA58" s="6"/>
      <c r="BB58" s="6"/>
      <c r="BC58" s="6"/>
      <c r="BD58" s="6">
        <v>1</v>
      </c>
      <c r="BE58" s="6">
        <v>64</v>
      </c>
      <c r="BF58" s="6">
        <v>2</v>
      </c>
      <c r="BG58" s="6">
        <v>86</v>
      </c>
      <c r="BH58" s="6">
        <v>1</v>
      </c>
      <c r="BI58" s="6">
        <v>50</v>
      </c>
      <c r="BJ58" s="6"/>
      <c r="BK58" s="6"/>
      <c r="BL58" s="6"/>
      <c r="BM58" s="6"/>
      <c r="BN58" s="6"/>
      <c r="BO58" s="6"/>
      <c r="BP58" s="6"/>
      <c r="BQ58" s="6"/>
      <c r="BR58" s="6"/>
      <c r="BS58" s="6"/>
      <c r="BT58" s="6">
        <v>25</v>
      </c>
      <c r="BU58" s="6">
        <v>417</v>
      </c>
      <c r="BV58" s="8">
        <f t="shared" si="0"/>
        <v>60</v>
      </c>
      <c r="BW58" s="8">
        <f t="shared" si="0"/>
        <v>3468</v>
      </c>
      <c r="BX58" s="52"/>
      <c r="BY58" s="52"/>
      <c r="BZ58" s="52"/>
    </row>
    <row r="59" spans="1:143" s="27" customFormat="1">
      <c r="A59" s="5" t="s">
        <v>93</v>
      </c>
      <c r="B59" s="6">
        <v>8</v>
      </c>
      <c r="C59" s="6">
        <v>374</v>
      </c>
      <c r="D59" s="6">
        <v>8</v>
      </c>
      <c r="E59" s="6">
        <v>741</v>
      </c>
      <c r="F59" s="6">
        <v>4</v>
      </c>
      <c r="G59" s="6">
        <v>664</v>
      </c>
      <c r="H59" s="6"/>
      <c r="I59" s="6"/>
      <c r="J59" s="6">
        <v>1</v>
      </c>
      <c r="K59" s="6">
        <v>18</v>
      </c>
      <c r="L59" s="6"/>
      <c r="M59" s="6"/>
      <c r="N59" s="6">
        <v>4</v>
      </c>
      <c r="O59" s="6">
        <v>116</v>
      </c>
      <c r="P59" s="6">
        <v>1</v>
      </c>
      <c r="Q59" s="6">
        <v>20</v>
      </c>
      <c r="R59" s="6"/>
      <c r="S59" s="6"/>
      <c r="T59" s="6"/>
      <c r="U59" s="6"/>
      <c r="V59" s="6"/>
      <c r="W59" s="6"/>
      <c r="X59" s="6">
        <v>2</v>
      </c>
      <c r="Y59" s="6">
        <v>225</v>
      </c>
      <c r="Z59" s="6">
        <v>6</v>
      </c>
      <c r="AA59" s="6">
        <v>1045</v>
      </c>
      <c r="AB59" s="6"/>
      <c r="AC59" s="6"/>
      <c r="AD59" s="6">
        <v>14</v>
      </c>
      <c r="AE59" s="6">
        <v>3443</v>
      </c>
      <c r="AF59" s="6">
        <v>1</v>
      </c>
      <c r="AG59" s="6">
        <v>214</v>
      </c>
      <c r="AH59" s="6"/>
      <c r="AI59" s="6"/>
      <c r="AJ59" s="6"/>
      <c r="AK59" s="6"/>
      <c r="AL59" s="6"/>
      <c r="AM59" s="6"/>
      <c r="AN59" s="6"/>
      <c r="AO59" s="6"/>
      <c r="AP59" s="6">
        <v>4</v>
      </c>
      <c r="AQ59" s="6">
        <v>1210</v>
      </c>
      <c r="AR59" s="6"/>
      <c r="AS59" s="6"/>
      <c r="AT59" s="6">
        <v>9</v>
      </c>
      <c r="AU59" s="6">
        <v>3288</v>
      </c>
      <c r="AV59" s="6"/>
      <c r="AW59" s="6"/>
      <c r="AX59" s="6">
        <v>1</v>
      </c>
      <c r="AY59" s="6">
        <v>136</v>
      </c>
      <c r="AZ59" s="6"/>
      <c r="BA59" s="6"/>
      <c r="BB59" s="6"/>
      <c r="BC59" s="6"/>
      <c r="BD59" s="6">
        <v>1</v>
      </c>
      <c r="BE59" s="6">
        <v>45</v>
      </c>
      <c r="BF59" s="6"/>
      <c r="BG59" s="6"/>
      <c r="BH59" s="6">
        <v>1</v>
      </c>
      <c r="BI59" s="6">
        <v>80</v>
      </c>
      <c r="BJ59" s="6"/>
      <c r="BK59" s="6"/>
      <c r="BL59" s="6">
        <v>3</v>
      </c>
      <c r="BM59" s="6">
        <v>101</v>
      </c>
      <c r="BN59" s="6">
        <v>1</v>
      </c>
      <c r="BO59" s="6">
        <v>63</v>
      </c>
      <c r="BP59" s="6"/>
      <c r="BQ59" s="6"/>
      <c r="BR59" s="6"/>
      <c r="BS59" s="6"/>
      <c r="BT59" s="6">
        <v>1</v>
      </c>
      <c r="BU59" s="6">
        <v>14</v>
      </c>
      <c r="BV59" s="8">
        <f t="shared" si="0"/>
        <v>70</v>
      </c>
      <c r="BW59" s="8">
        <f t="shared" si="0"/>
        <v>11797</v>
      </c>
      <c r="BX59" s="52"/>
      <c r="BY59" s="52"/>
      <c r="BZ59" s="52"/>
    </row>
    <row r="60" spans="1:143" s="27" customFormat="1">
      <c r="A60" s="5" t="s">
        <v>94</v>
      </c>
      <c r="B60" s="6"/>
      <c r="C60" s="6"/>
      <c r="D60" s="6"/>
      <c r="E60" s="6"/>
      <c r="F60" s="6"/>
      <c r="G60" s="6"/>
      <c r="H60" s="6"/>
      <c r="I60" s="6"/>
      <c r="J60" s="6"/>
      <c r="K60" s="6"/>
      <c r="L60" s="6"/>
      <c r="M60" s="6"/>
      <c r="N60" s="6">
        <v>5</v>
      </c>
      <c r="O60" s="6">
        <v>87</v>
      </c>
      <c r="P60" s="6"/>
      <c r="Q60" s="6"/>
      <c r="R60" s="6"/>
      <c r="S60" s="6"/>
      <c r="T60" s="6"/>
      <c r="U60" s="6"/>
      <c r="V60" s="6"/>
      <c r="W60" s="6"/>
      <c r="X60" s="6"/>
      <c r="Y60" s="6"/>
      <c r="Z60" s="6"/>
      <c r="AA60" s="6"/>
      <c r="AB60" s="6"/>
      <c r="AC60" s="6"/>
      <c r="AD60" s="6">
        <v>2</v>
      </c>
      <c r="AE60" s="6">
        <v>118</v>
      </c>
      <c r="AF60" s="6"/>
      <c r="AG60" s="6"/>
      <c r="AH60" s="6"/>
      <c r="AI60" s="6"/>
      <c r="AJ60" s="6"/>
      <c r="AK60" s="6"/>
      <c r="AL60" s="6"/>
      <c r="AM60" s="6"/>
      <c r="AN60" s="6"/>
      <c r="AO60" s="6"/>
      <c r="AP60" s="6"/>
      <c r="AQ60" s="6"/>
      <c r="AR60" s="6"/>
      <c r="AS60" s="6"/>
      <c r="AT60" s="6"/>
      <c r="AU60" s="6"/>
      <c r="AV60" s="6"/>
      <c r="AW60" s="6"/>
      <c r="AX60" s="6"/>
      <c r="AY60" s="6"/>
      <c r="AZ60" s="6"/>
      <c r="BA60" s="6"/>
      <c r="BB60" s="6"/>
      <c r="BC60" s="6"/>
      <c r="BD60" s="6">
        <v>1</v>
      </c>
      <c r="BE60" s="6">
        <v>32</v>
      </c>
      <c r="BF60" s="6"/>
      <c r="BG60" s="6"/>
      <c r="BH60" s="6"/>
      <c r="BI60" s="6"/>
      <c r="BJ60" s="6"/>
      <c r="BK60" s="6"/>
      <c r="BL60" s="6"/>
      <c r="BM60" s="6"/>
      <c r="BN60" s="6"/>
      <c r="BO60" s="6"/>
      <c r="BP60" s="6"/>
      <c r="BQ60" s="6"/>
      <c r="BR60" s="6"/>
      <c r="BS60" s="6"/>
      <c r="BT60" s="6">
        <v>7</v>
      </c>
      <c r="BU60" s="6">
        <v>99</v>
      </c>
      <c r="BV60" s="8">
        <f t="shared" si="0"/>
        <v>15</v>
      </c>
      <c r="BW60" s="8">
        <f t="shared" si="0"/>
        <v>336</v>
      </c>
      <c r="BX60" s="52"/>
      <c r="BY60" s="52"/>
      <c r="BZ60" s="52"/>
    </row>
    <row r="61" spans="1:143" s="27" customFormat="1">
      <c r="A61" s="5" t="s">
        <v>95</v>
      </c>
      <c r="B61" s="6"/>
      <c r="C61" s="6"/>
      <c r="D61" s="6"/>
      <c r="E61" s="6"/>
      <c r="F61" s="6"/>
      <c r="G61" s="6"/>
      <c r="H61" s="6"/>
      <c r="I61" s="6"/>
      <c r="J61" s="6"/>
      <c r="K61" s="6"/>
      <c r="L61" s="6"/>
      <c r="M61" s="6"/>
      <c r="N61" s="6">
        <v>1</v>
      </c>
      <c r="O61" s="6">
        <v>20</v>
      </c>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v>1</v>
      </c>
      <c r="BE61" s="6">
        <v>68</v>
      </c>
      <c r="BF61" s="6"/>
      <c r="BG61" s="6"/>
      <c r="BH61" s="6"/>
      <c r="BI61" s="6"/>
      <c r="BJ61" s="6"/>
      <c r="BK61" s="6"/>
      <c r="BL61" s="6"/>
      <c r="BM61" s="6"/>
      <c r="BN61" s="6"/>
      <c r="BO61" s="6"/>
      <c r="BP61" s="6"/>
      <c r="BQ61" s="6"/>
      <c r="BR61" s="6"/>
      <c r="BS61" s="6"/>
      <c r="BT61" s="6"/>
      <c r="BU61" s="6"/>
      <c r="BV61" s="8">
        <f t="shared" si="0"/>
        <v>2</v>
      </c>
      <c r="BW61" s="8">
        <f t="shared" si="0"/>
        <v>88</v>
      </c>
      <c r="BX61" s="52"/>
      <c r="BY61" s="52"/>
      <c r="BZ61" s="52"/>
    </row>
    <row r="62" spans="1:143" s="51" customFormat="1">
      <c r="A62" s="11" t="s">
        <v>96</v>
      </c>
      <c r="B62" s="12">
        <f>SUM(B9:B61)</f>
        <v>62</v>
      </c>
      <c r="C62" s="12">
        <f t="shared" ref="C62:BP62" si="1">SUM(C9:C61)</f>
        <v>2920</v>
      </c>
      <c r="D62" s="12">
        <f t="shared" si="1"/>
        <v>107</v>
      </c>
      <c r="E62" s="12">
        <f t="shared" si="1"/>
        <v>10016</v>
      </c>
      <c r="F62" s="12">
        <f t="shared" si="1"/>
        <v>97</v>
      </c>
      <c r="G62" s="12">
        <f t="shared" si="1"/>
        <v>15768</v>
      </c>
      <c r="H62" s="12">
        <f t="shared" si="1"/>
        <v>6</v>
      </c>
      <c r="I62" s="12">
        <f t="shared" si="1"/>
        <v>1335</v>
      </c>
      <c r="J62" s="12">
        <f t="shared" si="1"/>
        <v>17</v>
      </c>
      <c r="K62" s="12">
        <f t="shared" si="1"/>
        <v>2333</v>
      </c>
      <c r="L62" s="12">
        <f t="shared" si="1"/>
        <v>1</v>
      </c>
      <c r="M62" s="12">
        <f t="shared" si="1"/>
        <v>18</v>
      </c>
      <c r="N62" s="12">
        <f t="shared" si="1"/>
        <v>292</v>
      </c>
      <c r="O62" s="12">
        <f t="shared" si="1"/>
        <v>5811</v>
      </c>
      <c r="P62" s="12">
        <f t="shared" si="1"/>
        <v>14</v>
      </c>
      <c r="Q62" s="12">
        <f t="shared" si="1"/>
        <v>459</v>
      </c>
      <c r="R62" s="12">
        <f t="shared" si="1"/>
        <v>1</v>
      </c>
      <c r="S62" s="12">
        <f t="shared" si="1"/>
        <v>500</v>
      </c>
      <c r="T62" s="12">
        <f t="shared" si="1"/>
        <v>8</v>
      </c>
      <c r="U62" s="12">
        <f t="shared" si="1"/>
        <v>236</v>
      </c>
      <c r="V62" s="12">
        <f t="shared" si="1"/>
        <v>13</v>
      </c>
      <c r="W62" s="12">
        <f t="shared" si="1"/>
        <v>930</v>
      </c>
      <c r="X62" s="12">
        <f t="shared" si="1"/>
        <v>37</v>
      </c>
      <c r="Y62" s="12">
        <f t="shared" si="1"/>
        <v>4418</v>
      </c>
      <c r="Z62" s="12">
        <f t="shared" si="1"/>
        <v>178</v>
      </c>
      <c r="AA62" s="12">
        <f t="shared" si="1"/>
        <v>41379</v>
      </c>
      <c r="AB62" s="12">
        <f t="shared" si="1"/>
        <v>10</v>
      </c>
      <c r="AC62" s="12">
        <f t="shared" si="1"/>
        <v>2637</v>
      </c>
      <c r="AD62" s="12">
        <f t="shared" si="1"/>
        <v>334</v>
      </c>
      <c r="AE62" s="12">
        <f t="shared" si="1"/>
        <v>102367</v>
      </c>
      <c r="AF62" s="12">
        <f t="shared" si="1"/>
        <v>47</v>
      </c>
      <c r="AG62" s="12">
        <f t="shared" si="1"/>
        <v>11391</v>
      </c>
      <c r="AH62" s="12">
        <f t="shared" si="1"/>
        <v>62</v>
      </c>
      <c r="AI62" s="12">
        <f t="shared" si="1"/>
        <v>12554</v>
      </c>
      <c r="AJ62" s="12">
        <f t="shared" si="1"/>
        <v>9</v>
      </c>
      <c r="AK62" s="12">
        <f t="shared" si="1"/>
        <v>1987</v>
      </c>
      <c r="AL62" s="12">
        <f t="shared" si="1"/>
        <v>3</v>
      </c>
      <c r="AM62" s="12">
        <f t="shared" si="1"/>
        <v>78</v>
      </c>
      <c r="AN62" s="12">
        <f t="shared" si="1"/>
        <v>9</v>
      </c>
      <c r="AO62" s="12">
        <f t="shared" si="1"/>
        <v>885</v>
      </c>
      <c r="AP62" s="12">
        <f t="shared" si="1"/>
        <v>44</v>
      </c>
      <c r="AQ62" s="12">
        <f t="shared" si="1"/>
        <v>16299</v>
      </c>
      <c r="AR62" s="12">
        <f t="shared" si="1"/>
        <v>10</v>
      </c>
      <c r="AS62" s="12">
        <f t="shared" si="1"/>
        <v>4178</v>
      </c>
      <c r="AT62" s="12">
        <f t="shared" si="1"/>
        <v>132</v>
      </c>
      <c r="AU62" s="12">
        <f t="shared" si="1"/>
        <v>55431</v>
      </c>
      <c r="AV62" s="12">
        <f t="shared" si="1"/>
        <v>6</v>
      </c>
      <c r="AW62" s="12">
        <f t="shared" si="1"/>
        <v>2387</v>
      </c>
      <c r="AX62" s="12">
        <f t="shared" si="1"/>
        <v>7</v>
      </c>
      <c r="AY62" s="12">
        <f t="shared" si="1"/>
        <v>2035</v>
      </c>
      <c r="AZ62" s="12">
        <f t="shared" si="1"/>
        <v>3</v>
      </c>
      <c r="BA62" s="12">
        <f t="shared" si="1"/>
        <v>134</v>
      </c>
      <c r="BB62" s="12">
        <f t="shared" si="1"/>
        <v>1</v>
      </c>
      <c r="BC62" s="12">
        <f t="shared" si="1"/>
        <v>132</v>
      </c>
      <c r="BD62" s="12">
        <f t="shared" si="1"/>
        <v>39</v>
      </c>
      <c r="BE62" s="12">
        <f t="shared" si="1"/>
        <v>1891</v>
      </c>
      <c r="BF62" s="12">
        <f t="shared" si="1"/>
        <v>33</v>
      </c>
      <c r="BG62" s="12">
        <f t="shared" si="1"/>
        <v>1447</v>
      </c>
      <c r="BH62" s="12">
        <f t="shared" si="1"/>
        <v>15</v>
      </c>
      <c r="BI62" s="12">
        <f t="shared" si="1"/>
        <v>814</v>
      </c>
      <c r="BJ62" s="12">
        <f t="shared" si="1"/>
        <v>1</v>
      </c>
      <c r="BK62" s="12">
        <f t="shared" si="1"/>
        <v>72</v>
      </c>
      <c r="BL62" s="12">
        <f t="shared" si="1"/>
        <v>43</v>
      </c>
      <c r="BM62" s="12">
        <f t="shared" si="1"/>
        <v>1684</v>
      </c>
      <c r="BN62" s="12">
        <f t="shared" si="1"/>
        <v>17</v>
      </c>
      <c r="BO62" s="12">
        <f t="shared" si="1"/>
        <v>649</v>
      </c>
      <c r="BP62" s="12">
        <f t="shared" si="1"/>
        <v>2</v>
      </c>
      <c r="BQ62" s="12">
        <f>SUM(BQ9:BQ61)</f>
        <v>86</v>
      </c>
      <c r="BR62" s="12">
        <f>SUM(BR9:BR61)</f>
        <v>1</v>
      </c>
      <c r="BS62" s="12">
        <f>SUM(BS9:BS61)</f>
        <v>23</v>
      </c>
      <c r="BT62" s="12">
        <f>SUM(BT9:BT61)</f>
        <v>173</v>
      </c>
      <c r="BU62" s="12">
        <f>SUM(BU9:BU61)</f>
        <v>2627</v>
      </c>
      <c r="BV62" s="12">
        <f>B62+D62+F62+H62+J62+L62+N62+P62+R62+T62+V62+X62+Z62+AB62+AD62+AF62+AH62+AJ62+AL62+AN62+AP62+AR62+AT62+AV62+AX62+AZ62+BB62+BD62+BF62+BH62+BJ62+BL62+BN62+BP62+BR62+BT62</f>
        <v>1834</v>
      </c>
      <c r="BW62" s="12">
        <f>C62+E62+G62+I62+K62+M62+O62+Q62+S62+U62+W62+Y62+AA62+AC62+AE62+AG62+AI62+AK62+AM62+AO62+AQ62+AS62+AU62+AW62+AY62+BA62+BC62+BE62+BG62+BI62+BK62+BM62+BO62+BQ62+BS62+BU62</f>
        <v>307911</v>
      </c>
      <c r="BX62" s="52"/>
      <c r="BY62" s="52"/>
      <c r="BZ62" s="52"/>
      <c r="CA62" s="52"/>
      <c r="CB62" s="52"/>
      <c r="CC62" s="52"/>
      <c r="CD62" s="52"/>
      <c r="CE62" s="52"/>
      <c r="CF62" s="52"/>
      <c r="CG62" s="52"/>
      <c r="CH62" s="52"/>
      <c r="CI62" s="52"/>
      <c r="CJ62" s="52"/>
      <c r="CK62" s="52"/>
      <c r="CL62" s="52"/>
      <c r="CM62" s="52"/>
      <c r="CN62" s="52"/>
      <c r="CO62" s="52"/>
      <c r="CP62" s="52"/>
      <c r="CQ62" s="52"/>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c r="EA62" s="52"/>
      <c r="EB62" s="52"/>
      <c r="EC62" s="52"/>
      <c r="ED62" s="52"/>
      <c r="EE62" s="52"/>
      <c r="EF62" s="52"/>
      <c r="EG62" s="52"/>
      <c r="EH62" s="52"/>
      <c r="EI62" s="52"/>
      <c r="EJ62" s="52"/>
      <c r="EK62" s="52"/>
      <c r="EL62" s="52"/>
      <c r="EM62" s="52"/>
    </row>
    <row r="63" spans="1:143" s="27" customFormat="1" ht="12.75">
      <c r="A63" s="48" t="s">
        <v>189</v>
      </c>
      <c r="BV63" s="54"/>
      <c r="BW63" s="54"/>
    </row>
    <row r="64" spans="1:143" s="27" customFormat="1" ht="12.75">
      <c r="A64" s="50" t="s">
        <v>190</v>
      </c>
      <c r="BV64" s="54"/>
      <c r="BW64" s="54"/>
    </row>
    <row r="65" spans="1:75" s="55" customFormat="1" ht="12.75">
      <c r="A65" s="50" t="s">
        <v>191</v>
      </c>
      <c r="BV65" s="56"/>
      <c r="BW65" s="57"/>
    </row>
  </sheetData>
  <sheetProtection algorithmName="SHA-512" hashValue="7eNXwnagC5hx1tmQMvfDYiK4QMqQNY0AT9JFplXUMLJ1zeueoSKwr43+BkOcXq8qPodvtc/YePc4D1+nBpHm/Q==" saltValue="c7STpgu0RSC+HhLSy4DTUA==" spinCount="100000" sheet="1" objects="1" scenarios="1"/>
  <mergeCells count="38">
    <mergeCell ref="BT6:BU6"/>
    <mergeCell ref="BV6:BW6"/>
    <mergeCell ref="BH6:BI6"/>
    <mergeCell ref="BJ6:BK6"/>
    <mergeCell ref="BL6:BM6"/>
    <mergeCell ref="BN6:BO6"/>
    <mergeCell ref="BP6:BQ6"/>
    <mergeCell ref="BR6:BS6"/>
    <mergeCell ref="BF6:BG6"/>
    <mergeCell ref="AJ6:AK6"/>
    <mergeCell ref="AL6:AM6"/>
    <mergeCell ref="AN6:AO6"/>
    <mergeCell ref="AP6:AQ6"/>
    <mergeCell ref="AR6:AS6"/>
    <mergeCell ref="AT6:AU6"/>
    <mergeCell ref="AV6:AW6"/>
    <mergeCell ref="AX6:AY6"/>
    <mergeCell ref="AZ6:BA6"/>
    <mergeCell ref="BB6:BC6"/>
    <mergeCell ref="BD6:BE6"/>
    <mergeCell ref="AH6:AI6"/>
    <mergeCell ref="L6:M6"/>
    <mergeCell ref="N6:O6"/>
    <mergeCell ref="P6:Q6"/>
    <mergeCell ref="R6:S6"/>
    <mergeCell ref="T6:U6"/>
    <mergeCell ref="V6:W6"/>
    <mergeCell ref="X6:Y6"/>
    <mergeCell ref="Z6:AA6"/>
    <mergeCell ref="AB6:AC6"/>
    <mergeCell ref="AD6:AE6"/>
    <mergeCell ref="AF6:AG6"/>
    <mergeCell ref="J6:K6"/>
    <mergeCell ref="A6:A8"/>
    <mergeCell ref="B6:C6"/>
    <mergeCell ref="D6:E6"/>
    <mergeCell ref="F6:G6"/>
    <mergeCell ref="H6:I6"/>
  </mergeCells>
  <conditionalFormatting sqref="A9:BU61 BV9:BW62">
    <cfRule type="expression" dxfId="21" priority="1" stopIfTrue="1">
      <formula>MOD(ROW(),2)=0</formula>
    </cfRule>
  </conditionalFormatting>
  <conditionalFormatting sqref="A2:XFD65">
    <cfRule type="expression" priority="3">
      <formula>SI(0," ")</formula>
    </cfRule>
  </conditionalFormatting>
  <conditionalFormatting sqref="J2">
    <cfRule type="expression" priority="2">
      <formula>SI($C$42," ")</formula>
    </cfRule>
  </conditionalFormatting>
  <pageMargins left="0.70866141732283472" right="0.70866141732283472" top="0.74803149606299213" bottom="0.74803149606299213" header="0.31496062992125984" footer="0.31496062992125984"/>
  <pageSetup paperSize="8" scale="70" orientation="landscape" r:id="rId1"/>
  <colBreaks count="4" manualBreakCount="4">
    <brk id="19" max="1048575" man="1"/>
    <brk id="35" max="1048575" man="1"/>
    <brk id="51" max="1048575" man="1"/>
    <brk id="6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CD5F4-BA16-4D98-A180-CC4F60732A9E}">
  <sheetPr>
    <pageSetUpPr fitToPage="1"/>
  </sheetPr>
  <dimension ref="A3:N53"/>
  <sheetViews>
    <sheetView showGridLines="0" zoomScaleNormal="100" workbookViewId="0"/>
  </sheetViews>
  <sheetFormatPr baseColWidth="10" defaultRowHeight="15"/>
  <cols>
    <col min="1" max="1" width="25.140625" customWidth="1"/>
    <col min="2" max="2" width="5.7109375" customWidth="1"/>
    <col min="3" max="3" width="17" bestFit="1" customWidth="1"/>
    <col min="4" max="4" width="15.140625" bestFit="1" customWidth="1"/>
    <col min="5" max="5" width="14" bestFit="1" customWidth="1"/>
    <col min="8" max="8" width="25.140625" customWidth="1"/>
    <col min="9" max="9" width="5.7109375" customWidth="1"/>
    <col min="10" max="10" width="17" customWidth="1"/>
    <col min="11" max="11" width="15.140625" customWidth="1"/>
    <col min="12" max="12" width="14" customWidth="1"/>
  </cols>
  <sheetData>
    <row r="3" spans="1:13" s="60" customFormat="1" ht="16.5">
      <c r="A3" s="58" t="s">
        <v>371</v>
      </c>
      <c r="B3" s="59"/>
      <c r="H3" s="59"/>
      <c r="I3" s="59"/>
    </row>
    <row r="4" spans="1:13" s="63" customFormat="1" ht="16.5">
      <c r="A4" s="61" t="s">
        <v>372</v>
      </c>
      <c r="B4" s="62"/>
      <c r="H4" s="62"/>
      <c r="I4" s="62"/>
      <c r="L4" s="64"/>
    </row>
    <row r="5" spans="1:13" s="63" customFormat="1" ht="16.5">
      <c r="A5" s="61" t="s">
        <v>373</v>
      </c>
      <c r="B5" s="62"/>
      <c r="H5" s="62"/>
      <c r="I5" s="62"/>
    </row>
    <row r="6" spans="1:13" s="60" customFormat="1" ht="12.75">
      <c r="A6" s="59"/>
      <c r="B6" s="59"/>
      <c r="H6" s="59"/>
      <c r="I6" s="59"/>
    </row>
    <row r="7" spans="1:13" s="60" customFormat="1" ht="12.75">
      <c r="A7" s="59"/>
      <c r="B7" s="59"/>
      <c r="H7" s="59"/>
      <c r="I7" s="59"/>
    </row>
    <row r="8" spans="1:13" s="60" customFormat="1" ht="12.75">
      <c r="A8" s="130" t="s">
        <v>104</v>
      </c>
      <c r="B8" s="130"/>
      <c r="C8" s="103" t="s">
        <v>105</v>
      </c>
      <c r="D8" s="103" t="s">
        <v>106</v>
      </c>
      <c r="E8" s="103" t="s">
        <v>107</v>
      </c>
      <c r="F8" s="103" t="s">
        <v>108</v>
      </c>
      <c r="G8" s="104"/>
      <c r="H8" s="130" t="s">
        <v>104</v>
      </c>
      <c r="I8" s="130"/>
      <c r="J8" s="103" t="s">
        <v>105</v>
      </c>
      <c r="K8" s="103" t="s">
        <v>106</v>
      </c>
      <c r="L8" s="103" t="s">
        <v>107</v>
      </c>
      <c r="M8" s="103" t="s">
        <v>108</v>
      </c>
    </row>
    <row r="9" spans="1:13" s="63" customFormat="1" ht="12.75">
      <c r="A9" s="131" t="s">
        <v>109</v>
      </c>
      <c r="B9" s="131"/>
      <c r="C9" s="105" t="s">
        <v>110</v>
      </c>
      <c r="D9" s="105" t="s">
        <v>111</v>
      </c>
      <c r="E9" s="105" t="s">
        <v>112</v>
      </c>
      <c r="F9" s="105" t="s">
        <v>113</v>
      </c>
      <c r="G9" s="106"/>
      <c r="H9" s="131" t="s">
        <v>109</v>
      </c>
      <c r="I9" s="131"/>
      <c r="J9" s="105" t="s">
        <v>110</v>
      </c>
      <c r="K9" s="105" t="s">
        <v>111</v>
      </c>
      <c r="L9" s="105" t="s">
        <v>112</v>
      </c>
      <c r="M9" s="105" t="s">
        <v>113</v>
      </c>
    </row>
    <row r="10" spans="1:13" s="63" customFormat="1" ht="12.75">
      <c r="A10" s="131" t="s">
        <v>114</v>
      </c>
      <c r="B10" s="131"/>
      <c r="C10" s="105" t="s">
        <v>115</v>
      </c>
      <c r="D10" s="105" t="s">
        <v>116</v>
      </c>
      <c r="E10" s="105" t="s">
        <v>117</v>
      </c>
      <c r="F10" s="105" t="s">
        <v>118</v>
      </c>
      <c r="G10" s="106"/>
      <c r="H10" s="131" t="s">
        <v>114</v>
      </c>
      <c r="I10" s="131"/>
      <c r="J10" s="105" t="s">
        <v>115</v>
      </c>
      <c r="K10" s="105" t="s">
        <v>116</v>
      </c>
      <c r="L10" s="105" t="s">
        <v>117</v>
      </c>
      <c r="M10" s="105" t="s">
        <v>118</v>
      </c>
    </row>
    <row r="11" spans="1:13" s="60" customFormat="1">
      <c r="A11" s="132" t="s">
        <v>119</v>
      </c>
      <c r="B11" s="132"/>
      <c r="C11" s="66">
        <v>62</v>
      </c>
      <c r="D11" s="66">
        <v>908</v>
      </c>
      <c r="E11" s="66">
        <v>2917</v>
      </c>
      <c r="F11" s="67">
        <f t="shared" ref="F11:F16" si="0">E11/E$17</f>
        <v>9.0401958657451889E-2</v>
      </c>
      <c r="G11" s="68"/>
      <c r="H11" s="132" t="s">
        <v>25</v>
      </c>
      <c r="I11" s="132"/>
      <c r="J11" s="66">
        <v>3</v>
      </c>
      <c r="K11" s="66">
        <v>33</v>
      </c>
      <c r="L11" s="66">
        <v>78</v>
      </c>
      <c r="M11" s="67">
        <f>L11/L$19</f>
        <v>9.5139354760017075E-4</v>
      </c>
    </row>
    <row r="12" spans="1:13" s="60" customFormat="1">
      <c r="A12" s="132" t="s">
        <v>120</v>
      </c>
      <c r="B12" s="132"/>
      <c r="C12" s="66">
        <v>108</v>
      </c>
      <c r="D12" s="66">
        <v>3644</v>
      </c>
      <c r="E12" s="66">
        <v>10288</v>
      </c>
      <c r="F12" s="67">
        <f t="shared" si="0"/>
        <v>0.31883968140824992</v>
      </c>
      <c r="G12" s="68"/>
      <c r="H12" s="132" t="s">
        <v>26</v>
      </c>
      <c r="I12" s="132"/>
      <c r="J12" s="66">
        <v>10</v>
      </c>
      <c r="K12" s="66">
        <v>516</v>
      </c>
      <c r="L12" s="66">
        <v>1081</v>
      </c>
      <c r="M12" s="67">
        <f t="shared" ref="M12:M17" si="1">L12/L$19</f>
        <v>1.3185338781484418E-2</v>
      </c>
    </row>
    <row r="13" spans="1:13" s="60" customFormat="1">
      <c r="A13" s="132" t="s">
        <v>121</v>
      </c>
      <c r="B13" s="132"/>
      <c r="C13" s="66">
        <v>97</v>
      </c>
      <c r="D13" s="66">
        <v>6110</v>
      </c>
      <c r="E13" s="66">
        <v>15886</v>
      </c>
      <c r="F13" s="67">
        <f t="shared" si="0"/>
        <v>0.4923296246939598</v>
      </c>
      <c r="G13" s="68"/>
      <c r="H13" s="132" t="s">
        <v>27</v>
      </c>
      <c r="I13" s="132"/>
      <c r="J13" s="66">
        <v>46</v>
      </c>
      <c r="K13" s="66">
        <v>7462</v>
      </c>
      <c r="L13" s="66">
        <v>16809</v>
      </c>
      <c r="M13" s="67">
        <f t="shared" si="1"/>
        <v>0.20502530950783679</v>
      </c>
    </row>
    <row r="14" spans="1:13" s="60" customFormat="1">
      <c r="A14" s="132" t="s">
        <v>251</v>
      </c>
      <c r="B14" s="132"/>
      <c r="C14" s="66">
        <v>4</v>
      </c>
      <c r="D14" s="66">
        <v>356</v>
      </c>
      <c r="E14" s="66">
        <v>825</v>
      </c>
      <c r="F14" s="67">
        <f t="shared" si="0"/>
        <v>2.5567917686800758E-2</v>
      </c>
      <c r="G14" s="68"/>
      <c r="H14" s="132" t="s">
        <v>209</v>
      </c>
      <c r="I14" s="132"/>
      <c r="J14" s="66">
        <v>11</v>
      </c>
      <c r="K14" s="66">
        <v>1558</v>
      </c>
      <c r="L14" s="66">
        <v>4350</v>
      </c>
      <c r="M14" s="67">
        <f t="shared" si="1"/>
        <v>5.3058486308471063E-2</v>
      </c>
    </row>
    <row r="15" spans="1:13" s="60" customFormat="1">
      <c r="A15" s="132" t="s">
        <v>122</v>
      </c>
      <c r="B15" s="132"/>
      <c r="C15" s="66">
        <v>17</v>
      </c>
      <c r="D15" s="66">
        <v>700</v>
      </c>
      <c r="E15" s="66">
        <v>2333</v>
      </c>
      <c r="F15" s="67">
        <f t="shared" si="0"/>
        <v>7.2302972076734751E-2</v>
      </c>
      <c r="G15" s="68"/>
      <c r="H15" s="132" t="s">
        <v>28</v>
      </c>
      <c r="I15" s="132"/>
      <c r="J15" s="66">
        <v>132</v>
      </c>
      <c r="K15" s="66">
        <v>24940</v>
      </c>
      <c r="L15" s="66">
        <v>55257</v>
      </c>
      <c r="M15" s="67">
        <f t="shared" si="1"/>
        <v>0.67398914435567481</v>
      </c>
    </row>
    <row r="16" spans="1:13" s="60" customFormat="1">
      <c r="A16" s="132" t="s">
        <v>268</v>
      </c>
      <c r="B16" s="132"/>
      <c r="C16" s="66">
        <v>1</v>
      </c>
      <c r="D16" s="66">
        <v>9</v>
      </c>
      <c r="E16" s="66">
        <v>18</v>
      </c>
      <c r="F16" s="67">
        <f t="shared" si="0"/>
        <v>5.5784547680292555E-4</v>
      </c>
      <c r="G16" s="68"/>
      <c r="H16" s="132" t="s">
        <v>210</v>
      </c>
      <c r="I16" s="132"/>
      <c r="J16" s="66">
        <v>6</v>
      </c>
      <c r="K16" s="66">
        <v>1167</v>
      </c>
      <c r="L16" s="66">
        <v>2387</v>
      </c>
      <c r="M16" s="67">
        <f t="shared" si="1"/>
        <v>2.9115082027200097E-2</v>
      </c>
    </row>
    <row r="17" spans="1:14" s="60" customFormat="1">
      <c r="A17" s="133" t="s">
        <v>123</v>
      </c>
      <c r="B17" s="133"/>
      <c r="C17" s="69">
        <f>SUM(C11:C16)</f>
        <v>289</v>
      </c>
      <c r="D17" s="69">
        <f>SUM(D11:D16)</f>
        <v>11727</v>
      </c>
      <c r="E17" s="69">
        <f>SUM(E11:E16)</f>
        <v>32267</v>
      </c>
      <c r="F17" s="70">
        <f>SUM(F11:F16)</f>
        <v>1</v>
      </c>
      <c r="G17" s="68"/>
      <c r="H17" s="132" t="s">
        <v>29</v>
      </c>
      <c r="I17" s="132"/>
      <c r="J17" s="66">
        <v>7</v>
      </c>
      <c r="K17" s="66">
        <v>1025</v>
      </c>
      <c r="L17" s="66">
        <v>2023</v>
      </c>
      <c r="M17" s="67">
        <f t="shared" si="1"/>
        <v>2.4675245471732634E-2</v>
      </c>
    </row>
    <row r="18" spans="1:14" s="60" customFormat="1">
      <c r="A18" s="132"/>
      <c r="B18" s="132"/>
      <c r="C18" s="66"/>
      <c r="D18" s="66"/>
      <c r="E18" s="66"/>
      <c r="F18" s="67"/>
      <c r="G18" s="68"/>
      <c r="H18" s="132" t="s">
        <v>211</v>
      </c>
      <c r="I18" s="132"/>
      <c r="J18" s="66"/>
      <c r="K18" s="66"/>
      <c r="L18" s="66"/>
      <c r="M18" s="67"/>
    </row>
    <row r="19" spans="1:14" s="60" customFormat="1">
      <c r="A19" s="133" t="s">
        <v>7</v>
      </c>
      <c r="B19" s="133"/>
      <c r="C19" s="69">
        <v>36</v>
      </c>
      <c r="D19" s="69">
        <v>894</v>
      </c>
      <c r="E19" s="69">
        <v>1765</v>
      </c>
      <c r="F19" s="70">
        <v>1</v>
      </c>
      <c r="G19" s="68"/>
      <c r="H19" s="133" t="s">
        <v>124</v>
      </c>
      <c r="I19" s="133"/>
      <c r="J19" s="69">
        <f>SUM(J11:J18)</f>
        <v>215</v>
      </c>
      <c r="K19" s="69">
        <f>SUM(K11:K18)</f>
        <v>36701</v>
      </c>
      <c r="L19" s="69">
        <f>SUM(L11:L18)</f>
        <v>81985</v>
      </c>
      <c r="M19" s="70">
        <f>SUM(M11:M18)</f>
        <v>1</v>
      </c>
    </row>
    <row r="20" spans="1:14" s="60" customFormat="1">
      <c r="A20" s="133" t="s">
        <v>167</v>
      </c>
      <c r="B20" s="133"/>
      <c r="C20" s="69">
        <v>291</v>
      </c>
      <c r="D20" s="69">
        <v>2639</v>
      </c>
      <c r="E20" s="69">
        <v>5710</v>
      </c>
      <c r="F20" s="70">
        <v>1</v>
      </c>
      <c r="G20" s="68"/>
      <c r="H20" s="66"/>
      <c r="I20" s="66"/>
      <c r="J20" s="66"/>
      <c r="K20" s="66"/>
      <c r="L20" s="66"/>
      <c r="M20" s="66"/>
    </row>
    <row r="21" spans="1:14" s="60" customFormat="1">
      <c r="A21" s="133" t="s">
        <v>8</v>
      </c>
      <c r="B21" s="133"/>
      <c r="C21" s="69">
        <v>167</v>
      </c>
      <c r="D21" s="69">
        <v>1233</v>
      </c>
      <c r="E21" s="69">
        <v>2559</v>
      </c>
      <c r="F21" s="70">
        <v>1</v>
      </c>
      <c r="G21" s="68"/>
      <c r="H21" s="132" t="s">
        <v>30</v>
      </c>
      <c r="I21" s="132"/>
      <c r="J21" s="66"/>
      <c r="K21" s="66"/>
      <c r="L21" s="66"/>
      <c r="M21" s="67"/>
      <c r="N21" s="79"/>
    </row>
    <row r="22" spans="1:14" s="60" customFormat="1">
      <c r="A22" s="133" t="s">
        <v>207</v>
      </c>
      <c r="B22" s="133"/>
      <c r="C22" s="69">
        <v>1</v>
      </c>
      <c r="D22" s="69"/>
      <c r="E22" s="69">
        <v>500</v>
      </c>
      <c r="F22" s="70">
        <v>1</v>
      </c>
      <c r="G22" s="68"/>
      <c r="H22" s="132" t="s">
        <v>31</v>
      </c>
      <c r="I22" s="132"/>
      <c r="J22" s="66"/>
      <c r="K22" s="66"/>
      <c r="L22" s="66"/>
      <c r="M22" s="67"/>
    </row>
    <row r="23" spans="1:14" s="60" customFormat="1">
      <c r="A23" s="132"/>
      <c r="B23" s="132"/>
      <c r="C23" s="66"/>
      <c r="D23" s="66"/>
      <c r="E23" s="66"/>
      <c r="F23" s="67"/>
      <c r="G23" s="68"/>
      <c r="H23" s="132" t="s">
        <v>32</v>
      </c>
      <c r="I23" s="132"/>
      <c r="J23" s="66"/>
      <c r="K23" s="66"/>
      <c r="L23" s="66"/>
      <c r="M23" s="67"/>
    </row>
    <row r="24" spans="1:14" s="60" customFormat="1">
      <c r="A24" s="132" t="s">
        <v>12</v>
      </c>
      <c r="B24" s="132"/>
      <c r="C24" s="66"/>
      <c r="D24" s="66"/>
      <c r="E24" s="66"/>
      <c r="F24" s="67"/>
      <c r="G24" s="68"/>
      <c r="H24" s="132" t="s">
        <v>33</v>
      </c>
      <c r="I24" s="132"/>
      <c r="J24" s="66"/>
      <c r="K24" s="66"/>
      <c r="L24" s="66"/>
      <c r="M24" s="67"/>
    </row>
    <row r="25" spans="1:14" s="60" customFormat="1">
      <c r="A25" s="132" t="s">
        <v>13</v>
      </c>
      <c r="B25" s="132"/>
      <c r="C25" s="66"/>
      <c r="D25" s="66"/>
      <c r="E25" s="66"/>
      <c r="F25" s="67"/>
      <c r="G25" s="68"/>
      <c r="H25" s="133" t="s">
        <v>125</v>
      </c>
      <c r="I25" s="133"/>
      <c r="J25" s="69"/>
      <c r="K25" s="69"/>
      <c r="L25" s="69"/>
      <c r="M25" s="70"/>
    </row>
    <row r="26" spans="1:14" s="60" customFormat="1">
      <c r="A26" s="132" t="s">
        <v>14</v>
      </c>
      <c r="B26" s="132"/>
      <c r="C26" s="66"/>
      <c r="D26" s="66"/>
      <c r="E26" s="66"/>
      <c r="F26" s="67"/>
      <c r="G26" s="68"/>
      <c r="H26" s="134"/>
      <c r="I26" s="134"/>
      <c r="J26" s="71"/>
      <c r="K26" s="71"/>
      <c r="L26" s="71"/>
      <c r="M26" s="72"/>
      <c r="N26" s="79"/>
    </row>
    <row r="27" spans="1:14" s="60" customFormat="1">
      <c r="A27" s="133" t="s">
        <v>129</v>
      </c>
      <c r="B27" s="133"/>
      <c r="C27" s="69"/>
      <c r="D27" s="69"/>
      <c r="E27" s="69"/>
      <c r="F27" s="70"/>
      <c r="G27" s="68"/>
      <c r="H27" s="132" t="s">
        <v>35</v>
      </c>
      <c r="I27" s="132"/>
      <c r="J27" s="66">
        <v>34</v>
      </c>
      <c r="K27" s="66">
        <v>793</v>
      </c>
      <c r="L27" s="66">
        <v>1483</v>
      </c>
      <c r="M27" s="67">
        <f>L27/L$30</f>
        <v>0.56089258698941002</v>
      </c>
    </row>
    <row r="28" spans="1:14" s="60" customFormat="1">
      <c r="A28" s="132"/>
      <c r="B28" s="132"/>
      <c r="C28" s="66"/>
      <c r="D28" s="66"/>
      <c r="E28" s="66"/>
      <c r="F28" s="67"/>
      <c r="G28" s="68"/>
      <c r="H28" s="132" t="s">
        <v>36</v>
      </c>
      <c r="I28" s="132"/>
      <c r="J28" s="66">
        <v>18</v>
      </c>
      <c r="K28" s="66">
        <v>501</v>
      </c>
      <c r="L28" s="66">
        <v>947</v>
      </c>
      <c r="M28" s="67">
        <f>L28/L$30</f>
        <v>0.35816944024205749</v>
      </c>
    </row>
    <row r="29" spans="1:14" s="60" customFormat="1">
      <c r="A29" s="132" t="s">
        <v>15</v>
      </c>
      <c r="B29" s="132"/>
      <c r="C29" s="66">
        <v>14</v>
      </c>
      <c r="D29" s="66">
        <v>591</v>
      </c>
      <c r="E29" s="66">
        <v>1113</v>
      </c>
      <c r="F29" s="67">
        <f>E29/E$37</f>
        <v>6.3103823649476119E-3</v>
      </c>
      <c r="G29" s="68"/>
      <c r="H29" s="132" t="s">
        <v>37</v>
      </c>
      <c r="I29" s="132"/>
      <c r="J29" s="66">
        <v>2</v>
      </c>
      <c r="K29" s="66">
        <v>116</v>
      </c>
      <c r="L29" s="66">
        <v>214</v>
      </c>
      <c r="M29" s="67">
        <f>L29/L$30</f>
        <v>8.0937972768532526E-2</v>
      </c>
    </row>
    <row r="30" spans="1:14" s="60" customFormat="1">
      <c r="A30" s="132" t="s">
        <v>16</v>
      </c>
      <c r="B30" s="132"/>
      <c r="C30" s="66">
        <v>35</v>
      </c>
      <c r="D30" s="66">
        <v>2373</v>
      </c>
      <c r="E30" s="66">
        <v>4504</v>
      </c>
      <c r="F30" s="67">
        <f t="shared" ref="F30:F36" si="2">E30/E$37</f>
        <v>2.5536354152492401E-2</v>
      </c>
      <c r="G30" s="68"/>
      <c r="H30" s="133" t="s">
        <v>128</v>
      </c>
      <c r="I30" s="133"/>
      <c r="J30" s="69">
        <f>SUM(J27:J29)</f>
        <v>54</v>
      </c>
      <c r="K30" s="69">
        <f>SUM(K27:K29)</f>
        <v>1410</v>
      </c>
      <c r="L30" s="69">
        <f>SUM(L27:L29)</f>
        <v>2644</v>
      </c>
      <c r="M30" s="70">
        <f>SUM(M27:M29)</f>
        <v>1</v>
      </c>
    </row>
    <row r="31" spans="1:14" s="60" customFormat="1">
      <c r="A31" s="132" t="s">
        <v>17</v>
      </c>
      <c r="B31" s="132"/>
      <c r="C31" s="66">
        <v>181</v>
      </c>
      <c r="D31" s="66">
        <v>23131</v>
      </c>
      <c r="E31" s="66">
        <v>43800</v>
      </c>
      <c r="F31" s="67">
        <f t="shared" si="2"/>
        <v>0.24833310654510818</v>
      </c>
      <c r="G31" s="68"/>
      <c r="H31" s="134"/>
      <c r="I31" s="134"/>
      <c r="J31" s="71"/>
      <c r="K31" s="71"/>
      <c r="L31" s="71"/>
      <c r="M31" s="72"/>
    </row>
    <row r="32" spans="1:14" s="60" customFormat="1">
      <c r="A32" s="132" t="s">
        <v>208</v>
      </c>
      <c r="B32" s="132"/>
      <c r="C32" s="66">
        <v>10</v>
      </c>
      <c r="D32" s="66">
        <v>1232</v>
      </c>
      <c r="E32" s="66">
        <v>2352</v>
      </c>
      <c r="F32" s="67">
        <f t="shared" si="2"/>
        <v>1.3335147639134575E-2</v>
      </c>
      <c r="G32" s="68"/>
      <c r="H32" s="132" t="s">
        <v>38</v>
      </c>
      <c r="I32" s="132"/>
      <c r="J32" s="66">
        <v>43</v>
      </c>
      <c r="K32" s="66">
        <v>892</v>
      </c>
      <c r="L32" s="66">
        <v>1680</v>
      </c>
      <c r="M32" s="67">
        <f>L32/L$35</f>
        <v>0.67146282973621108</v>
      </c>
    </row>
    <row r="33" spans="1:13" s="60" customFormat="1">
      <c r="A33" s="132" t="s">
        <v>168</v>
      </c>
      <c r="B33" s="132"/>
      <c r="C33" s="66">
        <v>325</v>
      </c>
      <c r="D33" s="66">
        <v>51293</v>
      </c>
      <c r="E33" s="66">
        <v>99465</v>
      </c>
      <c r="F33" s="67">
        <f t="shared" si="2"/>
        <v>0.56393727037692198</v>
      </c>
      <c r="G33" s="68"/>
      <c r="H33" s="132" t="s">
        <v>39</v>
      </c>
      <c r="I33" s="132"/>
      <c r="J33" s="66">
        <v>20</v>
      </c>
      <c r="K33" s="66">
        <v>391</v>
      </c>
      <c r="L33" s="66">
        <v>736</v>
      </c>
      <c r="M33" s="67">
        <f>L33/L$35</f>
        <v>0.29416466826538767</v>
      </c>
    </row>
    <row r="34" spans="1:13" s="60" customFormat="1">
      <c r="A34" s="132" t="s">
        <v>200</v>
      </c>
      <c r="B34" s="132"/>
      <c r="C34" s="66">
        <v>48</v>
      </c>
      <c r="D34" s="66">
        <v>6262</v>
      </c>
      <c r="E34" s="66">
        <v>12322</v>
      </c>
      <c r="F34" s="67">
        <f t="shared" si="2"/>
        <v>6.9862112759105546E-2</v>
      </c>
      <c r="G34" s="68"/>
      <c r="H34" s="132" t="s">
        <v>40</v>
      </c>
      <c r="I34" s="132"/>
      <c r="J34" s="66">
        <v>2</v>
      </c>
      <c r="K34" s="66">
        <v>46</v>
      </c>
      <c r="L34" s="66">
        <v>86</v>
      </c>
      <c r="M34" s="67">
        <f>L34/L$35</f>
        <v>3.4372501998401278E-2</v>
      </c>
    </row>
    <row r="35" spans="1:13" s="60" customFormat="1">
      <c r="A35" s="132" t="s">
        <v>19</v>
      </c>
      <c r="B35" s="132"/>
      <c r="C35" s="66">
        <v>57</v>
      </c>
      <c r="D35" s="66">
        <v>5729</v>
      </c>
      <c r="E35" s="66">
        <v>11720</v>
      </c>
      <c r="F35" s="67">
        <f t="shared" si="2"/>
        <v>6.6448949970517535E-2</v>
      </c>
      <c r="G35" s="68"/>
      <c r="H35" s="133" t="s">
        <v>130</v>
      </c>
      <c r="I35" s="133"/>
      <c r="J35" s="69">
        <f>SUM(J32:J34)</f>
        <v>65</v>
      </c>
      <c r="K35" s="69">
        <f>SUM(K32:K34)</f>
        <v>1329</v>
      </c>
      <c r="L35" s="69">
        <f>SUM(L32:L34)</f>
        <v>2502</v>
      </c>
      <c r="M35" s="70">
        <f>SUM(M32:M34)</f>
        <v>1</v>
      </c>
    </row>
    <row r="36" spans="1:13" s="60" customFormat="1">
      <c r="A36" s="132" t="s">
        <v>169</v>
      </c>
      <c r="B36" s="135"/>
      <c r="C36" s="66">
        <v>6</v>
      </c>
      <c r="D36" s="66">
        <v>549</v>
      </c>
      <c r="E36" s="66">
        <v>1100</v>
      </c>
      <c r="F36" s="67">
        <f t="shared" si="2"/>
        <v>6.2366761917721234E-3</v>
      </c>
      <c r="G36" s="68"/>
      <c r="H36" s="136"/>
      <c r="I36" s="136"/>
      <c r="J36" s="73"/>
      <c r="K36" s="73"/>
      <c r="L36" s="73"/>
      <c r="M36" s="74"/>
    </row>
    <row r="37" spans="1:13" s="60" customFormat="1">
      <c r="A37" s="133" t="s">
        <v>131</v>
      </c>
      <c r="B37" s="133"/>
      <c r="C37" s="69">
        <f>SUM(C29:C36)</f>
        <v>676</v>
      </c>
      <c r="D37" s="69">
        <f>SUM(D29:D36)</f>
        <v>91160</v>
      </c>
      <c r="E37" s="69">
        <f>SUM(E29:E36)</f>
        <v>176376</v>
      </c>
      <c r="F37" s="70">
        <f>SUM(F29:F36)</f>
        <v>1</v>
      </c>
      <c r="G37" s="68"/>
      <c r="H37" s="133" t="s">
        <v>42</v>
      </c>
      <c r="I37" s="133"/>
      <c r="J37" s="69">
        <v>15</v>
      </c>
      <c r="K37" s="69">
        <v>260</v>
      </c>
      <c r="L37" s="69">
        <v>479</v>
      </c>
      <c r="M37" s="70">
        <v>1</v>
      </c>
    </row>
    <row r="38" spans="1:13" s="60" customFormat="1">
      <c r="A38" s="134"/>
      <c r="B38" s="134"/>
      <c r="C38" s="71"/>
      <c r="D38" s="71"/>
      <c r="E38" s="71"/>
      <c r="F38" s="72"/>
      <c r="G38" s="68"/>
      <c r="H38" s="133" t="s">
        <v>43</v>
      </c>
      <c r="I38" s="133"/>
      <c r="J38" s="69">
        <v>8</v>
      </c>
      <c r="K38" s="69">
        <v>136</v>
      </c>
      <c r="L38" s="69">
        <v>236</v>
      </c>
      <c r="M38" s="70">
        <v>1</v>
      </c>
    </row>
    <row r="39" spans="1:13" s="60" customFormat="1">
      <c r="A39" s="132" t="s">
        <v>20</v>
      </c>
      <c r="B39" s="132"/>
      <c r="C39" s="66"/>
      <c r="D39" s="66"/>
      <c r="E39" s="66"/>
      <c r="F39" s="67"/>
      <c r="G39" s="68"/>
      <c r="H39" s="133" t="s">
        <v>44</v>
      </c>
      <c r="I39" s="133"/>
      <c r="J39" s="69">
        <v>1</v>
      </c>
      <c r="K39" s="69">
        <v>12</v>
      </c>
      <c r="L39" s="69">
        <v>23</v>
      </c>
      <c r="M39" s="70">
        <v>1</v>
      </c>
    </row>
    <row r="40" spans="1:13" s="60" customFormat="1">
      <c r="A40" s="132" t="s">
        <v>21</v>
      </c>
      <c r="B40" s="132"/>
      <c r="C40" s="66"/>
      <c r="D40" s="66"/>
      <c r="E40" s="66"/>
      <c r="F40" s="67"/>
      <c r="G40" s="68"/>
      <c r="H40" s="133" t="s">
        <v>273</v>
      </c>
      <c r="I40" s="133"/>
      <c r="J40" s="69">
        <v>3</v>
      </c>
      <c r="K40" s="69">
        <v>68</v>
      </c>
      <c r="L40" s="69">
        <v>134</v>
      </c>
      <c r="M40" s="70">
        <v>1</v>
      </c>
    </row>
    <row r="41" spans="1:13" s="60" customFormat="1">
      <c r="A41" s="132" t="s">
        <v>22</v>
      </c>
      <c r="B41" s="132"/>
      <c r="C41" s="66"/>
      <c r="D41" s="66"/>
      <c r="E41" s="66"/>
      <c r="F41" s="67"/>
      <c r="G41" s="68"/>
      <c r="H41" s="66"/>
      <c r="I41" s="66"/>
      <c r="J41" s="65"/>
      <c r="K41" s="65"/>
      <c r="L41" s="65"/>
      <c r="M41" s="65"/>
    </row>
    <row r="42" spans="1:13" s="60" customFormat="1">
      <c r="A42" s="132" t="s">
        <v>172</v>
      </c>
      <c r="B42" s="132"/>
      <c r="C42" s="66"/>
      <c r="D42" s="66"/>
      <c r="E42" s="66"/>
      <c r="F42" s="67"/>
      <c r="G42" s="68"/>
      <c r="H42" s="133" t="s">
        <v>45</v>
      </c>
      <c r="I42" s="133"/>
      <c r="J42" s="69">
        <f>C17+C19+C20+C21+C22+C27+C37+C44+J25+J30+J35+J19+J37+J38+J39+J40</f>
        <v>1822</v>
      </c>
      <c r="K42" s="69">
        <f>D17+D19+D20+D21+D22+D27+D37+D44+K25+K30+K35+K19+K37+K38+K39+K40</f>
        <v>147636</v>
      </c>
      <c r="L42" s="69">
        <f>E17+E19+E20+E21+E22+E27+E37+E44+L25+L30+L35+L19+L37+L38+L39+L40</f>
        <v>307312</v>
      </c>
      <c r="M42" s="65"/>
    </row>
    <row r="43" spans="1:13" s="60" customFormat="1">
      <c r="A43" s="132" t="s">
        <v>24</v>
      </c>
      <c r="B43" s="132"/>
      <c r="C43" s="66">
        <v>1</v>
      </c>
      <c r="D43" s="66">
        <v>67</v>
      </c>
      <c r="E43" s="66">
        <v>132</v>
      </c>
      <c r="F43" s="78">
        <f>E43/E$44</f>
        <v>1</v>
      </c>
      <c r="G43" s="68"/>
    </row>
    <row r="44" spans="1:13" s="60" customFormat="1">
      <c r="A44" s="133" t="s">
        <v>132</v>
      </c>
      <c r="B44" s="133"/>
      <c r="C44" s="69">
        <f>SUM(C39:C43)</f>
        <v>1</v>
      </c>
      <c r="D44" s="69">
        <f>SUM(D39:D43)</f>
        <v>67</v>
      </c>
      <c r="E44" s="69">
        <f>SUM(E39:E43)</f>
        <v>132</v>
      </c>
      <c r="F44" s="70">
        <f>SUM(F39:F43)</f>
        <v>1</v>
      </c>
      <c r="G44" s="68"/>
    </row>
    <row r="45" spans="1:13" s="60" customFormat="1" ht="12.75"/>
    <row r="46" spans="1:13" s="60" customFormat="1" ht="12.75"/>
    <row r="47" spans="1:13" s="60" customFormat="1" ht="12.75">
      <c r="C47" s="85"/>
      <c r="D47" s="85"/>
    </row>
    <row r="48" spans="1:13" s="60" customFormat="1" ht="12.75"/>
    <row r="49" spans="1:13" s="60" customFormat="1" ht="12.75"/>
    <row r="50" spans="1:13" s="60" customFormat="1" ht="12.75"/>
    <row r="51" spans="1:13" s="60" customFormat="1">
      <c r="H51"/>
      <c r="I51"/>
      <c r="J51"/>
      <c r="K51"/>
      <c r="L51"/>
      <c r="M51"/>
    </row>
    <row r="52" spans="1:13" s="60" customFormat="1">
      <c r="H52"/>
      <c r="I52"/>
      <c r="J52"/>
      <c r="K52"/>
      <c r="L52"/>
      <c r="M52"/>
    </row>
    <row r="53" spans="1:13">
      <c r="A53" s="60"/>
      <c r="B53" s="60"/>
      <c r="C53" s="60"/>
      <c r="D53" s="60"/>
      <c r="E53" s="60"/>
      <c r="F53" s="60"/>
    </row>
  </sheetData>
  <sheetProtection algorithmName="SHA-512" hashValue="57tA9Ak6LFa4F1KjAVrgazRCdVlXQ2xU16ouN++oYjVjRiaR5w+8AeRdSREde7Z3XKmbkcb/f9pe5Hu6w9quEg==" saltValue="8lOvX2DcilpfgEW0bhE7ig==" spinCount="100000" sheet="1" objects="1" scenarios="1"/>
  <mergeCells count="70">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23:B23"/>
    <mergeCell ref="H23:I23"/>
    <mergeCell ref="A17:B17"/>
    <mergeCell ref="H17:I17"/>
    <mergeCell ref="A18:B18"/>
    <mergeCell ref="H18:I18"/>
    <mergeCell ref="A19:B19"/>
    <mergeCell ref="H19:I19"/>
    <mergeCell ref="A20:B20"/>
    <mergeCell ref="A21:B21"/>
    <mergeCell ref="H21:I21"/>
    <mergeCell ref="A22:B22"/>
    <mergeCell ref="H22:I22"/>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37:B37"/>
    <mergeCell ref="H37:I37"/>
    <mergeCell ref="A38:B38"/>
    <mergeCell ref="H38:I38"/>
    <mergeCell ref="A43:B43"/>
    <mergeCell ref="A44:B44"/>
    <mergeCell ref="A39:B39"/>
    <mergeCell ref="H39:I39"/>
    <mergeCell ref="A40:B40"/>
    <mergeCell ref="H40:I40"/>
    <mergeCell ref="A41:B41"/>
    <mergeCell ref="A42:B42"/>
    <mergeCell ref="H42:I42"/>
  </mergeCells>
  <pageMargins left="0.7" right="0.7" top="0.75" bottom="0.75" header="0.3" footer="0.3"/>
  <pageSetup paperSize="9" scale="6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54AEB-5EF6-44E0-83FF-9252254E16DC}">
  <dimension ref="A2:EM65"/>
  <sheetViews>
    <sheetView showGridLines="0" zoomScaleNormal="100" workbookViewId="0"/>
  </sheetViews>
  <sheetFormatPr baseColWidth="10" defaultRowHeight="15"/>
  <cols>
    <col min="1" max="1" width="79.7109375" customWidth="1"/>
    <col min="2" max="71" width="11.42578125" customWidth="1"/>
  </cols>
  <sheetData>
    <row r="2" spans="1:104" s="27" customFormat="1" ht="16.5">
      <c r="A2" s="1" t="s">
        <v>374</v>
      </c>
      <c r="BV2" s="51"/>
      <c r="BW2" s="51"/>
    </row>
    <row r="3" spans="1:104" s="27" customFormat="1" ht="16.5">
      <c r="A3" s="3" t="s">
        <v>375</v>
      </c>
      <c r="BV3" s="51"/>
      <c r="BW3" s="51"/>
    </row>
    <row r="4" spans="1:104" s="27" customFormat="1" ht="16.5">
      <c r="A4" s="3" t="s">
        <v>376</v>
      </c>
      <c r="BV4" s="51"/>
      <c r="BW4" s="51"/>
    </row>
    <row r="5" spans="1:104" s="27" customFormat="1" ht="12.75">
      <c r="BV5" s="51"/>
      <c r="BW5" s="51"/>
    </row>
    <row r="6" spans="1:104" s="51" customFormat="1">
      <c r="A6" s="138" t="s">
        <v>187</v>
      </c>
      <c r="B6" s="137" t="s">
        <v>119</v>
      </c>
      <c r="C6" s="137"/>
      <c r="D6" s="137" t="s">
        <v>120</v>
      </c>
      <c r="E6" s="137"/>
      <c r="F6" s="137" t="s">
        <v>121</v>
      </c>
      <c r="G6" s="137"/>
      <c r="H6" s="137" t="s">
        <v>251</v>
      </c>
      <c r="I6" s="137"/>
      <c r="J6" s="137" t="s">
        <v>122</v>
      </c>
      <c r="K6" s="137"/>
      <c r="L6" s="137" t="s">
        <v>268</v>
      </c>
      <c r="M6" s="137"/>
      <c r="N6" s="137" t="s">
        <v>167</v>
      </c>
      <c r="O6" s="137"/>
      <c r="P6" s="137" t="s">
        <v>42</v>
      </c>
      <c r="Q6" s="137"/>
      <c r="R6" s="137" t="s">
        <v>198</v>
      </c>
      <c r="S6" s="137"/>
      <c r="T6" s="137" t="s">
        <v>43</v>
      </c>
      <c r="U6" s="137"/>
      <c r="V6" s="137" t="s">
        <v>15</v>
      </c>
      <c r="W6" s="137"/>
      <c r="X6" s="137" t="s">
        <v>16</v>
      </c>
      <c r="Y6" s="137"/>
      <c r="Z6" s="137" t="s">
        <v>17</v>
      </c>
      <c r="AA6" s="137"/>
      <c r="AB6" s="137" t="s">
        <v>199</v>
      </c>
      <c r="AC6" s="137"/>
      <c r="AD6" s="137" t="s">
        <v>168</v>
      </c>
      <c r="AE6" s="137"/>
      <c r="AF6" s="137" t="s">
        <v>200</v>
      </c>
      <c r="AG6" s="137"/>
      <c r="AH6" s="137" t="s">
        <v>19</v>
      </c>
      <c r="AI6" s="137"/>
      <c r="AJ6" s="137" t="s">
        <v>169</v>
      </c>
      <c r="AK6" s="137"/>
      <c r="AL6" s="137" t="s">
        <v>25</v>
      </c>
      <c r="AM6" s="137"/>
      <c r="AN6" s="137" t="s">
        <v>26</v>
      </c>
      <c r="AO6" s="137"/>
      <c r="AP6" s="137" t="s">
        <v>27</v>
      </c>
      <c r="AQ6" s="137"/>
      <c r="AR6" s="137" t="s">
        <v>209</v>
      </c>
      <c r="AS6" s="137"/>
      <c r="AT6" s="137" t="s">
        <v>28</v>
      </c>
      <c r="AU6" s="137"/>
      <c r="AV6" s="137" t="s">
        <v>210</v>
      </c>
      <c r="AW6" s="137"/>
      <c r="AX6" s="137" t="s">
        <v>29</v>
      </c>
      <c r="AY6" s="137"/>
      <c r="AZ6" s="137" t="s">
        <v>273</v>
      </c>
      <c r="BA6" s="137"/>
      <c r="BB6" s="137" t="s">
        <v>24</v>
      </c>
      <c r="BC6" s="137"/>
      <c r="BD6" s="137" t="s">
        <v>7</v>
      </c>
      <c r="BE6" s="137"/>
      <c r="BF6" s="137" t="s">
        <v>35</v>
      </c>
      <c r="BG6" s="137"/>
      <c r="BH6" s="137" t="s">
        <v>36</v>
      </c>
      <c r="BI6" s="137"/>
      <c r="BJ6" s="137" t="s">
        <v>37</v>
      </c>
      <c r="BK6" s="137"/>
      <c r="BL6" s="137" t="s">
        <v>38</v>
      </c>
      <c r="BM6" s="137"/>
      <c r="BN6" s="137" t="s">
        <v>39</v>
      </c>
      <c r="BO6" s="137"/>
      <c r="BP6" s="137" t="s">
        <v>40</v>
      </c>
      <c r="BQ6" s="137"/>
      <c r="BR6" s="137" t="s">
        <v>44</v>
      </c>
      <c r="BS6" s="137"/>
      <c r="BT6" s="137" t="s">
        <v>8</v>
      </c>
      <c r="BU6" s="137"/>
      <c r="BV6" s="137" t="s">
        <v>45</v>
      </c>
      <c r="BW6" s="137"/>
    </row>
    <row r="7" spans="1:104" s="51" customFormat="1">
      <c r="A7" s="138"/>
      <c r="B7" s="4"/>
      <c r="C7" s="4" t="s">
        <v>176</v>
      </c>
      <c r="D7" s="4"/>
      <c r="E7" s="4"/>
      <c r="F7" s="4"/>
      <c r="G7" s="4"/>
      <c r="H7" s="4"/>
      <c r="I7" s="4"/>
      <c r="J7" s="4"/>
      <c r="K7" s="4" t="s">
        <v>176</v>
      </c>
      <c r="L7" s="4"/>
      <c r="M7" s="4" t="s">
        <v>176</v>
      </c>
      <c r="N7" s="4"/>
      <c r="O7" s="4" t="s">
        <v>176</v>
      </c>
      <c r="P7" s="4"/>
      <c r="Q7" s="4" t="s">
        <v>176</v>
      </c>
      <c r="R7" s="4"/>
      <c r="S7" s="4" t="s">
        <v>176</v>
      </c>
      <c r="T7" s="4"/>
      <c r="U7" s="4" t="s">
        <v>176</v>
      </c>
      <c r="V7" s="4"/>
      <c r="W7" s="4" t="s">
        <v>176</v>
      </c>
      <c r="X7" s="4"/>
      <c r="Y7" s="4" t="s">
        <v>176</v>
      </c>
      <c r="Z7" s="4"/>
      <c r="AA7" s="4" t="s">
        <v>176</v>
      </c>
      <c r="AB7" s="4"/>
      <c r="AC7" s="4" t="s">
        <v>176</v>
      </c>
      <c r="AD7" s="4"/>
      <c r="AE7" s="4" t="s">
        <v>176</v>
      </c>
      <c r="AF7" s="4"/>
      <c r="AG7" s="4" t="s">
        <v>176</v>
      </c>
      <c r="AH7" s="4"/>
      <c r="AI7" s="4" t="s">
        <v>176</v>
      </c>
      <c r="AJ7" s="4"/>
      <c r="AK7" s="4" t="s">
        <v>176</v>
      </c>
      <c r="AL7" s="4"/>
      <c r="AM7" s="4" t="s">
        <v>176</v>
      </c>
      <c r="AN7" s="4"/>
      <c r="AO7" s="4" t="s">
        <v>176</v>
      </c>
      <c r="AP7" s="4"/>
      <c r="AQ7" s="4" t="s">
        <v>176</v>
      </c>
      <c r="AR7" s="4"/>
      <c r="AS7" s="4" t="s">
        <v>176</v>
      </c>
      <c r="AT7" s="4"/>
      <c r="AU7" s="4" t="s">
        <v>176</v>
      </c>
      <c r="AV7" s="4"/>
      <c r="AW7" s="4" t="s">
        <v>176</v>
      </c>
      <c r="AX7" s="4"/>
      <c r="AY7" s="4" t="s">
        <v>176</v>
      </c>
      <c r="AZ7" s="4"/>
      <c r="BA7" s="4" t="s">
        <v>176</v>
      </c>
      <c r="BB7" s="4"/>
      <c r="BC7" s="4" t="s">
        <v>176</v>
      </c>
      <c r="BD7" s="4"/>
      <c r="BE7" s="4" t="s">
        <v>176</v>
      </c>
      <c r="BF7" s="4"/>
      <c r="BG7" s="4" t="s">
        <v>176</v>
      </c>
      <c r="BH7" s="4"/>
      <c r="BI7" s="4" t="s">
        <v>176</v>
      </c>
      <c r="BJ7" s="4"/>
      <c r="BK7" s="4" t="s">
        <v>176</v>
      </c>
      <c r="BL7" s="4"/>
      <c r="BM7" s="4" t="s">
        <v>176</v>
      </c>
      <c r="BN7" s="4"/>
      <c r="BO7" s="4" t="s">
        <v>176</v>
      </c>
      <c r="BP7" s="4"/>
      <c r="BQ7" s="4" t="s">
        <v>176</v>
      </c>
      <c r="BR7" s="4"/>
      <c r="BS7" s="4" t="s">
        <v>176</v>
      </c>
      <c r="BT7" s="4"/>
      <c r="BU7" s="4" t="s">
        <v>176</v>
      </c>
      <c r="BV7" s="4"/>
      <c r="BW7" s="4"/>
    </row>
    <row r="8" spans="1:104" s="51" customFormat="1">
      <c r="A8" s="138" t="s">
        <v>188</v>
      </c>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201</v>
      </c>
      <c r="BC8" s="4" t="s">
        <v>202</v>
      </c>
      <c r="BD8" s="4" t="s">
        <v>201</v>
      </c>
      <c r="BE8" s="4" t="s">
        <v>202</v>
      </c>
      <c r="BF8" s="4" t="s">
        <v>46</v>
      </c>
      <c r="BG8" s="4" t="s">
        <v>47</v>
      </c>
      <c r="BH8" s="4" t="s">
        <v>46</v>
      </c>
      <c r="BI8" s="4" t="s">
        <v>47</v>
      </c>
      <c r="BJ8" s="4" t="s">
        <v>46</v>
      </c>
      <c r="BK8" s="4" t="s">
        <v>47</v>
      </c>
      <c r="BL8" s="4" t="s">
        <v>46</v>
      </c>
      <c r="BM8" s="4" t="s">
        <v>47</v>
      </c>
      <c r="BN8" s="4" t="s">
        <v>46</v>
      </c>
      <c r="BO8" s="4" t="s">
        <v>47</v>
      </c>
      <c r="BP8" s="4" t="s">
        <v>46</v>
      </c>
      <c r="BQ8" s="4" t="s">
        <v>47</v>
      </c>
      <c r="BR8" s="4" t="s">
        <v>46</v>
      </c>
      <c r="BS8" s="4" t="s">
        <v>47</v>
      </c>
      <c r="BT8" s="4" t="s">
        <v>46</v>
      </c>
      <c r="BU8" s="4" t="s">
        <v>47</v>
      </c>
      <c r="BV8" s="4" t="s">
        <v>46</v>
      </c>
      <c r="BW8" s="4" t="s">
        <v>47</v>
      </c>
    </row>
    <row r="9" spans="1:104" s="27" customFormat="1">
      <c r="A9" s="5" t="s">
        <v>48</v>
      </c>
      <c r="B9" s="6"/>
      <c r="C9" s="6"/>
      <c r="D9" s="6"/>
      <c r="E9" s="6"/>
      <c r="F9" s="6"/>
      <c r="G9" s="6"/>
      <c r="H9" s="6"/>
      <c r="I9" s="6"/>
      <c r="J9" s="6"/>
      <c r="K9" s="6"/>
      <c r="L9" s="6"/>
      <c r="M9" s="6"/>
      <c r="N9" s="6">
        <v>3</v>
      </c>
      <c r="O9" s="6">
        <v>29</v>
      </c>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v>1</v>
      </c>
      <c r="BE9" s="6">
        <v>50</v>
      </c>
      <c r="BF9" s="6"/>
      <c r="BG9" s="6"/>
      <c r="BH9" s="6"/>
      <c r="BI9" s="6"/>
      <c r="BJ9" s="6"/>
      <c r="BK9" s="6"/>
      <c r="BL9" s="6"/>
      <c r="BM9" s="6"/>
      <c r="BN9" s="6">
        <v>1</v>
      </c>
      <c r="BO9" s="6">
        <v>21</v>
      </c>
      <c r="BP9" s="6"/>
      <c r="BQ9" s="6"/>
      <c r="BR9" s="6"/>
      <c r="BS9" s="6"/>
      <c r="BT9" s="6">
        <v>8</v>
      </c>
      <c r="BU9" s="6">
        <v>118</v>
      </c>
      <c r="BV9" s="8">
        <f>B9+D9+F9+H9+J9+L9+N9+P9+R9+T9+V9+X9+Z9+AB9+AD9+AF9+AH9+AJ9+AL9+AN9+AP9+AR9+AT9+AV9+AX9+AZ9+BB9+BD9+BF9+BH9+BJ9+BL9+BN9+BP9+BR9+BT9</f>
        <v>13</v>
      </c>
      <c r="BW9" s="8">
        <f>C9+E9+G9+I9+K9+M9+O9+Q9+S9+U9+W9+Y9+AA9+AC9+AE9+AG9+AI9+AK9+AM9+AO9+AQ9+AS9+AU9+AW9+AY9+BA9+BC9+BE9+BG9+BI9+BK9+BM9+BO9+BQ9+BS9+BU9</f>
        <v>218</v>
      </c>
      <c r="BX9" s="52"/>
      <c r="BY9" s="52"/>
      <c r="BZ9" s="52"/>
      <c r="CZ9" s="53"/>
    </row>
    <row r="10" spans="1:104" s="27" customFormat="1">
      <c r="A10" s="10" t="s">
        <v>49</v>
      </c>
      <c r="B10" s="6">
        <v>4</v>
      </c>
      <c r="C10" s="6">
        <v>201</v>
      </c>
      <c r="D10" s="6">
        <v>18</v>
      </c>
      <c r="E10" s="6">
        <v>2417</v>
      </c>
      <c r="F10" s="6">
        <v>5</v>
      </c>
      <c r="G10" s="6">
        <v>4681</v>
      </c>
      <c r="H10" s="6"/>
      <c r="I10" s="6"/>
      <c r="J10" s="6"/>
      <c r="K10" s="6"/>
      <c r="L10" s="6"/>
      <c r="M10" s="6"/>
      <c r="N10" s="6">
        <v>4</v>
      </c>
      <c r="O10" s="6">
        <v>71</v>
      </c>
      <c r="P10" s="6"/>
      <c r="Q10" s="6"/>
      <c r="R10" s="6"/>
      <c r="S10" s="6"/>
      <c r="T10" s="6">
        <v>1</v>
      </c>
      <c r="U10" s="6">
        <v>32</v>
      </c>
      <c r="V10" s="6"/>
      <c r="W10" s="6"/>
      <c r="X10" s="6"/>
      <c r="Y10" s="6"/>
      <c r="Z10" s="6">
        <v>9</v>
      </c>
      <c r="AA10" s="6">
        <v>4400</v>
      </c>
      <c r="AB10" s="6"/>
      <c r="AC10" s="6"/>
      <c r="AD10" s="6">
        <v>15</v>
      </c>
      <c r="AE10" s="6">
        <v>6597</v>
      </c>
      <c r="AF10" s="6">
        <v>1</v>
      </c>
      <c r="AG10" s="6">
        <v>348</v>
      </c>
      <c r="AH10" s="6">
        <v>1</v>
      </c>
      <c r="AI10" s="6">
        <v>126</v>
      </c>
      <c r="AJ10" s="6"/>
      <c r="AK10" s="6"/>
      <c r="AL10" s="6"/>
      <c r="AM10" s="6"/>
      <c r="AN10" s="6"/>
      <c r="AO10" s="6"/>
      <c r="AP10" s="6">
        <v>4</v>
      </c>
      <c r="AQ10" s="6">
        <v>1776</v>
      </c>
      <c r="AR10" s="6">
        <v>1</v>
      </c>
      <c r="AS10" s="6">
        <v>336</v>
      </c>
      <c r="AT10" s="6">
        <v>13</v>
      </c>
      <c r="AU10" s="6">
        <v>5486</v>
      </c>
      <c r="AV10" s="6">
        <v>2</v>
      </c>
      <c r="AW10" s="6">
        <v>443</v>
      </c>
      <c r="AX10" s="6">
        <v>1</v>
      </c>
      <c r="AY10" s="6">
        <v>706</v>
      </c>
      <c r="AZ10" s="6">
        <v>1</v>
      </c>
      <c r="BA10" s="6">
        <v>22</v>
      </c>
      <c r="BB10" s="6"/>
      <c r="BC10" s="6"/>
      <c r="BD10" s="6"/>
      <c r="BE10" s="6"/>
      <c r="BF10" s="6">
        <v>2</v>
      </c>
      <c r="BG10" s="6">
        <v>76</v>
      </c>
      <c r="BH10" s="6"/>
      <c r="BI10" s="6"/>
      <c r="BJ10" s="6"/>
      <c r="BK10" s="6"/>
      <c r="BL10" s="6">
        <v>1</v>
      </c>
      <c r="BM10" s="6">
        <v>55</v>
      </c>
      <c r="BN10" s="6">
        <v>1</v>
      </c>
      <c r="BO10" s="6">
        <v>39</v>
      </c>
      <c r="BP10" s="6"/>
      <c r="BQ10" s="6"/>
      <c r="BR10" s="6"/>
      <c r="BS10" s="6"/>
      <c r="BT10" s="6">
        <v>9</v>
      </c>
      <c r="BU10" s="6">
        <v>129</v>
      </c>
      <c r="BV10" s="8">
        <f t="shared" ref="BV10:BW61" si="0">B10+D10+F10+H10+J10+L10+N10+P10+R10+T10+V10+X10+Z10+AB10+AD10+AF10+AH10+AJ10+AL10+AN10+AP10+AR10+AT10+AV10+AX10+AZ10+BB10+BD10+BF10+BH10+BJ10+BL10+BN10+BP10+BR10+BT10</f>
        <v>93</v>
      </c>
      <c r="BW10" s="8">
        <f t="shared" si="0"/>
        <v>27941</v>
      </c>
      <c r="BX10" s="52"/>
      <c r="BY10" s="52"/>
      <c r="BZ10" s="52"/>
    </row>
    <row r="11" spans="1:104" s="27" customFormat="1">
      <c r="A11" s="5" t="s">
        <v>50</v>
      </c>
      <c r="B11" s="6"/>
      <c r="C11" s="6"/>
      <c r="D11" s="6"/>
      <c r="E11" s="6"/>
      <c r="F11" s="6"/>
      <c r="G11" s="6"/>
      <c r="H11" s="6"/>
      <c r="I11" s="6"/>
      <c r="J11" s="6"/>
      <c r="K11" s="6"/>
      <c r="L11" s="6"/>
      <c r="M11" s="6"/>
      <c r="N11" s="6">
        <v>2</v>
      </c>
      <c r="O11" s="6">
        <v>26</v>
      </c>
      <c r="P11" s="6"/>
      <c r="Q11" s="6"/>
      <c r="R11" s="6"/>
      <c r="S11" s="6"/>
      <c r="T11" s="6"/>
      <c r="U11" s="6"/>
      <c r="V11" s="6"/>
      <c r="W11" s="6"/>
      <c r="X11" s="6"/>
      <c r="Y11" s="6"/>
      <c r="Z11" s="6"/>
      <c r="AA11" s="6"/>
      <c r="AB11" s="6"/>
      <c r="AC11" s="6"/>
      <c r="AD11" s="6">
        <v>1</v>
      </c>
      <c r="AE11" s="6">
        <v>50</v>
      </c>
      <c r="AF11" s="6"/>
      <c r="AG11" s="6"/>
      <c r="AH11" s="6"/>
      <c r="AI11" s="6"/>
      <c r="AJ11" s="6"/>
      <c r="AK11" s="6"/>
      <c r="AL11" s="6"/>
      <c r="AM11" s="6"/>
      <c r="AN11" s="6"/>
      <c r="AO11" s="6"/>
      <c r="AP11" s="6"/>
      <c r="AQ11" s="6"/>
      <c r="AR11" s="6"/>
      <c r="AS11" s="6"/>
      <c r="AT11" s="6"/>
      <c r="AU11" s="6"/>
      <c r="AV11" s="6"/>
      <c r="AW11" s="6"/>
      <c r="AX11" s="6"/>
      <c r="AY11" s="6"/>
      <c r="AZ11" s="6">
        <v>1</v>
      </c>
      <c r="BA11" s="6">
        <v>64</v>
      </c>
      <c r="BB11" s="6"/>
      <c r="BC11" s="6"/>
      <c r="BD11" s="6">
        <v>1</v>
      </c>
      <c r="BE11" s="6">
        <v>31</v>
      </c>
      <c r="BF11" s="6"/>
      <c r="BG11" s="6"/>
      <c r="BH11" s="6"/>
      <c r="BI11" s="6"/>
      <c r="BJ11" s="6"/>
      <c r="BK11" s="6"/>
      <c r="BL11" s="6"/>
      <c r="BM11" s="6"/>
      <c r="BN11" s="6"/>
      <c r="BO11" s="6"/>
      <c r="BP11" s="6"/>
      <c r="BQ11" s="6"/>
      <c r="BR11" s="6"/>
      <c r="BS11" s="6"/>
      <c r="BT11" s="6">
        <v>2</v>
      </c>
      <c r="BU11" s="6">
        <v>26</v>
      </c>
      <c r="BV11" s="8">
        <f t="shared" si="0"/>
        <v>7</v>
      </c>
      <c r="BW11" s="8">
        <f t="shared" si="0"/>
        <v>197</v>
      </c>
      <c r="BX11" s="52"/>
      <c r="BY11" s="52"/>
      <c r="BZ11" s="52"/>
    </row>
    <row r="12" spans="1:104" s="27" customFormat="1">
      <c r="A12" s="5" t="s">
        <v>51</v>
      </c>
      <c r="B12" s="6">
        <v>1</v>
      </c>
      <c r="C12" s="6">
        <v>54</v>
      </c>
      <c r="D12" s="6">
        <v>1</v>
      </c>
      <c r="E12" s="6">
        <v>98</v>
      </c>
      <c r="F12" s="6">
        <v>1</v>
      </c>
      <c r="G12" s="6">
        <v>414</v>
      </c>
      <c r="H12" s="6"/>
      <c r="I12" s="6"/>
      <c r="J12" s="6"/>
      <c r="K12" s="6"/>
      <c r="L12" s="6"/>
      <c r="M12" s="6"/>
      <c r="N12" s="6">
        <v>1</v>
      </c>
      <c r="O12" s="6">
        <v>14</v>
      </c>
      <c r="P12" s="6"/>
      <c r="Q12" s="6"/>
      <c r="R12" s="6"/>
      <c r="S12" s="6"/>
      <c r="T12" s="6"/>
      <c r="U12" s="6"/>
      <c r="V12" s="6"/>
      <c r="W12" s="6"/>
      <c r="X12" s="6"/>
      <c r="Y12" s="6"/>
      <c r="Z12" s="6">
        <v>2</v>
      </c>
      <c r="AA12" s="6">
        <v>309</v>
      </c>
      <c r="AB12" s="6"/>
      <c r="AC12" s="6"/>
      <c r="AD12" s="6">
        <v>3</v>
      </c>
      <c r="AE12" s="6">
        <v>1458</v>
      </c>
      <c r="AF12" s="6">
        <v>2</v>
      </c>
      <c r="AG12" s="6">
        <v>287</v>
      </c>
      <c r="AH12" s="6">
        <v>2</v>
      </c>
      <c r="AI12" s="6">
        <v>946</v>
      </c>
      <c r="AJ12" s="6"/>
      <c r="AK12" s="6"/>
      <c r="AL12" s="6"/>
      <c r="AM12" s="6"/>
      <c r="AN12" s="6"/>
      <c r="AO12" s="6"/>
      <c r="AP12" s="6"/>
      <c r="AQ12" s="6"/>
      <c r="AR12" s="6"/>
      <c r="AS12" s="6"/>
      <c r="AT12" s="6">
        <v>3</v>
      </c>
      <c r="AU12" s="6">
        <v>616</v>
      </c>
      <c r="AV12" s="6"/>
      <c r="AW12" s="6"/>
      <c r="AX12" s="6"/>
      <c r="AY12" s="6"/>
      <c r="AZ12" s="6"/>
      <c r="BA12" s="6"/>
      <c r="BB12" s="6"/>
      <c r="BC12" s="6"/>
      <c r="BD12" s="6"/>
      <c r="BE12" s="6"/>
      <c r="BF12" s="6">
        <v>1</v>
      </c>
      <c r="BG12" s="6">
        <v>40</v>
      </c>
      <c r="BH12" s="6"/>
      <c r="BI12" s="6"/>
      <c r="BJ12" s="6"/>
      <c r="BK12" s="6"/>
      <c r="BL12" s="6"/>
      <c r="BM12" s="6"/>
      <c r="BN12" s="6">
        <v>1</v>
      </c>
      <c r="BO12" s="6">
        <v>28</v>
      </c>
      <c r="BP12" s="6"/>
      <c r="BQ12" s="6"/>
      <c r="BR12" s="6"/>
      <c r="BS12" s="6"/>
      <c r="BT12" s="6">
        <v>2</v>
      </c>
      <c r="BU12" s="6">
        <v>22</v>
      </c>
      <c r="BV12" s="8">
        <f t="shared" si="0"/>
        <v>20</v>
      </c>
      <c r="BW12" s="8">
        <f t="shared" si="0"/>
        <v>4286</v>
      </c>
      <c r="BX12" s="52"/>
      <c r="BY12" s="52"/>
      <c r="BZ12" s="52"/>
    </row>
    <row r="13" spans="1:104" s="27" customFormat="1">
      <c r="A13" s="5" t="s">
        <v>203</v>
      </c>
      <c r="B13" s="6"/>
      <c r="C13" s="6"/>
      <c r="D13" s="6"/>
      <c r="E13" s="6"/>
      <c r="F13" s="6"/>
      <c r="G13" s="6"/>
      <c r="H13" s="6"/>
      <c r="I13" s="6"/>
      <c r="J13" s="6"/>
      <c r="K13" s="6"/>
      <c r="L13" s="6"/>
      <c r="M13" s="6"/>
      <c r="N13" s="6">
        <v>1</v>
      </c>
      <c r="O13" s="6">
        <v>22</v>
      </c>
      <c r="P13" s="6"/>
      <c r="Q13" s="6"/>
      <c r="R13" s="6"/>
      <c r="S13" s="6"/>
      <c r="T13" s="6"/>
      <c r="U13" s="6"/>
      <c r="V13" s="6"/>
      <c r="W13" s="6"/>
      <c r="X13" s="6"/>
      <c r="Y13" s="6"/>
      <c r="Z13" s="6"/>
      <c r="AA13" s="6"/>
      <c r="AB13" s="6"/>
      <c r="AC13" s="6"/>
      <c r="AD13" s="6"/>
      <c r="AE13" s="6"/>
      <c r="AF13" s="6">
        <v>1</v>
      </c>
      <c r="AG13" s="6">
        <v>50</v>
      </c>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v>1</v>
      </c>
      <c r="BU13" s="6">
        <v>32</v>
      </c>
      <c r="BV13" s="8">
        <f t="shared" si="0"/>
        <v>3</v>
      </c>
      <c r="BW13" s="8">
        <f t="shared" si="0"/>
        <v>104</v>
      </c>
      <c r="BX13" s="52"/>
      <c r="BY13" s="52"/>
      <c r="BZ13" s="52"/>
    </row>
    <row r="14" spans="1:104" s="27" customFormat="1">
      <c r="A14" s="5" t="s">
        <v>52</v>
      </c>
      <c r="B14" s="6">
        <v>1</v>
      </c>
      <c r="C14" s="6">
        <v>38</v>
      </c>
      <c r="D14" s="6"/>
      <c r="E14" s="6"/>
      <c r="F14" s="6"/>
      <c r="G14" s="6"/>
      <c r="H14" s="6"/>
      <c r="I14" s="6"/>
      <c r="J14" s="6"/>
      <c r="K14" s="6"/>
      <c r="L14" s="6"/>
      <c r="M14" s="6"/>
      <c r="N14" s="6">
        <v>9</v>
      </c>
      <c r="O14" s="6">
        <v>205</v>
      </c>
      <c r="P14" s="6"/>
      <c r="Q14" s="6"/>
      <c r="R14" s="6"/>
      <c r="S14" s="6"/>
      <c r="T14" s="6"/>
      <c r="U14" s="6"/>
      <c r="V14" s="6"/>
      <c r="W14" s="6"/>
      <c r="X14" s="6"/>
      <c r="Y14" s="6"/>
      <c r="Z14" s="6"/>
      <c r="AA14" s="6"/>
      <c r="AB14" s="6"/>
      <c r="AC14" s="6"/>
      <c r="AD14" s="6">
        <v>6</v>
      </c>
      <c r="AE14" s="6">
        <v>179</v>
      </c>
      <c r="AF14" s="6"/>
      <c r="AG14" s="6"/>
      <c r="AH14" s="6"/>
      <c r="AI14" s="6"/>
      <c r="AJ14" s="6"/>
      <c r="AK14" s="6"/>
      <c r="AL14" s="6"/>
      <c r="AM14" s="6"/>
      <c r="AN14" s="6"/>
      <c r="AO14" s="6"/>
      <c r="AP14" s="6"/>
      <c r="AQ14" s="6"/>
      <c r="AR14" s="6"/>
      <c r="AS14" s="6"/>
      <c r="AT14" s="6"/>
      <c r="AU14" s="6"/>
      <c r="AV14" s="6"/>
      <c r="AW14" s="6"/>
      <c r="AX14" s="6"/>
      <c r="AY14" s="6"/>
      <c r="AZ14" s="6"/>
      <c r="BA14" s="6"/>
      <c r="BB14" s="6"/>
      <c r="BC14" s="6"/>
      <c r="BD14" s="6">
        <v>1</v>
      </c>
      <c r="BE14" s="6">
        <v>154</v>
      </c>
      <c r="BF14" s="6">
        <v>1</v>
      </c>
      <c r="BG14" s="6">
        <v>15</v>
      </c>
      <c r="BH14" s="6">
        <v>1</v>
      </c>
      <c r="BI14" s="6">
        <v>12</v>
      </c>
      <c r="BJ14" s="6"/>
      <c r="BK14" s="6"/>
      <c r="BL14" s="6"/>
      <c r="BM14" s="6"/>
      <c r="BN14" s="6"/>
      <c r="BO14" s="6"/>
      <c r="BP14" s="6"/>
      <c r="BQ14" s="6"/>
      <c r="BR14" s="6"/>
      <c r="BS14" s="6"/>
      <c r="BT14" s="6">
        <v>5</v>
      </c>
      <c r="BU14" s="6">
        <v>55</v>
      </c>
      <c r="BV14" s="8">
        <f t="shared" si="0"/>
        <v>24</v>
      </c>
      <c r="BW14" s="8">
        <f t="shared" si="0"/>
        <v>658</v>
      </c>
      <c r="BX14" s="52"/>
      <c r="BY14" s="52"/>
      <c r="BZ14" s="52"/>
    </row>
    <row r="15" spans="1:104" s="27" customFormat="1">
      <c r="A15" s="5" t="s">
        <v>53</v>
      </c>
      <c r="B15" s="6"/>
      <c r="C15" s="6"/>
      <c r="D15" s="6"/>
      <c r="E15" s="6"/>
      <c r="F15" s="6"/>
      <c r="G15" s="6"/>
      <c r="H15" s="6"/>
      <c r="I15" s="6"/>
      <c r="J15" s="6"/>
      <c r="K15" s="6"/>
      <c r="L15" s="6"/>
      <c r="M15" s="6"/>
      <c r="N15" s="6"/>
      <c r="O15" s="6"/>
      <c r="P15" s="6"/>
      <c r="Q15" s="6"/>
      <c r="R15" s="6"/>
      <c r="S15" s="6"/>
      <c r="T15" s="6"/>
      <c r="U15" s="6"/>
      <c r="V15" s="6"/>
      <c r="W15" s="6"/>
      <c r="X15" s="6"/>
      <c r="Y15" s="6"/>
      <c r="Z15" s="6">
        <v>2</v>
      </c>
      <c r="AA15" s="6">
        <v>121</v>
      </c>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v>1</v>
      </c>
      <c r="BI15" s="6">
        <v>75</v>
      </c>
      <c r="BJ15" s="6"/>
      <c r="BK15" s="6"/>
      <c r="BL15" s="6"/>
      <c r="BM15" s="6"/>
      <c r="BN15" s="6"/>
      <c r="BO15" s="6"/>
      <c r="BP15" s="6"/>
      <c r="BQ15" s="6"/>
      <c r="BR15" s="6"/>
      <c r="BS15" s="6"/>
      <c r="BT15" s="6">
        <v>3</v>
      </c>
      <c r="BU15" s="6">
        <v>35</v>
      </c>
      <c r="BV15" s="8">
        <f t="shared" si="0"/>
        <v>6</v>
      </c>
      <c r="BW15" s="8">
        <f t="shared" si="0"/>
        <v>231</v>
      </c>
      <c r="BX15" s="52"/>
      <c r="BY15" s="52"/>
      <c r="BZ15" s="52"/>
    </row>
    <row r="16" spans="1:104" s="27" customFormat="1">
      <c r="A16" s="5" t="s">
        <v>54</v>
      </c>
      <c r="B16" s="6"/>
      <c r="C16" s="6"/>
      <c r="D16" s="6"/>
      <c r="E16" s="6"/>
      <c r="F16" s="6"/>
      <c r="G16" s="6"/>
      <c r="H16" s="6"/>
      <c r="I16" s="6"/>
      <c r="J16" s="6"/>
      <c r="K16" s="6"/>
      <c r="L16" s="6"/>
      <c r="M16" s="6"/>
      <c r="N16" s="6">
        <v>2</v>
      </c>
      <c r="O16" s="6">
        <v>78</v>
      </c>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8">
        <f t="shared" si="0"/>
        <v>2</v>
      </c>
      <c r="BW16" s="8">
        <f t="shared" si="0"/>
        <v>78</v>
      </c>
      <c r="BX16" s="52"/>
      <c r="BY16" s="52"/>
      <c r="BZ16" s="52"/>
    </row>
    <row r="17" spans="1:78" s="27" customFormat="1">
      <c r="A17" s="5" t="s">
        <v>55</v>
      </c>
      <c r="B17" s="6"/>
      <c r="C17" s="6"/>
      <c r="D17" s="6"/>
      <c r="E17" s="6"/>
      <c r="F17" s="6"/>
      <c r="G17" s="6"/>
      <c r="H17" s="6"/>
      <c r="I17" s="6"/>
      <c r="J17" s="6"/>
      <c r="K17" s="6"/>
      <c r="L17" s="6"/>
      <c r="M17" s="6"/>
      <c r="N17" s="6">
        <v>1</v>
      </c>
      <c r="O17" s="6">
        <v>22</v>
      </c>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8">
        <f t="shared" si="0"/>
        <v>1</v>
      </c>
      <c r="BW17" s="8">
        <f t="shared" si="0"/>
        <v>22</v>
      </c>
      <c r="BX17" s="52"/>
      <c r="BY17" s="52"/>
      <c r="BZ17" s="52"/>
    </row>
    <row r="18" spans="1:78" s="27" customFormat="1">
      <c r="A18" s="5" t="s">
        <v>56</v>
      </c>
      <c r="B18" s="6"/>
      <c r="C18" s="6"/>
      <c r="D18" s="6"/>
      <c r="E18" s="6"/>
      <c r="F18" s="6"/>
      <c r="G18" s="6"/>
      <c r="H18" s="6"/>
      <c r="I18" s="6"/>
      <c r="J18" s="6"/>
      <c r="K18" s="6"/>
      <c r="L18" s="6"/>
      <c r="M18" s="6"/>
      <c r="N18" s="6">
        <v>12</v>
      </c>
      <c r="O18" s="6">
        <v>180</v>
      </c>
      <c r="P18" s="6"/>
      <c r="Q18" s="6"/>
      <c r="R18" s="6"/>
      <c r="S18" s="6"/>
      <c r="T18" s="6"/>
      <c r="U18" s="6"/>
      <c r="V18" s="6"/>
      <c r="W18" s="6"/>
      <c r="X18" s="6"/>
      <c r="Y18" s="6"/>
      <c r="Z18" s="6">
        <v>1</v>
      </c>
      <c r="AA18" s="6">
        <v>30</v>
      </c>
      <c r="AB18" s="6"/>
      <c r="AC18" s="6"/>
      <c r="AD18" s="6">
        <v>1</v>
      </c>
      <c r="AE18" s="6">
        <v>38</v>
      </c>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v>1</v>
      </c>
      <c r="BU18" s="6">
        <v>20</v>
      </c>
      <c r="BV18" s="8">
        <f t="shared" si="0"/>
        <v>15</v>
      </c>
      <c r="BW18" s="8">
        <f t="shared" si="0"/>
        <v>268</v>
      </c>
      <c r="BX18" s="52"/>
      <c r="BY18" s="52"/>
      <c r="BZ18" s="52"/>
    </row>
    <row r="19" spans="1:78" s="27" customFormat="1">
      <c r="A19" s="5" t="s">
        <v>57</v>
      </c>
      <c r="B19" s="6">
        <v>7</v>
      </c>
      <c r="C19" s="6">
        <v>341</v>
      </c>
      <c r="D19" s="6">
        <v>22</v>
      </c>
      <c r="E19" s="6">
        <v>2296</v>
      </c>
      <c r="F19" s="6">
        <v>24</v>
      </c>
      <c r="G19" s="6">
        <v>4554</v>
      </c>
      <c r="H19" s="6">
        <v>1</v>
      </c>
      <c r="I19" s="6">
        <v>566</v>
      </c>
      <c r="J19" s="6">
        <v>4</v>
      </c>
      <c r="K19" s="6">
        <v>747</v>
      </c>
      <c r="L19" s="6"/>
      <c r="M19" s="6"/>
      <c r="N19" s="6">
        <v>7</v>
      </c>
      <c r="O19" s="6">
        <v>107</v>
      </c>
      <c r="P19" s="6">
        <v>1</v>
      </c>
      <c r="Q19" s="6">
        <v>19</v>
      </c>
      <c r="R19" s="6"/>
      <c r="S19" s="6"/>
      <c r="T19" s="6"/>
      <c r="U19" s="6"/>
      <c r="V19" s="6">
        <v>2</v>
      </c>
      <c r="W19" s="6">
        <v>157</v>
      </c>
      <c r="X19" s="6">
        <v>4</v>
      </c>
      <c r="Y19" s="6">
        <v>331</v>
      </c>
      <c r="Z19" s="6">
        <v>34</v>
      </c>
      <c r="AA19" s="6">
        <v>6573</v>
      </c>
      <c r="AB19" s="6"/>
      <c r="AC19" s="6"/>
      <c r="AD19" s="6">
        <v>71</v>
      </c>
      <c r="AE19" s="6">
        <v>27288</v>
      </c>
      <c r="AF19" s="6">
        <v>8</v>
      </c>
      <c r="AG19" s="6">
        <v>2285</v>
      </c>
      <c r="AH19" s="6">
        <v>9</v>
      </c>
      <c r="AI19" s="6">
        <v>2248</v>
      </c>
      <c r="AJ19" s="6">
        <v>1</v>
      </c>
      <c r="AK19" s="6">
        <v>156</v>
      </c>
      <c r="AL19" s="6"/>
      <c r="AM19" s="6"/>
      <c r="AN19" s="6">
        <v>2</v>
      </c>
      <c r="AO19" s="6">
        <v>159</v>
      </c>
      <c r="AP19" s="6">
        <v>11</v>
      </c>
      <c r="AQ19" s="6">
        <v>4163</v>
      </c>
      <c r="AR19" s="6">
        <v>3</v>
      </c>
      <c r="AS19" s="6">
        <v>944</v>
      </c>
      <c r="AT19" s="6">
        <v>17</v>
      </c>
      <c r="AU19" s="6">
        <v>7064</v>
      </c>
      <c r="AV19" s="6"/>
      <c r="AW19" s="6"/>
      <c r="AX19" s="6">
        <v>2</v>
      </c>
      <c r="AY19" s="6">
        <v>586</v>
      </c>
      <c r="AZ19" s="6"/>
      <c r="BA19" s="6"/>
      <c r="BB19" s="6"/>
      <c r="BC19" s="6"/>
      <c r="BD19" s="6">
        <v>1</v>
      </c>
      <c r="BE19" s="6">
        <v>82</v>
      </c>
      <c r="BF19" s="6">
        <v>3</v>
      </c>
      <c r="BG19" s="6">
        <v>95</v>
      </c>
      <c r="BH19" s="6">
        <v>1</v>
      </c>
      <c r="BI19" s="6">
        <v>39</v>
      </c>
      <c r="BJ19" s="6">
        <v>1</v>
      </c>
      <c r="BK19" s="6">
        <v>72</v>
      </c>
      <c r="BL19" s="6">
        <v>8</v>
      </c>
      <c r="BM19" s="6">
        <v>323</v>
      </c>
      <c r="BN19" s="6">
        <v>3</v>
      </c>
      <c r="BO19" s="6">
        <v>131</v>
      </c>
      <c r="BP19" s="6">
        <v>2</v>
      </c>
      <c r="BQ19" s="6">
        <v>86</v>
      </c>
      <c r="BR19" s="6"/>
      <c r="BS19" s="6"/>
      <c r="BT19" s="6">
        <v>1</v>
      </c>
      <c r="BU19" s="6">
        <v>4</v>
      </c>
      <c r="BV19" s="8">
        <f t="shared" si="0"/>
        <v>250</v>
      </c>
      <c r="BW19" s="8">
        <f t="shared" si="0"/>
        <v>61416</v>
      </c>
      <c r="BX19" s="52"/>
      <c r="BY19" s="52"/>
      <c r="BZ19" s="52"/>
    </row>
    <row r="20" spans="1:78" s="27" customFormat="1">
      <c r="A20" s="5" t="s">
        <v>58</v>
      </c>
      <c r="B20" s="6"/>
      <c r="C20" s="6"/>
      <c r="D20" s="6"/>
      <c r="E20" s="6"/>
      <c r="F20" s="6"/>
      <c r="G20" s="6"/>
      <c r="H20" s="6"/>
      <c r="I20" s="6"/>
      <c r="J20" s="6"/>
      <c r="K20" s="6"/>
      <c r="L20" s="6"/>
      <c r="M20" s="6"/>
      <c r="N20" s="6">
        <v>4</v>
      </c>
      <c r="O20" s="6">
        <v>142</v>
      </c>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v>1</v>
      </c>
      <c r="BE20" s="6">
        <v>64</v>
      </c>
      <c r="BF20" s="6"/>
      <c r="BG20" s="6"/>
      <c r="BH20" s="6"/>
      <c r="BI20" s="6"/>
      <c r="BJ20" s="6"/>
      <c r="BK20" s="6"/>
      <c r="BL20" s="6"/>
      <c r="BM20" s="6"/>
      <c r="BN20" s="6"/>
      <c r="BO20" s="6"/>
      <c r="BP20" s="6"/>
      <c r="BQ20" s="6"/>
      <c r="BR20" s="6"/>
      <c r="BS20" s="6"/>
      <c r="BT20" s="6">
        <v>2</v>
      </c>
      <c r="BU20" s="6">
        <v>22</v>
      </c>
      <c r="BV20" s="8">
        <f t="shared" si="0"/>
        <v>7</v>
      </c>
      <c r="BW20" s="8">
        <f t="shared" si="0"/>
        <v>228</v>
      </c>
      <c r="BX20" s="52"/>
      <c r="BY20" s="52"/>
      <c r="BZ20" s="52"/>
    </row>
    <row r="21" spans="1:78" s="27" customFormat="1">
      <c r="A21" s="5" t="s">
        <v>59</v>
      </c>
      <c r="B21" s="6"/>
      <c r="C21" s="6"/>
      <c r="D21" s="6"/>
      <c r="E21" s="6"/>
      <c r="F21" s="6"/>
      <c r="G21" s="6"/>
      <c r="H21" s="6"/>
      <c r="I21" s="6"/>
      <c r="J21" s="6"/>
      <c r="K21" s="6"/>
      <c r="L21" s="6"/>
      <c r="M21" s="6"/>
      <c r="N21" s="6">
        <v>30</v>
      </c>
      <c r="O21" s="6">
        <v>620</v>
      </c>
      <c r="P21" s="6"/>
      <c r="Q21" s="6"/>
      <c r="R21" s="6"/>
      <c r="S21" s="6"/>
      <c r="T21" s="6"/>
      <c r="U21" s="6"/>
      <c r="V21" s="6"/>
      <c r="W21" s="6"/>
      <c r="X21" s="6"/>
      <c r="Y21" s="6"/>
      <c r="Z21" s="6"/>
      <c r="AA21" s="6"/>
      <c r="AB21" s="6"/>
      <c r="AC21" s="6"/>
      <c r="AD21" s="6"/>
      <c r="AE21" s="6"/>
      <c r="AF21" s="6"/>
      <c r="AG21" s="6"/>
      <c r="AH21" s="6">
        <v>1</v>
      </c>
      <c r="AI21" s="6">
        <v>76</v>
      </c>
      <c r="AJ21" s="6"/>
      <c r="AK21" s="6"/>
      <c r="AL21" s="6"/>
      <c r="AM21" s="6"/>
      <c r="AN21" s="6"/>
      <c r="AO21" s="6"/>
      <c r="AP21" s="6"/>
      <c r="AQ21" s="6"/>
      <c r="AR21" s="6"/>
      <c r="AS21" s="6"/>
      <c r="AT21" s="6"/>
      <c r="AU21" s="6"/>
      <c r="AV21" s="6"/>
      <c r="AW21" s="6"/>
      <c r="AX21" s="6"/>
      <c r="AY21" s="6"/>
      <c r="AZ21" s="6"/>
      <c r="BA21" s="6"/>
      <c r="BB21" s="6"/>
      <c r="BC21" s="6"/>
      <c r="BD21" s="6">
        <v>3</v>
      </c>
      <c r="BE21" s="6">
        <v>74</v>
      </c>
      <c r="BF21" s="6"/>
      <c r="BG21" s="6"/>
      <c r="BH21" s="6"/>
      <c r="BI21" s="6"/>
      <c r="BJ21" s="6"/>
      <c r="BK21" s="6"/>
      <c r="BL21" s="6">
        <v>1</v>
      </c>
      <c r="BM21" s="6">
        <v>41</v>
      </c>
      <c r="BN21" s="6"/>
      <c r="BO21" s="6"/>
      <c r="BP21" s="6"/>
      <c r="BQ21" s="6"/>
      <c r="BR21" s="6"/>
      <c r="BS21" s="6"/>
      <c r="BT21" s="6">
        <v>2</v>
      </c>
      <c r="BU21" s="6">
        <v>58</v>
      </c>
      <c r="BV21" s="8">
        <f t="shared" si="0"/>
        <v>37</v>
      </c>
      <c r="BW21" s="8">
        <f t="shared" si="0"/>
        <v>869</v>
      </c>
      <c r="BX21" s="52"/>
      <c r="BY21" s="52"/>
      <c r="BZ21" s="52"/>
    </row>
    <row r="22" spans="1:78" s="27" customFormat="1">
      <c r="A22" s="5" t="s">
        <v>60</v>
      </c>
      <c r="B22" s="6">
        <v>8</v>
      </c>
      <c r="C22" s="6">
        <v>423</v>
      </c>
      <c r="D22" s="6">
        <v>6</v>
      </c>
      <c r="E22" s="6">
        <v>316</v>
      </c>
      <c r="F22" s="6">
        <v>6</v>
      </c>
      <c r="G22" s="6">
        <v>538</v>
      </c>
      <c r="H22" s="6"/>
      <c r="I22" s="6"/>
      <c r="J22" s="6"/>
      <c r="K22" s="6"/>
      <c r="L22" s="6"/>
      <c r="M22" s="6"/>
      <c r="N22" s="6">
        <v>3</v>
      </c>
      <c r="O22" s="6">
        <v>114</v>
      </c>
      <c r="P22" s="6"/>
      <c r="Q22" s="6"/>
      <c r="R22" s="6"/>
      <c r="S22" s="6"/>
      <c r="T22" s="6">
        <v>1</v>
      </c>
      <c r="U22" s="6">
        <v>68</v>
      </c>
      <c r="V22" s="6">
        <v>5</v>
      </c>
      <c r="W22" s="6">
        <v>262</v>
      </c>
      <c r="X22" s="6"/>
      <c r="Y22" s="6"/>
      <c r="Z22" s="6">
        <v>10</v>
      </c>
      <c r="AA22" s="6">
        <v>1475</v>
      </c>
      <c r="AB22" s="6">
        <v>3</v>
      </c>
      <c r="AC22" s="6">
        <v>345</v>
      </c>
      <c r="AD22" s="6">
        <v>25</v>
      </c>
      <c r="AE22" s="6">
        <v>6396</v>
      </c>
      <c r="AF22" s="6">
        <v>5</v>
      </c>
      <c r="AG22" s="6">
        <v>1400</v>
      </c>
      <c r="AH22" s="6">
        <v>3</v>
      </c>
      <c r="AI22" s="6">
        <v>474</v>
      </c>
      <c r="AJ22" s="6">
        <v>1</v>
      </c>
      <c r="AK22" s="6">
        <v>284</v>
      </c>
      <c r="AL22" s="6">
        <v>3</v>
      </c>
      <c r="AM22" s="6">
        <v>78</v>
      </c>
      <c r="AN22" s="6"/>
      <c r="AO22" s="6"/>
      <c r="AP22" s="6">
        <v>4</v>
      </c>
      <c r="AQ22" s="6">
        <v>1032</v>
      </c>
      <c r="AR22" s="6">
        <v>1</v>
      </c>
      <c r="AS22" s="6">
        <v>78</v>
      </c>
      <c r="AT22" s="6">
        <v>12</v>
      </c>
      <c r="AU22" s="6">
        <v>4129</v>
      </c>
      <c r="AV22" s="6">
        <v>1</v>
      </c>
      <c r="AW22" s="6">
        <v>840</v>
      </c>
      <c r="AX22" s="6">
        <v>1</v>
      </c>
      <c r="AY22" s="6">
        <v>96</v>
      </c>
      <c r="AZ22" s="6"/>
      <c r="BA22" s="6"/>
      <c r="BB22" s="6"/>
      <c r="BC22" s="6"/>
      <c r="BD22" s="6">
        <v>2</v>
      </c>
      <c r="BE22" s="6">
        <v>84</v>
      </c>
      <c r="BF22" s="6">
        <v>6</v>
      </c>
      <c r="BG22" s="6">
        <v>497</v>
      </c>
      <c r="BH22" s="6">
        <v>3</v>
      </c>
      <c r="BI22" s="6">
        <v>244</v>
      </c>
      <c r="BJ22" s="6"/>
      <c r="BK22" s="6"/>
      <c r="BL22" s="6">
        <v>4</v>
      </c>
      <c r="BM22" s="6">
        <v>132</v>
      </c>
      <c r="BN22" s="6">
        <v>2</v>
      </c>
      <c r="BO22" s="6">
        <v>83</v>
      </c>
      <c r="BP22" s="6"/>
      <c r="BQ22" s="6"/>
      <c r="BR22" s="6"/>
      <c r="BS22" s="6"/>
      <c r="BT22" s="6">
        <v>1</v>
      </c>
      <c r="BU22" s="6">
        <v>20</v>
      </c>
      <c r="BV22" s="8">
        <f t="shared" si="0"/>
        <v>116</v>
      </c>
      <c r="BW22" s="8">
        <f t="shared" si="0"/>
        <v>19408</v>
      </c>
      <c r="BX22" s="52"/>
      <c r="BY22" s="52"/>
      <c r="BZ22" s="52"/>
    </row>
    <row r="23" spans="1:78" s="27" customFormat="1">
      <c r="A23" s="5" t="s">
        <v>218</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v>1</v>
      </c>
      <c r="BE23" s="6">
        <v>50</v>
      </c>
      <c r="BF23" s="6"/>
      <c r="BG23" s="6"/>
      <c r="BH23" s="6"/>
      <c r="BI23" s="6"/>
      <c r="BJ23" s="6"/>
      <c r="BK23" s="6"/>
      <c r="BL23" s="6"/>
      <c r="BM23" s="6"/>
      <c r="BN23" s="6"/>
      <c r="BO23" s="6"/>
      <c r="BP23" s="6"/>
      <c r="BQ23" s="6"/>
      <c r="BR23" s="6"/>
      <c r="BS23" s="6"/>
      <c r="BT23" s="6"/>
      <c r="BU23" s="6"/>
      <c r="BV23" s="8">
        <f t="shared" si="0"/>
        <v>1</v>
      </c>
      <c r="BW23" s="8">
        <f t="shared" si="0"/>
        <v>50</v>
      </c>
      <c r="BX23" s="52"/>
      <c r="BY23" s="52"/>
      <c r="BZ23" s="52"/>
    </row>
    <row r="24" spans="1:78" s="27" customFormat="1">
      <c r="A24" s="5" t="s">
        <v>61</v>
      </c>
      <c r="B24" s="6"/>
      <c r="C24" s="6"/>
      <c r="D24" s="6"/>
      <c r="E24" s="6"/>
      <c r="F24" s="6"/>
      <c r="G24" s="6"/>
      <c r="H24" s="6"/>
      <c r="I24" s="6"/>
      <c r="J24" s="6"/>
      <c r="K24" s="6"/>
      <c r="L24" s="6"/>
      <c r="M24" s="6"/>
      <c r="N24" s="6">
        <v>2</v>
      </c>
      <c r="O24" s="6">
        <v>21</v>
      </c>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v>2</v>
      </c>
      <c r="BU24" s="6">
        <v>24</v>
      </c>
      <c r="BV24" s="8">
        <f t="shared" si="0"/>
        <v>4</v>
      </c>
      <c r="BW24" s="8">
        <f t="shared" si="0"/>
        <v>45</v>
      </c>
      <c r="BX24" s="52"/>
      <c r="BY24" s="52"/>
      <c r="BZ24" s="52"/>
    </row>
    <row r="25" spans="1:78" s="27" customFormat="1">
      <c r="A25" s="5" t="s">
        <v>62</v>
      </c>
      <c r="B25" s="6"/>
      <c r="C25" s="6"/>
      <c r="D25" s="6"/>
      <c r="E25" s="6"/>
      <c r="F25" s="6"/>
      <c r="G25" s="6"/>
      <c r="H25" s="6"/>
      <c r="I25" s="6"/>
      <c r="J25" s="6"/>
      <c r="K25" s="6"/>
      <c r="L25" s="6"/>
      <c r="M25" s="6"/>
      <c r="N25" s="6">
        <v>1</v>
      </c>
      <c r="O25" s="6">
        <v>16</v>
      </c>
      <c r="P25" s="6"/>
      <c r="Q25" s="6"/>
      <c r="R25" s="6"/>
      <c r="S25" s="6"/>
      <c r="T25" s="6">
        <v>1</v>
      </c>
      <c r="U25" s="6">
        <v>17</v>
      </c>
      <c r="V25" s="6"/>
      <c r="W25" s="6"/>
      <c r="X25" s="6"/>
      <c r="Y25" s="6"/>
      <c r="Z25" s="6"/>
      <c r="AA25" s="6"/>
      <c r="AB25" s="6"/>
      <c r="AC25" s="6"/>
      <c r="AD25" s="6">
        <v>2</v>
      </c>
      <c r="AE25" s="6">
        <v>244</v>
      </c>
      <c r="AF25" s="6"/>
      <c r="AG25" s="6"/>
      <c r="AH25" s="6"/>
      <c r="AI25" s="6"/>
      <c r="AJ25" s="6"/>
      <c r="AK25" s="6"/>
      <c r="AL25" s="6"/>
      <c r="AM25" s="6"/>
      <c r="AN25" s="6"/>
      <c r="AO25" s="6"/>
      <c r="AP25" s="6"/>
      <c r="AQ25" s="6"/>
      <c r="AR25" s="6"/>
      <c r="AS25" s="6"/>
      <c r="AT25" s="6">
        <v>1</v>
      </c>
      <c r="AU25" s="6">
        <v>52</v>
      </c>
      <c r="AV25" s="6"/>
      <c r="AW25" s="6"/>
      <c r="AX25" s="6"/>
      <c r="AY25" s="6"/>
      <c r="AZ25" s="6"/>
      <c r="BA25" s="6"/>
      <c r="BB25" s="6">
        <v>1</v>
      </c>
      <c r="BC25" s="6">
        <v>132</v>
      </c>
      <c r="BD25" s="6"/>
      <c r="BE25" s="6"/>
      <c r="BF25" s="6">
        <v>1</v>
      </c>
      <c r="BG25" s="6">
        <v>14</v>
      </c>
      <c r="BH25" s="6"/>
      <c r="BI25" s="6"/>
      <c r="BJ25" s="6"/>
      <c r="BK25" s="6"/>
      <c r="BL25" s="6"/>
      <c r="BM25" s="6"/>
      <c r="BN25" s="6"/>
      <c r="BO25" s="6"/>
      <c r="BP25" s="6"/>
      <c r="BQ25" s="6"/>
      <c r="BR25" s="6"/>
      <c r="BS25" s="6"/>
      <c r="BT25" s="6"/>
      <c r="BU25" s="6"/>
      <c r="BV25" s="8">
        <f t="shared" si="0"/>
        <v>7</v>
      </c>
      <c r="BW25" s="8">
        <f t="shared" si="0"/>
        <v>475</v>
      </c>
      <c r="BX25" s="52"/>
      <c r="BY25" s="52"/>
      <c r="BZ25" s="52"/>
    </row>
    <row r="26" spans="1:78" s="27" customFormat="1">
      <c r="A26" s="5" t="s">
        <v>249</v>
      </c>
      <c r="B26" s="6"/>
      <c r="C26" s="6"/>
      <c r="D26" s="6"/>
      <c r="E26" s="6"/>
      <c r="F26" s="6"/>
      <c r="G26" s="6"/>
      <c r="H26" s="6"/>
      <c r="I26" s="6"/>
      <c r="J26" s="6"/>
      <c r="K26" s="6"/>
      <c r="L26" s="6"/>
      <c r="M26" s="6"/>
      <c r="N26" s="6">
        <v>2</v>
      </c>
      <c r="O26" s="6">
        <v>10</v>
      </c>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8">
        <f t="shared" si="0"/>
        <v>2</v>
      </c>
      <c r="BW26" s="8">
        <f t="shared" si="0"/>
        <v>10</v>
      </c>
      <c r="BX26" s="52"/>
      <c r="BY26" s="52"/>
      <c r="BZ26" s="52"/>
    </row>
    <row r="27" spans="1:78" s="27" customFormat="1">
      <c r="A27" s="5" t="s">
        <v>63</v>
      </c>
      <c r="B27" s="6"/>
      <c r="C27" s="6"/>
      <c r="D27" s="6"/>
      <c r="E27" s="6"/>
      <c r="F27" s="6"/>
      <c r="G27" s="6"/>
      <c r="H27" s="6"/>
      <c r="I27" s="6"/>
      <c r="J27" s="6"/>
      <c r="K27" s="6"/>
      <c r="L27" s="6"/>
      <c r="M27" s="6"/>
      <c r="N27" s="6">
        <v>9</v>
      </c>
      <c r="O27" s="6">
        <v>154</v>
      </c>
      <c r="P27" s="6"/>
      <c r="Q27" s="6"/>
      <c r="R27" s="6"/>
      <c r="S27" s="6"/>
      <c r="T27" s="6"/>
      <c r="U27" s="6"/>
      <c r="V27" s="6"/>
      <c r="W27" s="6"/>
      <c r="X27" s="6"/>
      <c r="Y27" s="6"/>
      <c r="Z27" s="6"/>
      <c r="AA27" s="6"/>
      <c r="AB27" s="6"/>
      <c r="AC27" s="6"/>
      <c r="AD27" s="6">
        <v>1</v>
      </c>
      <c r="AE27" s="6">
        <v>37</v>
      </c>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v>1</v>
      </c>
      <c r="BG27" s="6">
        <v>16</v>
      </c>
      <c r="BH27" s="6"/>
      <c r="BI27" s="6"/>
      <c r="BJ27" s="6"/>
      <c r="BK27" s="6"/>
      <c r="BL27" s="6"/>
      <c r="BM27" s="6"/>
      <c r="BN27" s="6"/>
      <c r="BO27" s="6"/>
      <c r="BP27" s="6"/>
      <c r="BQ27" s="6"/>
      <c r="BR27" s="6"/>
      <c r="BS27" s="6"/>
      <c r="BT27" s="6">
        <v>1</v>
      </c>
      <c r="BU27" s="6">
        <v>12</v>
      </c>
      <c r="BV27" s="8">
        <f t="shared" si="0"/>
        <v>12</v>
      </c>
      <c r="BW27" s="8">
        <f t="shared" si="0"/>
        <v>219</v>
      </c>
      <c r="BX27" s="52"/>
      <c r="BY27" s="52"/>
      <c r="BZ27" s="52"/>
    </row>
    <row r="28" spans="1:78" s="27" customFormat="1">
      <c r="A28" s="5" t="s">
        <v>64</v>
      </c>
      <c r="B28" s="6"/>
      <c r="C28" s="6"/>
      <c r="D28" s="6"/>
      <c r="E28" s="6"/>
      <c r="F28" s="6"/>
      <c r="G28" s="6"/>
      <c r="H28" s="6"/>
      <c r="I28" s="6"/>
      <c r="J28" s="6"/>
      <c r="K28" s="6"/>
      <c r="L28" s="6"/>
      <c r="M28" s="6"/>
      <c r="N28" s="6">
        <v>1</v>
      </c>
      <c r="O28" s="6">
        <v>10</v>
      </c>
      <c r="P28" s="6"/>
      <c r="Q28" s="6"/>
      <c r="R28" s="6"/>
      <c r="S28" s="6"/>
      <c r="T28" s="6"/>
      <c r="U28" s="6"/>
      <c r="V28" s="6"/>
      <c r="W28" s="6"/>
      <c r="X28" s="6"/>
      <c r="Y28" s="6"/>
      <c r="Z28" s="6"/>
      <c r="AA28" s="6"/>
      <c r="AB28" s="6"/>
      <c r="AC28" s="6"/>
      <c r="AD28" s="6">
        <v>1</v>
      </c>
      <c r="AE28" s="6">
        <v>111</v>
      </c>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v>3</v>
      </c>
      <c r="BU28" s="6">
        <v>32</v>
      </c>
      <c r="BV28" s="8">
        <f t="shared" si="0"/>
        <v>5</v>
      </c>
      <c r="BW28" s="8">
        <f t="shared" si="0"/>
        <v>153</v>
      </c>
      <c r="BX28" s="52"/>
      <c r="BY28" s="52"/>
      <c r="BZ28" s="52"/>
    </row>
    <row r="29" spans="1:78" s="27" customFormat="1">
      <c r="A29" s="5" t="s">
        <v>65</v>
      </c>
      <c r="B29" s="6">
        <v>9</v>
      </c>
      <c r="C29" s="6">
        <v>245</v>
      </c>
      <c r="D29" s="6">
        <v>10</v>
      </c>
      <c r="E29" s="6">
        <v>532</v>
      </c>
      <c r="F29" s="6">
        <v>3</v>
      </c>
      <c r="G29" s="6">
        <v>420</v>
      </c>
      <c r="H29" s="6"/>
      <c r="I29" s="6"/>
      <c r="J29" s="6"/>
      <c r="K29" s="6"/>
      <c r="L29" s="6"/>
      <c r="M29" s="6"/>
      <c r="N29" s="6">
        <v>18</v>
      </c>
      <c r="O29" s="6">
        <v>350</v>
      </c>
      <c r="P29" s="6"/>
      <c r="Q29" s="6"/>
      <c r="R29" s="6"/>
      <c r="S29" s="6"/>
      <c r="T29" s="6"/>
      <c r="U29" s="6"/>
      <c r="V29" s="6"/>
      <c r="W29" s="6"/>
      <c r="X29" s="6"/>
      <c r="Y29" s="6"/>
      <c r="Z29" s="6">
        <v>4</v>
      </c>
      <c r="AA29" s="6">
        <v>994</v>
      </c>
      <c r="AB29" s="6"/>
      <c r="AC29" s="6"/>
      <c r="AD29" s="6">
        <v>4</v>
      </c>
      <c r="AE29" s="6">
        <v>2060</v>
      </c>
      <c r="AF29" s="6">
        <v>1</v>
      </c>
      <c r="AG29" s="6">
        <v>202</v>
      </c>
      <c r="AH29" s="6"/>
      <c r="AI29" s="6"/>
      <c r="AJ29" s="6"/>
      <c r="AK29" s="6"/>
      <c r="AL29" s="6"/>
      <c r="AM29" s="6"/>
      <c r="AN29" s="6"/>
      <c r="AO29" s="6"/>
      <c r="AP29" s="6"/>
      <c r="AQ29" s="6"/>
      <c r="AR29" s="6"/>
      <c r="AS29" s="6"/>
      <c r="AT29" s="6">
        <v>2</v>
      </c>
      <c r="AU29" s="6">
        <v>750</v>
      </c>
      <c r="AV29" s="6">
        <v>1</v>
      </c>
      <c r="AW29" s="6">
        <v>182</v>
      </c>
      <c r="AX29" s="6"/>
      <c r="AY29" s="6"/>
      <c r="AZ29" s="6">
        <v>1</v>
      </c>
      <c r="BA29" s="6">
        <v>48</v>
      </c>
      <c r="BB29" s="6"/>
      <c r="BC29" s="6"/>
      <c r="BD29" s="6">
        <v>3</v>
      </c>
      <c r="BE29" s="6">
        <v>108</v>
      </c>
      <c r="BF29" s="6">
        <v>1</v>
      </c>
      <c r="BG29" s="6">
        <v>35</v>
      </c>
      <c r="BH29" s="6"/>
      <c r="BI29" s="6"/>
      <c r="BJ29" s="6"/>
      <c r="BK29" s="6"/>
      <c r="BL29" s="6">
        <v>2</v>
      </c>
      <c r="BM29" s="6">
        <v>75</v>
      </c>
      <c r="BN29" s="6"/>
      <c r="BO29" s="6"/>
      <c r="BP29" s="6"/>
      <c r="BQ29" s="6"/>
      <c r="BR29" s="6"/>
      <c r="BS29" s="6"/>
      <c r="BT29" s="6">
        <v>2</v>
      </c>
      <c r="BU29" s="6">
        <v>18</v>
      </c>
      <c r="BV29" s="8">
        <f t="shared" si="0"/>
        <v>61</v>
      </c>
      <c r="BW29" s="8">
        <f t="shared" si="0"/>
        <v>6019</v>
      </c>
      <c r="BX29" s="52"/>
      <c r="BY29" s="52"/>
      <c r="BZ29" s="52"/>
    </row>
    <row r="30" spans="1:78" s="27" customFormat="1">
      <c r="A30" s="5" t="s">
        <v>66</v>
      </c>
      <c r="B30" s="6"/>
      <c r="C30" s="6"/>
      <c r="D30" s="6"/>
      <c r="E30" s="6"/>
      <c r="F30" s="6"/>
      <c r="G30" s="6"/>
      <c r="H30" s="6"/>
      <c r="I30" s="6"/>
      <c r="J30" s="6"/>
      <c r="K30" s="6"/>
      <c r="L30" s="6"/>
      <c r="M30" s="6"/>
      <c r="N30" s="6">
        <v>2</v>
      </c>
      <c r="O30" s="6">
        <v>25</v>
      </c>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v>2</v>
      </c>
      <c r="AU30" s="6">
        <v>62</v>
      </c>
      <c r="AV30" s="6"/>
      <c r="AW30" s="6"/>
      <c r="AX30" s="6"/>
      <c r="AY30" s="6"/>
      <c r="AZ30" s="6"/>
      <c r="BA30" s="6"/>
      <c r="BB30" s="6"/>
      <c r="BC30" s="6"/>
      <c r="BD30" s="6"/>
      <c r="BE30" s="6"/>
      <c r="BF30" s="6"/>
      <c r="BG30" s="6"/>
      <c r="BH30" s="6"/>
      <c r="BI30" s="6"/>
      <c r="BJ30" s="6"/>
      <c r="BK30" s="6"/>
      <c r="BL30" s="6"/>
      <c r="BM30" s="6"/>
      <c r="BN30" s="6"/>
      <c r="BO30" s="6"/>
      <c r="BP30" s="6"/>
      <c r="BQ30" s="6"/>
      <c r="BR30" s="6"/>
      <c r="BS30" s="6"/>
      <c r="BT30" s="6">
        <v>3</v>
      </c>
      <c r="BU30" s="6">
        <v>60</v>
      </c>
      <c r="BV30" s="8">
        <f t="shared" si="0"/>
        <v>7</v>
      </c>
      <c r="BW30" s="8">
        <f t="shared" si="0"/>
        <v>147</v>
      </c>
      <c r="BX30" s="52"/>
      <c r="BY30" s="52"/>
      <c r="BZ30" s="52"/>
    </row>
    <row r="31" spans="1:78" s="27" customFormat="1">
      <c r="A31" s="5" t="s">
        <v>67</v>
      </c>
      <c r="B31" s="6"/>
      <c r="C31" s="6"/>
      <c r="D31" s="6"/>
      <c r="E31" s="6"/>
      <c r="F31" s="6"/>
      <c r="G31" s="6"/>
      <c r="H31" s="6"/>
      <c r="I31" s="6"/>
      <c r="J31" s="6"/>
      <c r="K31" s="6"/>
      <c r="L31" s="6"/>
      <c r="M31" s="6"/>
      <c r="N31" s="6">
        <v>6</v>
      </c>
      <c r="O31" s="6">
        <v>102</v>
      </c>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v>1</v>
      </c>
      <c r="BE31" s="6">
        <v>30</v>
      </c>
      <c r="BF31" s="6"/>
      <c r="BG31" s="6"/>
      <c r="BH31" s="6"/>
      <c r="BI31" s="6"/>
      <c r="BJ31" s="6"/>
      <c r="BK31" s="6"/>
      <c r="BL31" s="6"/>
      <c r="BM31" s="6"/>
      <c r="BN31" s="6"/>
      <c r="BO31" s="6"/>
      <c r="BP31" s="6"/>
      <c r="BQ31" s="6"/>
      <c r="BR31" s="6"/>
      <c r="BS31" s="6"/>
      <c r="BT31" s="6">
        <v>2</v>
      </c>
      <c r="BU31" s="6">
        <v>27</v>
      </c>
      <c r="BV31" s="8">
        <f t="shared" si="0"/>
        <v>9</v>
      </c>
      <c r="BW31" s="8">
        <f t="shared" si="0"/>
        <v>159</v>
      </c>
      <c r="BX31" s="52"/>
      <c r="BY31" s="52"/>
      <c r="BZ31" s="52"/>
    </row>
    <row r="32" spans="1:78" s="27" customFormat="1">
      <c r="A32" s="5" t="s">
        <v>68</v>
      </c>
      <c r="B32" s="6"/>
      <c r="C32" s="6"/>
      <c r="D32" s="6"/>
      <c r="E32" s="6"/>
      <c r="F32" s="6"/>
      <c r="G32" s="6"/>
      <c r="H32" s="6"/>
      <c r="I32" s="6"/>
      <c r="J32" s="6"/>
      <c r="K32" s="6"/>
      <c r="L32" s="6"/>
      <c r="M32" s="6"/>
      <c r="N32" s="6">
        <v>3</v>
      </c>
      <c r="O32" s="6">
        <v>58</v>
      </c>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8">
        <f t="shared" si="0"/>
        <v>3</v>
      </c>
      <c r="BW32" s="8">
        <f t="shared" si="0"/>
        <v>58</v>
      </c>
      <c r="BX32" s="52"/>
      <c r="BY32" s="52"/>
      <c r="BZ32" s="52"/>
    </row>
    <row r="33" spans="1:78" s="27" customFormat="1">
      <c r="A33" s="5" t="s">
        <v>69</v>
      </c>
      <c r="B33" s="6"/>
      <c r="C33" s="6"/>
      <c r="D33" s="6"/>
      <c r="E33" s="6"/>
      <c r="F33" s="6"/>
      <c r="G33" s="6"/>
      <c r="H33" s="6"/>
      <c r="I33" s="6"/>
      <c r="J33" s="6"/>
      <c r="K33" s="6"/>
      <c r="L33" s="6"/>
      <c r="M33" s="6"/>
      <c r="N33" s="6">
        <v>1</v>
      </c>
      <c r="O33" s="6">
        <v>17</v>
      </c>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v>2</v>
      </c>
      <c r="BU33" s="6">
        <v>46</v>
      </c>
      <c r="BV33" s="8">
        <f t="shared" si="0"/>
        <v>3</v>
      </c>
      <c r="BW33" s="8">
        <f t="shared" si="0"/>
        <v>63</v>
      </c>
      <c r="BX33" s="52"/>
      <c r="BY33" s="52"/>
      <c r="BZ33" s="52"/>
    </row>
    <row r="34" spans="1:78" s="27" customFormat="1">
      <c r="A34" s="5" t="s">
        <v>177</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v>5</v>
      </c>
      <c r="BU34" s="6">
        <v>42</v>
      </c>
      <c r="BV34" s="8">
        <f t="shared" si="0"/>
        <v>5</v>
      </c>
      <c r="BW34" s="8">
        <f t="shared" si="0"/>
        <v>42</v>
      </c>
      <c r="BX34" s="52"/>
      <c r="BY34" s="52"/>
      <c r="BZ34" s="52"/>
    </row>
    <row r="35" spans="1:78" s="27" customFormat="1">
      <c r="A35" s="5" t="s">
        <v>71</v>
      </c>
      <c r="B35" s="6"/>
      <c r="C35" s="6"/>
      <c r="D35" s="6"/>
      <c r="E35" s="6"/>
      <c r="F35" s="6">
        <v>1</v>
      </c>
      <c r="G35" s="6">
        <v>120</v>
      </c>
      <c r="H35" s="6"/>
      <c r="I35" s="6"/>
      <c r="J35" s="6">
        <v>1</v>
      </c>
      <c r="K35" s="6">
        <v>936</v>
      </c>
      <c r="L35" s="6"/>
      <c r="M35" s="6"/>
      <c r="N35" s="6">
        <v>24</v>
      </c>
      <c r="O35" s="6">
        <v>611</v>
      </c>
      <c r="P35" s="6"/>
      <c r="Q35" s="6"/>
      <c r="R35" s="6"/>
      <c r="S35" s="6"/>
      <c r="T35" s="6">
        <v>1</v>
      </c>
      <c r="U35" s="6">
        <v>26</v>
      </c>
      <c r="V35" s="6"/>
      <c r="W35" s="6"/>
      <c r="X35" s="6">
        <v>5</v>
      </c>
      <c r="Y35" s="6">
        <v>1471</v>
      </c>
      <c r="Z35" s="6">
        <v>24</v>
      </c>
      <c r="AA35" s="6">
        <v>7283</v>
      </c>
      <c r="AB35" s="6">
        <v>1</v>
      </c>
      <c r="AC35" s="6">
        <v>297</v>
      </c>
      <c r="AD35" s="6">
        <v>5</v>
      </c>
      <c r="AE35" s="6">
        <v>1933</v>
      </c>
      <c r="AF35" s="6"/>
      <c r="AG35" s="6"/>
      <c r="AH35" s="6">
        <v>2</v>
      </c>
      <c r="AI35" s="6">
        <v>493</v>
      </c>
      <c r="AJ35" s="6"/>
      <c r="AK35" s="6"/>
      <c r="AL35" s="6"/>
      <c r="AM35" s="6"/>
      <c r="AN35" s="6"/>
      <c r="AO35" s="6"/>
      <c r="AP35" s="6">
        <v>1</v>
      </c>
      <c r="AQ35" s="6">
        <v>346</v>
      </c>
      <c r="AR35" s="6"/>
      <c r="AS35" s="6"/>
      <c r="AT35" s="6"/>
      <c r="AU35" s="6"/>
      <c r="AV35" s="6"/>
      <c r="AW35" s="6"/>
      <c r="AX35" s="6"/>
      <c r="AY35" s="6"/>
      <c r="AZ35" s="6"/>
      <c r="BA35" s="6"/>
      <c r="BB35" s="6"/>
      <c r="BC35" s="6"/>
      <c r="BD35" s="6">
        <v>2</v>
      </c>
      <c r="BE35" s="6">
        <v>92</v>
      </c>
      <c r="BF35" s="6">
        <v>3</v>
      </c>
      <c r="BG35" s="6">
        <v>161</v>
      </c>
      <c r="BH35" s="6"/>
      <c r="BI35" s="6"/>
      <c r="BJ35" s="6"/>
      <c r="BK35" s="6"/>
      <c r="BL35" s="6"/>
      <c r="BM35" s="6"/>
      <c r="BN35" s="6">
        <v>1</v>
      </c>
      <c r="BO35" s="6">
        <v>34</v>
      </c>
      <c r="BP35" s="6"/>
      <c r="BQ35" s="6"/>
      <c r="BR35" s="6"/>
      <c r="BS35" s="6"/>
      <c r="BT35" s="6">
        <v>1</v>
      </c>
      <c r="BU35" s="6">
        <v>28</v>
      </c>
      <c r="BV35" s="8">
        <f t="shared" si="0"/>
        <v>72</v>
      </c>
      <c r="BW35" s="8">
        <f t="shared" si="0"/>
        <v>13831</v>
      </c>
      <c r="BX35" s="52"/>
      <c r="BY35" s="52"/>
      <c r="BZ35" s="52"/>
    </row>
    <row r="36" spans="1:78" s="27" customFormat="1">
      <c r="A36" s="5" t="s">
        <v>72</v>
      </c>
      <c r="B36" s="6">
        <v>2</v>
      </c>
      <c r="C36" s="6">
        <v>237</v>
      </c>
      <c r="D36" s="6">
        <v>5</v>
      </c>
      <c r="E36" s="6">
        <v>612</v>
      </c>
      <c r="F36" s="6">
        <v>5</v>
      </c>
      <c r="G36" s="6">
        <v>203</v>
      </c>
      <c r="H36" s="6"/>
      <c r="I36" s="6"/>
      <c r="J36" s="6"/>
      <c r="K36" s="6"/>
      <c r="L36" s="6"/>
      <c r="M36" s="6"/>
      <c r="N36" s="6">
        <v>27</v>
      </c>
      <c r="O36" s="6">
        <v>484</v>
      </c>
      <c r="P36" s="6">
        <v>2</v>
      </c>
      <c r="Q36" s="6">
        <v>46</v>
      </c>
      <c r="R36" s="6"/>
      <c r="S36" s="6"/>
      <c r="T36" s="6"/>
      <c r="U36" s="6"/>
      <c r="V36" s="6"/>
      <c r="W36" s="6"/>
      <c r="X36" s="6">
        <v>1</v>
      </c>
      <c r="Y36" s="6">
        <v>41</v>
      </c>
      <c r="Z36" s="6">
        <v>8</v>
      </c>
      <c r="AA36" s="6">
        <v>3691</v>
      </c>
      <c r="AB36" s="6">
        <v>1</v>
      </c>
      <c r="AC36" s="6">
        <v>454</v>
      </c>
      <c r="AD36" s="6">
        <v>9</v>
      </c>
      <c r="AE36" s="6">
        <v>3584</v>
      </c>
      <c r="AF36" s="6"/>
      <c r="AG36" s="6"/>
      <c r="AH36" s="6"/>
      <c r="AI36" s="6"/>
      <c r="AJ36" s="6"/>
      <c r="AK36" s="6"/>
      <c r="AL36" s="6"/>
      <c r="AM36" s="6"/>
      <c r="AN36" s="6"/>
      <c r="AO36" s="6"/>
      <c r="AP36" s="6">
        <v>4</v>
      </c>
      <c r="AQ36" s="6">
        <v>1781</v>
      </c>
      <c r="AR36" s="6"/>
      <c r="AS36" s="6"/>
      <c r="AT36" s="6">
        <v>6</v>
      </c>
      <c r="AU36" s="6">
        <v>4115</v>
      </c>
      <c r="AV36" s="6"/>
      <c r="AW36" s="6"/>
      <c r="AX36" s="6"/>
      <c r="AY36" s="6"/>
      <c r="AZ36" s="6"/>
      <c r="BA36" s="6"/>
      <c r="BB36" s="6"/>
      <c r="BC36" s="6"/>
      <c r="BD36" s="6">
        <v>3</v>
      </c>
      <c r="BE36" s="6">
        <v>108</v>
      </c>
      <c r="BF36" s="6">
        <v>1</v>
      </c>
      <c r="BG36" s="6">
        <v>111</v>
      </c>
      <c r="BH36" s="6"/>
      <c r="BI36" s="6"/>
      <c r="BJ36" s="6"/>
      <c r="BK36" s="6"/>
      <c r="BL36" s="6"/>
      <c r="BM36" s="6"/>
      <c r="BN36" s="6"/>
      <c r="BO36" s="6"/>
      <c r="BP36" s="6"/>
      <c r="BQ36" s="6"/>
      <c r="BR36" s="6"/>
      <c r="BS36" s="6"/>
      <c r="BT36" s="6"/>
      <c r="BU36" s="6"/>
      <c r="BV36" s="8">
        <f t="shared" si="0"/>
        <v>74</v>
      </c>
      <c r="BW36" s="8">
        <f t="shared" si="0"/>
        <v>15467</v>
      </c>
      <c r="BX36" s="52"/>
      <c r="BY36" s="52"/>
      <c r="BZ36" s="52"/>
    </row>
    <row r="37" spans="1:78" s="27" customFormat="1">
      <c r="A37" s="5" t="s">
        <v>250</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v>1</v>
      </c>
      <c r="BU37" s="6">
        <v>22</v>
      </c>
      <c r="BV37" s="8">
        <f t="shared" si="0"/>
        <v>1</v>
      </c>
      <c r="BW37" s="8">
        <f t="shared" si="0"/>
        <v>22</v>
      </c>
      <c r="BX37" s="52"/>
      <c r="BY37" s="52"/>
      <c r="BZ37" s="52"/>
    </row>
    <row r="38" spans="1:78" s="27" customFormat="1">
      <c r="A38" s="5" t="s">
        <v>73</v>
      </c>
      <c r="B38" s="6"/>
      <c r="C38" s="6"/>
      <c r="D38" s="6"/>
      <c r="E38" s="6"/>
      <c r="F38" s="6"/>
      <c r="G38" s="6"/>
      <c r="H38" s="6"/>
      <c r="I38" s="6"/>
      <c r="J38" s="6"/>
      <c r="K38" s="6"/>
      <c r="L38" s="6"/>
      <c r="M38" s="6"/>
      <c r="N38" s="6">
        <v>5</v>
      </c>
      <c r="O38" s="6">
        <v>64</v>
      </c>
      <c r="P38" s="6"/>
      <c r="Q38" s="6"/>
      <c r="R38" s="6"/>
      <c r="S38" s="6"/>
      <c r="T38" s="6"/>
      <c r="U38" s="6"/>
      <c r="V38" s="6"/>
      <c r="W38" s="6"/>
      <c r="X38" s="6"/>
      <c r="Y38" s="6"/>
      <c r="Z38" s="6"/>
      <c r="AA38" s="6"/>
      <c r="AB38" s="6"/>
      <c r="AC38" s="6"/>
      <c r="AD38" s="6">
        <v>1</v>
      </c>
      <c r="AE38" s="6">
        <v>22</v>
      </c>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v>2</v>
      </c>
      <c r="BU38" s="6">
        <v>34</v>
      </c>
      <c r="BV38" s="8">
        <f t="shared" si="0"/>
        <v>8</v>
      </c>
      <c r="BW38" s="8">
        <f t="shared" si="0"/>
        <v>120</v>
      </c>
      <c r="BX38" s="52"/>
      <c r="BY38" s="52"/>
      <c r="BZ38" s="52"/>
    </row>
    <row r="39" spans="1:78" s="27" customFormat="1">
      <c r="A39" s="5" t="s">
        <v>74</v>
      </c>
      <c r="B39" s="6"/>
      <c r="C39" s="6"/>
      <c r="D39" s="6"/>
      <c r="E39" s="6"/>
      <c r="F39" s="6"/>
      <c r="G39" s="6"/>
      <c r="H39" s="6"/>
      <c r="I39" s="6"/>
      <c r="J39" s="6"/>
      <c r="K39" s="6"/>
      <c r="L39" s="6"/>
      <c r="M39" s="6"/>
      <c r="N39" s="6">
        <v>1</v>
      </c>
      <c r="O39" s="6">
        <v>24</v>
      </c>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v>1</v>
      </c>
      <c r="BU39" s="6">
        <v>10</v>
      </c>
      <c r="BV39" s="8">
        <f t="shared" si="0"/>
        <v>2</v>
      </c>
      <c r="BW39" s="8">
        <f t="shared" si="0"/>
        <v>34</v>
      </c>
      <c r="BX39" s="52"/>
      <c r="BY39" s="52"/>
      <c r="BZ39" s="52"/>
    </row>
    <row r="40" spans="1:78" s="27" customFormat="1">
      <c r="A40" s="5" t="s">
        <v>75</v>
      </c>
      <c r="B40" s="6"/>
      <c r="C40" s="6"/>
      <c r="D40" s="6"/>
      <c r="E40" s="6"/>
      <c r="F40" s="6"/>
      <c r="G40" s="6"/>
      <c r="H40" s="6"/>
      <c r="I40" s="6"/>
      <c r="J40" s="6"/>
      <c r="K40" s="6"/>
      <c r="L40" s="6"/>
      <c r="M40" s="6"/>
      <c r="N40" s="6">
        <v>4</v>
      </c>
      <c r="O40" s="6">
        <v>95</v>
      </c>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v>2</v>
      </c>
      <c r="BE40" s="6">
        <v>125</v>
      </c>
      <c r="BF40" s="6"/>
      <c r="BG40" s="6"/>
      <c r="BH40" s="6"/>
      <c r="BI40" s="6"/>
      <c r="BJ40" s="6"/>
      <c r="BK40" s="6"/>
      <c r="BL40" s="6"/>
      <c r="BM40" s="6"/>
      <c r="BN40" s="6"/>
      <c r="BO40" s="6"/>
      <c r="BP40" s="6"/>
      <c r="BQ40" s="6"/>
      <c r="BR40" s="6"/>
      <c r="BS40" s="6"/>
      <c r="BT40" s="6">
        <v>1</v>
      </c>
      <c r="BU40" s="6">
        <v>12</v>
      </c>
      <c r="BV40" s="8">
        <f t="shared" si="0"/>
        <v>7</v>
      </c>
      <c r="BW40" s="8">
        <f t="shared" si="0"/>
        <v>232</v>
      </c>
      <c r="BX40" s="52"/>
      <c r="BY40" s="52"/>
      <c r="BZ40" s="52"/>
    </row>
    <row r="41" spans="1:78" s="27" customFormat="1">
      <c r="A41" s="5" t="s">
        <v>76</v>
      </c>
      <c r="B41" s="6"/>
      <c r="C41" s="6"/>
      <c r="D41" s="6">
        <v>1</v>
      </c>
      <c r="E41" s="6">
        <v>358</v>
      </c>
      <c r="F41" s="6">
        <v>6</v>
      </c>
      <c r="G41" s="6">
        <v>795</v>
      </c>
      <c r="H41" s="6"/>
      <c r="I41" s="6"/>
      <c r="J41" s="6"/>
      <c r="K41" s="6"/>
      <c r="L41" s="6"/>
      <c r="M41" s="6"/>
      <c r="N41" s="6">
        <v>1</v>
      </c>
      <c r="O41" s="6">
        <v>22</v>
      </c>
      <c r="P41" s="6"/>
      <c r="Q41" s="6"/>
      <c r="R41" s="6">
        <v>1</v>
      </c>
      <c r="S41" s="6">
        <v>500</v>
      </c>
      <c r="T41" s="6"/>
      <c r="U41" s="6"/>
      <c r="V41" s="6"/>
      <c r="W41" s="6"/>
      <c r="X41" s="6"/>
      <c r="Y41" s="6"/>
      <c r="Z41" s="6">
        <v>2</v>
      </c>
      <c r="AA41" s="6">
        <v>372</v>
      </c>
      <c r="AB41" s="6"/>
      <c r="AC41" s="6"/>
      <c r="AD41" s="6">
        <v>8</v>
      </c>
      <c r="AE41" s="6">
        <v>3275</v>
      </c>
      <c r="AF41" s="6">
        <v>2</v>
      </c>
      <c r="AG41" s="6">
        <v>1080</v>
      </c>
      <c r="AH41" s="6">
        <v>3</v>
      </c>
      <c r="AI41" s="6">
        <v>1186</v>
      </c>
      <c r="AJ41" s="6"/>
      <c r="AK41" s="6"/>
      <c r="AL41" s="6"/>
      <c r="AM41" s="6"/>
      <c r="AN41" s="6"/>
      <c r="AO41" s="6"/>
      <c r="AP41" s="6">
        <v>1</v>
      </c>
      <c r="AQ41" s="6">
        <v>159</v>
      </c>
      <c r="AR41" s="6">
        <v>1</v>
      </c>
      <c r="AS41" s="6">
        <v>2205</v>
      </c>
      <c r="AT41" s="6">
        <v>12</v>
      </c>
      <c r="AU41" s="6">
        <v>6398</v>
      </c>
      <c r="AV41" s="6">
        <v>1</v>
      </c>
      <c r="AW41" s="6">
        <v>544</v>
      </c>
      <c r="AX41" s="6"/>
      <c r="AY41" s="6"/>
      <c r="AZ41" s="6"/>
      <c r="BA41" s="6"/>
      <c r="BB41" s="6"/>
      <c r="BC41" s="6"/>
      <c r="BD41" s="6">
        <v>1</v>
      </c>
      <c r="BE41" s="6">
        <v>30</v>
      </c>
      <c r="BF41" s="6"/>
      <c r="BG41" s="6"/>
      <c r="BH41" s="6"/>
      <c r="BI41" s="6"/>
      <c r="BJ41" s="6"/>
      <c r="BK41" s="6"/>
      <c r="BL41" s="6"/>
      <c r="BM41" s="6"/>
      <c r="BN41" s="6"/>
      <c r="BO41" s="6"/>
      <c r="BP41" s="6"/>
      <c r="BQ41" s="6"/>
      <c r="BR41" s="6"/>
      <c r="BS41" s="6"/>
      <c r="BT41" s="6">
        <v>1</v>
      </c>
      <c r="BU41" s="6">
        <v>10</v>
      </c>
      <c r="BV41" s="8">
        <f t="shared" si="0"/>
        <v>41</v>
      </c>
      <c r="BW41" s="8">
        <f t="shared" si="0"/>
        <v>16934</v>
      </c>
      <c r="BX41" s="52"/>
      <c r="BY41" s="52"/>
      <c r="BZ41" s="52"/>
    </row>
    <row r="42" spans="1:78" s="27" customFormat="1">
      <c r="A42" s="5" t="s">
        <v>77</v>
      </c>
      <c r="B42" s="6">
        <v>4</v>
      </c>
      <c r="C42" s="6">
        <v>277</v>
      </c>
      <c r="D42" s="6">
        <v>4</v>
      </c>
      <c r="E42" s="6">
        <v>336</v>
      </c>
      <c r="F42" s="6">
        <v>5</v>
      </c>
      <c r="G42" s="6">
        <v>462</v>
      </c>
      <c r="H42" s="6"/>
      <c r="I42" s="6"/>
      <c r="J42" s="6">
        <v>6</v>
      </c>
      <c r="K42" s="6">
        <v>225</v>
      </c>
      <c r="L42" s="6">
        <v>1</v>
      </c>
      <c r="M42" s="6">
        <v>18</v>
      </c>
      <c r="N42" s="6">
        <v>4</v>
      </c>
      <c r="O42" s="6">
        <v>43</v>
      </c>
      <c r="P42" s="6">
        <v>5</v>
      </c>
      <c r="Q42" s="6">
        <v>181</v>
      </c>
      <c r="R42" s="6"/>
      <c r="S42" s="6"/>
      <c r="T42" s="6">
        <v>1</v>
      </c>
      <c r="U42" s="6">
        <v>12</v>
      </c>
      <c r="V42" s="6">
        <v>2</v>
      </c>
      <c r="W42" s="6">
        <v>127</v>
      </c>
      <c r="X42" s="6">
        <v>13</v>
      </c>
      <c r="Y42" s="6">
        <v>1501</v>
      </c>
      <c r="Z42" s="6">
        <v>35</v>
      </c>
      <c r="AA42" s="6">
        <v>7978</v>
      </c>
      <c r="AB42" s="6">
        <v>2</v>
      </c>
      <c r="AC42" s="6">
        <v>803</v>
      </c>
      <c r="AD42" s="6">
        <v>91</v>
      </c>
      <c r="AE42" s="6">
        <v>25316</v>
      </c>
      <c r="AF42" s="6">
        <v>15</v>
      </c>
      <c r="AG42" s="6">
        <v>4048</v>
      </c>
      <c r="AH42" s="6">
        <v>24</v>
      </c>
      <c r="AI42" s="6">
        <v>3509</v>
      </c>
      <c r="AJ42" s="6">
        <v>3</v>
      </c>
      <c r="AK42" s="6">
        <v>414</v>
      </c>
      <c r="AL42" s="6"/>
      <c r="AM42" s="6"/>
      <c r="AN42" s="6">
        <v>6</v>
      </c>
      <c r="AO42" s="6">
        <v>659</v>
      </c>
      <c r="AP42" s="6">
        <v>1</v>
      </c>
      <c r="AQ42" s="6">
        <v>67</v>
      </c>
      <c r="AR42" s="6">
        <v>1</v>
      </c>
      <c r="AS42" s="6">
        <v>146</v>
      </c>
      <c r="AT42" s="6">
        <v>11</v>
      </c>
      <c r="AU42" s="6">
        <v>3456</v>
      </c>
      <c r="AV42" s="6"/>
      <c r="AW42" s="6"/>
      <c r="AX42" s="6">
        <v>1</v>
      </c>
      <c r="AY42" s="6">
        <v>405</v>
      </c>
      <c r="AZ42" s="6"/>
      <c r="BA42" s="6"/>
      <c r="BB42" s="6"/>
      <c r="BC42" s="6"/>
      <c r="BD42" s="6">
        <v>1</v>
      </c>
      <c r="BE42" s="6">
        <v>41</v>
      </c>
      <c r="BF42" s="6">
        <v>4</v>
      </c>
      <c r="BG42" s="6">
        <v>122</v>
      </c>
      <c r="BH42" s="6">
        <v>1</v>
      </c>
      <c r="BI42" s="6">
        <v>48</v>
      </c>
      <c r="BJ42" s="6"/>
      <c r="BK42" s="6"/>
      <c r="BL42" s="6">
        <v>15</v>
      </c>
      <c r="BM42" s="6">
        <v>618</v>
      </c>
      <c r="BN42" s="6">
        <v>4</v>
      </c>
      <c r="BO42" s="6">
        <v>173</v>
      </c>
      <c r="BP42" s="6"/>
      <c r="BQ42" s="6"/>
      <c r="BR42" s="6"/>
      <c r="BS42" s="6"/>
      <c r="BT42" s="6">
        <v>36</v>
      </c>
      <c r="BU42" s="6">
        <v>618</v>
      </c>
      <c r="BV42" s="8">
        <f t="shared" si="0"/>
        <v>296</v>
      </c>
      <c r="BW42" s="8">
        <f t="shared" si="0"/>
        <v>51603</v>
      </c>
      <c r="BX42" s="52"/>
      <c r="BY42" s="52"/>
      <c r="BZ42" s="52"/>
    </row>
    <row r="43" spans="1:78" s="27" customFormat="1">
      <c r="A43" s="5" t="s">
        <v>78</v>
      </c>
      <c r="B43" s="6"/>
      <c r="C43" s="6"/>
      <c r="D43" s="6"/>
      <c r="E43" s="6"/>
      <c r="F43" s="6"/>
      <c r="G43" s="6"/>
      <c r="H43" s="6"/>
      <c r="I43" s="6"/>
      <c r="J43" s="6"/>
      <c r="K43" s="6"/>
      <c r="L43" s="6"/>
      <c r="M43" s="6"/>
      <c r="N43" s="6">
        <v>5</v>
      </c>
      <c r="O43" s="6">
        <v>96</v>
      </c>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v>2</v>
      </c>
      <c r="BU43" s="6">
        <v>35</v>
      </c>
      <c r="BV43" s="8">
        <f t="shared" si="0"/>
        <v>7</v>
      </c>
      <c r="BW43" s="8">
        <f t="shared" si="0"/>
        <v>131</v>
      </c>
      <c r="BX43" s="52"/>
      <c r="BY43" s="52"/>
      <c r="BZ43" s="52"/>
    </row>
    <row r="44" spans="1:78" s="27" customFormat="1">
      <c r="A44" s="5" t="s">
        <v>178</v>
      </c>
      <c r="B44" s="6"/>
      <c r="C44" s="6"/>
      <c r="D44" s="6"/>
      <c r="E44" s="6"/>
      <c r="F44" s="6"/>
      <c r="G44" s="6"/>
      <c r="H44" s="6"/>
      <c r="I44" s="6"/>
      <c r="J44" s="6"/>
      <c r="K44" s="6"/>
      <c r="L44" s="6"/>
      <c r="M44" s="6"/>
      <c r="N44" s="6">
        <v>2</v>
      </c>
      <c r="O44" s="6">
        <v>28</v>
      </c>
      <c r="P44" s="6"/>
      <c r="Q44" s="6"/>
      <c r="R44" s="6"/>
      <c r="S44" s="6"/>
      <c r="T44" s="6">
        <v>1</v>
      </c>
      <c r="U44" s="6">
        <v>11</v>
      </c>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v>2</v>
      </c>
      <c r="BU44" s="6">
        <v>26</v>
      </c>
      <c r="BV44" s="8">
        <f t="shared" si="0"/>
        <v>5</v>
      </c>
      <c r="BW44" s="8">
        <f t="shared" si="0"/>
        <v>65</v>
      </c>
      <c r="BX44" s="52"/>
      <c r="BY44" s="52"/>
      <c r="BZ44" s="52"/>
    </row>
    <row r="45" spans="1:78" s="27" customFormat="1">
      <c r="A45" s="5" t="s">
        <v>79</v>
      </c>
      <c r="B45" s="6">
        <v>4</v>
      </c>
      <c r="C45" s="6">
        <v>172</v>
      </c>
      <c r="D45" s="6">
        <v>8</v>
      </c>
      <c r="E45" s="6">
        <v>397</v>
      </c>
      <c r="F45" s="6">
        <v>14</v>
      </c>
      <c r="G45" s="6">
        <v>938</v>
      </c>
      <c r="H45" s="6">
        <v>2</v>
      </c>
      <c r="I45" s="6">
        <v>177</v>
      </c>
      <c r="J45" s="6">
        <v>2</v>
      </c>
      <c r="K45" s="6">
        <v>286</v>
      </c>
      <c r="L45" s="6"/>
      <c r="M45" s="6"/>
      <c r="N45" s="6">
        <v>9</v>
      </c>
      <c r="O45" s="6">
        <v>135</v>
      </c>
      <c r="P45" s="6"/>
      <c r="Q45" s="6"/>
      <c r="R45" s="6"/>
      <c r="S45" s="6"/>
      <c r="T45" s="6"/>
      <c r="U45" s="6"/>
      <c r="V45" s="6"/>
      <c r="W45" s="6"/>
      <c r="X45" s="6"/>
      <c r="Y45" s="6"/>
      <c r="Z45" s="6">
        <v>7</v>
      </c>
      <c r="AA45" s="6">
        <v>1113</v>
      </c>
      <c r="AB45" s="6">
        <v>1</v>
      </c>
      <c r="AC45" s="6">
        <v>56</v>
      </c>
      <c r="AD45" s="6">
        <v>12</v>
      </c>
      <c r="AE45" s="6">
        <v>1513</v>
      </c>
      <c r="AF45" s="6">
        <v>2</v>
      </c>
      <c r="AG45" s="6">
        <v>448</v>
      </c>
      <c r="AH45" s="6">
        <v>5</v>
      </c>
      <c r="AI45" s="6">
        <v>621</v>
      </c>
      <c r="AJ45" s="6"/>
      <c r="AK45" s="6"/>
      <c r="AL45" s="6"/>
      <c r="AM45" s="6"/>
      <c r="AN45" s="6"/>
      <c r="AO45" s="6"/>
      <c r="AP45" s="6">
        <v>1</v>
      </c>
      <c r="AQ45" s="6">
        <v>176</v>
      </c>
      <c r="AR45" s="6"/>
      <c r="AS45" s="6"/>
      <c r="AT45" s="6">
        <v>6</v>
      </c>
      <c r="AU45" s="6">
        <v>1405</v>
      </c>
      <c r="AV45" s="6"/>
      <c r="AW45" s="6"/>
      <c r="AX45" s="6"/>
      <c r="AY45" s="6"/>
      <c r="AZ45" s="6"/>
      <c r="BA45" s="6"/>
      <c r="BB45" s="6"/>
      <c r="BC45" s="6"/>
      <c r="BD45" s="6"/>
      <c r="BE45" s="6"/>
      <c r="BF45" s="6"/>
      <c r="BG45" s="6"/>
      <c r="BH45" s="6">
        <v>2</v>
      </c>
      <c r="BI45" s="6">
        <v>78</v>
      </c>
      <c r="BJ45" s="6"/>
      <c r="BK45" s="6"/>
      <c r="BL45" s="6">
        <v>1</v>
      </c>
      <c r="BM45" s="6">
        <v>48</v>
      </c>
      <c r="BN45" s="6">
        <v>1</v>
      </c>
      <c r="BO45" s="6">
        <v>45</v>
      </c>
      <c r="BP45" s="6"/>
      <c r="BQ45" s="6"/>
      <c r="BR45" s="6">
        <v>1</v>
      </c>
      <c r="BS45" s="6">
        <v>23</v>
      </c>
      <c r="BT45" s="6">
        <v>4</v>
      </c>
      <c r="BU45" s="6">
        <v>65</v>
      </c>
      <c r="BV45" s="8">
        <f t="shared" si="0"/>
        <v>82</v>
      </c>
      <c r="BW45" s="8">
        <f t="shared" si="0"/>
        <v>7696</v>
      </c>
      <c r="BX45" s="52"/>
      <c r="BY45" s="52"/>
      <c r="BZ45" s="52"/>
    </row>
    <row r="46" spans="1:78" s="27" customFormat="1">
      <c r="A46" s="5" t="s">
        <v>80</v>
      </c>
      <c r="B46" s="6"/>
      <c r="C46" s="6"/>
      <c r="D46" s="6"/>
      <c r="E46" s="6"/>
      <c r="F46" s="6"/>
      <c r="G46" s="6"/>
      <c r="H46" s="6"/>
      <c r="I46" s="6"/>
      <c r="J46" s="6"/>
      <c r="K46" s="6"/>
      <c r="L46" s="6"/>
      <c r="M46" s="6"/>
      <c r="N46" s="6">
        <v>8</v>
      </c>
      <c r="O46" s="6">
        <v>120</v>
      </c>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v>2</v>
      </c>
      <c r="BE46" s="6">
        <v>116</v>
      </c>
      <c r="BF46" s="6"/>
      <c r="BG46" s="6"/>
      <c r="BH46" s="6"/>
      <c r="BI46" s="6"/>
      <c r="BJ46" s="6"/>
      <c r="BK46" s="6"/>
      <c r="BL46" s="6"/>
      <c r="BM46" s="6"/>
      <c r="BN46" s="6"/>
      <c r="BO46" s="6"/>
      <c r="BP46" s="6"/>
      <c r="BQ46" s="6"/>
      <c r="BR46" s="6"/>
      <c r="BS46" s="6"/>
      <c r="BT46" s="6">
        <v>1</v>
      </c>
      <c r="BU46" s="6">
        <v>18</v>
      </c>
      <c r="BV46" s="8">
        <f t="shared" si="0"/>
        <v>11</v>
      </c>
      <c r="BW46" s="8">
        <f t="shared" si="0"/>
        <v>254</v>
      </c>
      <c r="BX46" s="52"/>
      <c r="BY46" s="52"/>
      <c r="BZ46" s="52"/>
    </row>
    <row r="47" spans="1:78" s="27" customFormat="1">
      <c r="A47" s="5" t="s">
        <v>81</v>
      </c>
      <c r="B47" s="6"/>
      <c r="C47" s="6"/>
      <c r="D47" s="6"/>
      <c r="E47" s="6"/>
      <c r="F47" s="6">
        <v>1</v>
      </c>
      <c r="G47" s="6">
        <v>25</v>
      </c>
      <c r="H47" s="6"/>
      <c r="I47" s="6"/>
      <c r="J47" s="6"/>
      <c r="K47" s="6"/>
      <c r="L47" s="6"/>
      <c r="M47" s="6"/>
      <c r="N47" s="6">
        <v>3</v>
      </c>
      <c r="O47" s="6">
        <v>50</v>
      </c>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v>1</v>
      </c>
      <c r="BE47" s="6">
        <v>49</v>
      </c>
      <c r="BF47" s="6"/>
      <c r="BG47" s="6"/>
      <c r="BH47" s="6"/>
      <c r="BI47" s="6"/>
      <c r="BJ47" s="6"/>
      <c r="BK47" s="6"/>
      <c r="BL47" s="6"/>
      <c r="BM47" s="6"/>
      <c r="BN47" s="6"/>
      <c r="BO47" s="6"/>
      <c r="BP47" s="6"/>
      <c r="BQ47" s="6"/>
      <c r="BR47" s="6"/>
      <c r="BS47" s="6"/>
      <c r="BT47" s="6"/>
      <c r="BU47" s="6"/>
      <c r="BV47" s="8">
        <f t="shared" si="0"/>
        <v>5</v>
      </c>
      <c r="BW47" s="8">
        <f t="shared" si="0"/>
        <v>124</v>
      </c>
      <c r="BX47" s="52"/>
      <c r="BY47" s="52"/>
      <c r="BZ47" s="52"/>
    </row>
    <row r="48" spans="1:78" s="27" customFormat="1">
      <c r="A48" s="5" t="s">
        <v>179</v>
      </c>
      <c r="B48" s="6">
        <v>5</v>
      </c>
      <c r="C48" s="6">
        <v>204</v>
      </c>
      <c r="D48" s="6">
        <v>2</v>
      </c>
      <c r="E48" s="6">
        <v>75</v>
      </c>
      <c r="F48" s="6">
        <v>3</v>
      </c>
      <c r="G48" s="6">
        <v>109</v>
      </c>
      <c r="H48" s="6"/>
      <c r="I48" s="6"/>
      <c r="J48" s="6">
        <v>2</v>
      </c>
      <c r="K48" s="6">
        <v>82</v>
      </c>
      <c r="L48" s="6"/>
      <c r="M48" s="6"/>
      <c r="N48" s="6">
        <v>3</v>
      </c>
      <c r="O48" s="6">
        <v>50</v>
      </c>
      <c r="P48" s="6"/>
      <c r="Q48" s="6"/>
      <c r="R48" s="6"/>
      <c r="S48" s="6"/>
      <c r="T48" s="6"/>
      <c r="U48" s="6"/>
      <c r="V48" s="6"/>
      <c r="W48" s="6"/>
      <c r="X48" s="6"/>
      <c r="Y48" s="6"/>
      <c r="Z48" s="6">
        <v>5</v>
      </c>
      <c r="AA48" s="6">
        <v>1118</v>
      </c>
      <c r="AB48" s="6"/>
      <c r="AC48" s="6"/>
      <c r="AD48" s="6">
        <v>5</v>
      </c>
      <c r="AE48" s="6">
        <v>1583</v>
      </c>
      <c r="AF48" s="6">
        <v>3</v>
      </c>
      <c r="AG48" s="6">
        <v>493</v>
      </c>
      <c r="AH48" s="6">
        <v>1</v>
      </c>
      <c r="AI48" s="6">
        <v>102</v>
      </c>
      <c r="AJ48" s="6"/>
      <c r="AK48" s="6"/>
      <c r="AL48" s="6"/>
      <c r="AM48" s="6"/>
      <c r="AN48" s="6"/>
      <c r="AO48" s="6"/>
      <c r="AP48" s="6"/>
      <c r="AQ48" s="6"/>
      <c r="AR48" s="6"/>
      <c r="AS48" s="6"/>
      <c r="AT48" s="6">
        <v>1</v>
      </c>
      <c r="AU48" s="6">
        <v>156</v>
      </c>
      <c r="AV48" s="6"/>
      <c r="AW48" s="6"/>
      <c r="AX48" s="6"/>
      <c r="AY48" s="6"/>
      <c r="AZ48" s="6"/>
      <c r="BA48" s="6"/>
      <c r="BB48" s="6"/>
      <c r="BC48" s="6"/>
      <c r="BD48" s="6">
        <v>1</v>
      </c>
      <c r="BE48" s="6">
        <v>34</v>
      </c>
      <c r="BF48" s="6">
        <v>3</v>
      </c>
      <c r="BG48" s="6">
        <v>83</v>
      </c>
      <c r="BH48" s="6">
        <v>1</v>
      </c>
      <c r="BI48" s="6">
        <v>15</v>
      </c>
      <c r="BJ48" s="6"/>
      <c r="BK48" s="6"/>
      <c r="BL48" s="6"/>
      <c r="BM48" s="6"/>
      <c r="BN48" s="6"/>
      <c r="BO48" s="6"/>
      <c r="BP48" s="6"/>
      <c r="BQ48" s="6"/>
      <c r="BR48" s="6"/>
      <c r="BS48" s="6"/>
      <c r="BT48" s="6">
        <v>1</v>
      </c>
      <c r="BU48" s="6">
        <v>10</v>
      </c>
      <c r="BV48" s="8">
        <f t="shared" si="0"/>
        <v>36</v>
      </c>
      <c r="BW48" s="8">
        <f t="shared" si="0"/>
        <v>4114</v>
      </c>
      <c r="BX48" s="52"/>
      <c r="BY48" s="52"/>
      <c r="BZ48" s="52"/>
    </row>
    <row r="49" spans="1:143" s="27" customFormat="1">
      <c r="A49" s="5" t="s">
        <v>261</v>
      </c>
      <c r="B49" s="6"/>
      <c r="C49" s="6"/>
      <c r="D49" s="6"/>
      <c r="E49" s="6"/>
      <c r="F49" s="6"/>
      <c r="G49" s="6"/>
      <c r="H49" s="6"/>
      <c r="I49" s="6"/>
      <c r="J49" s="6"/>
      <c r="K49" s="6"/>
      <c r="L49" s="6"/>
      <c r="M49" s="6"/>
      <c r="N49" s="6">
        <v>3</v>
      </c>
      <c r="O49" s="6">
        <v>80</v>
      </c>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8">
        <f t="shared" si="0"/>
        <v>3</v>
      </c>
      <c r="BW49" s="8">
        <f t="shared" si="0"/>
        <v>80</v>
      </c>
      <c r="BX49" s="52"/>
      <c r="BY49" s="52"/>
      <c r="BZ49" s="52"/>
    </row>
    <row r="50" spans="1:143" s="27" customFormat="1">
      <c r="A50" s="5" t="s">
        <v>180</v>
      </c>
      <c r="B50" s="6">
        <v>2</v>
      </c>
      <c r="C50" s="6">
        <v>70</v>
      </c>
      <c r="D50" s="6">
        <v>6</v>
      </c>
      <c r="E50" s="6">
        <v>450</v>
      </c>
      <c r="F50" s="6">
        <v>6</v>
      </c>
      <c r="G50" s="6">
        <v>444</v>
      </c>
      <c r="H50" s="6"/>
      <c r="I50" s="6"/>
      <c r="J50" s="6"/>
      <c r="K50" s="6"/>
      <c r="L50" s="6"/>
      <c r="M50" s="6"/>
      <c r="N50" s="6">
        <v>10</v>
      </c>
      <c r="O50" s="6">
        <v>255</v>
      </c>
      <c r="P50" s="6">
        <v>3</v>
      </c>
      <c r="Q50" s="6">
        <v>128</v>
      </c>
      <c r="R50" s="6"/>
      <c r="S50" s="6"/>
      <c r="T50" s="6"/>
      <c r="U50" s="6"/>
      <c r="V50" s="6"/>
      <c r="W50" s="6"/>
      <c r="X50" s="6">
        <v>3</v>
      </c>
      <c r="Y50" s="6">
        <v>544</v>
      </c>
      <c r="Z50" s="6">
        <v>11</v>
      </c>
      <c r="AA50" s="6">
        <v>2364</v>
      </c>
      <c r="AB50" s="6"/>
      <c r="AC50" s="6"/>
      <c r="AD50" s="6">
        <v>22</v>
      </c>
      <c r="AE50" s="6">
        <v>7699</v>
      </c>
      <c r="AF50" s="6">
        <v>2</v>
      </c>
      <c r="AG50" s="6">
        <v>673</v>
      </c>
      <c r="AH50" s="6">
        <v>3</v>
      </c>
      <c r="AI50" s="6">
        <v>1042</v>
      </c>
      <c r="AJ50" s="6"/>
      <c r="AK50" s="6"/>
      <c r="AL50" s="6"/>
      <c r="AM50" s="6"/>
      <c r="AN50" s="6">
        <v>1</v>
      </c>
      <c r="AO50" s="6">
        <v>248</v>
      </c>
      <c r="AP50" s="6">
        <v>5</v>
      </c>
      <c r="AQ50" s="6">
        <v>2717</v>
      </c>
      <c r="AR50" s="6"/>
      <c r="AS50" s="6"/>
      <c r="AT50" s="6">
        <v>18</v>
      </c>
      <c r="AU50" s="6">
        <v>9384</v>
      </c>
      <c r="AV50" s="6"/>
      <c r="AW50" s="6"/>
      <c r="AX50" s="6"/>
      <c r="AY50" s="6"/>
      <c r="AZ50" s="6"/>
      <c r="BA50" s="6"/>
      <c r="BB50" s="6"/>
      <c r="BC50" s="6"/>
      <c r="BD50" s="6">
        <v>1</v>
      </c>
      <c r="BE50" s="6">
        <v>104</v>
      </c>
      <c r="BF50" s="6"/>
      <c r="BG50" s="6"/>
      <c r="BH50" s="6">
        <v>2</v>
      </c>
      <c r="BI50" s="6">
        <v>111</v>
      </c>
      <c r="BJ50" s="6"/>
      <c r="BK50" s="6"/>
      <c r="BL50" s="6"/>
      <c r="BM50" s="6"/>
      <c r="BN50" s="6"/>
      <c r="BO50" s="6"/>
      <c r="BP50" s="6"/>
      <c r="BQ50" s="6"/>
      <c r="BR50" s="6"/>
      <c r="BS50" s="6"/>
      <c r="BT50" s="6">
        <v>1</v>
      </c>
      <c r="BU50" s="6">
        <v>8</v>
      </c>
      <c r="BV50" s="8">
        <f t="shared" si="0"/>
        <v>96</v>
      </c>
      <c r="BW50" s="8">
        <f t="shared" si="0"/>
        <v>26241</v>
      </c>
      <c r="BX50" s="52"/>
      <c r="BY50" s="52"/>
      <c r="BZ50" s="52"/>
    </row>
    <row r="51" spans="1:143" s="27" customFormat="1">
      <c r="A51" s="5" t="s">
        <v>84</v>
      </c>
      <c r="B51" s="6"/>
      <c r="C51" s="6"/>
      <c r="D51" s="6"/>
      <c r="E51" s="6"/>
      <c r="F51" s="6"/>
      <c r="G51" s="6"/>
      <c r="H51" s="6"/>
      <c r="I51" s="6"/>
      <c r="J51" s="6"/>
      <c r="K51" s="6"/>
      <c r="L51" s="6"/>
      <c r="M51" s="6"/>
      <c r="N51" s="6">
        <v>1</v>
      </c>
      <c r="O51" s="6">
        <v>12</v>
      </c>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8">
        <f t="shared" si="0"/>
        <v>1</v>
      </c>
      <c r="BW51" s="8">
        <f t="shared" si="0"/>
        <v>12</v>
      </c>
      <c r="BX51" s="52"/>
      <c r="BY51" s="52"/>
      <c r="BZ51" s="52"/>
    </row>
    <row r="52" spans="1:143" s="27" customFormat="1">
      <c r="A52" s="5" t="s">
        <v>85</v>
      </c>
      <c r="B52" s="6">
        <v>3</v>
      </c>
      <c r="C52" s="6">
        <v>178</v>
      </c>
      <c r="D52" s="6">
        <v>4</v>
      </c>
      <c r="E52" s="6">
        <v>211</v>
      </c>
      <c r="F52" s="6">
        <v>3</v>
      </c>
      <c r="G52" s="6">
        <v>140</v>
      </c>
      <c r="H52" s="6"/>
      <c r="I52" s="6"/>
      <c r="J52" s="6"/>
      <c r="K52" s="6"/>
      <c r="L52" s="6"/>
      <c r="M52" s="6"/>
      <c r="N52" s="6">
        <v>7</v>
      </c>
      <c r="O52" s="6">
        <v>165</v>
      </c>
      <c r="P52" s="6"/>
      <c r="Q52" s="6"/>
      <c r="R52" s="6"/>
      <c r="S52" s="6"/>
      <c r="T52" s="6"/>
      <c r="U52" s="6"/>
      <c r="V52" s="6">
        <v>1</v>
      </c>
      <c r="W52" s="6">
        <v>117</v>
      </c>
      <c r="X52" s="6">
        <v>4</v>
      </c>
      <c r="Y52" s="6">
        <v>287</v>
      </c>
      <c r="Z52" s="6">
        <v>9</v>
      </c>
      <c r="AA52" s="6">
        <v>2361</v>
      </c>
      <c r="AB52" s="6">
        <v>1</v>
      </c>
      <c r="AC52" s="6">
        <v>329</v>
      </c>
      <c r="AD52" s="6">
        <v>10</v>
      </c>
      <c r="AE52" s="6">
        <v>3538</v>
      </c>
      <c r="AF52" s="6"/>
      <c r="AG52" s="6"/>
      <c r="AH52" s="6"/>
      <c r="AI52" s="6"/>
      <c r="AJ52" s="6"/>
      <c r="AK52" s="6"/>
      <c r="AL52" s="6"/>
      <c r="AM52" s="6"/>
      <c r="AN52" s="6"/>
      <c r="AO52" s="6"/>
      <c r="AP52" s="6">
        <v>1</v>
      </c>
      <c r="AQ52" s="6">
        <v>117</v>
      </c>
      <c r="AR52" s="6">
        <v>1</v>
      </c>
      <c r="AS52" s="6">
        <v>81</v>
      </c>
      <c r="AT52" s="6">
        <v>14</v>
      </c>
      <c r="AU52" s="6">
        <v>5712</v>
      </c>
      <c r="AV52" s="6"/>
      <c r="AW52" s="6"/>
      <c r="AX52" s="6"/>
      <c r="AY52" s="6"/>
      <c r="AZ52" s="6"/>
      <c r="BA52" s="6"/>
      <c r="BB52" s="6"/>
      <c r="BC52" s="6"/>
      <c r="BD52" s="6">
        <v>1</v>
      </c>
      <c r="BE52" s="6">
        <v>50</v>
      </c>
      <c r="BF52" s="6"/>
      <c r="BG52" s="6"/>
      <c r="BH52" s="6"/>
      <c r="BI52" s="6"/>
      <c r="BJ52" s="6">
        <v>1</v>
      </c>
      <c r="BK52" s="6">
        <v>142</v>
      </c>
      <c r="BL52" s="6">
        <v>1</v>
      </c>
      <c r="BM52" s="6">
        <v>48</v>
      </c>
      <c r="BN52" s="6"/>
      <c r="BO52" s="6"/>
      <c r="BP52" s="6"/>
      <c r="BQ52" s="6"/>
      <c r="BR52" s="6"/>
      <c r="BS52" s="6"/>
      <c r="BT52" s="6">
        <v>1</v>
      </c>
      <c r="BU52" s="6">
        <v>16</v>
      </c>
      <c r="BV52" s="8">
        <f t="shared" si="0"/>
        <v>62</v>
      </c>
      <c r="BW52" s="8">
        <f t="shared" si="0"/>
        <v>13492</v>
      </c>
      <c r="BX52" s="52"/>
      <c r="BY52" s="52"/>
      <c r="BZ52" s="52"/>
    </row>
    <row r="53" spans="1:143" s="27" customFormat="1">
      <c r="A53" s="5" t="s">
        <v>86</v>
      </c>
      <c r="B53" s="6"/>
      <c r="C53" s="6"/>
      <c r="D53" s="6"/>
      <c r="E53" s="6"/>
      <c r="F53" s="6"/>
      <c r="G53" s="6"/>
      <c r="H53" s="6"/>
      <c r="I53" s="6"/>
      <c r="J53" s="6"/>
      <c r="K53" s="6"/>
      <c r="L53" s="6"/>
      <c r="M53" s="6"/>
      <c r="N53" s="6">
        <v>6</v>
      </c>
      <c r="O53" s="6">
        <v>92</v>
      </c>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v>1</v>
      </c>
      <c r="BE53" s="6">
        <v>41</v>
      </c>
      <c r="BF53" s="6"/>
      <c r="BG53" s="6"/>
      <c r="BH53" s="6"/>
      <c r="BI53" s="6"/>
      <c r="BJ53" s="6"/>
      <c r="BK53" s="6"/>
      <c r="BL53" s="6"/>
      <c r="BM53" s="6"/>
      <c r="BN53" s="6"/>
      <c r="BO53" s="6"/>
      <c r="BP53" s="6"/>
      <c r="BQ53" s="6"/>
      <c r="BR53" s="6"/>
      <c r="BS53" s="6"/>
      <c r="BT53" s="6"/>
      <c r="BU53" s="6"/>
      <c r="BV53" s="8">
        <f t="shared" si="0"/>
        <v>7</v>
      </c>
      <c r="BW53" s="8">
        <f t="shared" si="0"/>
        <v>133</v>
      </c>
      <c r="BX53" s="52"/>
      <c r="BY53" s="52"/>
      <c r="BZ53" s="52"/>
    </row>
    <row r="54" spans="1:143" s="27" customFormat="1">
      <c r="A54" s="5" t="s">
        <v>87</v>
      </c>
      <c r="B54" s="6">
        <v>4</v>
      </c>
      <c r="C54" s="6">
        <v>103</v>
      </c>
      <c r="D54" s="6">
        <v>13</v>
      </c>
      <c r="E54" s="6">
        <v>1449</v>
      </c>
      <c r="F54" s="6">
        <v>10</v>
      </c>
      <c r="G54" s="6">
        <v>1379</v>
      </c>
      <c r="H54" s="6"/>
      <c r="I54" s="6"/>
      <c r="J54" s="6"/>
      <c r="K54" s="6"/>
      <c r="L54" s="6"/>
      <c r="M54" s="6"/>
      <c r="N54" s="6">
        <v>6</v>
      </c>
      <c r="O54" s="6">
        <v>126</v>
      </c>
      <c r="P54" s="6">
        <v>2</v>
      </c>
      <c r="Q54" s="6">
        <v>70</v>
      </c>
      <c r="R54" s="6"/>
      <c r="S54" s="6"/>
      <c r="T54" s="6">
        <v>2</v>
      </c>
      <c r="U54" s="6">
        <v>70</v>
      </c>
      <c r="V54" s="6">
        <v>2</v>
      </c>
      <c r="W54" s="6">
        <v>182</v>
      </c>
      <c r="X54" s="6">
        <v>3</v>
      </c>
      <c r="Y54" s="6">
        <v>215</v>
      </c>
      <c r="Z54" s="6">
        <v>11</v>
      </c>
      <c r="AA54" s="6">
        <v>2366</v>
      </c>
      <c r="AB54" s="6">
        <v>1</v>
      </c>
      <c r="AC54" s="6">
        <v>68</v>
      </c>
      <c r="AD54" s="6">
        <v>6</v>
      </c>
      <c r="AE54" s="6">
        <v>1688</v>
      </c>
      <c r="AF54" s="6">
        <v>2</v>
      </c>
      <c r="AG54" s="6">
        <v>445</v>
      </c>
      <c r="AH54" s="6">
        <v>2</v>
      </c>
      <c r="AI54" s="6">
        <v>823</v>
      </c>
      <c r="AJ54" s="6"/>
      <c r="AK54" s="6"/>
      <c r="AL54" s="6"/>
      <c r="AM54" s="6"/>
      <c r="AN54" s="6">
        <v>1</v>
      </c>
      <c r="AO54" s="6">
        <v>15</v>
      </c>
      <c r="AP54" s="6">
        <v>9</v>
      </c>
      <c r="AQ54" s="6">
        <v>3265</v>
      </c>
      <c r="AR54" s="6">
        <v>3</v>
      </c>
      <c r="AS54" s="6">
        <v>560</v>
      </c>
      <c r="AT54" s="6">
        <v>4</v>
      </c>
      <c r="AU54" s="6">
        <v>2976</v>
      </c>
      <c r="AV54" s="6">
        <v>1</v>
      </c>
      <c r="AW54" s="6">
        <v>378</v>
      </c>
      <c r="AX54" s="6">
        <v>1</v>
      </c>
      <c r="AY54" s="6">
        <v>94</v>
      </c>
      <c r="AZ54" s="6"/>
      <c r="BA54" s="6"/>
      <c r="BB54" s="6"/>
      <c r="BC54" s="6"/>
      <c r="BD54" s="6"/>
      <c r="BE54" s="6"/>
      <c r="BF54" s="6">
        <v>5</v>
      </c>
      <c r="BG54" s="6">
        <v>132</v>
      </c>
      <c r="BH54" s="6">
        <v>4</v>
      </c>
      <c r="BI54" s="6">
        <v>195</v>
      </c>
      <c r="BJ54" s="6"/>
      <c r="BK54" s="6"/>
      <c r="BL54" s="6">
        <v>7</v>
      </c>
      <c r="BM54" s="6">
        <v>239</v>
      </c>
      <c r="BN54" s="6">
        <v>5</v>
      </c>
      <c r="BO54" s="6">
        <v>119</v>
      </c>
      <c r="BP54" s="6"/>
      <c r="BQ54" s="6"/>
      <c r="BR54" s="6"/>
      <c r="BS54" s="6"/>
      <c r="BT54" s="6">
        <v>3</v>
      </c>
      <c r="BU54" s="6">
        <v>43</v>
      </c>
      <c r="BV54" s="8">
        <f t="shared" si="0"/>
        <v>107</v>
      </c>
      <c r="BW54" s="8">
        <f t="shared" si="0"/>
        <v>17000</v>
      </c>
      <c r="BX54" s="52"/>
      <c r="BY54" s="52"/>
      <c r="BZ54" s="52"/>
    </row>
    <row r="55" spans="1:143" s="27" customFormat="1">
      <c r="A55" s="5" t="s">
        <v>88</v>
      </c>
      <c r="B55" s="6"/>
      <c r="C55" s="6"/>
      <c r="D55" s="6"/>
      <c r="E55" s="6"/>
      <c r="F55" s="6"/>
      <c r="G55" s="6"/>
      <c r="H55" s="6"/>
      <c r="I55" s="6"/>
      <c r="J55" s="6"/>
      <c r="K55" s="6"/>
      <c r="L55" s="6"/>
      <c r="M55" s="6"/>
      <c r="N55" s="6">
        <v>9</v>
      </c>
      <c r="O55" s="6">
        <v>207</v>
      </c>
      <c r="P55" s="6"/>
      <c r="Q55" s="6"/>
      <c r="R55" s="6"/>
      <c r="S55" s="6"/>
      <c r="T55" s="6"/>
      <c r="U55" s="6"/>
      <c r="V55" s="6"/>
      <c r="W55" s="6"/>
      <c r="X55" s="6"/>
      <c r="Y55" s="6"/>
      <c r="Z55" s="6"/>
      <c r="AA55" s="6"/>
      <c r="AB55" s="6"/>
      <c r="AC55" s="6"/>
      <c r="AD55" s="6">
        <v>1</v>
      </c>
      <c r="AE55" s="6">
        <v>16</v>
      </c>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v>10</v>
      </c>
      <c r="BU55" s="6">
        <v>151</v>
      </c>
      <c r="BV55" s="8">
        <f t="shared" si="0"/>
        <v>20</v>
      </c>
      <c r="BW55" s="8">
        <f t="shared" si="0"/>
        <v>374</v>
      </c>
      <c r="BX55" s="52"/>
      <c r="BY55" s="52"/>
      <c r="BZ55" s="52"/>
    </row>
    <row r="56" spans="1:143" s="27" customFormat="1">
      <c r="A56" s="5" t="s">
        <v>89</v>
      </c>
      <c r="B56" s="6"/>
      <c r="C56" s="6"/>
      <c r="D56" s="6"/>
      <c r="E56" s="6"/>
      <c r="F56" s="6"/>
      <c r="G56" s="6"/>
      <c r="H56" s="6"/>
      <c r="I56" s="6"/>
      <c r="J56" s="6"/>
      <c r="K56" s="6"/>
      <c r="L56" s="6"/>
      <c r="M56" s="6"/>
      <c r="N56" s="6">
        <v>6</v>
      </c>
      <c r="O56" s="6">
        <v>90</v>
      </c>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v>1</v>
      </c>
      <c r="BE56" s="6">
        <v>39</v>
      </c>
      <c r="BF56" s="6"/>
      <c r="BG56" s="6"/>
      <c r="BH56" s="6"/>
      <c r="BI56" s="6"/>
      <c r="BJ56" s="6"/>
      <c r="BK56" s="6"/>
      <c r="BL56" s="6"/>
      <c r="BM56" s="6"/>
      <c r="BN56" s="6"/>
      <c r="BO56" s="6"/>
      <c r="BP56" s="6"/>
      <c r="BQ56" s="6"/>
      <c r="BR56" s="6"/>
      <c r="BS56" s="6"/>
      <c r="BT56" s="6">
        <v>2</v>
      </c>
      <c r="BU56" s="6">
        <v>24</v>
      </c>
      <c r="BV56" s="8">
        <f t="shared" si="0"/>
        <v>9</v>
      </c>
      <c r="BW56" s="8">
        <f t="shared" si="0"/>
        <v>153</v>
      </c>
      <c r="BX56" s="52"/>
      <c r="BY56" s="52"/>
      <c r="BZ56" s="52"/>
    </row>
    <row r="57" spans="1:143" s="27" customFormat="1">
      <c r="A57" s="5" t="s">
        <v>91</v>
      </c>
      <c r="B57" s="6"/>
      <c r="C57" s="6"/>
      <c r="D57" s="6"/>
      <c r="E57" s="6"/>
      <c r="F57" s="6"/>
      <c r="G57" s="6"/>
      <c r="H57" s="6"/>
      <c r="I57" s="6"/>
      <c r="J57" s="6"/>
      <c r="K57" s="6"/>
      <c r="L57" s="6"/>
      <c r="M57" s="6"/>
      <c r="N57" s="6">
        <v>1</v>
      </c>
      <c r="O57" s="6">
        <v>24</v>
      </c>
      <c r="P57" s="6"/>
      <c r="Q57" s="6"/>
      <c r="R57" s="6"/>
      <c r="S57" s="6"/>
      <c r="T57" s="6"/>
      <c r="U57" s="6"/>
      <c r="V57" s="6"/>
      <c r="W57" s="6"/>
      <c r="X57" s="6"/>
      <c r="Y57" s="6"/>
      <c r="Z57" s="6"/>
      <c r="AA57" s="6"/>
      <c r="AB57" s="6"/>
      <c r="AC57" s="6"/>
      <c r="AD57" s="6">
        <v>1</v>
      </c>
      <c r="AE57" s="6">
        <v>16</v>
      </c>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v>8</v>
      </c>
      <c r="BU57" s="6">
        <v>109</v>
      </c>
      <c r="BV57" s="8">
        <f t="shared" si="0"/>
        <v>10</v>
      </c>
      <c r="BW57" s="8">
        <f t="shared" si="0"/>
        <v>149</v>
      </c>
      <c r="BX57" s="52"/>
      <c r="BY57" s="52"/>
      <c r="BZ57" s="52"/>
    </row>
    <row r="58" spans="1:143" s="27" customFormat="1">
      <c r="A58" s="5" t="s">
        <v>92</v>
      </c>
      <c r="B58" s="6"/>
      <c r="C58" s="6"/>
      <c r="D58" s="6"/>
      <c r="E58" s="6"/>
      <c r="F58" s="6"/>
      <c r="G58" s="6"/>
      <c r="H58" s="6">
        <v>1</v>
      </c>
      <c r="I58" s="6">
        <v>82</v>
      </c>
      <c r="J58" s="6">
        <v>1</v>
      </c>
      <c r="K58" s="6">
        <v>39</v>
      </c>
      <c r="L58" s="6"/>
      <c r="M58" s="6"/>
      <c r="N58" s="6">
        <v>12</v>
      </c>
      <c r="O58" s="6">
        <v>221</v>
      </c>
      <c r="P58" s="6">
        <v>1</v>
      </c>
      <c r="Q58" s="6">
        <v>15</v>
      </c>
      <c r="R58" s="6"/>
      <c r="S58" s="6"/>
      <c r="T58" s="6"/>
      <c r="U58" s="6"/>
      <c r="V58" s="6">
        <v>1</v>
      </c>
      <c r="W58" s="6">
        <v>85</v>
      </c>
      <c r="X58" s="6">
        <v>1</v>
      </c>
      <c r="Y58" s="6">
        <v>72</v>
      </c>
      <c r="Z58" s="6">
        <v>1</v>
      </c>
      <c r="AA58" s="6">
        <v>207</v>
      </c>
      <c r="AB58" s="6"/>
      <c r="AC58" s="6"/>
      <c r="AD58" s="6">
        <v>8</v>
      </c>
      <c r="AE58" s="6">
        <v>1263</v>
      </c>
      <c r="AF58" s="6">
        <v>3</v>
      </c>
      <c r="AG58" s="6">
        <v>349</v>
      </c>
      <c r="AH58" s="6">
        <v>1</v>
      </c>
      <c r="AI58" s="6">
        <v>74</v>
      </c>
      <c r="AJ58" s="6">
        <v>1</v>
      </c>
      <c r="AK58" s="6">
        <v>246</v>
      </c>
      <c r="AL58" s="6"/>
      <c r="AM58" s="6"/>
      <c r="AN58" s="6"/>
      <c r="AO58" s="6"/>
      <c r="AP58" s="6"/>
      <c r="AQ58" s="6"/>
      <c r="AR58" s="6"/>
      <c r="AS58" s="6"/>
      <c r="AT58" s="6">
        <v>1</v>
      </c>
      <c r="AU58" s="6">
        <v>208</v>
      </c>
      <c r="AV58" s="6"/>
      <c r="AW58" s="6"/>
      <c r="AX58" s="6"/>
      <c r="AY58" s="6"/>
      <c r="AZ58" s="6"/>
      <c r="BA58" s="6"/>
      <c r="BB58" s="6"/>
      <c r="BC58" s="6"/>
      <c r="BD58" s="6">
        <v>1</v>
      </c>
      <c r="BE58" s="6">
        <v>64</v>
      </c>
      <c r="BF58" s="6">
        <v>2</v>
      </c>
      <c r="BG58" s="6">
        <v>86</v>
      </c>
      <c r="BH58" s="6">
        <v>1</v>
      </c>
      <c r="BI58" s="6">
        <v>50</v>
      </c>
      <c r="BJ58" s="6"/>
      <c r="BK58" s="6"/>
      <c r="BL58" s="6"/>
      <c r="BM58" s="6"/>
      <c r="BN58" s="6"/>
      <c r="BO58" s="6"/>
      <c r="BP58" s="6"/>
      <c r="BQ58" s="6"/>
      <c r="BR58" s="6"/>
      <c r="BS58" s="6"/>
      <c r="BT58" s="6">
        <v>24</v>
      </c>
      <c r="BU58" s="6">
        <v>405</v>
      </c>
      <c r="BV58" s="8">
        <f t="shared" si="0"/>
        <v>60</v>
      </c>
      <c r="BW58" s="8">
        <f t="shared" si="0"/>
        <v>3466</v>
      </c>
      <c r="BX58" s="52"/>
      <c r="BY58" s="52"/>
      <c r="BZ58" s="52"/>
    </row>
    <row r="59" spans="1:143" s="27" customFormat="1">
      <c r="A59" s="5" t="s">
        <v>93</v>
      </c>
      <c r="B59" s="6">
        <v>8</v>
      </c>
      <c r="C59" s="6">
        <v>374</v>
      </c>
      <c r="D59" s="6">
        <v>8</v>
      </c>
      <c r="E59" s="6">
        <v>741</v>
      </c>
      <c r="F59" s="6">
        <v>4</v>
      </c>
      <c r="G59" s="6">
        <v>664</v>
      </c>
      <c r="H59" s="6"/>
      <c r="I59" s="6"/>
      <c r="J59" s="6">
        <v>1</v>
      </c>
      <c r="K59" s="6">
        <v>18</v>
      </c>
      <c r="L59" s="6"/>
      <c r="M59" s="6"/>
      <c r="N59" s="6">
        <v>4</v>
      </c>
      <c r="O59" s="6">
        <v>116</v>
      </c>
      <c r="P59" s="6">
        <v>1</v>
      </c>
      <c r="Q59" s="6">
        <v>20</v>
      </c>
      <c r="R59" s="6"/>
      <c r="S59" s="6"/>
      <c r="T59" s="6"/>
      <c r="U59" s="6"/>
      <c r="V59" s="6">
        <v>1</v>
      </c>
      <c r="W59" s="6">
        <v>183</v>
      </c>
      <c r="X59" s="6">
        <v>1</v>
      </c>
      <c r="Y59" s="6">
        <v>42</v>
      </c>
      <c r="Z59" s="6">
        <v>6</v>
      </c>
      <c r="AA59" s="6">
        <v>1045</v>
      </c>
      <c r="AB59" s="6"/>
      <c r="AC59" s="6"/>
      <c r="AD59" s="6">
        <v>14</v>
      </c>
      <c r="AE59" s="6">
        <v>3443</v>
      </c>
      <c r="AF59" s="6">
        <v>1</v>
      </c>
      <c r="AG59" s="6">
        <v>214</v>
      </c>
      <c r="AH59" s="6"/>
      <c r="AI59" s="6"/>
      <c r="AJ59" s="6"/>
      <c r="AK59" s="6"/>
      <c r="AL59" s="6"/>
      <c r="AM59" s="6"/>
      <c r="AN59" s="6"/>
      <c r="AO59" s="6"/>
      <c r="AP59" s="6">
        <v>4</v>
      </c>
      <c r="AQ59" s="6">
        <v>1210</v>
      </c>
      <c r="AR59" s="6"/>
      <c r="AS59" s="6"/>
      <c r="AT59" s="6">
        <v>9</v>
      </c>
      <c r="AU59" s="6">
        <v>3288</v>
      </c>
      <c r="AV59" s="6"/>
      <c r="AW59" s="6"/>
      <c r="AX59" s="6">
        <v>1</v>
      </c>
      <c r="AY59" s="6">
        <v>136</v>
      </c>
      <c r="AZ59" s="6"/>
      <c r="BA59" s="6"/>
      <c r="BB59" s="6"/>
      <c r="BC59" s="6"/>
      <c r="BD59" s="6">
        <v>1</v>
      </c>
      <c r="BE59" s="6">
        <v>45</v>
      </c>
      <c r="BF59" s="6"/>
      <c r="BG59" s="6"/>
      <c r="BH59" s="6">
        <v>1</v>
      </c>
      <c r="BI59" s="6">
        <v>80</v>
      </c>
      <c r="BJ59" s="6"/>
      <c r="BK59" s="6"/>
      <c r="BL59" s="6">
        <v>3</v>
      </c>
      <c r="BM59" s="6">
        <v>101</v>
      </c>
      <c r="BN59" s="6">
        <v>1</v>
      </c>
      <c r="BO59" s="6">
        <v>63</v>
      </c>
      <c r="BP59" s="6"/>
      <c r="BQ59" s="6"/>
      <c r="BR59" s="6"/>
      <c r="BS59" s="6"/>
      <c r="BT59" s="6">
        <v>1</v>
      </c>
      <c r="BU59" s="6">
        <v>14</v>
      </c>
      <c r="BV59" s="8">
        <f t="shared" si="0"/>
        <v>70</v>
      </c>
      <c r="BW59" s="8">
        <f t="shared" si="0"/>
        <v>11797</v>
      </c>
      <c r="BX59" s="52"/>
      <c r="BY59" s="52"/>
      <c r="BZ59" s="52"/>
    </row>
    <row r="60" spans="1:143" s="27" customFormat="1">
      <c r="A60" s="5" t="s">
        <v>94</v>
      </c>
      <c r="B60" s="6"/>
      <c r="C60" s="6"/>
      <c r="D60" s="6"/>
      <c r="E60" s="6"/>
      <c r="F60" s="6"/>
      <c r="G60" s="6"/>
      <c r="H60" s="6"/>
      <c r="I60" s="6"/>
      <c r="J60" s="6"/>
      <c r="K60" s="6"/>
      <c r="L60" s="6"/>
      <c r="M60" s="6"/>
      <c r="N60" s="6">
        <v>5</v>
      </c>
      <c r="O60" s="6">
        <v>87</v>
      </c>
      <c r="P60" s="6"/>
      <c r="Q60" s="6"/>
      <c r="R60" s="6"/>
      <c r="S60" s="6"/>
      <c r="T60" s="6"/>
      <c r="U60" s="6"/>
      <c r="V60" s="6"/>
      <c r="W60" s="6"/>
      <c r="X60" s="6"/>
      <c r="Y60" s="6"/>
      <c r="Z60" s="6"/>
      <c r="AA60" s="6"/>
      <c r="AB60" s="6"/>
      <c r="AC60" s="6"/>
      <c r="AD60" s="6">
        <v>2</v>
      </c>
      <c r="AE60" s="6">
        <v>118</v>
      </c>
      <c r="AF60" s="6"/>
      <c r="AG60" s="6"/>
      <c r="AH60" s="6"/>
      <c r="AI60" s="6"/>
      <c r="AJ60" s="6"/>
      <c r="AK60" s="6"/>
      <c r="AL60" s="6"/>
      <c r="AM60" s="6"/>
      <c r="AN60" s="6"/>
      <c r="AO60" s="6"/>
      <c r="AP60" s="6"/>
      <c r="AQ60" s="6"/>
      <c r="AR60" s="6"/>
      <c r="AS60" s="6"/>
      <c r="AT60" s="6"/>
      <c r="AU60" s="6"/>
      <c r="AV60" s="6"/>
      <c r="AW60" s="6"/>
      <c r="AX60" s="6"/>
      <c r="AY60" s="6"/>
      <c r="AZ60" s="6"/>
      <c r="BA60" s="6"/>
      <c r="BB60" s="6"/>
      <c r="BC60" s="6"/>
      <c r="BD60" s="6">
        <v>1</v>
      </c>
      <c r="BE60" s="6">
        <v>32</v>
      </c>
      <c r="BF60" s="6"/>
      <c r="BG60" s="6"/>
      <c r="BH60" s="6"/>
      <c r="BI60" s="6"/>
      <c r="BJ60" s="6"/>
      <c r="BK60" s="6"/>
      <c r="BL60" s="6"/>
      <c r="BM60" s="6"/>
      <c r="BN60" s="6"/>
      <c r="BO60" s="6"/>
      <c r="BP60" s="6"/>
      <c r="BQ60" s="6"/>
      <c r="BR60" s="6"/>
      <c r="BS60" s="6"/>
      <c r="BT60" s="6">
        <v>7</v>
      </c>
      <c r="BU60" s="6">
        <v>99</v>
      </c>
      <c r="BV60" s="8">
        <f t="shared" si="0"/>
        <v>15</v>
      </c>
      <c r="BW60" s="8">
        <f t="shared" si="0"/>
        <v>336</v>
      </c>
      <c r="BX60" s="52"/>
      <c r="BY60" s="52"/>
      <c r="BZ60" s="52"/>
    </row>
    <row r="61" spans="1:143" s="27" customFormat="1">
      <c r="A61" s="5" t="s">
        <v>95</v>
      </c>
      <c r="B61" s="6"/>
      <c r="C61" s="6"/>
      <c r="D61" s="6"/>
      <c r="E61" s="6"/>
      <c r="F61" s="6"/>
      <c r="G61" s="6"/>
      <c r="H61" s="6"/>
      <c r="I61" s="6"/>
      <c r="J61" s="6"/>
      <c r="K61" s="6"/>
      <c r="L61" s="6"/>
      <c r="M61" s="6"/>
      <c r="N61" s="6">
        <v>1</v>
      </c>
      <c r="O61" s="6">
        <v>20</v>
      </c>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v>1</v>
      </c>
      <c r="BE61" s="6">
        <v>68</v>
      </c>
      <c r="BF61" s="6"/>
      <c r="BG61" s="6"/>
      <c r="BH61" s="6"/>
      <c r="BI61" s="6"/>
      <c r="BJ61" s="6"/>
      <c r="BK61" s="6"/>
      <c r="BL61" s="6"/>
      <c r="BM61" s="6"/>
      <c r="BN61" s="6"/>
      <c r="BO61" s="6"/>
      <c r="BP61" s="6"/>
      <c r="BQ61" s="6"/>
      <c r="BR61" s="6"/>
      <c r="BS61" s="6"/>
      <c r="BT61" s="6"/>
      <c r="BU61" s="6"/>
      <c r="BV61" s="8">
        <f t="shared" si="0"/>
        <v>2</v>
      </c>
      <c r="BW61" s="8">
        <f t="shared" si="0"/>
        <v>88</v>
      </c>
      <c r="BX61" s="52"/>
      <c r="BY61" s="52"/>
      <c r="BZ61" s="52"/>
    </row>
    <row r="62" spans="1:143" s="51" customFormat="1">
      <c r="A62" s="11" t="s">
        <v>96</v>
      </c>
      <c r="B62" s="12">
        <f>SUM(B9:B61)</f>
        <v>62</v>
      </c>
      <c r="C62" s="12">
        <f t="shared" ref="C62:BP62" si="1">SUM(C9:C61)</f>
        <v>2917</v>
      </c>
      <c r="D62" s="12">
        <f t="shared" si="1"/>
        <v>108</v>
      </c>
      <c r="E62" s="12">
        <f t="shared" si="1"/>
        <v>10288</v>
      </c>
      <c r="F62" s="12">
        <f t="shared" si="1"/>
        <v>97</v>
      </c>
      <c r="G62" s="12">
        <f t="shared" si="1"/>
        <v>15886</v>
      </c>
      <c r="H62" s="12">
        <f t="shared" si="1"/>
        <v>4</v>
      </c>
      <c r="I62" s="12">
        <f t="shared" si="1"/>
        <v>825</v>
      </c>
      <c r="J62" s="12">
        <f t="shared" si="1"/>
        <v>17</v>
      </c>
      <c r="K62" s="12">
        <f t="shared" si="1"/>
        <v>2333</v>
      </c>
      <c r="L62" s="12">
        <f t="shared" si="1"/>
        <v>1</v>
      </c>
      <c r="M62" s="12">
        <f t="shared" si="1"/>
        <v>18</v>
      </c>
      <c r="N62" s="12">
        <f t="shared" si="1"/>
        <v>291</v>
      </c>
      <c r="O62" s="12">
        <f t="shared" si="1"/>
        <v>5710</v>
      </c>
      <c r="P62" s="12">
        <f t="shared" si="1"/>
        <v>15</v>
      </c>
      <c r="Q62" s="12">
        <f t="shared" si="1"/>
        <v>479</v>
      </c>
      <c r="R62" s="12">
        <f t="shared" si="1"/>
        <v>1</v>
      </c>
      <c r="S62" s="12">
        <f t="shared" si="1"/>
        <v>500</v>
      </c>
      <c r="T62" s="12">
        <f t="shared" si="1"/>
        <v>8</v>
      </c>
      <c r="U62" s="12">
        <f t="shared" si="1"/>
        <v>236</v>
      </c>
      <c r="V62" s="12">
        <f t="shared" si="1"/>
        <v>14</v>
      </c>
      <c r="W62" s="12">
        <f t="shared" si="1"/>
        <v>1113</v>
      </c>
      <c r="X62" s="12">
        <f t="shared" si="1"/>
        <v>35</v>
      </c>
      <c r="Y62" s="12">
        <f t="shared" si="1"/>
        <v>4504</v>
      </c>
      <c r="Z62" s="12">
        <f t="shared" si="1"/>
        <v>181</v>
      </c>
      <c r="AA62" s="12">
        <f t="shared" si="1"/>
        <v>43800</v>
      </c>
      <c r="AB62" s="12">
        <f t="shared" si="1"/>
        <v>10</v>
      </c>
      <c r="AC62" s="12">
        <f t="shared" si="1"/>
        <v>2352</v>
      </c>
      <c r="AD62" s="12">
        <f t="shared" si="1"/>
        <v>325</v>
      </c>
      <c r="AE62" s="12">
        <f t="shared" si="1"/>
        <v>99465</v>
      </c>
      <c r="AF62" s="12">
        <f t="shared" si="1"/>
        <v>48</v>
      </c>
      <c r="AG62" s="12">
        <f t="shared" si="1"/>
        <v>12322</v>
      </c>
      <c r="AH62" s="12">
        <f t="shared" si="1"/>
        <v>57</v>
      </c>
      <c r="AI62" s="12">
        <f t="shared" si="1"/>
        <v>11720</v>
      </c>
      <c r="AJ62" s="12">
        <f t="shared" si="1"/>
        <v>6</v>
      </c>
      <c r="AK62" s="12">
        <f t="shared" si="1"/>
        <v>1100</v>
      </c>
      <c r="AL62" s="12">
        <f t="shared" si="1"/>
        <v>3</v>
      </c>
      <c r="AM62" s="12">
        <f t="shared" si="1"/>
        <v>78</v>
      </c>
      <c r="AN62" s="12">
        <f t="shared" si="1"/>
        <v>10</v>
      </c>
      <c r="AO62" s="12">
        <f t="shared" si="1"/>
        <v>1081</v>
      </c>
      <c r="AP62" s="12">
        <f t="shared" si="1"/>
        <v>46</v>
      </c>
      <c r="AQ62" s="12">
        <f t="shared" si="1"/>
        <v>16809</v>
      </c>
      <c r="AR62" s="12">
        <f t="shared" si="1"/>
        <v>11</v>
      </c>
      <c r="AS62" s="12">
        <f t="shared" si="1"/>
        <v>4350</v>
      </c>
      <c r="AT62" s="12">
        <f t="shared" si="1"/>
        <v>132</v>
      </c>
      <c r="AU62" s="12">
        <f t="shared" si="1"/>
        <v>55257</v>
      </c>
      <c r="AV62" s="12">
        <f t="shared" si="1"/>
        <v>6</v>
      </c>
      <c r="AW62" s="12">
        <f t="shared" si="1"/>
        <v>2387</v>
      </c>
      <c r="AX62" s="12">
        <f t="shared" si="1"/>
        <v>7</v>
      </c>
      <c r="AY62" s="12">
        <f t="shared" si="1"/>
        <v>2023</v>
      </c>
      <c r="AZ62" s="12">
        <f t="shared" si="1"/>
        <v>3</v>
      </c>
      <c r="BA62" s="12">
        <f t="shared" si="1"/>
        <v>134</v>
      </c>
      <c r="BB62" s="12">
        <f t="shared" si="1"/>
        <v>1</v>
      </c>
      <c r="BC62" s="12">
        <f t="shared" si="1"/>
        <v>132</v>
      </c>
      <c r="BD62" s="12">
        <f t="shared" si="1"/>
        <v>36</v>
      </c>
      <c r="BE62" s="12">
        <f t="shared" si="1"/>
        <v>1765</v>
      </c>
      <c r="BF62" s="12">
        <f t="shared" si="1"/>
        <v>34</v>
      </c>
      <c r="BG62" s="12">
        <f t="shared" si="1"/>
        <v>1483</v>
      </c>
      <c r="BH62" s="12">
        <f t="shared" si="1"/>
        <v>18</v>
      </c>
      <c r="BI62" s="12">
        <f t="shared" si="1"/>
        <v>947</v>
      </c>
      <c r="BJ62" s="12">
        <f t="shared" si="1"/>
        <v>2</v>
      </c>
      <c r="BK62" s="12">
        <f t="shared" si="1"/>
        <v>214</v>
      </c>
      <c r="BL62" s="12">
        <f t="shared" si="1"/>
        <v>43</v>
      </c>
      <c r="BM62" s="12">
        <f t="shared" si="1"/>
        <v>1680</v>
      </c>
      <c r="BN62" s="12">
        <f t="shared" si="1"/>
        <v>20</v>
      </c>
      <c r="BO62" s="12">
        <f t="shared" si="1"/>
        <v>736</v>
      </c>
      <c r="BP62" s="12">
        <f t="shared" si="1"/>
        <v>2</v>
      </c>
      <c r="BQ62" s="12">
        <f>SUM(BQ9:BQ61)</f>
        <v>86</v>
      </c>
      <c r="BR62" s="12">
        <f>SUM(BR9:BR61)</f>
        <v>1</v>
      </c>
      <c r="BS62" s="12">
        <f>SUM(BS9:BS61)</f>
        <v>23</v>
      </c>
      <c r="BT62" s="12">
        <f>SUM(BT9:BT61)</f>
        <v>167</v>
      </c>
      <c r="BU62" s="12">
        <f>SUM(BU9:BU61)</f>
        <v>2559</v>
      </c>
      <c r="BV62" s="12">
        <f>B62+D62+F62+H62+J62+L62+N62+P62+R62+T62+V62+X62+Z62+AB62+AD62+AF62+AH62+AJ62+AL62+AN62+AP62+AR62+AT62+AV62+AX62+AZ62+BB62+BD62+BF62+BH62+BJ62+BL62+BN62+BP62+BR62+BT62</f>
        <v>1822</v>
      </c>
      <c r="BW62" s="12">
        <f>C62+E62+G62+I62+K62+M62+O62+Q62+S62+U62+W62+Y62+AA62+AC62+AE62+AG62+AI62+AK62+AM62+AO62+AQ62+AS62+AU62+AW62+AY62+BA62+BC62+BE62+BG62+BI62+BK62+BM62+BO62+BQ62+BS62+BU62</f>
        <v>307312</v>
      </c>
      <c r="BX62" s="52"/>
      <c r="BY62" s="52"/>
      <c r="BZ62" s="52"/>
      <c r="CA62" s="52"/>
      <c r="CB62" s="52"/>
      <c r="CC62" s="52"/>
      <c r="CD62" s="52"/>
      <c r="CE62" s="52"/>
      <c r="CF62" s="52"/>
      <c r="CG62" s="52"/>
      <c r="CH62" s="52"/>
      <c r="CI62" s="52"/>
      <c r="CJ62" s="52"/>
      <c r="CK62" s="52"/>
      <c r="CL62" s="52"/>
      <c r="CM62" s="52"/>
      <c r="CN62" s="52"/>
      <c r="CO62" s="52"/>
      <c r="CP62" s="52"/>
      <c r="CQ62" s="52"/>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c r="EA62" s="52"/>
      <c r="EB62" s="52"/>
      <c r="EC62" s="52"/>
      <c r="ED62" s="52"/>
      <c r="EE62" s="52"/>
      <c r="EF62" s="52"/>
      <c r="EG62" s="52"/>
      <c r="EH62" s="52"/>
      <c r="EI62" s="52"/>
      <c r="EJ62" s="52"/>
      <c r="EK62" s="52"/>
      <c r="EL62" s="52"/>
      <c r="EM62" s="52"/>
    </row>
    <row r="63" spans="1:143" s="27" customFormat="1" ht="12.75">
      <c r="A63" s="48" t="s">
        <v>189</v>
      </c>
      <c r="BV63" s="54"/>
      <c r="BW63" s="54"/>
    </row>
    <row r="64" spans="1:143" s="27" customFormat="1" ht="12.75">
      <c r="A64" s="50" t="s">
        <v>190</v>
      </c>
      <c r="BV64" s="54"/>
      <c r="BW64" s="54"/>
    </row>
    <row r="65" spans="1:75" s="55" customFormat="1" ht="12.75">
      <c r="A65" s="50" t="s">
        <v>191</v>
      </c>
      <c r="BV65" s="56"/>
      <c r="BW65" s="57"/>
    </row>
  </sheetData>
  <sheetProtection algorithmName="SHA-512" hashValue="3bzBm467ONP9PWxFHq5wibcGchaX6iLzXujiZ4M0qQgR3BPUKw34HhBDEXKnA5fEaKtWOLeNL7sOigSlibsccg==" saltValue="Cry5VMIIiPrOqnuyYB76Bg==" spinCount="100000" sheet="1" objects="1" scenarios="1"/>
  <mergeCells count="38">
    <mergeCell ref="J6:K6"/>
    <mergeCell ref="A6:A8"/>
    <mergeCell ref="B6:C6"/>
    <mergeCell ref="D6:E6"/>
    <mergeCell ref="F6:G6"/>
    <mergeCell ref="H6:I6"/>
    <mergeCell ref="AH6:AI6"/>
    <mergeCell ref="L6:M6"/>
    <mergeCell ref="N6:O6"/>
    <mergeCell ref="P6:Q6"/>
    <mergeCell ref="R6:S6"/>
    <mergeCell ref="T6:U6"/>
    <mergeCell ref="V6:W6"/>
    <mergeCell ref="X6:Y6"/>
    <mergeCell ref="Z6:AA6"/>
    <mergeCell ref="AB6:AC6"/>
    <mergeCell ref="AD6:AE6"/>
    <mergeCell ref="AF6:AG6"/>
    <mergeCell ref="BF6:BG6"/>
    <mergeCell ref="AJ6:AK6"/>
    <mergeCell ref="AL6:AM6"/>
    <mergeCell ref="AN6:AO6"/>
    <mergeCell ref="AP6:AQ6"/>
    <mergeCell ref="AR6:AS6"/>
    <mergeCell ref="AT6:AU6"/>
    <mergeCell ref="AV6:AW6"/>
    <mergeCell ref="AX6:AY6"/>
    <mergeCell ref="AZ6:BA6"/>
    <mergeCell ref="BB6:BC6"/>
    <mergeCell ref="BD6:BE6"/>
    <mergeCell ref="BT6:BU6"/>
    <mergeCell ref="BV6:BW6"/>
    <mergeCell ref="BH6:BI6"/>
    <mergeCell ref="BJ6:BK6"/>
    <mergeCell ref="BL6:BM6"/>
    <mergeCell ref="BN6:BO6"/>
    <mergeCell ref="BP6:BQ6"/>
    <mergeCell ref="BR6:BS6"/>
  </mergeCells>
  <conditionalFormatting sqref="A9:BU61 BV9:BW62">
    <cfRule type="expression" dxfId="20" priority="1" stopIfTrue="1">
      <formula>MOD(ROW(),2)=0</formula>
    </cfRule>
  </conditionalFormatting>
  <conditionalFormatting sqref="A2:XFD65">
    <cfRule type="expression" priority="3">
      <formula>SI(0," ")</formula>
    </cfRule>
  </conditionalFormatting>
  <conditionalFormatting sqref="J2">
    <cfRule type="expression" priority="2">
      <formula>SI($C$42," ")</formula>
    </cfRule>
  </conditionalFormatting>
  <pageMargins left="0.70866141732283472" right="0.70866141732283472" top="0.74803149606299213" bottom="0.74803149606299213" header="0.31496062992125984" footer="0.31496062992125984"/>
  <pageSetup paperSize="8" scale="70" orientation="landscape" r:id="rId1"/>
  <colBreaks count="4" manualBreakCount="4">
    <brk id="19" max="1048575" man="1"/>
    <brk id="35" max="1048575" man="1"/>
    <brk id="51" max="1048575" man="1"/>
    <brk id="65"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3:N53"/>
  <sheetViews>
    <sheetView showGridLines="0" zoomScaleNormal="100" workbookViewId="0"/>
  </sheetViews>
  <sheetFormatPr baseColWidth="10" defaultRowHeight="15"/>
  <cols>
    <col min="1" max="1" width="25.140625" customWidth="1"/>
    <col min="2" max="2" width="5.7109375" customWidth="1"/>
    <col min="3" max="3" width="17" bestFit="1" customWidth="1"/>
    <col min="4" max="4" width="15.140625" bestFit="1" customWidth="1"/>
    <col min="5" max="5" width="14" bestFit="1" customWidth="1"/>
    <col min="8" max="8" width="25.140625" customWidth="1"/>
    <col min="9" max="9" width="5.7109375" customWidth="1"/>
    <col min="10" max="10" width="17" customWidth="1"/>
    <col min="11" max="11" width="15.140625" customWidth="1"/>
    <col min="12" max="12" width="14" customWidth="1"/>
  </cols>
  <sheetData>
    <row r="3" spans="1:13" s="60" customFormat="1" ht="16.5">
      <c r="A3" s="58" t="s">
        <v>284</v>
      </c>
      <c r="B3" s="59"/>
      <c r="H3" s="59"/>
      <c r="I3" s="59"/>
    </row>
    <row r="4" spans="1:13" s="63" customFormat="1" ht="16.5">
      <c r="A4" s="61" t="s">
        <v>285</v>
      </c>
      <c r="B4" s="62"/>
      <c r="H4" s="62"/>
      <c r="I4" s="62"/>
      <c r="L4" s="64"/>
    </row>
    <row r="5" spans="1:13" s="63" customFormat="1" ht="16.5">
      <c r="A5" s="61" t="s">
        <v>286</v>
      </c>
      <c r="B5" s="62"/>
      <c r="H5" s="62"/>
      <c r="I5" s="62"/>
    </row>
    <row r="6" spans="1:13" s="60" customFormat="1" ht="12.75">
      <c r="A6" s="59"/>
      <c r="B6" s="59"/>
      <c r="H6" s="59"/>
      <c r="I6" s="59"/>
    </row>
    <row r="7" spans="1:13" s="60" customFormat="1" ht="12.75">
      <c r="A7" s="59"/>
      <c r="B7" s="59"/>
      <c r="H7" s="59"/>
      <c r="I7" s="59"/>
    </row>
    <row r="8" spans="1:13" s="60" customFormat="1" ht="12.75">
      <c r="A8" s="130" t="s">
        <v>104</v>
      </c>
      <c r="B8" s="130"/>
      <c r="C8" s="103" t="s">
        <v>105</v>
      </c>
      <c r="D8" s="103" t="s">
        <v>106</v>
      </c>
      <c r="E8" s="103" t="s">
        <v>107</v>
      </c>
      <c r="F8" s="103" t="s">
        <v>108</v>
      </c>
      <c r="G8" s="104"/>
      <c r="H8" s="130" t="s">
        <v>104</v>
      </c>
      <c r="I8" s="130"/>
      <c r="J8" s="103" t="s">
        <v>105</v>
      </c>
      <c r="K8" s="103" t="s">
        <v>106</v>
      </c>
      <c r="L8" s="103" t="s">
        <v>107</v>
      </c>
      <c r="M8" s="103" t="s">
        <v>108</v>
      </c>
    </row>
    <row r="9" spans="1:13" s="63" customFormat="1" ht="12.75">
      <c r="A9" s="131" t="s">
        <v>109</v>
      </c>
      <c r="B9" s="131"/>
      <c r="C9" s="105" t="s">
        <v>110</v>
      </c>
      <c r="D9" s="105" t="s">
        <v>111</v>
      </c>
      <c r="E9" s="105" t="s">
        <v>112</v>
      </c>
      <c r="F9" s="105" t="s">
        <v>113</v>
      </c>
      <c r="G9" s="106"/>
      <c r="H9" s="131" t="s">
        <v>109</v>
      </c>
      <c r="I9" s="131"/>
      <c r="J9" s="105" t="s">
        <v>110</v>
      </c>
      <c r="K9" s="105" t="s">
        <v>111</v>
      </c>
      <c r="L9" s="105" t="s">
        <v>112</v>
      </c>
      <c r="M9" s="105" t="s">
        <v>113</v>
      </c>
    </row>
    <row r="10" spans="1:13" s="63" customFormat="1" ht="12.75">
      <c r="A10" s="131" t="s">
        <v>114</v>
      </c>
      <c r="B10" s="131"/>
      <c r="C10" s="105" t="s">
        <v>115</v>
      </c>
      <c r="D10" s="105" t="s">
        <v>116</v>
      </c>
      <c r="E10" s="105" t="s">
        <v>117</v>
      </c>
      <c r="F10" s="105" t="s">
        <v>118</v>
      </c>
      <c r="G10" s="106"/>
      <c r="H10" s="131" t="s">
        <v>114</v>
      </c>
      <c r="I10" s="131"/>
      <c r="J10" s="105" t="s">
        <v>115</v>
      </c>
      <c r="K10" s="105" t="s">
        <v>116</v>
      </c>
      <c r="L10" s="105" t="s">
        <v>117</v>
      </c>
      <c r="M10" s="105" t="s">
        <v>118</v>
      </c>
    </row>
    <row r="11" spans="1:13" s="60" customFormat="1">
      <c r="A11" s="132" t="s">
        <v>119</v>
      </c>
      <c r="B11" s="132"/>
      <c r="C11" s="66">
        <v>62</v>
      </c>
      <c r="D11" s="66">
        <v>908</v>
      </c>
      <c r="E11" s="66">
        <v>2917</v>
      </c>
      <c r="F11" s="67">
        <f t="shared" ref="F11:F16" si="0">E11/E$17</f>
        <v>8.9536204303385616E-2</v>
      </c>
      <c r="G11" s="68"/>
      <c r="H11" s="132" t="s">
        <v>25</v>
      </c>
      <c r="I11" s="132"/>
      <c r="J11" s="66">
        <v>3</v>
      </c>
      <c r="K11" s="66">
        <v>33</v>
      </c>
      <c r="L11" s="66">
        <v>78</v>
      </c>
      <c r="M11" s="67">
        <f>L11/L$19</f>
        <v>9.5507475296624175E-4</v>
      </c>
    </row>
    <row r="12" spans="1:13" s="60" customFormat="1">
      <c r="A12" s="132" t="s">
        <v>120</v>
      </c>
      <c r="B12" s="132"/>
      <c r="C12" s="66">
        <v>110</v>
      </c>
      <c r="D12" s="66">
        <v>3811</v>
      </c>
      <c r="E12" s="66">
        <v>10720</v>
      </c>
      <c r="F12" s="67">
        <f t="shared" si="0"/>
        <v>0.32904631818042296</v>
      </c>
      <c r="G12" s="68"/>
      <c r="H12" s="132" t="s">
        <v>26</v>
      </c>
      <c r="I12" s="132"/>
      <c r="J12" s="66">
        <v>9</v>
      </c>
      <c r="K12" s="66">
        <v>509</v>
      </c>
      <c r="L12" s="66">
        <v>1066</v>
      </c>
      <c r="M12" s="67">
        <f t="shared" ref="M12:M17" si="1">L12/L$19</f>
        <v>1.3052688290538638E-2</v>
      </c>
    </row>
    <row r="13" spans="1:13" s="60" customFormat="1">
      <c r="A13" s="132" t="s">
        <v>121</v>
      </c>
      <c r="B13" s="132"/>
      <c r="C13" s="66">
        <v>96</v>
      </c>
      <c r="D13" s="66">
        <v>6164</v>
      </c>
      <c r="E13" s="66">
        <v>15884</v>
      </c>
      <c r="F13" s="67">
        <f t="shared" si="0"/>
        <v>0.48755333190091776</v>
      </c>
      <c r="G13" s="68"/>
      <c r="H13" s="132" t="s">
        <v>27</v>
      </c>
      <c r="I13" s="132"/>
      <c r="J13" s="66">
        <v>48</v>
      </c>
      <c r="K13" s="66">
        <v>7570</v>
      </c>
      <c r="L13" s="66">
        <v>17030</v>
      </c>
      <c r="M13" s="67">
        <f t="shared" si="1"/>
        <v>0.20852465439762946</v>
      </c>
    </row>
    <row r="14" spans="1:13" s="60" customFormat="1">
      <c r="A14" s="132" t="s">
        <v>251</v>
      </c>
      <c r="B14" s="132"/>
      <c r="C14" s="66">
        <v>4</v>
      </c>
      <c r="D14" s="66">
        <v>356</v>
      </c>
      <c r="E14" s="66">
        <v>825</v>
      </c>
      <c r="F14" s="67">
        <f t="shared" si="0"/>
        <v>2.5323060867429938E-2</v>
      </c>
      <c r="G14" s="68"/>
      <c r="H14" s="132" t="s">
        <v>209</v>
      </c>
      <c r="I14" s="132"/>
      <c r="J14" s="66">
        <v>11</v>
      </c>
      <c r="K14" s="66">
        <v>1558</v>
      </c>
      <c r="L14" s="66">
        <v>4350</v>
      </c>
      <c r="M14" s="67">
        <f t="shared" si="1"/>
        <v>5.3263784300040404E-2</v>
      </c>
    </row>
    <row r="15" spans="1:13" s="60" customFormat="1">
      <c r="A15" s="132" t="s">
        <v>122</v>
      </c>
      <c r="B15" s="132"/>
      <c r="C15" s="66">
        <v>16</v>
      </c>
      <c r="D15" s="66">
        <v>643</v>
      </c>
      <c r="E15" s="66">
        <v>2215</v>
      </c>
      <c r="F15" s="67">
        <f t="shared" si="0"/>
        <v>6.7988581601645226E-2</v>
      </c>
      <c r="G15" s="68"/>
      <c r="H15" s="132" t="s">
        <v>28</v>
      </c>
      <c r="I15" s="132"/>
      <c r="J15" s="66">
        <v>129</v>
      </c>
      <c r="K15" s="66">
        <v>24768</v>
      </c>
      <c r="L15" s="66">
        <v>54938</v>
      </c>
      <c r="M15" s="67">
        <f t="shared" si="1"/>
        <v>0.67269098433922292</v>
      </c>
    </row>
    <row r="16" spans="1:13" s="60" customFormat="1">
      <c r="A16" s="132" t="s">
        <v>268</v>
      </c>
      <c r="B16" s="132"/>
      <c r="C16" s="66">
        <v>1</v>
      </c>
      <c r="D16" s="66">
        <v>9</v>
      </c>
      <c r="E16" s="66">
        <v>18</v>
      </c>
      <c r="F16" s="67">
        <f t="shared" si="0"/>
        <v>5.5250314619847138E-4</v>
      </c>
      <c r="G16" s="68"/>
      <c r="H16" s="132" t="s">
        <v>210</v>
      </c>
      <c r="I16" s="132"/>
      <c r="J16" s="66">
        <v>5</v>
      </c>
      <c r="K16" s="66">
        <v>1060</v>
      </c>
      <c r="L16" s="66">
        <v>2184</v>
      </c>
      <c r="M16" s="67">
        <f t="shared" si="1"/>
        <v>2.6742093083054769E-2</v>
      </c>
    </row>
    <row r="17" spans="1:14" s="60" customFormat="1">
      <c r="A17" s="133" t="s">
        <v>123</v>
      </c>
      <c r="B17" s="133"/>
      <c r="C17" s="69">
        <f>SUM(C11:C16)</f>
        <v>289</v>
      </c>
      <c r="D17" s="69">
        <f>SUM(D11:D16)</f>
        <v>11891</v>
      </c>
      <c r="E17" s="69">
        <f>SUM(E11:E16)</f>
        <v>32579</v>
      </c>
      <c r="F17" s="70">
        <f>SUM(F11:F16)</f>
        <v>1</v>
      </c>
      <c r="G17" s="68"/>
      <c r="H17" s="132" t="s">
        <v>29</v>
      </c>
      <c r="I17" s="132"/>
      <c r="J17" s="66">
        <v>7</v>
      </c>
      <c r="K17" s="66">
        <v>1025</v>
      </c>
      <c r="L17" s="66">
        <v>2023</v>
      </c>
      <c r="M17" s="67">
        <f t="shared" si="1"/>
        <v>2.4770720836547529E-2</v>
      </c>
    </row>
    <row r="18" spans="1:14" s="60" customFormat="1">
      <c r="A18" s="132"/>
      <c r="B18" s="132"/>
      <c r="C18" s="66"/>
      <c r="D18" s="66"/>
      <c r="E18" s="66"/>
      <c r="F18" s="67"/>
      <c r="G18" s="68"/>
      <c r="H18" s="132" t="s">
        <v>211</v>
      </c>
      <c r="I18" s="132"/>
      <c r="J18" s="66"/>
      <c r="K18" s="66"/>
      <c r="L18" s="66"/>
      <c r="M18" s="67"/>
    </row>
    <row r="19" spans="1:14" s="60" customFormat="1">
      <c r="A19" s="133" t="s">
        <v>7</v>
      </c>
      <c r="B19" s="133"/>
      <c r="C19" s="69">
        <v>36</v>
      </c>
      <c r="D19" s="69">
        <v>883</v>
      </c>
      <c r="E19" s="69">
        <v>1747</v>
      </c>
      <c r="F19" s="70">
        <v>1</v>
      </c>
      <c r="G19" s="68"/>
      <c r="H19" s="133" t="s">
        <v>124</v>
      </c>
      <c r="I19" s="133"/>
      <c r="J19" s="69">
        <f>SUM(J11:J18)</f>
        <v>212</v>
      </c>
      <c r="K19" s="69">
        <f>SUM(K11:K18)</f>
        <v>36523</v>
      </c>
      <c r="L19" s="69">
        <f>SUM(L11:L18)</f>
        <v>81669</v>
      </c>
      <c r="M19" s="70">
        <f>SUM(M11:M18)</f>
        <v>0.99999999999999989</v>
      </c>
    </row>
    <row r="20" spans="1:14" s="60" customFormat="1">
      <c r="A20" s="133" t="s">
        <v>167</v>
      </c>
      <c r="B20" s="133"/>
      <c r="C20" s="69">
        <v>287</v>
      </c>
      <c r="D20" s="69">
        <v>2606</v>
      </c>
      <c r="E20" s="69">
        <v>5641</v>
      </c>
      <c r="F20" s="70">
        <v>1</v>
      </c>
      <c r="G20" s="68"/>
      <c r="H20" s="66"/>
      <c r="I20" s="66"/>
      <c r="J20" s="66"/>
      <c r="K20" s="66"/>
      <c r="L20" s="66"/>
      <c r="M20" s="66"/>
    </row>
    <row r="21" spans="1:14" s="60" customFormat="1">
      <c r="A21" s="133" t="s">
        <v>8</v>
      </c>
      <c r="B21" s="133"/>
      <c r="C21" s="69">
        <v>160</v>
      </c>
      <c r="D21" s="69">
        <v>1168</v>
      </c>
      <c r="E21" s="69">
        <v>2415</v>
      </c>
      <c r="F21" s="70">
        <v>1</v>
      </c>
      <c r="G21" s="68"/>
      <c r="H21" s="132" t="s">
        <v>30</v>
      </c>
      <c r="I21" s="132"/>
      <c r="J21" s="66"/>
      <c r="K21" s="66"/>
      <c r="L21" s="66"/>
      <c r="M21" s="67"/>
      <c r="N21" s="79"/>
    </row>
    <row r="22" spans="1:14" s="60" customFormat="1">
      <c r="A22" s="133" t="s">
        <v>207</v>
      </c>
      <c r="B22" s="133"/>
      <c r="C22" s="69">
        <v>1</v>
      </c>
      <c r="D22" s="69"/>
      <c r="E22" s="69">
        <v>500</v>
      </c>
      <c r="F22" s="70">
        <v>1</v>
      </c>
      <c r="G22" s="68"/>
      <c r="H22" s="132" t="s">
        <v>31</v>
      </c>
      <c r="I22" s="132"/>
      <c r="J22" s="66"/>
      <c r="K22" s="66"/>
      <c r="L22" s="66"/>
      <c r="M22" s="67"/>
    </row>
    <row r="23" spans="1:14" s="60" customFormat="1">
      <c r="A23" s="132"/>
      <c r="B23" s="132"/>
      <c r="C23" s="66"/>
      <c r="D23" s="66"/>
      <c r="E23" s="66"/>
      <c r="F23" s="67"/>
      <c r="G23" s="68"/>
      <c r="H23" s="132" t="s">
        <v>32</v>
      </c>
      <c r="I23" s="132"/>
      <c r="J23" s="66"/>
      <c r="K23" s="66"/>
      <c r="L23" s="66"/>
      <c r="M23" s="67"/>
    </row>
    <row r="24" spans="1:14" s="60" customFormat="1">
      <c r="A24" s="132" t="s">
        <v>12</v>
      </c>
      <c r="B24" s="132"/>
      <c r="C24" s="66"/>
      <c r="D24" s="66"/>
      <c r="E24" s="66"/>
      <c r="F24" s="67"/>
      <c r="G24" s="68"/>
      <c r="H24" s="132" t="s">
        <v>33</v>
      </c>
      <c r="I24" s="132"/>
      <c r="J24" s="66"/>
      <c r="K24" s="66"/>
      <c r="L24" s="66"/>
      <c r="M24" s="67"/>
    </row>
    <row r="25" spans="1:14" s="60" customFormat="1">
      <c r="A25" s="132" t="s">
        <v>13</v>
      </c>
      <c r="B25" s="132"/>
      <c r="C25" s="66"/>
      <c r="D25" s="66"/>
      <c r="E25" s="66"/>
      <c r="F25" s="67"/>
      <c r="G25" s="68"/>
      <c r="H25" s="133" t="s">
        <v>125</v>
      </c>
      <c r="I25" s="133"/>
      <c r="J25" s="69"/>
      <c r="K25" s="69"/>
      <c r="L25" s="69"/>
      <c r="M25" s="70"/>
    </row>
    <row r="26" spans="1:14" s="60" customFormat="1">
      <c r="A26" s="132" t="s">
        <v>14</v>
      </c>
      <c r="B26" s="132"/>
      <c r="C26" s="66"/>
      <c r="D26" s="66"/>
      <c r="E26" s="66"/>
      <c r="F26" s="67"/>
      <c r="G26" s="68"/>
      <c r="H26" s="134"/>
      <c r="I26" s="134"/>
      <c r="J26" s="71"/>
      <c r="K26" s="71"/>
      <c r="L26" s="71"/>
      <c r="M26" s="72"/>
      <c r="N26" s="79"/>
    </row>
    <row r="27" spans="1:14" s="60" customFormat="1">
      <c r="A27" s="133" t="s">
        <v>129</v>
      </c>
      <c r="B27" s="133"/>
      <c r="C27" s="69"/>
      <c r="D27" s="69"/>
      <c r="E27" s="69"/>
      <c r="F27" s="70"/>
      <c r="G27" s="68"/>
      <c r="H27" s="132" t="s">
        <v>35</v>
      </c>
      <c r="I27" s="132"/>
      <c r="J27" s="66">
        <v>34</v>
      </c>
      <c r="K27" s="66">
        <v>793</v>
      </c>
      <c r="L27" s="66">
        <v>1483</v>
      </c>
      <c r="M27" s="67">
        <f>L27/L$30</f>
        <v>0.56089258698941002</v>
      </c>
    </row>
    <row r="28" spans="1:14" s="60" customFormat="1">
      <c r="A28" s="132"/>
      <c r="B28" s="132"/>
      <c r="C28" s="66"/>
      <c r="D28" s="66"/>
      <c r="E28" s="66"/>
      <c r="F28" s="67"/>
      <c r="G28" s="68"/>
      <c r="H28" s="132" t="s">
        <v>36</v>
      </c>
      <c r="I28" s="132"/>
      <c r="J28" s="66">
        <v>18</v>
      </c>
      <c r="K28" s="66">
        <v>501</v>
      </c>
      <c r="L28" s="66">
        <v>947</v>
      </c>
      <c r="M28" s="67">
        <f>L28/L$30</f>
        <v>0.35816944024205749</v>
      </c>
    </row>
    <row r="29" spans="1:14" s="60" customFormat="1">
      <c r="A29" s="132" t="s">
        <v>15</v>
      </c>
      <c r="B29" s="132"/>
      <c r="C29" s="66">
        <v>14</v>
      </c>
      <c r="D29" s="66">
        <v>591</v>
      </c>
      <c r="E29" s="66">
        <v>1113</v>
      </c>
      <c r="F29" s="67">
        <f>E29/E$37</f>
        <v>6.3568760494842535E-3</v>
      </c>
      <c r="G29" s="68"/>
      <c r="H29" s="132" t="s">
        <v>37</v>
      </c>
      <c r="I29" s="132"/>
      <c r="J29" s="66">
        <v>2</v>
      </c>
      <c r="K29" s="66">
        <v>116</v>
      </c>
      <c r="L29" s="66">
        <v>214</v>
      </c>
      <c r="M29" s="67">
        <f>L29/L$30</f>
        <v>8.0937972768532526E-2</v>
      </c>
    </row>
    <row r="30" spans="1:14" s="60" customFormat="1">
      <c r="A30" s="132" t="s">
        <v>16</v>
      </c>
      <c r="B30" s="132"/>
      <c r="C30" s="66">
        <v>35</v>
      </c>
      <c r="D30" s="66">
        <v>2373</v>
      </c>
      <c r="E30" s="66">
        <v>4504</v>
      </c>
      <c r="F30" s="67">
        <f t="shared" ref="F30:F36" si="2">E30/E$37</f>
        <v>2.5724501102315434E-2</v>
      </c>
      <c r="G30" s="68"/>
      <c r="H30" s="133" t="s">
        <v>128</v>
      </c>
      <c r="I30" s="133"/>
      <c r="J30" s="69">
        <f>SUM(J27:J29)</f>
        <v>54</v>
      </c>
      <c r="K30" s="69">
        <f>SUM(K27:K29)</f>
        <v>1410</v>
      </c>
      <c r="L30" s="69">
        <f>SUM(L27:L29)</f>
        <v>2644</v>
      </c>
      <c r="M30" s="70">
        <f>SUM(M27:M29)</f>
        <v>1</v>
      </c>
    </row>
    <row r="31" spans="1:14" s="60" customFormat="1">
      <c r="A31" s="132" t="s">
        <v>17</v>
      </c>
      <c r="B31" s="132"/>
      <c r="C31" s="66">
        <v>185</v>
      </c>
      <c r="D31" s="66">
        <v>24273</v>
      </c>
      <c r="E31" s="66">
        <v>45987</v>
      </c>
      <c r="F31" s="67">
        <f t="shared" si="2"/>
        <v>0.26265378157019981</v>
      </c>
      <c r="G31" s="68"/>
      <c r="H31" s="134"/>
      <c r="I31" s="134"/>
      <c r="J31" s="71"/>
      <c r="K31" s="71"/>
      <c r="L31" s="71"/>
      <c r="M31" s="72"/>
    </row>
    <row r="32" spans="1:14" s="60" customFormat="1">
      <c r="A32" s="132" t="s">
        <v>208</v>
      </c>
      <c r="B32" s="132"/>
      <c r="C32" s="66">
        <v>11</v>
      </c>
      <c r="D32" s="66">
        <v>1274</v>
      </c>
      <c r="E32" s="66">
        <v>2431</v>
      </c>
      <c r="F32" s="67">
        <f t="shared" si="2"/>
        <v>1.3884605279691124E-2</v>
      </c>
      <c r="G32" s="68"/>
      <c r="H32" s="132" t="s">
        <v>38</v>
      </c>
      <c r="I32" s="132"/>
      <c r="J32" s="66">
        <v>44</v>
      </c>
      <c r="K32" s="66">
        <v>916</v>
      </c>
      <c r="L32" s="66">
        <v>1728</v>
      </c>
      <c r="M32" s="67">
        <f>L32/L$35</f>
        <v>0.66435986159169547</v>
      </c>
    </row>
    <row r="33" spans="1:13" s="60" customFormat="1">
      <c r="A33" s="132" t="s">
        <v>168</v>
      </c>
      <c r="B33" s="132"/>
      <c r="C33" s="66">
        <v>311</v>
      </c>
      <c r="D33" s="66">
        <v>49560</v>
      </c>
      <c r="E33" s="66">
        <v>96006</v>
      </c>
      <c r="F33" s="67">
        <f t="shared" si="2"/>
        <v>0.54833624618758781</v>
      </c>
      <c r="G33" s="68"/>
      <c r="H33" s="132" t="s">
        <v>39</v>
      </c>
      <c r="I33" s="132"/>
      <c r="J33" s="66">
        <v>21</v>
      </c>
      <c r="K33" s="66">
        <v>421</v>
      </c>
      <c r="L33" s="66">
        <v>787</v>
      </c>
      <c r="M33" s="67">
        <f>L33/L$35</f>
        <v>0.30257593233371782</v>
      </c>
    </row>
    <row r="34" spans="1:13" s="60" customFormat="1">
      <c r="A34" s="132" t="s">
        <v>200</v>
      </c>
      <c r="B34" s="132"/>
      <c r="C34" s="66">
        <v>49</v>
      </c>
      <c r="D34" s="66">
        <v>6610</v>
      </c>
      <c r="E34" s="66">
        <v>13058</v>
      </c>
      <c r="F34" s="67">
        <f t="shared" si="2"/>
        <v>7.4580491872565477E-2</v>
      </c>
      <c r="G34" s="68"/>
      <c r="H34" s="132" t="s">
        <v>40</v>
      </c>
      <c r="I34" s="132"/>
      <c r="J34" s="66">
        <v>2</v>
      </c>
      <c r="K34" s="66">
        <v>46</v>
      </c>
      <c r="L34" s="66">
        <v>86</v>
      </c>
      <c r="M34" s="67">
        <f>L34/L$35</f>
        <v>3.3064206074586697E-2</v>
      </c>
    </row>
    <row r="35" spans="1:13" s="60" customFormat="1">
      <c r="A35" s="132" t="s">
        <v>19</v>
      </c>
      <c r="B35" s="132"/>
      <c r="C35" s="66">
        <v>54</v>
      </c>
      <c r="D35" s="66">
        <v>5392</v>
      </c>
      <c r="E35" s="66">
        <v>11067</v>
      </c>
      <c r="F35" s="67">
        <f t="shared" si="2"/>
        <v>6.3208937322230221E-2</v>
      </c>
      <c r="G35" s="68"/>
      <c r="H35" s="133" t="s">
        <v>130</v>
      </c>
      <c r="I35" s="133"/>
      <c r="J35" s="69">
        <f>SUM(J32:J34)</f>
        <v>67</v>
      </c>
      <c r="K35" s="69">
        <f>SUM(K32:K34)</f>
        <v>1383</v>
      </c>
      <c r="L35" s="69">
        <f>SUM(L32:L34)</f>
        <v>2601</v>
      </c>
      <c r="M35" s="70">
        <f>SUM(M32:M34)</f>
        <v>1</v>
      </c>
    </row>
    <row r="36" spans="1:13" s="60" customFormat="1">
      <c r="A36" s="132" t="s">
        <v>169</v>
      </c>
      <c r="B36" s="135"/>
      <c r="C36" s="66">
        <v>4</v>
      </c>
      <c r="D36" s="66">
        <v>458</v>
      </c>
      <c r="E36" s="66">
        <v>920</v>
      </c>
      <c r="F36" s="67">
        <f t="shared" si="2"/>
        <v>5.2545606159258877E-3</v>
      </c>
      <c r="G36" s="68"/>
      <c r="H36" s="136"/>
      <c r="I36" s="136"/>
      <c r="J36" s="73"/>
      <c r="K36" s="73"/>
      <c r="L36" s="73"/>
      <c r="M36" s="74"/>
    </row>
    <row r="37" spans="1:13" s="60" customFormat="1">
      <c r="A37" s="133" t="s">
        <v>131</v>
      </c>
      <c r="B37" s="133"/>
      <c r="C37" s="69">
        <f>SUM(C29:C36)</f>
        <v>663</v>
      </c>
      <c r="D37" s="69">
        <f>SUM(D29:D36)</f>
        <v>90531</v>
      </c>
      <c r="E37" s="69">
        <f>SUM(E29:E36)</f>
        <v>175086</v>
      </c>
      <c r="F37" s="70">
        <f>SUM(F29:F36)</f>
        <v>0.99999999999999989</v>
      </c>
      <c r="G37" s="68"/>
      <c r="H37" s="133" t="s">
        <v>42</v>
      </c>
      <c r="I37" s="133"/>
      <c r="J37" s="69">
        <v>15</v>
      </c>
      <c r="K37" s="69">
        <v>260</v>
      </c>
      <c r="L37" s="69">
        <v>479</v>
      </c>
      <c r="M37" s="70">
        <v>1</v>
      </c>
    </row>
    <row r="38" spans="1:13" s="60" customFormat="1">
      <c r="A38" s="134"/>
      <c r="B38" s="134"/>
      <c r="C38" s="71"/>
      <c r="D38" s="71"/>
      <c r="E38" s="71"/>
      <c r="F38" s="72"/>
      <c r="G38" s="68"/>
      <c r="H38" s="133" t="s">
        <v>43</v>
      </c>
      <c r="I38" s="133"/>
      <c r="J38" s="69">
        <v>8</v>
      </c>
      <c r="K38" s="69">
        <v>136</v>
      </c>
      <c r="L38" s="69">
        <v>236</v>
      </c>
      <c r="M38" s="70">
        <v>1</v>
      </c>
    </row>
    <row r="39" spans="1:13" s="60" customFormat="1">
      <c r="A39" s="132" t="s">
        <v>20</v>
      </c>
      <c r="B39" s="132"/>
      <c r="C39" s="66"/>
      <c r="D39" s="66"/>
      <c r="E39" s="66"/>
      <c r="F39" s="67"/>
      <c r="G39" s="68"/>
      <c r="H39" s="133" t="s">
        <v>44</v>
      </c>
      <c r="I39" s="133"/>
      <c r="J39" s="69">
        <v>1</v>
      </c>
      <c r="K39" s="69">
        <v>12</v>
      </c>
      <c r="L39" s="69">
        <v>23</v>
      </c>
      <c r="M39" s="70">
        <v>1</v>
      </c>
    </row>
    <row r="40" spans="1:13" s="60" customFormat="1">
      <c r="A40" s="132" t="s">
        <v>21</v>
      </c>
      <c r="B40" s="132"/>
      <c r="C40" s="66"/>
      <c r="D40" s="66"/>
      <c r="E40" s="66"/>
      <c r="F40" s="67"/>
      <c r="G40" s="68"/>
      <c r="H40" s="133" t="s">
        <v>273</v>
      </c>
      <c r="I40" s="133"/>
      <c r="J40" s="69">
        <v>3</v>
      </c>
      <c r="K40" s="69">
        <v>68</v>
      </c>
      <c r="L40" s="69">
        <v>134</v>
      </c>
      <c r="M40" s="70">
        <v>1</v>
      </c>
    </row>
    <row r="41" spans="1:13" s="60" customFormat="1">
      <c r="A41" s="132" t="s">
        <v>22</v>
      </c>
      <c r="B41" s="132"/>
      <c r="C41" s="66"/>
      <c r="D41" s="66"/>
      <c r="E41" s="66"/>
      <c r="F41" s="67"/>
      <c r="G41" s="68"/>
      <c r="H41" s="66"/>
      <c r="I41" s="66"/>
      <c r="J41" s="65"/>
      <c r="K41" s="65"/>
      <c r="L41" s="65"/>
      <c r="M41" s="65"/>
    </row>
    <row r="42" spans="1:13" s="60" customFormat="1">
      <c r="A42" s="132" t="s">
        <v>172</v>
      </c>
      <c r="B42" s="132"/>
      <c r="C42" s="66"/>
      <c r="D42" s="66"/>
      <c r="E42" s="66"/>
      <c r="F42" s="67"/>
      <c r="G42" s="68"/>
      <c r="H42" s="133" t="s">
        <v>45</v>
      </c>
      <c r="I42" s="133"/>
      <c r="J42" s="69">
        <f>C17+C19+C20+C21+C22+C27+C37+C44+J25+J30+J35+J19+J37+J38+J39+J40</f>
        <v>1797</v>
      </c>
      <c r="K42" s="69">
        <f>D17+D19+D20+D21+D22+D27+D37+D44+K25+K30+K35+K19+K37+K38+K39+K40</f>
        <v>146938</v>
      </c>
      <c r="L42" s="69">
        <f>E17+E19+E20+E21+E22+E27+E37+E44+L25+L30+L35+L19+L37+L38+L39+L40</f>
        <v>305886</v>
      </c>
      <c r="M42" s="65"/>
    </row>
    <row r="43" spans="1:13" s="60" customFormat="1">
      <c r="A43" s="132" t="s">
        <v>24</v>
      </c>
      <c r="B43" s="132"/>
      <c r="C43" s="66">
        <v>1</v>
      </c>
      <c r="D43" s="66">
        <v>67</v>
      </c>
      <c r="E43" s="66">
        <v>132</v>
      </c>
      <c r="F43" s="78">
        <f>E43/E$44</f>
        <v>1</v>
      </c>
      <c r="G43" s="68"/>
    </row>
    <row r="44" spans="1:13" s="60" customFormat="1">
      <c r="A44" s="133" t="s">
        <v>132</v>
      </c>
      <c r="B44" s="133"/>
      <c r="C44" s="69">
        <f>SUM(C39:C43)</f>
        <v>1</v>
      </c>
      <c r="D44" s="69">
        <f>SUM(D39:D43)</f>
        <v>67</v>
      </c>
      <c r="E44" s="69">
        <f>SUM(E39:E43)</f>
        <v>132</v>
      </c>
      <c r="F44" s="70">
        <f>SUM(F39:F43)</f>
        <v>1</v>
      </c>
      <c r="G44" s="68"/>
    </row>
    <row r="45" spans="1:13" s="60" customFormat="1" ht="12.75"/>
    <row r="46" spans="1:13" s="60" customFormat="1" ht="12.75"/>
    <row r="47" spans="1:13" s="60" customFormat="1" ht="12.75">
      <c r="C47" s="85"/>
      <c r="D47" s="85"/>
    </row>
    <row r="48" spans="1:13" s="60" customFormat="1" ht="12.75"/>
    <row r="49" spans="1:13" s="60" customFormat="1" ht="12.75"/>
    <row r="50" spans="1:13" s="60" customFormat="1" ht="12.75"/>
    <row r="51" spans="1:13" s="60" customFormat="1">
      <c r="H51"/>
      <c r="I51"/>
      <c r="J51"/>
      <c r="K51"/>
      <c r="L51"/>
      <c r="M51"/>
    </row>
    <row r="52" spans="1:13" s="60" customFormat="1">
      <c r="H52"/>
      <c r="I52"/>
      <c r="J52"/>
      <c r="K52"/>
      <c r="L52"/>
      <c r="M52"/>
    </row>
    <row r="53" spans="1:13">
      <c r="A53" s="60"/>
      <c r="B53" s="60"/>
      <c r="C53" s="60"/>
      <c r="D53" s="60"/>
      <c r="E53" s="60"/>
      <c r="F53" s="60"/>
    </row>
  </sheetData>
  <sheetProtection algorithmName="SHA-512" hashValue="jMgYjzA2A5KPW/8U36sWAqT3jCV6aACsaVml/W+6ouq5hKvitcbLe5+qDGe9PZQTVCwUSQKkqCAzdwcKNAx51g==" saltValue="M5pEX74no0AxiCTTROgfQQ==" spinCount="100000" sheet="1" objects="1" scenarios="1"/>
  <mergeCells count="70">
    <mergeCell ref="A38:B38"/>
    <mergeCell ref="H38:I38"/>
    <mergeCell ref="A43:B43"/>
    <mergeCell ref="A44:B44"/>
    <mergeCell ref="A39:B39"/>
    <mergeCell ref="H39:I39"/>
    <mergeCell ref="A40:B40"/>
    <mergeCell ref="H40:I40"/>
    <mergeCell ref="A41:B41"/>
    <mergeCell ref="A42:B42"/>
    <mergeCell ref="H42:I42"/>
    <mergeCell ref="A35:B35"/>
    <mergeCell ref="H35:I35"/>
    <mergeCell ref="A36:B36"/>
    <mergeCell ref="H36:I36"/>
    <mergeCell ref="A37:B37"/>
    <mergeCell ref="H37:I37"/>
    <mergeCell ref="A32:B32"/>
    <mergeCell ref="H32:I32"/>
    <mergeCell ref="A33:B33"/>
    <mergeCell ref="H33:I33"/>
    <mergeCell ref="A34:B34"/>
    <mergeCell ref="H34:I34"/>
    <mergeCell ref="A29:B29"/>
    <mergeCell ref="H29:I29"/>
    <mergeCell ref="A30:B30"/>
    <mergeCell ref="H30:I30"/>
    <mergeCell ref="A31:B31"/>
    <mergeCell ref="H31:I31"/>
    <mergeCell ref="A26:B26"/>
    <mergeCell ref="H26:I26"/>
    <mergeCell ref="A27:B27"/>
    <mergeCell ref="H27:I27"/>
    <mergeCell ref="A28:B28"/>
    <mergeCell ref="H28:I28"/>
    <mergeCell ref="A23:B23"/>
    <mergeCell ref="H23:I23"/>
    <mergeCell ref="A24:B24"/>
    <mergeCell ref="H24:I24"/>
    <mergeCell ref="A25:B25"/>
    <mergeCell ref="H25:I25"/>
    <mergeCell ref="A20:B20"/>
    <mergeCell ref="A21:B21"/>
    <mergeCell ref="H21:I21"/>
    <mergeCell ref="A22:B22"/>
    <mergeCell ref="H22:I22"/>
    <mergeCell ref="A17:B17"/>
    <mergeCell ref="H17:I17"/>
    <mergeCell ref="A18:B18"/>
    <mergeCell ref="H18:I18"/>
    <mergeCell ref="A19:B19"/>
    <mergeCell ref="H19:I19"/>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 right="0.7" top="0.75" bottom="0.75" header="0.3" footer="0.3"/>
  <pageSetup paperSize="9" scale="6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CZ65"/>
  <sheetViews>
    <sheetView showGridLines="0" zoomScaleNormal="100" workbookViewId="0"/>
  </sheetViews>
  <sheetFormatPr baseColWidth="10" defaultRowHeight="15"/>
  <cols>
    <col min="1" max="1" width="79.7109375" customWidth="1"/>
    <col min="2" max="71" width="11.42578125" customWidth="1"/>
  </cols>
  <sheetData>
    <row r="2" spans="1:104" s="27" customFormat="1" ht="16.5">
      <c r="A2" s="1" t="s">
        <v>287</v>
      </c>
      <c r="BV2" s="51"/>
      <c r="BW2" s="51"/>
    </row>
    <row r="3" spans="1:104" s="27" customFormat="1" ht="16.5">
      <c r="A3" s="3" t="s">
        <v>288</v>
      </c>
      <c r="BV3" s="51"/>
      <c r="BW3" s="51"/>
    </row>
    <row r="4" spans="1:104" s="27" customFormat="1" ht="16.5">
      <c r="A4" s="3" t="s">
        <v>289</v>
      </c>
      <c r="BV4" s="51"/>
      <c r="BW4" s="51"/>
    </row>
    <row r="5" spans="1:104" s="27" customFormat="1" ht="12.75">
      <c r="BV5" s="51"/>
      <c r="BW5" s="51"/>
    </row>
    <row r="6" spans="1:104" s="51" customFormat="1">
      <c r="A6" s="138" t="s">
        <v>187</v>
      </c>
      <c r="B6" s="137" t="s">
        <v>119</v>
      </c>
      <c r="C6" s="137"/>
      <c r="D6" s="137" t="s">
        <v>120</v>
      </c>
      <c r="E6" s="137"/>
      <c r="F6" s="137" t="s">
        <v>121</v>
      </c>
      <c r="G6" s="137"/>
      <c r="H6" s="137" t="s">
        <v>251</v>
      </c>
      <c r="I6" s="137"/>
      <c r="J6" s="137" t="s">
        <v>122</v>
      </c>
      <c r="K6" s="137"/>
      <c r="L6" s="137" t="s">
        <v>268</v>
      </c>
      <c r="M6" s="137"/>
      <c r="N6" s="137" t="s">
        <v>167</v>
      </c>
      <c r="O6" s="137"/>
      <c r="P6" s="137" t="s">
        <v>42</v>
      </c>
      <c r="Q6" s="137"/>
      <c r="R6" s="137" t="s">
        <v>198</v>
      </c>
      <c r="S6" s="137"/>
      <c r="T6" s="137" t="s">
        <v>43</v>
      </c>
      <c r="U6" s="137"/>
      <c r="V6" s="137" t="s">
        <v>15</v>
      </c>
      <c r="W6" s="137"/>
      <c r="X6" s="137" t="s">
        <v>16</v>
      </c>
      <c r="Y6" s="137"/>
      <c r="Z6" s="137" t="s">
        <v>17</v>
      </c>
      <c r="AA6" s="137"/>
      <c r="AB6" s="137" t="s">
        <v>199</v>
      </c>
      <c r="AC6" s="137"/>
      <c r="AD6" s="137" t="s">
        <v>168</v>
      </c>
      <c r="AE6" s="137"/>
      <c r="AF6" s="137" t="s">
        <v>200</v>
      </c>
      <c r="AG6" s="137"/>
      <c r="AH6" s="137" t="s">
        <v>19</v>
      </c>
      <c r="AI6" s="137"/>
      <c r="AJ6" s="137" t="s">
        <v>169</v>
      </c>
      <c r="AK6" s="137"/>
      <c r="AL6" s="137" t="s">
        <v>25</v>
      </c>
      <c r="AM6" s="137"/>
      <c r="AN6" s="137" t="s">
        <v>26</v>
      </c>
      <c r="AO6" s="137"/>
      <c r="AP6" s="137" t="s">
        <v>27</v>
      </c>
      <c r="AQ6" s="137"/>
      <c r="AR6" s="137" t="s">
        <v>209</v>
      </c>
      <c r="AS6" s="137"/>
      <c r="AT6" s="137" t="s">
        <v>28</v>
      </c>
      <c r="AU6" s="137"/>
      <c r="AV6" s="137" t="s">
        <v>210</v>
      </c>
      <c r="AW6" s="137"/>
      <c r="AX6" s="137" t="s">
        <v>29</v>
      </c>
      <c r="AY6" s="137"/>
      <c r="AZ6" s="137" t="s">
        <v>273</v>
      </c>
      <c r="BA6" s="137"/>
      <c r="BB6" s="137" t="s">
        <v>24</v>
      </c>
      <c r="BC6" s="137"/>
      <c r="BD6" s="137" t="s">
        <v>7</v>
      </c>
      <c r="BE6" s="137"/>
      <c r="BF6" s="137" t="s">
        <v>35</v>
      </c>
      <c r="BG6" s="137"/>
      <c r="BH6" s="137" t="s">
        <v>36</v>
      </c>
      <c r="BI6" s="137"/>
      <c r="BJ6" s="137" t="s">
        <v>37</v>
      </c>
      <c r="BK6" s="137"/>
      <c r="BL6" s="137" t="s">
        <v>38</v>
      </c>
      <c r="BM6" s="137"/>
      <c r="BN6" s="137" t="s">
        <v>39</v>
      </c>
      <c r="BO6" s="137"/>
      <c r="BP6" s="137" t="s">
        <v>40</v>
      </c>
      <c r="BQ6" s="137"/>
      <c r="BR6" s="137" t="s">
        <v>44</v>
      </c>
      <c r="BS6" s="137"/>
      <c r="BT6" s="137" t="s">
        <v>8</v>
      </c>
      <c r="BU6" s="137"/>
      <c r="BV6" s="137" t="s">
        <v>45</v>
      </c>
      <c r="BW6" s="137"/>
    </row>
    <row r="7" spans="1:104" s="51" customFormat="1">
      <c r="A7" s="138"/>
      <c r="B7" s="4"/>
      <c r="C7" s="4" t="s">
        <v>176</v>
      </c>
      <c r="D7" s="4"/>
      <c r="E7" s="4"/>
      <c r="F7" s="4"/>
      <c r="G7" s="4"/>
      <c r="H7" s="4"/>
      <c r="I7" s="4"/>
      <c r="J7" s="4"/>
      <c r="K7" s="4" t="s">
        <v>176</v>
      </c>
      <c r="L7" s="4"/>
      <c r="M7" s="4" t="s">
        <v>176</v>
      </c>
      <c r="N7" s="4"/>
      <c r="O7" s="4" t="s">
        <v>176</v>
      </c>
      <c r="P7" s="4"/>
      <c r="Q7" s="4" t="s">
        <v>176</v>
      </c>
      <c r="R7" s="4"/>
      <c r="S7" s="4" t="s">
        <v>176</v>
      </c>
      <c r="T7" s="4"/>
      <c r="U7" s="4" t="s">
        <v>176</v>
      </c>
      <c r="V7" s="4"/>
      <c r="W7" s="4" t="s">
        <v>176</v>
      </c>
      <c r="X7" s="4"/>
      <c r="Y7" s="4" t="s">
        <v>176</v>
      </c>
      <c r="Z7" s="4"/>
      <c r="AA7" s="4" t="s">
        <v>176</v>
      </c>
      <c r="AB7" s="4"/>
      <c r="AC7" s="4" t="s">
        <v>176</v>
      </c>
      <c r="AD7" s="4"/>
      <c r="AE7" s="4" t="s">
        <v>176</v>
      </c>
      <c r="AF7" s="4"/>
      <c r="AG7" s="4" t="s">
        <v>176</v>
      </c>
      <c r="AH7" s="4"/>
      <c r="AI7" s="4" t="s">
        <v>176</v>
      </c>
      <c r="AJ7" s="4"/>
      <c r="AK7" s="4" t="s">
        <v>176</v>
      </c>
      <c r="AL7" s="4"/>
      <c r="AM7" s="4" t="s">
        <v>176</v>
      </c>
      <c r="AN7" s="4"/>
      <c r="AO7" s="4" t="s">
        <v>176</v>
      </c>
      <c r="AP7" s="4"/>
      <c r="AQ7" s="4" t="s">
        <v>176</v>
      </c>
      <c r="AR7" s="4"/>
      <c r="AS7" s="4" t="s">
        <v>176</v>
      </c>
      <c r="AT7" s="4"/>
      <c r="AU7" s="4" t="s">
        <v>176</v>
      </c>
      <c r="AV7" s="4"/>
      <c r="AW7" s="4" t="s">
        <v>176</v>
      </c>
      <c r="AX7" s="4"/>
      <c r="AY7" s="4" t="s">
        <v>176</v>
      </c>
      <c r="AZ7" s="4"/>
      <c r="BA7" s="4" t="s">
        <v>176</v>
      </c>
      <c r="BB7" s="4"/>
      <c r="BC7" s="4" t="s">
        <v>176</v>
      </c>
      <c r="BD7" s="4"/>
      <c r="BE7" s="4" t="s">
        <v>176</v>
      </c>
      <c r="BF7" s="4"/>
      <c r="BG7" s="4" t="s">
        <v>176</v>
      </c>
      <c r="BH7" s="4"/>
      <c r="BI7" s="4" t="s">
        <v>176</v>
      </c>
      <c r="BJ7" s="4"/>
      <c r="BK7" s="4" t="s">
        <v>176</v>
      </c>
      <c r="BL7" s="4"/>
      <c r="BM7" s="4" t="s">
        <v>176</v>
      </c>
      <c r="BN7" s="4"/>
      <c r="BO7" s="4" t="s">
        <v>176</v>
      </c>
      <c r="BP7" s="4"/>
      <c r="BQ7" s="4" t="s">
        <v>176</v>
      </c>
      <c r="BR7" s="4"/>
      <c r="BS7" s="4" t="s">
        <v>176</v>
      </c>
      <c r="BT7" s="4"/>
      <c r="BU7" s="4" t="s">
        <v>176</v>
      </c>
      <c r="BV7" s="4"/>
      <c r="BW7" s="4"/>
    </row>
    <row r="8" spans="1:104" s="51" customFormat="1">
      <c r="A8" s="138" t="s">
        <v>188</v>
      </c>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201</v>
      </c>
      <c r="BC8" s="4" t="s">
        <v>202</v>
      </c>
      <c r="BD8" s="4" t="s">
        <v>201</v>
      </c>
      <c r="BE8" s="4" t="s">
        <v>202</v>
      </c>
      <c r="BF8" s="4" t="s">
        <v>46</v>
      </c>
      <c r="BG8" s="4" t="s">
        <v>47</v>
      </c>
      <c r="BH8" s="4" t="s">
        <v>46</v>
      </c>
      <c r="BI8" s="4" t="s">
        <v>47</v>
      </c>
      <c r="BJ8" s="4" t="s">
        <v>46</v>
      </c>
      <c r="BK8" s="4" t="s">
        <v>47</v>
      </c>
      <c r="BL8" s="4" t="s">
        <v>46</v>
      </c>
      <c r="BM8" s="4" t="s">
        <v>47</v>
      </c>
      <c r="BN8" s="4" t="s">
        <v>46</v>
      </c>
      <c r="BO8" s="4" t="s">
        <v>47</v>
      </c>
      <c r="BP8" s="4" t="s">
        <v>46</v>
      </c>
      <c r="BQ8" s="4" t="s">
        <v>47</v>
      </c>
      <c r="BR8" s="4" t="s">
        <v>46</v>
      </c>
      <c r="BS8" s="4" t="s">
        <v>47</v>
      </c>
      <c r="BT8" s="4" t="s">
        <v>46</v>
      </c>
      <c r="BU8" s="4" t="s">
        <v>47</v>
      </c>
      <c r="BV8" s="4" t="s">
        <v>46</v>
      </c>
      <c r="BW8" s="4" t="s">
        <v>47</v>
      </c>
    </row>
    <row r="9" spans="1:104" s="27" customFormat="1">
      <c r="A9" s="5" t="s">
        <v>48</v>
      </c>
      <c r="B9" s="6"/>
      <c r="C9" s="6"/>
      <c r="D9" s="6"/>
      <c r="E9" s="6"/>
      <c r="F9" s="6"/>
      <c r="G9" s="6"/>
      <c r="H9" s="6"/>
      <c r="I9" s="6"/>
      <c r="J9" s="6"/>
      <c r="K9" s="6"/>
      <c r="L9" s="6"/>
      <c r="M9" s="6"/>
      <c r="N9" s="6">
        <v>3</v>
      </c>
      <c r="O9" s="6">
        <v>29</v>
      </c>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v>1</v>
      </c>
      <c r="BE9" s="6">
        <v>50</v>
      </c>
      <c r="BF9" s="6"/>
      <c r="BG9" s="6"/>
      <c r="BH9" s="6"/>
      <c r="BI9" s="6"/>
      <c r="BJ9" s="6"/>
      <c r="BK9" s="6"/>
      <c r="BL9" s="6"/>
      <c r="BM9" s="6"/>
      <c r="BN9" s="6">
        <v>1</v>
      </c>
      <c r="BO9" s="6">
        <v>21</v>
      </c>
      <c r="BP9" s="6"/>
      <c r="BQ9" s="6"/>
      <c r="BR9" s="6"/>
      <c r="BS9" s="6"/>
      <c r="BT9" s="6">
        <v>9</v>
      </c>
      <c r="BU9" s="6">
        <v>132</v>
      </c>
      <c r="BV9" s="8">
        <f>B9+D9+F9+H9+J9+L9+N9+P9+R9+T9+V9+X9+Z9+AB9+AD9+AF9+AH9+AJ9+AL9+AN9+AP9+AR9+AT9+AV9+AX9+AZ9+BB9+BD9+BF9+BH9+BJ9+BL9+BN9+BP9+BR9+BT9</f>
        <v>14</v>
      </c>
      <c r="BW9" s="8">
        <f>C9+E9+G9+I9+K9+M9+O9+Q9+S9+U9+W9+Y9+AA9+AC9+AE9+AG9+AI9+AK9+AM9+AO9+AQ9+AS9+AU9+AW9+AY9+BA9+BC9+BE9+BG9+BI9+BK9+BM9+BO9+BQ9+BS9+BU9</f>
        <v>232</v>
      </c>
      <c r="BX9" s="52"/>
      <c r="BY9" s="52"/>
      <c r="BZ9" s="52"/>
      <c r="CZ9" s="53"/>
    </row>
    <row r="10" spans="1:104" s="27" customFormat="1">
      <c r="A10" s="10" t="s">
        <v>49</v>
      </c>
      <c r="B10" s="6">
        <v>4</v>
      </c>
      <c r="C10" s="6">
        <v>201</v>
      </c>
      <c r="D10" s="6">
        <v>18</v>
      </c>
      <c r="E10" s="6">
        <v>2417</v>
      </c>
      <c r="F10" s="6">
        <v>5</v>
      </c>
      <c r="G10" s="6">
        <v>4681</v>
      </c>
      <c r="H10" s="6"/>
      <c r="I10" s="6"/>
      <c r="J10" s="6"/>
      <c r="K10" s="6"/>
      <c r="L10" s="6"/>
      <c r="M10" s="6"/>
      <c r="N10" s="6">
        <v>4</v>
      </c>
      <c r="O10" s="6">
        <v>71</v>
      </c>
      <c r="P10" s="6"/>
      <c r="Q10" s="6"/>
      <c r="R10" s="6"/>
      <c r="S10" s="6"/>
      <c r="T10" s="6">
        <v>1</v>
      </c>
      <c r="U10" s="6">
        <v>32</v>
      </c>
      <c r="V10" s="6"/>
      <c r="W10" s="6"/>
      <c r="X10" s="6"/>
      <c r="Y10" s="6"/>
      <c r="Z10" s="6">
        <v>10</v>
      </c>
      <c r="AA10" s="6">
        <v>4940</v>
      </c>
      <c r="AB10" s="6"/>
      <c r="AC10" s="6"/>
      <c r="AD10" s="6">
        <v>14</v>
      </c>
      <c r="AE10" s="6">
        <v>6057</v>
      </c>
      <c r="AF10" s="6">
        <v>1</v>
      </c>
      <c r="AG10" s="6">
        <v>348</v>
      </c>
      <c r="AH10" s="6">
        <v>1</v>
      </c>
      <c r="AI10" s="6">
        <v>126</v>
      </c>
      <c r="AJ10" s="6"/>
      <c r="AK10" s="6"/>
      <c r="AL10" s="6"/>
      <c r="AM10" s="6"/>
      <c r="AN10" s="6"/>
      <c r="AO10" s="6"/>
      <c r="AP10" s="6">
        <v>4</v>
      </c>
      <c r="AQ10" s="6">
        <v>1776</v>
      </c>
      <c r="AR10" s="6">
        <v>1</v>
      </c>
      <c r="AS10" s="6">
        <v>336</v>
      </c>
      <c r="AT10" s="6">
        <v>14</v>
      </c>
      <c r="AU10" s="6">
        <v>5689</v>
      </c>
      <c r="AV10" s="6">
        <v>1</v>
      </c>
      <c r="AW10" s="6">
        <v>240</v>
      </c>
      <c r="AX10" s="6">
        <v>1</v>
      </c>
      <c r="AY10" s="6">
        <v>706</v>
      </c>
      <c r="AZ10" s="6">
        <v>1</v>
      </c>
      <c r="BA10" s="6">
        <v>22</v>
      </c>
      <c r="BB10" s="6"/>
      <c r="BC10" s="6"/>
      <c r="BD10" s="6"/>
      <c r="BE10" s="6"/>
      <c r="BF10" s="6">
        <v>2</v>
      </c>
      <c r="BG10" s="6">
        <v>76</v>
      </c>
      <c r="BH10" s="6"/>
      <c r="BI10" s="6"/>
      <c r="BJ10" s="6"/>
      <c r="BK10" s="6"/>
      <c r="BL10" s="6">
        <v>1</v>
      </c>
      <c r="BM10" s="6">
        <v>55</v>
      </c>
      <c r="BN10" s="6">
        <v>1</v>
      </c>
      <c r="BO10" s="6">
        <v>39</v>
      </c>
      <c r="BP10" s="6"/>
      <c r="BQ10" s="6"/>
      <c r="BR10" s="6"/>
      <c r="BS10" s="6"/>
      <c r="BT10" s="6">
        <v>9</v>
      </c>
      <c r="BU10" s="6">
        <v>129</v>
      </c>
      <c r="BV10" s="8">
        <f t="shared" ref="BV10:BW61" si="0">B10+D10+F10+H10+J10+L10+N10+P10+R10+T10+V10+X10+Z10+AB10+AD10+AF10+AH10+AJ10+AL10+AN10+AP10+AR10+AT10+AV10+AX10+AZ10+BB10+BD10+BF10+BH10+BJ10+BL10+BN10+BP10+BR10+BT10</f>
        <v>93</v>
      </c>
      <c r="BW10" s="8">
        <f t="shared" si="0"/>
        <v>27941</v>
      </c>
      <c r="BX10" s="52"/>
      <c r="BY10" s="52"/>
      <c r="BZ10" s="52"/>
    </row>
    <row r="11" spans="1:104" s="27" customFormat="1">
      <c r="A11" s="5" t="s">
        <v>50</v>
      </c>
      <c r="B11" s="6"/>
      <c r="C11" s="6"/>
      <c r="D11" s="6"/>
      <c r="E11" s="6"/>
      <c r="F11" s="6"/>
      <c r="G11" s="6"/>
      <c r="H11" s="6"/>
      <c r="I11" s="6"/>
      <c r="J11" s="6"/>
      <c r="K11" s="6"/>
      <c r="L11" s="6"/>
      <c r="M11" s="6"/>
      <c r="N11" s="6">
        <v>2</v>
      </c>
      <c r="O11" s="6">
        <v>26</v>
      </c>
      <c r="P11" s="6"/>
      <c r="Q11" s="6"/>
      <c r="R11" s="6"/>
      <c r="S11" s="6"/>
      <c r="T11" s="6"/>
      <c r="U11" s="6"/>
      <c r="V11" s="6"/>
      <c r="W11" s="6"/>
      <c r="X11" s="6"/>
      <c r="Y11" s="6"/>
      <c r="Z11" s="6"/>
      <c r="AA11" s="6"/>
      <c r="AB11" s="6"/>
      <c r="AC11" s="6"/>
      <c r="AD11" s="6">
        <v>1</v>
      </c>
      <c r="AE11" s="6">
        <v>50</v>
      </c>
      <c r="AF11" s="6"/>
      <c r="AG11" s="6"/>
      <c r="AH11" s="6"/>
      <c r="AI11" s="6"/>
      <c r="AJ11" s="6"/>
      <c r="AK11" s="6"/>
      <c r="AL11" s="6"/>
      <c r="AM11" s="6"/>
      <c r="AN11" s="6"/>
      <c r="AO11" s="6"/>
      <c r="AP11" s="6"/>
      <c r="AQ11" s="6"/>
      <c r="AR11" s="6"/>
      <c r="AS11" s="6"/>
      <c r="AT11" s="6"/>
      <c r="AU11" s="6"/>
      <c r="AV11" s="6"/>
      <c r="AW11" s="6"/>
      <c r="AX11" s="6"/>
      <c r="AY11" s="6"/>
      <c r="AZ11" s="6">
        <v>1</v>
      </c>
      <c r="BA11" s="6">
        <v>64</v>
      </c>
      <c r="BB11" s="6"/>
      <c r="BC11" s="6"/>
      <c r="BD11" s="6">
        <v>1</v>
      </c>
      <c r="BE11" s="6">
        <v>31</v>
      </c>
      <c r="BF11" s="6"/>
      <c r="BG11" s="6"/>
      <c r="BH11" s="6"/>
      <c r="BI11" s="6"/>
      <c r="BJ11" s="6"/>
      <c r="BK11" s="6"/>
      <c r="BL11" s="6"/>
      <c r="BM11" s="6"/>
      <c r="BN11" s="6"/>
      <c r="BO11" s="6"/>
      <c r="BP11" s="6"/>
      <c r="BQ11" s="6"/>
      <c r="BR11" s="6"/>
      <c r="BS11" s="6"/>
      <c r="BT11" s="6">
        <v>2</v>
      </c>
      <c r="BU11" s="6">
        <v>26</v>
      </c>
      <c r="BV11" s="8">
        <f t="shared" si="0"/>
        <v>7</v>
      </c>
      <c r="BW11" s="8">
        <f t="shared" si="0"/>
        <v>197</v>
      </c>
      <c r="BX11" s="52"/>
      <c r="BY11" s="52"/>
      <c r="BZ11" s="52"/>
    </row>
    <row r="12" spans="1:104" s="27" customFormat="1">
      <c r="A12" s="5" t="s">
        <v>51</v>
      </c>
      <c r="B12" s="6">
        <v>1</v>
      </c>
      <c r="C12" s="6">
        <v>54</v>
      </c>
      <c r="D12" s="6">
        <v>1</v>
      </c>
      <c r="E12" s="6">
        <v>98</v>
      </c>
      <c r="F12" s="6">
        <v>1</v>
      </c>
      <c r="G12" s="6">
        <v>414</v>
      </c>
      <c r="H12" s="6"/>
      <c r="I12" s="6"/>
      <c r="J12" s="6"/>
      <c r="K12" s="6"/>
      <c r="L12" s="6"/>
      <c r="M12" s="6"/>
      <c r="N12" s="6">
        <v>1</v>
      </c>
      <c r="O12" s="6">
        <v>14</v>
      </c>
      <c r="P12" s="6"/>
      <c r="Q12" s="6"/>
      <c r="R12" s="6"/>
      <c r="S12" s="6"/>
      <c r="T12" s="6"/>
      <c r="U12" s="6"/>
      <c r="V12" s="6"/>
      <c r="W12" s="6"/>
      <c r="X12" s="6"/>
      <c r="Y12" s="6"/>
      <c r="Z12" s="6">
        <v>2</v>
      </c>
      <c r="AA12" s="6">
        <v>309</v>
      </c>
      <c r="AB12" s="6"/>
      <c r="AC12" s="6"/>
      <c r="AD12" s="6">
        <v>3</v>
      </c>
      <c r="AE12" s="6">
        <v>1458</v>
      </c>
      <c r="AF12" s="6">
        <v>2</v>
      </c>
      <c r="AG12" s="6">
        <v>287</v>
      </c>
      <c r="AH12" s="6">
        <v>2</v>
      </c>
      <c r="AI12" s="6">
        <v>946</v>
      </c>
      <c r="AJ12" s="6"/>
      <c r="AK12" s="6"/>
      <c r="AL12" s="6"/>
      <c r="AM12" s="6"/>
      <c r="AN12" s="6"/>
      <c r="AO12" s="6"/>
      <c r="AP12" s="6"/>
      <c r="AQ12" s="6"/>
      <c r="AR12" s="6"/>
      <c r="AS12" s="6"/>
      <c r="AT12" s="6">
        <v>3</v>
      </c>
      <c r="AU12" s="6">
        <v>616</v>
      </c>
      <c r="AV12" s="6"/>
      <c r="AW12" s="6"/>
      <c r="AX12" s="6"/>
      <c r="AY12" s="6"/>
      <c r="AZ12" s="6"/>
      <c r="BA12" s="6"/>
      <c r="BB12" s="6"/>
      <c r="BC12" s="6"/>
      <c r="BD12" s="6"/>
      <c r="BE12" s="6"/>
      <c r="BF12" s="6">
        <v>1</v>
      </c>
      <c r="BG12" s="6">
        <v>40</v>
      </c>
      <c r="BH12" s="6"/>
      <c r="BI12" s="6"/>
      <c r="BJ12" s="6"/>
      <c r="BK12" s="6"/>
      <c r="BL12" s="6"/>
      <c r="BM12" s="6"/>
      <c r="BN12" s="6">
        <v>1</v>
      </c>
      <c r="BO12" s="6">
        <v>28</v>
      </c>
      <c r="BP12" s="6"/>
      <c r="BQ12" s="6"/>
      <c r="BR12" s="6"/>
      <c r="BS12" s="6"/>
      <c r="BT12" s="6">
        <v>2</v>
      </c>
      <c r="BU12" s="6">
        <v>22</v>
      </c>
      <c r="BV12" s="8">
        <f t="shared" si="0"/>
        <v>20</v>
      </c>
      <c r="BW12" s="8">
        <f t="shared" si="0"/>
        <v>4286</v>
      </c>
      <c r="BX12" s="52"/>
      <c r="BY12" s="52"/>
      <c r="BZ12" s="52"/>
    </row>
    <row r="13" spans="1:104" s="27" customFormat="1">
      <c r="A13" s="5" t="s">
        <v>203</v>
      </c>
      <c r="B13" s="6"/>
      <c r="C13" s="6"/>
      <c r="D13" s="6"/>
      <c r="E13" s="6"/>
      <c r="F13" s="6"/>
      <c r="G13" s="6"/>
      <c r="H13" s="6"/>
      <c r="I13" s="6"/>
      <c r="J13" s="6"/>
      <c r="K13" s="6"/>
      <c r="L13" s="6"/>
      <c r="M13" s="6"/>
      <c r="N13" s="6">
        <v>1</v>
      </c>
      <c r="O13" s="6">
        <v>22</v>
      </c>
      <c r="P13" s="6"/>
      <c r="Q13" s="6"/>
      <c r="R13" s="6"/>
      <c r="S13" s="6"/>
      <c r="T13" s="6"/>
      <c r="U13" s="6"/>
      <c r="V13" s="6"/>
      <c r="W13" s="6"/>
      <c r="X13" s="6"/>
      <c r="Y13" s="6"/>
      <c r="Z13" s="6"/>
      <c r="AA13" s="6"/>
      <c r="AB13" s="6"/>
      <c r="AC13" s="6"/>
      <c r="AD13" s="6"/>
      <c r="AE13" s="6"/>
      <c r="AF13" s="6">
        <v>1</v>
      </c>
      <c r="AG13" s="6">
        <v>50</v>
      </c>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v>1</v>
      </c>
      <c r="BU13" s="6">
        <v>32</v>
      </c>
      <c r="BV13" s="8">
        <f t="shared" si="0"/>
        <v>3</v>
      </c>
      <c r="BW13" s="8">
        <f t="shared" si="0"/>
        <v>104</v>
      </c>
      <c r="BX13" s="52"/>
      <c r="BY13" s="52"/>
      <c r="BZ13" s="52"/>
    </row>
    <row r="14" spans="1:104" s="27" customFormat="1">
      <c r="A14" s="5" t="s">
        <v>52</v>
      </c>
      <c r="B14" s="6">
        <v>1</v>
      </c>
      <c r="C14" s="6">
        <v>38</v>
      </c>
      <c r="D14" s="6"/>
      <c r="E14" s="6"/>
      <c r="F14" s="6"/>
      <c r="G14" s="6"/>
      <c r="H14" s="6"/>
      <c r="I14" s="6"/>
      <c r="J14" s="6"/>
      <c r="K14" s="6"/>
      <c r="L14" s="6"/>
      <c r="M14" s="6"/>
      <c r="N14" s="6">
        <v>9</v>
      </c>
      <c r="O14" s="6">
        <v>205</v>
      </c>
      <c r="P14" s="6"/>
      <c r="Q14" s="6"/>
      <c r="R14" s="6"/>
      <c r="S14" s="6"/>
      <c r="T14" s="6"/>
      <c r="U14" s="6"/>
      <c r="V14" s="6"/>
      <c r="W14" s="6"/>
      <c r="X14" s="6"/>
      <c r="Y14" s="6"/>
      <c r="Z14" s="6"/>
      <c r="AA14" s="6"/>
      <c r="AB14" s="6"/>
      <c r="AC14" s="6"/>
      <c r="AD14" s="6">
        <v>6</v>
      </c>
      <c r="AE14" s="6">
        <v>179</v>
      </c>
      <c r="AF14" s="6"/>
      <c r="AG14" s="6"/>
      <c r="AH14" s="6"/>
      <c r="AI14" s="6"/>
      <c r="AJ14" s="6"/>
      <c r="AK14" s="6"/>
      <c r="AL14" s="6"/>
      <c r="AM14" s="6"/>
      <c r="AN14" s="6"/>
      <c r="AO14" s="6"/>
      <c r="AP14" s="6"/>
      <c r="AQ14" s="6"/>
      <c r="AR14" s="6"/>
      <c r="AS14" s="6"/>
      <c r="AT14" s="6"/>
      <c r="AU14" s="6"/>
      <c r="AV14" s="6"/>
      <c r="AW14" s="6"/>
      <c r="AX14" s="6"/>
      <c r="AY14" s="6"/>
      <c r="AZ14" s="6"/>
      <c r="BA14" s="6"/>
      <c r="BB14" s="6"/>
      <c r="BC14" s="6"/>
      <c r="BD14" s="6">
        <v>1</v>
      </c>
      <c r="BE14" s="6">
        <v>154</v>
      </c>
      <c r="BF14" s="6">
        <v>1</v>
      </c>
      <c r="BG14" s="6">
        <v>15</v>
      </c>
      <c r="BH14" s="6">
        <v>1</v>
      </c>
      <c r="BI14" s="6">
        <v>12</v>
      </c>
      <c r="BJ14" s="6"/>
      <c r="BK14" s="6"/>
      <c r="BL14" s="6"/>
      <c r="BM14" s="6"/>
      <c r="BN14" s="6"/>
      <c r="BO14" s="6"/>
      <c r="BP14" s="6"/>
      <c r="BQ14" s="6"/>
      <c r="BR14" s="6"/>
      <c r="BS14" s="6"/>
      <c r="BT14" s="6">
        <v>4</v>
      </c>
      <c r="BU14" s="6">
        <v>45</v>
      </c>
      <c r="BV14" s="8">
        <f t="shared" si="0"/>
        <v>23</v>
      </c>
      <c r="BW14" s="8">
        <f t="shared" si="0"/>
        <v>648</v>
      </c>
      <c r="BX14" s="52"/>
      <c r="BY14" s="52"/>
      <c r="BZ14" s="52"/>
    </row>
    <row r="15" spans="1:104" s="27" customFormat="1">
      <c r="A15" s="5" t="s">
        <v>53</v>
      </c>
      <c r="B15" s="6"/>
      <c r="C15" s="6"/>
      <c r="D15" s="6"/>
      <c r="E15" s="6"/>
      <c r="F15" s="6"/>
      <c r="G15" s="6"/>
      <c r="H15" s="6"/>
      <c r="I15" s="6"/>
      <c r="J15" s="6"/>
      <c r="K15" s="6"/>
      <c r="L15" s="6"/>
      <c r="M15" s="6"/>
      <c r="N15" s="6"/>
      <c r="O15" s="6"/>
      <c r="P15" s="6"/>
      <c r="Q15" s="6"/>
      <c r="R15" s="6"/>
      <c r="S15" s="6"/>
      <c r="T15" s="6"/>
      <c r="U15" s="6"/>
      <c r="V15" s="6"/>
      <c r="W15" s="6"/>
      <c r="X15" s="6"/>
      <c r="Y15" s="6"/>
      <c r="Z15" s="6">
        <v>2</v>
      </c>
      <c r="AA15" s="6">
        <v>121</v>
      </c>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v>1</v>
      </c>
      <c r="BI15" s="6">
        <v>75</v>
      </c>
      <c r="BJ15" s="6"/>
      <c r="BK15" s="6"/>
      <c r="BL15" s="6"/>
      <c r="BM15" s="6"/>
      <c r="BN15" s="6"/>
      <c r="BO15" s="6"/>
      <c r="BP15" s="6"/>
      <c r="BQ15" s="6"/>
      <c r="BR15" s="6"/>
      <c r="BS15" s="6"/>
      <c r="BT15" s="6">
        <v>3</v>
      </c>
      <c r="BU15" s="6">
        <v>35</v>
      </c>
      <c r="BV15" s="8">
        <f t="shared" si="0"/>
        <v>6</v>
      </c>
      <c r="BW15" s="8">
        <f t="shared" si="0"/>
        <v>231</v>
      </c>
      <c r="BX15" s="52"/>
      <c r="BY15" s="52"/>
      <c r="BZ15" s="52"/>
    </row>
    <row r="16" spans="1:104" s="27" customFormat="1">
      <c r="A16" s="5" t="s">
        <v>54</v>
      </c>
      <c r="B16" s="6"/>
      <c r="C16" s="6"/>
      <c r="D16" s="6"/>
      <c r="E16" s="6"/>
      <c r="F16" s="6"/>
      <c r="G16" s="6"/>
      <c r="H16" s="6"/>
      <c r="I16" s="6"/>
      <c r="J16" s="6"/>
      <c r="K16" s="6"/>
      <c r="L16" s="6"/>
      <c r="M16" s="6"/>
      <c r="N16" s="6">
        <v>2</v>
      </c>
      <c r="O16" s="6">
        <v>78</v>
      </c>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8">
        <f t="shared" si="0"/>
        <v>2</v>
      </c>
      <c r="BW16" s="8">
        <f t="shared" si="0"/>
        <v>78</v>
      </c>
      <c r="BX16" s="52"/>
      <c r="BY16" s="52"/>
      <c r="BZ16" s="52"/>
    </row>
    <row r="17" spans="1:78" s="27" customFormat="1">
      <c r="A17" s="5" t="s">
        <v>55</v>
      </c>
      <c r="B17" s="6"/>
      <c r="C17" s="6"/>
      <c r="D17" s="6"/>
      <c r="E17" s="6"/>
      <c r="F17" s="6"/>
      <c r="G17" s="6"/>
      <c r="H17" s="6"/>
      <c r="I17" s="6"/>
      <c r="J17" s="6"/>
      <c r="K17" s="6"/>
      <c r="L17" s="6"/>
      <c r="M17" s="6"/>
      <c r="N17" s="6">
        <v>1</v>
      </c>
      <c r="O17" s="6">
        <v>22</v>
      </c>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8">
        <f t="shared" si="0"/>
        <v>1</v>
      </c>
      <c r="BW17" s="8">
        <f t="shared" si="0"/>
        <v>22</v>
      </c>
      <c r="BX17" s="52"/>
      <c r="BY17" s="52"/>
      <c r="BZ17" s="52"/>
    </row>
    <row r="18" spans="1:78" s="27" customFormat="1">
      <c r="A18" s="5" t="s">
        <v>56</v>
      </c>
      <c r="B18" s="6"/>
      <c r="C18" s="6"/>
      <c r="D18" s="6"/>
      <c r="E18" s="6"/>
      <c r="F18" s="6"/>
      <c r="G18" s="6"/>
      <c r="H18" s="6"/>
      <c r="I18" s="6"/>
      <c r="J18" s="6"/>
      <c r="K18" s="6"/>
      <c r="L18" s="6"/>
      <c r="M18" s="6"/>
      <c r="N18" s="6">
        <v>12</v>
      </c>
      <c r="O18" s="6">
        <v>180</v>
      </c>
      <c r="P18" s="6"/>
      <c r="Q18" s="6"/>
      <c r="R18" s="6"/>
      <c r="S18" s="6"/>
      <c r="T18" s="6"/>
      <c r="U18" s="6"/>
      <c r="V18" s="6"/>
      <c r="W18" s="6"/>
      <c r="X18" s="6"/>
      <c r="Y18" s="6"/>
      <c r="Z18" s="6">
        <v>1</v>
      </c>
      <c r="AA18" s="6">
        <v>30</v>
      </c>
      <c r="AB18" s="6"/>
      <c r="AC18" s="6"/>
      <c r="AD18" s="6">
        <v>1</v>
      </c>
      <c r="AE18" s="6">
        <v>38</v>
      </c>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v>1</v>
      </c>
      <c r="BU18" s="6">
        <v>20</v>
      </c>
      <c r="BV18" s="8">
        <f t="shared" si="0"/>
        <v>15</v>
      </c>
      <c r="BW18" s="8">
        <f t="shared" si="0"/>
        <v>268</v>
      </c>
      <c r="BX18" s="52"/>
      <c r="BY18" s="52"/>
      <c r="BZ18" s="52"/>
    </row>
    <row r="19" spans="1:78" s="27" customFormat="1">
      <c r="A19" s="5" t="s">
        <v>57</v>
      </c>
      <c r="B19" s="6">
        <v>7</v>
      </c>
      <c r="C19" s="6">
        <v>341</v>
      </c>
      <c r="D19" s="6">
        <v>24</v>
      </c>
      <c r="E19" s="6">
        <v>2728</v>
      </c>
      <c r="F19" s="6">
        <v>23</v>
      </c>
      <c r="G19" s="6">
        <v>4332</v>
      </c>
      <c r="H19" s="6">
        <v>1</v>
      </c>
      <c r="I19" s="6">
        <v>566</v>
      </c>
      <c r="J19" s="6">
        <v>3</v>
      </c>
      <c r="K19" s="6">
        <v>537</v>
      </c>
      <c r="L19" s="6"/>
      <c r="M19" s="6"/>
      <c r="N19" s="6">
        <v>7</v>
      </c>
      <c r="O19" s="6">
        <v>107</v>
      </c>
      <c r="P19" s="6">
        <v>1</v>
      </c>
      <c r="Q19" s="6">
        <v>19</v>
      </c>
      <c r="R19" s="6"/>
      <c r="S19" s="6"/>
      <c r="T19" s="6"/>
      <c r="U19" s="6"/>
      <c r="V19" s="6">
        <v>2</v>
      </c>
      <c r="W19" s="6">
        <v>157</v>
      </c>
      <c r="X19" s="6">
        <v>4</v>
      </c>
      <c r="Y19" s="6">
        <v>331</v>
      </c>
      <c r="Z19" s="6">
        <v>34</v>
      </c>
      <c r="AA19" s="6">
        <v>7212</v>
      </c>
      <c r="AB19" s="6"/>
      <c r="AC19" s="6"/>
      <c r="AD19" s="6">
        <v>69</v>
      </c>
      <c r="AE19" s="6">
        <v>25963</v>
      </c>
      <c r="AF19" s="6">
        <v>10</v>
      </c>
      <c r="AG19" s="6">
        <v>3259</v>
      </c>
      <c r="AH19" s="6">
        <v>8</v>
      </c>
      <c r="AI19" s="6">
        <v>1868</v>
      </c>
      <c r="AJ19" s="6"/>
      <c r="AK19" s="6"/>
      <c r="AL19" s="6"/>
      <c r="AM19" s="6"/>
      <c r="AN19" s="6">
        <v>2</v>
      </c>
      <c r="AO19" s="6">
        <v>159</v>
      </c>
      <c r="AP19" s="6">
        <v>11</v>
      </c>
      <c r="AQ19" s="6">
        <v>4163</v>
      </c>
      <c r="AR19" s="6">
        <v>3</v>
      </c>
      <c r="AS19" s="6">
        <v>944</v>
      </c>
      <c r="AT19" s="6">
        <v>17</v>
      </c>
      <c r="AU19" s="6">
        <v>7064</v>
      </c>
      <c r="AV19" s="6"/>
      <c r="AW19" s="6"/>
      <c r="AX19" s="6">
        <v>2</v>
      </c>
      <c r="AY19" s="6">
        <v>586</v>
      </c>
      <c r="AZ19" s="6"/>
      <c r="BA19" s="6"/>
      <c r="BB19" s="6"/>
      <c r="BC19" s="6"/>
      <c r="BD19" s="6">
        <v>1</v>
      </c>
      <c r="BE19" s="6">
        <v>82</v>
      </c>
      <c r="BF19" s="6">
        <v>3</v>
      </c>
      <c r="BG19" s="6">
        <v>95</v>
      </c>
      <c r="BH19" s="6">
        <v>1</v>
      </c>
      <c r="BI19" s="6">
        <v>39</v>
      </c>
      <c r="BJ19" s="6">
        <v>1</v>
      </c>
      <c r="BK19" s="6">
        <v>72</v>
      </c>
      <c r="BL19" s="6">
        <v>8</v>
      </c>
      <c r="BM19" s="6">
        <v>323</v>
      </c>
      <c r="BN19" s="6">
        <v>3</v>
      </c>
      <c r="BO19" s="6">
        <v>131</v>
      </c>
      <c r="BP19" s="6">
        <v>2</v>
      </c>
      <c r="BQ19" s="6">
        <v>86</v>
      </c>
      <c r="BR19" s="6"/>
      <c r="BS19" s="6"/>
      <c r="BT19" s="6">
        <v>1</v>
      </c>
      <c r="BU19" s="6">
        <v>4</v>
      </c>
      <c r="BV19" s="8">
        <f t="shared" si="0"/>
        <v>248</v>
      </c>
      <c r="BW19" s="8">
        <f t="shared" si="0"/>
        <v>61168</v>
      </c>
      <c r="BX19" s="52"/>
      <c r="BY19" s="52"/>
      <c r="BZ19" s="52"/>
    </row>
    <row r="20" spans="1:78" s="27" customFormat="1">
      <c r="A20" s="5" t="s">
        <v>58</v>
      </c>
      <c r="B20" s="6"/>
      <c r="C20" s="6"/>
      <c r="D20" s="6"/>
      <c r="E20" s="6"/>
      <c r="F20" s="6"/>
      <c r="G20" s="6"/>
      <c r="H20" s="6"/>
      <c r="I20" s="6"/>
      <c r="J20" s="6"/>
      <c r="K20" s="6"/>
      <c r="L20" s="6"/>
      <c r="M20" s="6"/>
      <c r="N20" s="6">
        <v>4</v>
      </c>
      <c r="O20" s="6">
        <v>142</v>
      </c>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v>1</v>
      </c>
      <c r="BE20" s="6">
        <v>64</v>
      </c>
      <c r="BF20" s="6"/>
      <c r="BG20" s="6"/>
      <c r="BH20" s="6"/>
      <c r="BI20" s="6"/>
      <c r="BJ20" s="6"/>
      <c r="BK20" s="6"/>
      <c r="BL20" s="6"/>
      <c r="BM20" s="6"/>
      <c r="BN20" s="6"/>
      <c r="BO20" s="6"/>
      <c r="BP20" s="6"/>
      <c r="BQ20" s="6"/>
      <c r="BR20" s="6"/>
      <c r="BS20" s="6"/>
      <c r="BT20" s="6">
        <v>2</v>
      </c>
      <c r="BU20" s="6">
        <v>22</v>
      </c>
      <c r="BV20" s="8">
        <f t="shared" si="0"/>
        <v>7</v>
      </c>
      <c r="BW20" s="8">
        <f t="shared" si="0"/>
        <v>228</v>
      </c>
      <c r="BX20" s="52"/>
      <c r="BY20" s="52"/>
      <c r="BZ20" s="52"/>
    </row>
    <row r="21" spans="1:78" s="27" customFormat="1">
      <c r="A21" s="5" t="s">
        <v>59</v>
      </c>
      <c r="B21" s="6"/>
      <c r="C21" s="6"/>
      <c r="D21" s="6"/>
      <c r="E21" s="6"/>
      <c r="F21" s="6"/>
      <c r="G21" s="6"/>
      <c r="H21" s="6"/>
      <c r="I21" s="6"/>
      <c r="J21" s="6"/>
      <c r="K21" s="6"/>
      <c r="L21" s="6"/>
      <c r="M21" s="6"/>
      <c r="N21" s="6">
        <v>29</v>
      </c>
      <c r="O21" s="6">
        <v>582</v>
      </c>
      <c r="P21" s="6"/>
      <c r="Q21" s="6"/>
      <c r="R21" s="6"/>
      <c r="S21" s="6"/>
      <c r="T21" s="6"/>
      <c r="U21" s="6"/>
      <c r="V21" s="6"/>
      <c r="W21" s="6"/>
      <c r="X21" s="6"/>
      <c r="Y21" s="6"/>
      <c r="Z21" s="6"/>
      <c r="AA21" s="6"/>
      <c r="AB21" s="6"/>
      <c r="AC21" s="6"/>
      <c r="AD21" s="6"/>
      <c r="AE21" s="6"/>
      <c r="AF21" s="6"/>
      <c r="AG21" s="6"/>
      <c r="AH21" s="6">
        <v>1</v>
      </c>
      <c r="AI21" s="6">
        <v>76</v>
      </c>
      <c r="AJ21" s="6"/>
      <c r="AK21" s="6"/>
      <c r="AL21" s="6"/>
      <c r="AM21" s="6"/>
      <c r="AN21" s="6"/>
      <c r="AO21" s="6"/>
      <c r="AP21" s="6"/>
      <c r="AQ21" s="6"/>
      <c r="AR21" s="6"/>
      <c r="AS21" s="6"/>
      <c r="AT21" s="6"/>
      <c r="AU21" s="6"/>
      <c r="AV21" s="6"/>
      <c r="AW21" s="6"/>
      <c r="AX21" s="6"/>
      <c r="AY21" s="6"/>
      <c r="AZ21" s="6"/>
      <c r="BA21" s="6"/>
      <c r="BB21" s="6"/>
      <c r="BC21" s="6"/>
      <c r="BD21" s="6">
        <v>3</v>
      </c>
      <c r="BE21" s="6">
        <v>74</v>
      </c>
      <c r="BF21" s="6"/>
      <c r="BG21" s="6"/>
      <c r="BH21" s="6"/>
      <c r="BI21" s="6"/>
      <c r="BJ21" s="6"/>
      <c r="BK21" s="6"/>
      <c r="BL21" s="6">
        <v>1</v>
      </c>
      <c r="BM21" s="6">
        <v>41</v>
      </c>
      <c r="BN21" s="6"/>
      <c r="BO21" s="6"/>
      <c r="BP21" s="6"/>
      <c r="BQ21" s="6"/>
      <c r="BR21" s="6"/>
      <c r="BS21" s="6"/>
      <c r="BT21" s="6">
        <v>2</v>
      </c>
      <c r="BU21" s="6">
        <v>58</v>
      </c>
      <c r="BV21" s="8">
        <f t="shared" si="0"/>
        <v>36</v>
      </c>
      <c r="BW21" s="8">
        <f t="shared" si="0"/>
        <v>831</v>
      </c>
      <c r="BX21" s="52"/>
      <c r="BY21" s="52"/>
      <c r="BZ21" s="52"/>
    </row>
    <row r="22" spans="1:78" s="27" customFormat="1">
      <c r="A22" s="5" t="s">
        <v>60</v>
      </c>
      <c r="B22" s="6">
        <v>8</v>
      </c>
      <c r="C22" s="6">
        <v>423</v>
      </c>
      <c r="D22" s="6">
        <v>6</v>
      </c>
      <c r="E22" s="6">
        <v>316</v>
      </c>
      <c r="F22" s="6">
        <v>6</v>
      </c>
      <c r="G22" s="6">
        <v>538</v>
      </c>
      <c r="H22" s="6"/>
      <c r="I22" s="6"/>
      <c r="J22" s="6"/>
      <c r="K22" s="6"/>
      <c r="L22" s="6"/>
      <c r="M22" s="6"/>
      <c r="N22" s="6">
        <v>3</v>
      </c>
      <c r="O22" s="6">
        <v>114</v>
      </c>
      <c r="P22" s="6"/>
      <c r="Q22" s="6"/>
      <c r="R22" s="6"/>
      <c r="S22" s="6"/>
      <c r="T22" s="6">
        <v>1</v>
      </c>
      <c r="U22" s="6">
        <v>68</v>
      </c>
      <c r="V22" s="6">
        <v>5</v>
      </c>
      <c r="W22" s="6">
        <v>262</v>
      </c>
      <c r="X22" s="6"/>
      <c r="Y22" s="6"/>
      <c r="Z22" s="6">
        <v>10</v>
      </c>
      <c r="AA22" s="6">
        <v>1475</v>
      </c>
      <c r="AB22" s="6">
        <v>3</v>
      </c>
      <c r="AC22" s="6">
        <v>345</v>
      </c>
      <c r="AD22" s="6">
        <v>25</v>
      </c>
      <c r="AE22" s="6">
        <v>6396</v>
      </c>
      <c r="AF22" s="6">
        <v>5</v>
      </c>
      <c r="AG22" s="6">
        <v>1398</v>
      </c>
      <c r="AH22" s="6">
        <v>3</v>
      </c>
      <c r="AI22" s="6">
        <v>474</v>
      </c>
      <c r="AJ22" s="6">
        <v>1</v>
      </c>
      <c r="AK22" s="6">
        <v>284</v>
      </c>
      <c r="AL22" s="6">
        <v>3</v>
      </c>
      <c r="AM22" s="6">
        <v>78</v>
      </c>
      <c r="AN22" s="6"/>
      <c r="AO22" s="6"/>
      <c r="AP22" s="6">
        <v>4</v>
      </c>
      <c r="AQ22" s="6">
        <v>1032</v>
      </c>
      <c r="AR22" s="6">
        <v>1</v>
      </c>
      <c r="AS22" s="6">
        <v>78</v>
      </c>
      <c r="AT22" s="6">
        <v>11</v>
      </c>
      <c r="AU22" s="6">
        <v>4115</v>
      </c>
      <c r="AV22" s="6">
        <v>1</v>
      </c>
      <c r="AW22" s="6">
        <v>840</v>
      </c>
      <c r="AX22" s="6">
        <v>1</v>
      </c>
      <c r="AY22" s="6">
        <v>96</v>
      </c>
      <c r="AZ22" s="6"/>
      <c r="BA22" s="6"/>
      <c r="BB22" s="6"/>
      <c r="BC22" s="6"/>
      <c r="BD22" s="6">
        <v>2</v>
      </c>
      <c r="BE22" s="6">
        <v>84</v>
      </c>
      <c r="BF22" s="6">
        <v>6</v>
      </c>
      <c r="BG22" s="6">
        <v>497</v>
      </c>
      <c r="BH22" s="6">
        <v>3</v>
      </c>
      <c r="BI22" s="6">
        <v>244</v>
      </c>
      <c r="BJ22" s="6"/>
      <c r="BK22" s="6"/>
      <c r="BL22" s="6">
        <v>4</v>
      </c>
      <c r="BM22" s="6">
        <v>132</v>
      </c>
      <c r="BN22" s="6">
        <v>2</v>
      </c>
      <c r="BO22" s="6">
        <v>83</v>
      </c>
      <c r="BP22" s="6"/>
      <c r="BQ22" s="6"/>
      <c r="BR22" s="6"/>
      <c r="BS22" s="6"/>
      <c r="BT22" s="6">
        <v>1</v>
      </c>
      <c r="BU22" s="6">
        <v>20</v>
      </c>
      <c r="BV22" s="8">
        <f t="shared" si="0"/>
        <v>115</v>
      </c>
      <c r="BW22" s="8">
        <f t="shared" si="0"/>
        <v>19392</v>
      </c>
      <c r="BX22" s="52"/>
      <c r="BY22" s="52"/>
      <c r="BZ22" s="52"/>
    </row>
    <row r="23" spans="1:78" s="27" customFormat="1">
      <c r="A23" s="5" t="s">
        <v>218</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v>1</v>
      </c>
      <c r="BE23" s="6">
        <v>50</v>
      </c>
      <c r="BF23" s="6"/>
      <c r="BG23" s="6"/>
      <c r="BH23" s="6"/>
      <c r="BI23" s="6"/>
      <c r="BJ23" s="6"/>
      <c r="BK23" s="6"/>
      <c r="BL23" s="6"/>
      <c r="BM23" s="6"/>
      <c r="BN23" s="6"/>
      <c r="BO23" s="6"/>
      <c r="BP23" s="6"/>
      <c r="BQ23" s="6"/>
      <c r="BR23" s="6"/>
      <c r="BS23" s="6"/>
      <c r="BT23" s="6"/>
      <c r="BU23" s="6"/>
      <c r="BV23" s="8">
        <f t="shared" si="0"/>
        <v>1</v>
      </c>
      <c r="BW23" s="8">
        <f t="shared" si="0"/>
        <v>50</v>
      </c>
      <c r="BX23" s="52"/>
      <c r="BY23" s="52"/>
      <c r="BZ23" s="52"/>
    </row>
    <row r="24" spans="1:78" s="27" customFormat="1">
      <c r="A24" s="5" t="s">
        <v>61</v>
      </c>
      <c r="B24" s="6"/>
      <c r="C24" s="6"/>
      <c r="D24" s="6"/>
      <c r="E24" s="6"/>
      <c r="F24" s="6"/>
      <c r="G24" s="6"/>
      <c r="H24" s="6"/>
      <c r="I24" s="6"/>
      <c r="J24" s="6"/>
      <c r="K24" s="6"/>
      <c r="L24" s="6"/>
      <c r="M24" s="6"/>
      <c r="N24" s="6">
        <v>1</v>
      </c>
      <c r="O24" s="6">
        <v>17</v>
      </c>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v>2</v>
      </c>
      <c r="BU24" s="6">
        <v>24</v>
      </c>
      <c r="BV24" s="8">
        <f t="shared" si="0"/>
        <v>3</v>
      </c>
      <c r="BW24" s="8">
        <f t="shared" si="0"/>
        <v>41</v>
      </c>
      <c r="BX24" s="52"/>
      <c r="BY24" s="52"/>
      <c r="BZ24" s="52"/>
    </row>
    <row r="25" spans="1:78" s="27" customFormat="1">
      <c r="A25" s="5" t="s">
        <v>62</v>
      </c>
      <c r="B25" s="6"/>
      <c r="C25" s="6"/>
      <c r="D25" s="6"/>
      <c r="E25" s="6"/>
      <c r="F25" s="6"/>
      <c r="G25" s="6"/>
      <c r="H25" s="6"/>
      <c r="I25" s="6"/>
      <c r="J25" s="6"/>
      <c r="K25" s="6"/>
      <c r="L25" s="6"/>
      <c r="M25" s="6"/>
      <c r="N25" s="6">
        <v>1</v>
      </c>
      <c r="O25" s="6">
        <v>16</v>
      </c>
      <c r="P25" s="6"/>
      <c r="Q25" s="6"/>
      <c r="R25" s="6"/>
      <c r="S25" s="6"/>
      <c r="T25" s="6">
        <v>1</v>
      </c>
      <c r="U25" s="6">
        <v>17</v>
      </c>
      <c r="V25" s="6"/>
      <c r="W25" s="6"/>
      <c r="X25" s="6"/>
      <c r="Y25" s="6"/>
      <c r="Z25" s="6"/>
      <c r="AA25" s="6"/>
      <c r="AB25" s="6"/>
      <c r="AC25" s="6"/>
      <c r="AD25" s="6">
        <v>2</v>
      </c>
      <c r="AE25" s="6">
        <v>244</v>
      </c>
      <c r="AF25" s="6"/>
      <c r="AG25" s="6"/>
      <c r="AH25" s="6"/>
      <c r="AI25" s="6"/>
      <c r="AJ25" s="6"/>
      <c r="AK25" s="6"/>
      <c r="AL25" s="6"/>
      <c r="AM25" s="6"/>
      <c r="AN25" s="6"/>
      <c r="AO25" s="6"/>
      <c r="AP25" s="6"/>
      <c r="AQ25" s="6"/>
      <c r="AR25" s="6"/>
      <c r="AS25" s="6"/>
      <c r="AT25" s="6">
        <v>1</v>
      </c>
      <c r="AU25" s="6">
        <v>52</v>
      </c>
      <c r="AV25" s="6"/>
      <c r="AW25" s="6"/>
      <c r="AX25" s="6"/>
      <c r="AY25" s="6"/>
      <c r="AZ25" s="6"/>
      <c r="BA25" s="6"/>
      <c r="BB25" s="6">
        <v>1</v>
      </c>
      <c r="BC25" s="6">
        <v>132</v>
      </c>
      <c r="BD25" s="6"/>
      <c r="BE25" s="6"/>
      <c r="BF25" s="6">
        <v>1</v>
      </c>
      <c r="BG25" s="6">
        <v>14</v>
      </c>
      <c r="BH25" s="6"/>
      <c r="BI25" s="6"/>
      <c r="BJ25" s="6"/>
      <c r="BK25" s="6"/>
      <c r="BL25" s="6"/>
      <c r="BM25" s="6"/>
      <c r="BN25" s="6"/>
      <c r="BO25" s="6"/>
      <c r="BP25" s="6"/>
      <c r="BQ25" s="6"/>
      <c r="BR25" s="6"/>
      <c r="BS25" s="6"/>
      <c r="BT25" s="6"/>
      <c r="BU25" s="6"/>
      <c r="BV25" s="8">
        <f t="shared" si="0"/>
        <v>7</v>
      </c>
      <c r="BW25" s="8">
        <f t="shared" si="0"/>
        <v>475</v>
      </c>
      <c r="BX25" s="52"/>
      <c r="BY25" s="52"/>
      <c r="BZ25" s="52"/>
    </row>
    <row r="26" spans="1:78" s="27" customFormat="1">
      <c r="A26" s="5" t="s">
        <v>249</v>
      </c>
      <c r="B26" s="6"/>
      <c r="C26" s="6"/>
      <c r="D26" s="6"/>
      <c r="E26" s="6"/>
      <c r="F26" s="6"/>
      <c r="G26" s="6"/>
      <c r="H26" s="6"/>
      <c r="I26" s="6"/>
      <c r="J26" s="6"/>
      <c r="K26" s="6"/>
      <c r="L26" s="6"/>
      <c r="M26" s="6"/>
      <c r="N26" s="6">
        <v>2</v>
      </c>
      <c r="O26" s="6">
        <v>10</v>
      </c>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8">
        <f t="shared" si="0"/>
        <v>2</v>
      </c>
      <c r="BW26" s="8">
        <f t="shared" si="0"/>
        <v>10</v>
      </c>
      <c r="BX26" s="52"/>
      <c r="BY26" s="52"/>
      <c r="BZ26" s="52"/>
    </row>
    <row r="27" spans="1:78" s="27" customFormat="1">
      <c r="A27" s="5" t="s">
        <v>63</v>
      </c>
      <c r="B27" s="6"/>
      <c r="C27" s="6"/>
      <c r="D27" s="6"/>
      <c r="E27" s="6"/>
      <c r="F27" s="6"/>
      <c r="G27" s="6"/>
      <c r="H27" s="6"/>
      <c r="I27" s="6"/>
      <c r="J27" s="6"/>
      <c r="K27" s="6"/>
      <c r="L27" s="6"/>
      <c r="M27" s="6"/>
      <c r="N27" s="6">
        <v>9</v>
      </c>
      <c r="O27" s="6">
        <v>154</v>
      </c>
      <c r="P27" s="6"/>
      <c r="Q27" s="6"/>
      <c r="R27" s="6"/>
      <c r="S27" s="6"/>
      <c r="T27" s="6"/>
      <c r="U27" s="6"/>
      <c r="V27" s="6"/>
      <c r="W27" s="6"/>
      <c r="X27" s="6"/>
      <c r="Y27" s="6"/>
      <c r="Z27" s="6"/>
      <c r="AA27" s="6"/>
      <c r="AB27" s="6"/>
      <c r="AC27" s="6"/>
      <c r="AD27" s="6">
        <v>1</v>
      </c>
      <c r="AE27" s="6">
        <v>37</v>
      </c>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v>1</v>
      </c>
      <c r="BG27" s="6">
        <v>16</v>
      </c>
      <c r="BH27" s="6"/>
      <c r="BI27" s="6"/>
      <c r="BJ27" s="6"/>
      <c r="BK27" s="6"/>
      <c r="BL27" s="6"/>
      <c r="BM27" s="6"/>
      <c r="BN27" s="6"/>
      <c r="BO27" s="6"/>
      <c r="BP27" s="6"/>
      <c r="BQ27" s="6"/>
      <c r="BR27" s="6"/>
      <c r="BS27" s="6"/>
      <c r="BT27" s="6">
        <v>1</v>
      </c>
      <c r="BU27" s="6">
        <v>12</v>
      </c>
      <c r="BV27" s="8">
        <f t="shared" si="0"/>
        <v>12</v>
      </c>
      <c r="BW27" s="8">
        <f t="shared" si="0"/>
        <v>219</v>
      </c>
      <c r="BX27" s="52"/>
      <c r="BY27" s="52"/>
      <c r="BZ27" s="52"/>
    </row>
    <row r="28" spans="1:78" s="27" customFormat="1">
      <c r="A28" s="5" t="s">
        <v>64</v>
      </c>
      <c r="B28" s="6"/>
      <c r="C28" s="6"/>
      <c r="D28" s="6"/>
      <c r="E28" s="6"/>
      <c r="F28" s="6"/>
      <c r="G28" s="6"/>
      <c r="H28" s="6"/>
      <c r="I28" s="6"/>
      <c r="J28" s="6"/>
      <c r="K28" s="6"/>
      <c r="L28" s="6"/>
      <c r="M28" s="6"/>
      <c r="N28" s="6">
        <v>1</v>
      </c>
      <c r="O28" s="6">
        <v>10</v>
      </c>
      <c r="P28" s="6"/>
      <c r="Q28" s="6"/>
      <c r="R28" s="6"/>
      <c r="S28" s="6"/>
      <c r="T28" s="6"/>
      <c r="U28" s="6"/>
      <c r="V28" s="6"/>
      <c r="W28" s="6"/>
      <c r="X28" s="6"/>
      <c r="Y28" s="6"/>
      <c r="Z28" s="6"/>
      <c r="AA28" s="6"/>
      <c r="AB28" s="6"/>
      <c r="AC28" s="6"/>
      <c r="AD28" s="6">
        <v>1</v>
      </c>
      <c r="AE28" s="6">
        <v>111</v>
      </c>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v>3</v>
      </c>
      <c r="BU28" s="6">
        <v>32</v>
      </c>
      <c r="BV28" s="8">
        <f t="shared" si="0"/>
        <v>5</v>
      </c>
      <c r="BW28" s="8">
        <f t="shared" si="0"/>
        <v>153</v>
      </c>
      <c r="BX28" s="52"/>
      <c r="BY28" s="52"/>
      <c r="BZ28" s="52"/>
    </row>
    <row r="29" spans="1:78" s="27" customFormat="1">
      <c r="A29" s="5" t="s">
        <v>65</v>
      </c>
      <c r="B29" s="6">
        <v>9</v>
      </c>
      <c r="C29" s="6">
        <v>245</v>
      </c>
      <c r="D29" s="6">
        <v>10</v>
      </c>
      <c r="E29" s="6">
        <v>532</v>
      </c>
      <c r="F29" s="6">
        <v>3</v>
      </c>
      <c r="G29" s="6">
        <v>420</v>
      </c>
      <c r="H29" s="6"/>
      <c r="I29" s="6"/>
      <c r="J29" s="6"/>
      <c r="K29" s="6"/>
      <c r="L29" s="6"/>
      <c r="M29" s="6"/>
      <c r="N29" s="6">
        <v>18</v>
      </c>
      <c r="O29" s="6">
        <v>350</v>
      </c>
      <c r="P29" s="6"/>
      <c r="Q29" s="6"/>
      <c r="R29" s="6"/>
      <c r="S29" s="6"/>
      <c r="T29" s="6"/>
      <c r="U29" s="6"/>
      <c r="V29" s="6"/>
      <c r="W29" s="6"/>
      <c r="X29" s="6"/>
      <c r="Y29" s="6"/>
      <c r="Z29" s="6">
        <v>5</v>
      </c>
      <c r="AA29" s="6">
        <v>1816</v>
      </c>
      <c r="AB29" s="6"/>
      <c r="AC29" s="6"/>
      <c r="AD29" s="6">
        <v>3</v>
      </c>
      <c r="AE29" s="6">
        <v>1243</v>
      </c>
      <c r="AF29" s="6">
        <v>1</v>
      </c>
      <c r="AG29" s="6">
        <v>202</v>
      </c>
      <c r="AH29" s="6"/>
      <c r="AI29" s="6"/>
      <c r="AJ29" s="6"/>
      <c r="AK29" s="6"/>
      <c r="AL29" s="6"/>
      <c r="AM29" s="6"/>
      <c r="AN29" s="6"/>
      <c r="AO29" s="6"/>
      <c r="AP29" s="6"/>
      <c r="AQ29" s="6"/>
      <c r="AR29" s="6"/>
      <c r="AS29" s="6"/>
      <c r="AT29" s="6">
        <v>2</v>
      </c>
      <c r="AU29" s="6">
        <v>750</v>
      </c>
      <c r="AV29" s="6">
        <v>1</v>
      </c>
      <c r="AW29" s="6">
        <v>182</v>
      </c>
      <c r="AX29" s="6"/>
      <c r="AY29" s="6"/>
      <c r="AZ29" s="6">
        <v>1</v>
      </c>
      <c r="BA29" s="6">
        <v>48</v>
      </c>
      <c r="BB29" s="6"/>
      <c r="BC29" s="6"/>
      <c r="BD29" s="6">
        <v>3</v>
      </c>
      <c r="BE29" s="6">
        <v>108</v>
      </c>
      <c r="BF29" s="6">
        <v>1</v>
      </c>
      <c r="BG29" s="6">
        <v>35</v>
      </c>
      <c r="BH29" s="6"/>
      <c r="BI29" s="6"/>
      <c r="BJ29" s="6"/>
      <c r="BK29" s="6"/>
      <c r="BL29" s="6">
        <v>2</v>
      </c>
      <c r="BM29" s="6">
        <v>75</v>
      </c>
      <c r="BN29" s="6"/>
      <c r="BO29" s="6"/>
      <c r="BP29" s="6"/>
      <c r="BQ29" s="6"/>
      <c r="BR29" s="6"/>
      <c r="BS29" s="6"/>
      <c r="BT29" s="6">
        <v>2</v>
      </c>
      <c r="BU29" s="6">
        <v>18</v>
      </c>
      <c r="BV29" s="8">
        <f t="shared" si="0"/>
        <v>61</v>
      </c>
      <c r="BW29" s="8">
        <f t="shared" si="0"/>
        <v>6024</v>
      </c>
      <c r="BX29" s="52"/>
      <c r="BY29" s="52"/>
      <c r="BZ29" s="52"/>
    </row>
    <row r="30" spans="1:78" s="27" customFormat="1">
      <c r="A30" s="5" t="s">
        <v>66</v>
      </c>
      <c r="B30" s="6"/>
      <c r="C30" s="6"/>
      <c r="D30" s="6"/>
      <c r="E30" s="6"/>
      <c r="F30" s="6"/>
      <c r="G30" s="6"/>
      <c r="H30" s="6"/>
      <c r="I30" s="6"/>
      <c r="J30" s="6"/>
      <c r="K30" s="6"/>
      <c r="L30" s="6"/>
      <c r="M30" s="6"/>
      <c r="N30" s="6">
        <v>2</v>
      </c>
      <c r="O30" s="6">
        <v>25</v>
      </c>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v>2</v>
      </c>
      <c r="AU30" s="6">
        <v>62</v>
      </c>
      <c r="AV30" s="6"/>
      <c r="AW30" s="6"/>
      <c r="AX30" s="6"/>
      <c r="AY30" s="6"/>
      <c r="AZ30" s="6"/>
      <c r="BA30" s="6"/>
      <c r="BB30" s="6"/>
      <c r="BC30" s="6"/>
      <c r="BD30" s="6"/>
      <c r="BE30" s="6"/>
      <c r="BF30" s="6"/>
      <c r="BG30" s="6"/>
      <c r="BH30" s="6"/>
      <c r="BI30" s="6"/>
      <c r="BJ30" s="6"/>
      <c r="BK30" s="6"/>
      <c r="BL30" s="6"/>
      <c r="BM30" s="6"/>
      <c r="BN30" s="6"/>
      <c r="BO30" s="6"/>
      <c r="BP30" s="6"/>
      <c r="BQ30" s="6"/>
      <c r="BR30" s="6"/>
      <c r="BS30" s="6"/>
      <c r="BT30" s="6">
        <v>3</v>
      </c>
      <c r="BU30" s="6">
        <v>60</v>
      </c>
      <c r="BV30" s="8">
        <f t="shared" si="0"/>
        <v>7</v>
      </c>
      <c r="BW30" s="8">
        <f t="shared" si="0"/>
        <v>147</v>
      </c>
      <c r="BX30" s="52"/>
      <c r="BY30" s="52"/>
      <c r="BZ30" s="52"/>
    </row>
    <row r="31" spans="1:78" s="27" customFormat="1">
      <c r="A31" s="5" t="s">
        <v>67</v>
      </c>
      <c r="B31" s="6"/>
      <c r="C31" s="6"/>
      <c r="D31" s="6"/>
      <c r="E31" s="6"/>
      <c r="F31" s="6"/>
      <c r="G31" s="6"/>
      <c r="H31" s="6"/>
      <c r="I31" s="6"/>
      <c r="J31" s="6"/>
      <c r="K31" s="6"/>
      <c r="L31" s="6"/>
      <c r="M31" s="6"/>
      <c r="N31" s="6">
        <v>6</v>
      </c>
      <c r="O31" s="6">
        <v>102</v>
      </c>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v>1</v>
      </c>
      <c r="BE31" s="6">
        <v>30</v>
      </c>
      <c r="BF31" s="6"/>
      <c r="BG31" s="6"/>
      <c r="BH31" s="6"/>
      <c r="BI31" s="6"/>
      <c r="BJ31" s="6"/>
      <c r="BK31" s="6"/>
      <c r="BL31" s="6"/>
      <c r="BM31" s="6"/>
      <c r="BN31" s="6"/>
      <c r="BO31" s="6"/>
      <c r="BP31" s="6"/>
      <c r="BQ31" s="6"/>
      <c r="BR31" s="6"/>
      <c r="BS31" s="6"/>
      <c r="BT31" s="6">
        <v>1</v>
      </c>
      <c r="BU31" s="6">
        <v>17</v>
      </c>
      <c r="BV31" s="8">
        <f t="shared" si="0"/>
        <v>8</v>
      </c>
      <c r="BW31" s="8">
        <f t="shared" si="0"/>
        <v>149</v>
      </c>
      <c r="BX31" s="52"/>
      <c r="BY31" s="52"/>
      <c r="BZ31" s="52"/>
    </row>
    <row r="32" spans="1:78" s="27" customFormat="1">
      <c r="A32" s="5" t="s">
        <v>68</v>
      </c>
      <c r="B32" s="6"/>
      <c r="C32" s="6"/>
      <c r="D32" s="6"/>
      <c r="E32" s="6"/>
      <c r="F32" s="6"/>
      <c r="G32" s="6"/>
      <c r="H32" s="6"/>
      <c r="I32" s="6"/>
      <c r="J32" s="6"/>
      <c r="K32" s="6"/>
      <c r="L32" s="6"/>
      <c r="M32" s="6"/>
      <c r="N32" s="6">
        <v>3</v>
      </c>
      <c r="O32" s="6">
        <v>58</v>
      </c>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8">
        <f t="shared" si="0"/>
        <v>3</v>
      </c>
      <c r="BW32" s="8">
        <f t="shared" si="0"/>
        <v>58</v>
      </c>
      <c r="BX32" s="52"/>
      <c r="BY32" s="52"/>
      <c r="BZ32" s="52"/>
    </row>
    <row r="33" spans="1:78" s="27" customFormat="1">
      <c r="A33" s="5" t="s">
        <v>69</v>
      </c>
      <c r="B33" s="6"/>
      <c r="C33" s="6"/>
      <c r="D33" s="6"/>
      <c r="E33" s="6"/>
      <c r="F33" s="6"/>
      <c r="G33" s="6"/>
      <c r="H33" s="6"/>
      <c r="I33" s="6"/>
      <c r="J33" s="6"/>
      <c r="K33" s="6"/>
      <c r="L33" s="6"/>
      <c r="M33" s="6"/>
      <c r="N33" s="6">
        <v>1</v>
      </c>
      <c r="O33" s="6">
        <v>17</v>
      </c>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v>2</v>
      </c>
      <c r="BU33" s="6">
        <v>46</v>
      </c>
      <c r="BV33" s="8">
        <f t="shared" si="0"/>
        <v>3</v>
      </c>
      <c r="BW33" s="8">
        <f t="shared" si="0"/>
        <v>63</v>
      </c>
      <c r="BX33" s="52"/>
      <c r="BY33" s="52"/>
      <c r="BZ33" s="52"/>
    </row>
    <row r="34" spans="1:78" s="27" customFormat="1">
      <c r="A34" s="5" t="s">
        <v>177</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v>5</v>
      </c>
      <c r="BU34" s="6">
        <v>38</v>
      </c>
      <c r="BV34" s="8">
        <f t="shared" si="0"/>
        <v>5</v>
      </c>
      <c r="BW34" s="8">
        <f t="shared" si="0"/>
        <v>38</v>
      </c>
      <c r="BX34" s="52"/>
      <c r="BY34" s="52"/>
      <c r="BZ34" s="52"/>
    </row>
    <row r="35" spans="1:78" s="27" customFormat="1">
      <c r="A35" s="5" t="s">
        <v>71</v>
      </c>
      <c r="B35" s="6"/>
      <c r="C35" s="6"/>
      <c r="D35" s="6"/>
      <c r="E35" s="6"/>
      <c r="F35" s="6">
        <v>1</v>
      </c>
      <c r="G35" s="6">
        <v>120</v>
      </c>
      <c r="H35" s="6"/>
      <c r="I35" s="6"/>
      <c r="J35" s="6">
        <v>1</v>
      </c>
      <c r="K35" s="6">
        <v>936</v>
      </c>
      <c r="L35" s="6"/>
      <c r="M35" s="6"/>
      <c r="N35" s="6">
        <v>23</v>
      </c>
      <c r="O35" s="6">
        <v>595</v>
      </c>
      <c r="P35" s="6"/>
      <c r="Q35" s="6"/>
      <c r="R35" s="6"/>
      <c r="S35" s="6"/>
      <c r="T35" s="6">
        <v>1</v>
      </c>
      <c r="U35" s="6">
        <v>26</v>
      </c>
      <c r="V35" s="6"/>
      <c r="W35" s="6"/>
      <c r="X35" s="6">
        <v>5</v>
      </c>
      <c r="Y35" s="6">
        <v>1471</v>
      </c>
      <c r="Z35" s="6">
        <v>24</v>
      </c>
      <c r="AA35" s="6">
        <v>7283</v>
      </c>
      <c r="AB35" s="6">
        <v>1</v>
      </c>
      <c r="AC35" s="6">
        <v>297</v>
      </c>
      <c r="AD35" s="6">
        <v>5</v>
      </c>
      <c r="AE35" s="6">
        <v>1933</v>
      </c>
      <c r="AF35" s="6"/>
      <c r="AG35" s="6"/>
      <c r="AH35" s="6">
        <v>1</v>
      </c>
      <c r="AI35" s="6">
        <v>300</v>
      </c>
      <c r="AJ35" s="6"/>
      <c r="AK35" s="6"/>
      <c r="AL35" s="6"/>
      <c r="AM35" s="6"/>
      <c r="AN35" s="6"/>
      <c r="AO35" s="6"/>
      <c r="AP35" s="6">
        <v>1</v>
      </c>
      <c r="AQ35" s="6">
        <v>346</v>
      </c>
      <c r="AR35" s="6"/>
      <c r="AS35" s="6"/>
      <c r="AT35" s="6"/>
      <c r="AU35" s="6"/>
      <c r="AV35" s="6"/>
      <c r="AW35" s="6"/>
      <c r="AX35" s="6"/>
      <c r="AY35" s="6"/>
      <c r="AZ35" s="6"/>
      <c r="BA35" s="6"/>
      <c r="BB35" s="6"/>
      <c r="BC35" s="6"/>
      <c r="BD35" s="6">
        <v>2</v>
      </c>
      <c r="BE35" s="6">
        <v>92</v>
      </c>
      <c r="BF35" s="6">
        <v>3</v>
      </c>
      <c r="BG35" s="6">
        <v>161</v>
      </c>
      <c r="BH35" s="6"/>
      <c r="BI35" s="6"/>
      <c r="BJ35" s="6"/>
      <c r="BK35" s="6"/>
      <c r="BL35" s="6">
        <v>1</v>
      </c>
      <c r="BM35" s="6">
        <v>48</v>
      </c>
      <c r="BN35" s="6">
        <v>1</v>
      </c>
      <c r="BO35" s="6">
        <v>34</v>
      </c>
      <c r="BP35" s="6"/>
      <c r="BQ35" s="6"/>
      <c r="BR35" s="6"/>
      <c r="BS35" s="6"/>
      <c r="BT35" s="6">
        <v>1</v>
      </c>
      <c r="BU35" s="6">
        <v>28</v>
      </c>
      <c r="BV35" s="8">
        <f t="shared" si="0"/>
        <v>71</v>
      </c>
      <c r="BW35" s="8">
        <f t="shared" si="0"/>
        <v>13670</v>
      </c>
      <c r="BX35" s="52"/>
      <c r="BY35" s="52"/>
      <c r="BZ35" s="52"/>
    </row>
    <row r="36" spans="1:78" s="27" customFormat="1">
      <c r="A36" s="5" t="s">
        <v>72</v>
      </c>
      <c r="B36" s="6">
        <v>2</v>
      </c>
      <c r="C36" s="6">
        <v>237</v>
      </c>
      <c r="D36" s="6">
        <v>5</v>
      </c>
      <c r="E36" s="6">
        <v>612</v>
      </c>
      <c r="F36" s="6">
        <v>5</v>
      </c>
      <c r="G36" s="6">
        <v>203</v>
      </c>
      <c r="H36" s="6"/>
      <c r="I36" s="6"/>
      <c r="J36" s="6">
        <v>1</v>
      </c>
      <c r="K36" s="6">
        <v>134</v>
      </c>
      <c r="L36" s="6"/>
      <c r="M36" s="6"/>
      <c r="N36" s="6">
        <v>27</v>
      </c>
      <c r="O36" s="6">
        <v>484</v>
      </c>
      <c r="P36" s="6">
        <v>2</v>
      </c>
      <c r="Q36" s="6">
        <v>46</v>
      </c>
      <c r="R36" s="6"/>
      <c r="S36" s="6"/>
      <c r="T36" s="6"/>
      <c r="U36" s="6"/>
      <c r="V36" s="6"/>
      <c r="W36" s="6"/>
      <c r="X36" s="6">
        <v>1</v>
      </c>
      <c r="Y36" s="6">
        <v>41</v>
      </c>
      <c r="Z36" s="6">
        <v>8</v>
      </c>
      <c r="AA36" s="6">
        <v>3691</v>
      </c>
      <c r="AB36" s="6">
        <v>1</v>
      </c>
      <c r="AC36" s="6">
        <v>454</v>
      </c>
      <c r="AD36" s="6">
        <v>9</v>
      </c>
      <c r="AE36" s="6">
        <v>3584</v>
      </c>
      <c r="AF36" s="6"/>
      <c r="AG36" s="6"/>
      <c r="AH36" s="6"/>
      <c r="AI36" s="6"/>
      <c r="AJ36" s="6"/>
      <c r="AK36" s="6"/>
      <c r="AL36" s="6"/>
      <c r="AM36" s="6"/>
      <c r="AN36" s="6"/>
      <c r="AO36" s="6"/>
      <c r="AP36" s="6">
        <v>4</v>
      </c>
      <c r="AQ36" s="6">
        <v>1781</v>
      </c>
      <c r="AR36" s="6"/>
      <c r="AS36" s="6"/>
      <c r="AT36" s="6">
        <v>4</v>
      </c>
      <c r="AU36" s="6">
        <v>3881</v>
      </c>
      <c r="AV36" s="6"/>
      <c r="AW36" s="6"/>
      <c r="AX36" s="6"/>
      <c r="AY36" s="6"/>
      <c r="AZ36" s="6"/>
      <c r="BA36" s="6"/>
      <c r="BB36" s="6"/>
      <c r="BC36" s="6"/>
      <c r="BD36" s="6">
        <v>3</v>
      </c>
      <c r="BE36" s="6">
        <v>108</v>
      </c>
      <c r="BF36" s="6">
        <v>1</v>
      </c>
      <c r="BG36" s="6">
        <v>111</v>
      </c>
      <c r="BH36" s="6"/>
      <c r="BI36" s="6"/>
      <c r="BJ36" s="6"/>
      <c r="BK36" s="6"/>
      <c r="BL36" s="6"/>
      <c r="BM36" s="6"/>
      <c r="BN36" s="6"/>
      <c r="BO36" s="6"/>
      <c r="BP36" s="6"/>
      <c r="BQ36" s="6"/>
      <c r="BR36" s="6"/>
      <c r="BS36" s="6"/>
      <c r="BT36" s="6"/>
      <c r="BU36" s="6"/>
      <c r="BV36" s="8">
        <f t="shared" si="0"/>
        <v>73</v>
      </c>
      <c r="BW36" s="8">
        <f t="shared" si="0"/>
        <v>15367</v>
      </c>
      <c r="BX36" s="52"/>
      <c r="BY36" s="52"/>
      <c r="BZ36" s="52"/>
    </row>
    <row r="37" spans="1:78" s="27" customFormat="1">
      <c r="A37" s="5" t="s">
        <v>250</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v>1</v>
      </c>
      <c r="BU37" s="6">
        <v>22</v>
      </c>
      <c r="BV37" s="8">
        <f t="shared" si="0"/>
        <v>1</v>
      </c>
      <c r="BW37" s="8">
        <f t="shared" si="0"/>
        <v>22</v>
      </c>
      <c r="BX37" s="52"/>
      <c r="BY37" s="52"/>
      <c r="BZ37" s="52"/>
    </row>
    <row r="38" spans="1:78" s="27" customFormat="1">
      <c r="A38" s="5" t="s">
        <v>73</v>
      </c>
      <c r="B38" s="6"/>
      <c r="C38" s="6"/>
      <c r="D38" s="6"/>
      <c r="E38" s="6"/>
      <c r="F38" s="6"/>
      <c r="G38" s="6"/>
      <c r="H38" s="6"/>
      <c r="I38" s="6"/>
      <c r="J38" s="6"/>
      <c r="K38" s="6"/>
      <c r="L38" s="6"/>
      <c r="M38" s="6"/>
      <c r="N38" s="6">
        <v>5</v>
      </c>
      <c r="O38" s="6">
        <v>66</v>
      </c>
      <c r="P38" s="6"/>
      <c r="Q38" s="6"/>
      <c r="R38" s="6"/>
      <c r="S38" s="6"/>
      <c r="T38" s="6"/>
      <c r="U38" s="6"/>
      <c r="V38" s="6"/>
      <c r="W38" s="6"/>
      <c r="X38" s="6"/>
      <c r="Y38" s="6"/>
      <c r="Z38" s="6"/>
      <c r="AA38" s="6"/>
      <c r="AB38" s="6"/>
      <c r="AC38" s="6"/>
      <c r="AD38" s="6">
        <v>1</v>
      </c>
      <c r="AE38" s="6">
        <v>22</v>
      </c>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v>2</v>
      </c>
      <c r="BU38" s="6">
        <v>34</v>
      </c>
      <c r="BV38" s="8">
        <f t="shared" si="0"/>
        <v>8</v>
      </c>
      <c r="BW38" s="8">
        <f t="shared" si="0"/>
        <v>122</v>
      </c>
      <c r="BX38" s="52"/>
      <c r="BY38" s="52"/>
      <c r="BZ38" s="52"/>
    </row>
    <row r="39" spans="1:78" s="27" customFormat="1">
      <c r="A39" s="5" t="s">
        <v>74</v>
      </c>
      <c r="B39" s="6"/>
      <c r="C39" s="6"/>
      <c r="D39" s="6"/>
      <c r="E39" s="6"/>
      <c r="F39" s="6"/>
      <c r="G39" s="6"/>
      <c r="H39" s="6"/>
      <c r="I39" s="6"/>
      <c r="J39" s="6"/>
      <c r="K39" s="6"/>
      <c r="L39" s="6"/>
      <c r="M39" s="6"/>
      <c r="N39" s="6">
        <v>1</v>
      </c>
      <c r="O39" s="6">
        <v>24</v>
      </c>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v>1</v>
      </c>
      <c r="BU39" s="6">
        <v>10</v>
      </c>
      <c r="BV39" s="8">
        <f t="shared" si="0"/>
        <v>2</v>
      </c>
      <c r="BW39" s="8">
        <f t="shared" si="0"/>
        <v>34</v>
      </c>
      <c r="BX39" s="52"/>
      <c r="BY39" s="52"/>
      <c r="BZ39" s="52"/>
    </row>
    <row r="40" spans="1:78" s="27" customFormat="1">
      <c r="A40" s="5" t="s">
        <v>75</v>
      </c>
      <c r="B40" s="6"/>
      <c r="C40" s="6"/>
      <c r="D40" s="6"/>
      <c r="E40" s="6"/>
      <c r="F40" s="6"/>
      <c r="G40" s="6"/>
      <c r="H40" s="6"/>
      <c r="I40" s="6"/>
      <c r="J40" s="6"/>
      <c r="K40" s="6"/>
      <c r="L40" s="6"/>
      <c r="M40" s="6"/>
      <c r="N40" s="6">
        <v>3</v>
      </c>
      <c r="O40" s="6">
        <v>80</v>
      </c>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v>1</v>
      </c>
      <c r="BE40" s="6">
        <v>45</v>
      </c>
      <c r="BF40" s="6"/>
      <c r="BG40" s="6"/>
      <c r="BH40" s="6"/>
      <c r="BI40" s="6"/>
      <c r="BJ40" s="6"/>
      <c r="BK40" s="6"/>
      <c r="BL40" s="6"/>
      <c r="BM40" s="6"/>
      <c r="BN40" s="6"/>
      <c r="BO40" s="6"/>
      <c r="BP40" s="6"/>
      <c r="BQ40" s="6"/>
      <c r="BR40" s="6"/>
      <c r="BS40" s="6"/>
      <c r="BT40" s="6">
        <v>1</v>
      </c>
      <c r="BU40" s="6">
        <v>12</v>
      </c>
      <c r="BV40" s="8">
        <f t="shared" si="0"/>
        <v>5</v>
      </c>
      <c r="BW40" s="8">
        <f t="shared" si="0"/>
        <v>137</v>
      </c>
      <c r="BX40" s="52"/>
      <c r="BY40" s="52"/>
      <c r="BZ40" s="52"/>
    </row>
    <row r="41" spans="1:78" s="27" customFormat="1">
      <c r="A41" s="5" t="s">
        <v>76</v>
      </c>
      <c r="B41" s="6"/>
      <c r="C41" s="6"/>
      <c r="D41" s="6">
        <v>1</v>
      </c>
      <c r="E41" s="6">
        <v>358</v>
      </c>
      <c r="F41" s="6">
        <v>6</v>
      </c>
      <c r="G41" s="6">
        <v>795</v>
      </c>
      <c r="H41" s="6"/>
      <c r="I41" s="6"/>
      <c r="J41" s="6"/>
      <c r="K41" s="6"/>
      <c r="L41" s="6"/>
      <c r="M41" s="6"/>
      <c r="N41" s="6">
        <v>1</v>
      </c>
      <c r="O41" s="6">
        <v>22</v>
      </c>
      <c r="P41" s="6"/>
      <c r="Q41" s="6"/>
      <c r="R41" s="6">
        <v>1</v>
      </c>
      <c r="S41" s="6">
        <v>500</v>
      </c>
      <c r="T41" s="6"/>
      <c r="U41" s="6"/>
      <c r="V41" s="6"/>
      <c r="W41" s="6"/>
      <c r="X41" s="6"/>
      <c r="Y41" s="6"/>
      <c r="Z41" s="6">
        <v>2</v>
      </c>
      <c r="AA41" s="6">
        <v>372</v>
      </c>
      <c r="AB41" s="6"/>
      <c r="AC41" s="6"/>
      <c r="AD41" s="6">
        <v>8</v>
      </c>
      <c r="AE41" s="6">
        <v>3275</v>
      </c>
      <c r="AF41" s="6">
        <v>2</v>
      </c>
      <c r="AG41" s="6">
        <v>1080</v>
      </c>
      <c r="AH41" s="6">
        <v>3</v>
      </c>
      <c r="AI41" s="6">
        <v>1186</v>
      </c>
      <c r="AJ41" s="6"/>
      <c r="AK41" s="6"/>
      <c r="AL41" s="6"/>
      <c r="AM41" s="6"/>
      <c r="AN41" s="6"/>
      <c r="AO41" s="6"/>
      <c r="AP41" s="6">
        <v>1</v>
      </c>
      <c r="AQ41" s="6">
        <v>159</v>
      </c>
      <c r="AR41" s="6">
        <v>1</v>
      </c>
      <c r="AS41" s="6">
        <v>2205</v>
      </c>
      <c r="AT41" s="6">
        <v>12</v>
      </c>
      <c r="AU41" s="6">
        <v>6398</v>
      </c>
      <c r="AV41" s="6">
        <v>1</v>
      </c>
      <c r="AW41" s="6">
        <v>544</v>
      </c>
      <c r="AX41" s="6"/>
      <c r="AY41" s="6"/>
      <c r="AZ41" s="6"/>
      <c r="BA41" s="6"/>
      <c r="BB41" s="6"/>
      <c r="BC41" s="6"/>
      <c r="BD41" s="6">
        <v>1</v>
      </c>
      <c r="BE41" s="6">
        <v>30</v>
      </c>
      <c r="BF41" s="6"/>
      <c r="BG41" s="6"/>
      <c r="BH41" s="6"/>
      <c r="BI41" s="6"/>
      <c r="BJ41" s="6"/>
      <c r="BK41" s="6"/>
      <c r="BL41" s="6"/>
      <c r="BM41" s="6"/>
      <c r="BN41" s="6"/>
      <c r="BO41" s="6"/>
      <c r="BP41" s="6"/>
      <c r="BQ41" s="6"/>
      <c r="BR41" s="6"/>
      <c r="BS41" s="6"/>
      <c r="BT41" s="6">
        <v>1</v>
      </c>
      <c r="BU41" s="6">
        <v>10</v>
      </c>
      <c r="BV41" s="8">
        <f t="shared" si="0"/>
        <v>41</v>
      </c>
      <c r="BW41" s="8">
        <f t="shared" si="0"/>
        <v>16934</v>
      </c>
      <c r="BX41" s="52"/>
      <c r="BY41" s="52"/>
      <c r="BZ41" s="52"/>
    </row>
    <row r="42" spans="1:78" s="27" customFormat="1">
      <c r="A42" s="5" t="s">
        <v>77</v>
      </c>
      <c r="B42" s="6">
        <v>4</v>
      </c>
      <c r="C42" s="6">
        <v>277</v>
      </c>
      <c r="D42" s="6">
        <v>4</v>
      </c>
      <c r="E42" s="6">
        <v>336</v>
      </c>
      <c r="F42" s="6">
        <v>5</v>
      </c>
      <c r="G42" s="6">
        <v>462</v>
      </c>
      <c r="H42" s="6"/>
      <c r="I42" s="6"/>
      <c r="J42" s="6">
        <v>5</v>
      </c>
      <c r="K42" s="6">
        <v>183</v>
      </c>
      <c r="L42" s="6">
        <v>1</v>
      </c>
      <c r="M42" s="6">
        <v>18</v>
      </c>
      <c r="N42" s="6">
        <v>4</v>
      </c>
      <c r="O42" s="6">
        <v>43</v>
      </c>
      <c r="P42" s="6">
        <v>5</v>
      </c>
      <c r="Q42" s="6">
        <v>181</v>
      </c>
      <c r="R42" s="6"/>
      <c r="S42" s="6"/>
      <c r="T42" s="6">
        <v>1</v>
      </c>
      <c r="U42" s="6">
        <v>12</v>
      </c>
      <c r="V42" s="6">
        <v>2</v>
      </c>
      <c r="W42" s="6">
        <v>127</v>
      </c>
      <c r="X42" s="6">
        <v>13</v>
      </c>
      <c r="Y42" s="6">
        <v>1501</v>
      </c>
      <c r="Z42" s="6">
        <v>36</v>
      </c>
      <c r="AA42" s="6">
        <v>8152</v>
      </c>
      <c r="AB42" s="6">
        <v>3</v>
      </c>
      <c r="AC42" s="6">
        <v>882</v>
      </c>
      <c r="AD42" s="6">
        <v>85</v>
      </c>
      <c r="AE42" s="6">
        <v>24839</v>
      </c>
      <c r="AF42" s="6">
        <v>14</v>
      </c>
      <c r="AG42" s="6">
        <v>3812</v>
      </c>
      <c r="AH42" s="6">
        <v>24</v>
      </c>
      <c r="AI42" s="6">
        <v>3501</v>
      </c>
      <c r="AJ42" s="6">
        <v>2</v>
      </c>
      <c r="AK42" s="6">
        <v>390</v>
      </c>
      <c r="AL42" s="6"/>
      <c r="AM42" s="6"/>
      <c r="AN42" s="6">
        <v>6</v>
      </c>
      <c r="AO42" s="6">
        <v>659</v>
      </c>
      <c r="AP42" s="6">
        <v>1</v>
      </c>
      <c r="AQ42" s="6">
        <v>67</v>
      </c>
      <c r="AR42" s="6">
        <v>1</v>
      </c>
      <c r="AS42" s="6">
        <v>146</v>
      </c>
      <c r="AT42" s="6">
        <v>11</v>
      </c>
      <c r="AU42" s="6">
        <v>3456</v>
      </c>
      <c r="AV42" s="6"/>
      <c r="AW42" s="6"/>
      <c r="AX42" s="6">
        <v>1</v>
      </c>
      <c r="AY42" s="6">
        <v>405</v>
      </c>
      <c r="AZ42" s="6"/>
      <c r="BA42" s="6"/>
      <c r="BB42" s="6"/>
      <c r="BC42" s="6"/>
      <c r="BD42" s="6">
        <v>1</v>
      </c>
      <c r="BE42" s="6">
        <v>41</v>
      </c>
      <c r="BF42" s="6">
        <v>4</v>
      </c>
      <c r="BG42" s="6">
        <v>122</v>
      </c>
      <c r="BH42" s="6">
        <v>1</v>
      </c>
      <c r="BI42" s="6">
        <v>48</v>
      </c>
      <c r="BJ42" s="6"/>
      <c r="BK42" s="6"/>
      <c r="BL42" s="6">
        <v>15</v>
      </c>
      <c r="BM42" s="6">
        <v>618</v>
      </c>
      <c r="BN42" s="6">
        <v>4</v>
      </c>
      <c r="BO42" s="6">
        <v>173</v>
      </c>
      <c r="BP42" s="6"/>
      <c r="BQ42" s="6"/>
      <c r="BR42" s="6"/>
      <c r="BS42" s="6"/>
      <c r="BT42" s="6">
        <v>37</v>
      </c>
      <c r="BU42" s="6">
        <v>626</v>
      </c>
      <c r="BV42" s="8">
        <f t="shared" si="0"/>
        <v>290</v>
      </c>
      <c r="BW42" s="8">
        <f t="shared" si="0"/>
        <v>51077</v>
      </c>
      <c r="BX42" s="52"/>
      <c r="BY42" s="52"/>
      <c r="BZ42" s="52"/>
    </row>
    <row r="43" spans="1:78" s="27" customFormat="1">
      <c r="A43" s="5" t="s">
        <v>78</v>
      </c>
      <c r="B43" s="6"/>
      <c r="C43" s="6"/>
      <c r="D43" s="6"/>
      <c r="E43" s="6"/>
      <c r="F43" s="6"/>
      <c r="G43" s="6"/>
      <c r="H43" s="6"/>
      <c r="I43" s="6"/>
      <c r="J43" s="6"/>
      <c r="K43" s="6"/>
      <c r="L43" s="6"/>
      <c r="M43" s="6"/>
      <c r="N43" s="6">
        <v>5</v>
      </c>
      <c r="O43" s="6">
        <v>96</v>
      </c>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v>2</v>
      </c>
      <c r="BU43" s="6">
        <v>35</v>
      </c>
      <c r="BV43" s="8">
        <f t="shared" si="0"/>
        <v>7</v>
      </c>
      <c r="BW43" s="8">
        <f t="shared" si="0"/>
        <v>131</v>
      </c>
      <c r="BX43" s="52"/>
      <c r="BY43" s="52"/>
      <c r="BZ43" s="52"/>
    </row>
    <row r="44" spans="1:78" s="27" customFormat="1">
      <c r="A44" s="5" t="s">
        <v>178</v>
      </c>
      <c r="B44" s="6"/>
      <c r="C44" s="6"/>
      <c r="D44" s="6"/>
      <c r="E44" s="6"/>
      <c r="F44" s="6"/>
      <c r="G44" s="6"/>
      <c r="H44" s="6"/>
      <c r="I44" s="6"/>
      <c r="J44" s="6"/>
      <c r="K44" s="6"/>
      <c r="L44" s="6"/>
      <c r="M44" s="6"/>
      <c r="N44" s="6">
        <v>2</v>
      </c>
      <c r="O44" s="6">
        <v>28</v>
      </c>
      <c r="P44" s="6"/>
      <c r="Q44" s="6"/>
      <c r="R44" s="6"/>
      <c r="S44" s="6"/>
      <c r="T44" s="6">
        <v>1</v>
      </c>
      <c r="U44" s="6">
        <v>11</v>
      </c>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v>2</v>
      </c>
      <c r="BU44" s="6">
        <v>26</v>
      </c>
      <c r="BV44" s="8">
        <f t="shared" si="0"/>
        <v>5</v>
      </c>
      <c r="BW44" s="8">
        <f t="shared" si="0"/>
        <v>65</v>
      </c>
      <c r="BX44" s="52"/>
      <c r="BY44" s="52"/>
      <c r="BZ44" s="52"/>
    </row>
    <row r="45" spans="1:78" s="27" customFormat="1">
      <c r="A45" s="5" t="s">
        <v>79</v>
      </c>
      <c r="B45" s="6">
        <v>4</v>
      </c>
      <c r="C45" s="6">
        <v>172</v>
      </c>
      <c r="D45" s="6">
        <v>8</v>
      </c>
      <c r="E45" s="6">
        <v>397</v>
      </c>
      <c r="F45" s="6">
        <v>14</v>
      </c>
      <c r="G45" s="6">
        <v>1158</v>
      </c>
      <c r="H45" s="6">
        <v>2</v>
      </c>
      <c r="I45" s="6">
        <v>177</v>
      </c>
      <c r="J45" s="6">
        <v>2</v>
      </c>
      <c r="K45" s="6">
        <v>286</v>
      </c>
      <c r="L45" s="6"/>
      <c r="M45" s="6"/>
      <c r="N45" s="6">
        <v>9</v>
      </c>
      <c r="O45" s="6">
        <v>137</v>
      </c>
      <c r="P45" s="6"/>
      <c r="Q45" s="6"/>
      <c r="R45" s="6"/>
      <c r="S45" s="6"/>
      <c r="T45" s="6"/>
      <c r="U45" s="6"/>
      <c r="V45" s="6"/>
      <c r="W45" s="6"/>
      <c r="X45" s="6"/>
      <c r="Y45" s="6"/>
      <c r="Z45" s="6">
        <v>8</v>
      </c>
      <c r="AA45" s="6">
        <v>1125</v>
      </c>
      <c r="AB45" s="6">
        <v>1</v>
      </c>
      <c r="AC45" s="6">
        <v>56</v>
      </c>
      <c r="AD45" s="6">
        <v>11</v>
      </c>
      <c r="AE45" s="6">
        <v>1501</v>
      </c>
      <c r="AF45" s="6">
        <v>2</v>
      </c>
      <c r="AG45" s="6">
        <v>448</v>
      </c>
      <c r="AH45" s="6">
        <v>4</v>
      </c>
      <c r="AI45" s="6">
        <v>549</v>
      </c>
      <c r="AJ45" s="6"/>
      <c r="AK45" s="6"/>
      <c r="AL45" s="6"/>
      <c r="AM45" s="6"/>
      <c r="AN45" s="6"/>
      <c r="AO45" s="6"/>
      <c r="AP45" s="6">
        <v>1</v>
      </c>
      <c r="AQ45" s="6">
        <v>176</v>
      </c>
      <c r="AR45" s="6"/>
      <c r="AS45" s="6"/>
      <c r="AT45" s="6">
        <v>5</v>
      </c>
      <c r="AU45" s="6">
        <v>1131</v>
      </c>
      <c r="AV45" s="6"/>
      <c r="AW45" s="6"/>
      <c r="AX45" s="6"/>
      <c r="AY45" s="6"/>
      <c r="AZ45" s="6"/>
      <c r="BA45" s="6"/>
      <c r="BB45" s="6"/>
      <c r="BC45" s="6"/>
      <c r="BD45" s="6"/>
      <c r="BE45" s="6"/>
      <c r="BF45" s="6"/>
      <c r="BG45" s="6"/>
      <c r="BH45" s="6">
        <v>2</v>
      </c>
      <c r="BI45" s="6">
        <v>78</v>
      </c>
      <c r="BJ45" s="6"/>
      <c r="BK45" s="6"/>
      <c r="BL45" s="6">
        <v>1</v>
      </c>
      <c r="BM45" s="6">
        <v>48</v>
      </c>
      <c r="BN45" s="6">
        <v>1</v>
      </c>
      <c r="BO45" s="6">
        <v>45</v>
      </c>
      <c r="BP45" s="6"/>
      <c r="BQ45" s="6"/>
      <c r="BR45" s="6">
        <v>1</v>
      </c>
      <c r="BS45" s="6">
        <v>23</v>
      </c>
      <c r="BT45" s="6">
        <v>4</v>
      </c>
      <c r="BU45" s="6">
        <v>57</v>
      </c>
      <c r="BV45" s="8">
        <f t="shared" si="0"/>
        <v>80</v>
      </c>
      <c r="BW45" s="8">
        <f t="shared" si="0"/>
        <v>7564</v>
      </c>
      <c r="BX45" s="52"/>
      <c r="BY45" s="52"/>
      <c r="BZ45" s="52"/>
    </row>
    <row r="46" spans="1:78" s="27" customFormat="1">
      <c r="A46" s="5" t="s">
        <v>80</v>
      </c>
      <c r="B46" s="6"/>
      <c r="C46" s="6"/>
      <c r="D46" s="6"/>
      <c r="E46" s="6"/>
      <c r="F46" s="6"/>
      <c r="G46" s="6"/>
      <c r="H46" s="6"/>
      <c r="I46" s="6"/>
      <c r="J46" s="6"/>
      <c r="K46" s="6"/>
      <c r="L46" s="6"/>
      <c r="M46" s="6"/>
      <c r="N46" s="6">
        <v>8</v>
      </c>
      <c r="O46" s="6">
        <v>120</v>
      </c>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v>2</v>
      </c>
      <c r="BE46" s="6">
        <v>116</v>
      </c>
      <c r="BF46" s="6"/>
      <c r="BG46" s="6"/>
      <c r="BH46" s="6"/>
      <c r="BI46" s="6"/>
      <c r="BJ46" s="6"/>
      <c r="BK46" s="6"/>
      <c r="BL46" s="6"/>
      <c r="BM46" s="6"/>
      <c r="BN46" s="6"/>
      <c r="BO46" s="6"/>
      <c r="BP46" s="6"/>
      <c r="BQ46" s="6"/>
      <c r="BR46" s="6"/>
      <c r="BS46" s="6"/>
      <c r="BT46" s="6">
        <v>1</v>
      </c>
      <c r="BU46" s="6">
        <v>18</v>
      </c>
      <c r="BV46" s="8">
        <f t="shared" si="0"/>
        <v>11</v>
      </c>
      <c r="BW46" s="8">
        <f t="shared" si="0"/>
        <v>254</v>
      </c>
      <c r="BX46" s="52"/>
      <c r="BY46" s="52"/>
      <c r="BZ46" s="52"/>
    </row>
    <row r="47" spans="1:78" s="27" customFormat="1">
      <c r="A47" s="5" t="s">
        <v>81</v>
      </c>
      <c r="B47" s="6"/>
      <c r="C47" s="6"/>
      <c r="D47" s="6"/>
      <c r="E47" s="6"/>
      <c r="F47" s="6">
        <v>1</v>
      </c>
      <c r="G47" s="6">
        <v>25</v>
      </c>
      <c r="H47" s="6"/>
      <c r="I47" s="6"/>
      <c r="J47" s="6"/>
      <c r="K47" s="6"/>
      <c r="L47" s="6"/>
      <c r="M47" s="6"/>
      <c r="N47" s="6">
        <v>3</v>
      </c>
      <c r="O47" s="6">
        <v>50</v>
      </c>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v>2</v>
      </c>
      <c r="BE47" s="6">
        <v>111</v>
      </c>
      <c r="BF47" s="6"/>
      <c r="BG47" s="6"/>
      <c r="BH47" s="6"/>
      <c r="BI47" s="6"/>
      <c r="BJ47" s="6"/>
      <c r="BK47" s="6"/>
      <c r="BL47" s="6"/>
      <c r="BM47" s="6"/>
      <c r="BN47" s="6"/>
      <c r="BO47" s="6"/>
      <c r="BP47" s="6"/>
      <c r="BQ47" s="6"/>
      <c r="BR47" s="6"/>
      <c r="BS47" s="6"/>
      <c r="BT47" s="6"/>
      <c r="BU47" s="6"/>
      <c r="BV47" s="8">
        <f t="shared" si="0"/>
        <v>6</v>
      </c>
      <c r="BW47" s="8">
        <f t="shared" si="0"/>
        <v>186</v>
      </c>
      <c r="BX47" s="52"/>
      <c r="BY47" s="52"/>
      <c r="BZ47" s="52"/>
    </row>
    <row r="48" spans="1:78" s="27" customFormat="1">
      <c r="A48" s="5" t="s">
        <v>179</v>
      </c>
      <c r="B48" s="6">
        <v>5</v>
      </c>
      <c r="C48" s="6">
        <v>204</v>
      </c>
      <c r="D48" s="6">
        <v>2</v>
      </c>
      <c r="E48" s="6">
        <v>75</v>
      </c>
      <c r="F48" s="6">
        <v>3</v>
      </c>
      <c r="G48" s="6">
        <v>109</v>
      </c>
      <c r="H48" s="6"/>
      <c r="I48" s="6"/>
      <c r="J48" s="6">
        <v>2</v>
      </c>
      <c r="K48" s="6">
        <v>82</v>
      </c>
      <c r="L48" s="6"/>
      <c r="M48" s="6"/>
      <c r="N48" s="6">
        <v>3</v>
      </c>
      <c r="O48" s="6">
        <v>50</v>
      </c>
      <c r="P48" s="6"/>
      <c r="Q48" s="6"/>
      <c r="R48" s="6"/>
      <c r="S48" s="6"/>
      <c r="T48" s="6"/>
      <c r="U48" s="6"/>
      <c r="V48" s="6"/>
      <c r="W48" s="6"/>
      <c r="X48" s="6"/>
      <c r="Y48" s="6"/>
      <c r="Z48" s="6">
        <v>5</v>
      </c>
      <c r="AA48" s="6">
        <v>1118</v>
      </c>
      <c r="AB48" s="6"/>
      <c r="AC48" s="6"/>
      <c r="AD48" s="6">
        <v>5</v>
      </c>
      <c r="AE48" s="6">
        <v>1583</v>
      </c>
      <c r="AF48" s="6">
        <v>3</v>
      </c>
      <c r="AG48" s="6">
        <v>493</v>
      </c>
      <c r="AH48" s="6">
        <v>1</v>
      </c>
      <c r="AI48" s="6">
        <v>102</v>
      </c>
      <c r="AJ48" s="6"/>
      <c r="AK48" s="6"/>
      <c r="AL48" s="6"/>
      <c r="AM48" s="6"/>
      <c r="AN48" s="6"/>
      <c r="AO48" s="6"/>
      <c r="AP48" s="6"/>
      <c r="AQ48" s="6"/>
      <c r="AR48" s="6"/>
      <c r="AS48" s="6"/>
      <c r="AT48" s="6">
        <v>1</v>
      </c>
      <c r="AU48" s="6">
        <v>156</v>
      </c>
      <c r="AV48" s="6"/>
      <c r="AW48" s="6"/>
      <c r="AX48" s="6"/>
      <c r="AY48" s="6"/>
      <c r="AZ48" s="6"/>
      <c r="BA48" s="6"/>
      <c r="BB48" s="6"/>
      <c r="BC48" s="6"/>
      <c r="BD48" s="6">
        <v>1</v>
      </c>
      <c r="BE48" s="6">
        <v>34</v>
      </c>
      <c r="BF48" s="6">
        <v>3</v>
      </c>
      <c r="BG48" s="6">
        <v>83</v>
      </c>
      <c r="BH48" s="6">
        <v>1</v>
      </c>
      <c r="BI48" s="6">
        <v>15</v>
      </c>
      <c r="BJ48" s="6"/>
      <c r="BK48" s="6"/>
      <c r="BL48" s="6"/>
      <c r="BM48" s="6"/>
      <c r="BN48" s="6"/>
      <c r="BO48" s="6"/>
      <c r="BP48" s="6"/>
      <c r="BQ48" s="6"/>
      <c r="BR48" s="6"/>
      <c r="BS48" s="6"/>
      <c r="BT48" s="6">
        <v>1</v>
      </c>
      <c r="BU48" s="6">
        <v>10</v>
      </c>
      <c r="BV48" s="8">
        <f t="shared" si="0"/>
        <v>36</v>
      </c>
      <c r="BW48" s="8">
        <f t="shared" si="0"/>
        <v>4114</v>
      </c>
      <c r="BX48" s="52"/>
      <c r="BY48" s="52"/>
      <c r="BZ48" s="52"/>
    </row>
    <row r="49" spans="1:78" s="27" customFormat="1">
      <c r="A49" s="5" t="s">
        <v>261</v>
      </c>
      <c r="B49" s="6"/>
      <c r="C49" s="6"/>
      <c r="D49" s="6"/>
      <c r="E49" s="6"/>
      <c r="F49" s="6"/>
      <c r="G49" s="6"/>
      <c r="H49" s="6"/>
      <c r="I49" s="6"/>
      <c r="J49" s="6"/>
      <c r="K49" s="6"/>
      <c r="L49" s="6"/>
      <c r="M49" s="6"/>
      <c r="N49" s="6">
        <v>3</v>
      </c>
      <c r="O49" s="6">
        <v>80</v>
      </c>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8">
        <f t="shared" si="0"/>
        <v>3</v>
      </c>
      <c r="BW49" s="8">
        <f t="shared" si="0"/>
        <v>80</v>
      </c>
      <c r="BX49" s="52"/>
      <c r="BY49" s="52"/>
      <c r="BZ49" s="52"/>
    </row>
    <row r="50" spans="1:78" s="27" customFormat="1">
      <c r="A50" s="5" t="s">
        <v>180</v>
      </c>
      <c r="B50" s="6">
        <v>2</v>
      </c>
      <c r="C50" s="6">
        <v>70</v>
      </c>
      <c r="D50" s="6">
        <v>6</v>
      </c>
      <c r="E50" s="6">
        <v>450</v>
      </c>
      <c r="F50" s="6">
        <v>6</v>
      </c>
      <c r="G50" s="6">
        <v>444</v>
      </c>
      <c r="H50" s="6"/>
      <c r="I50" s="6"/>
      <c r="J50" s="6"/>
      <c r="K50" s="6"/>
      <c r="L50" s="6"/>
      <c r="M50" s="6"/>
      <c r="N50" s="6">
        <v>10</v>
      </c>
      <c r="O50" s="6">
        <v>255</v>
      </c>
      <c r="P50" s="6">
        <v>3</v>
      </c>
      <c r="Q50" s="6">
        <v>128</v>
      </c>
      <c r="R50" s="6"/>
      <c r="S50" s="6"/>
      <c r="T50" s="6"/>
      <c r="U50" s="6"/>
      <c r="V50" s="6"/>
      <c r="W50" s="6"/>
      <c r="X50" s="6">
        <v>3</v>
      </c>
      <c r="Y50" s="6">
        <v>544</v>
      </c>
      <c r="Z50" s="6">
        <v>11</v>
      </c>
      <c r="AA50" s="6">
        <v>2364</v>
      </c>
      <c r="AB50" s="6"/>
      <c r="AC50" s="6"/>
      <c r="AD50" s="6">
        <v>20</v>
      </c>
      <c r="AE50" s="6">
        <v>7478</v>
      </c>
      <c r="AF50" s="6">
        <v>2</v>
      </c>
      <c r="AG50" s="6">
        <v>673</v>
      </c>
      <c r="AH50" s="6">
        <v>3</v>
      </c>
      <c r="AI50" s="6">
        <v>1042</v>
      </c>
      <c r="AJ50" s="6"/>
      <c r="AK50" s="6"/>
      <c r="AL50" s="6"/>
      <c r="AM50" s="6"/>
      <c r="AN50" s="6">
        <v>1</v>
      </c>
      <c r="AO50" s="6">
        <v>248</v>
      </c>
      <c r="AP50" s="6">
        <v>7</v>
      </c>
      <c r="AQ50" s="6">
        <v>2938</v>
      </c>
      <c r="AR50" s="6"/>
      <c r="AS50" s="6"/>
      <c r="AT50" s="6">
        <v>18</v>
      </c>
      <c r="AU50" s="6">
        <v>9384</v>
      </c>
      <c r="AV50" s="6"/>
      <c r="AW50" s="6"/>
      <c r="AX50" s="6"/>
      <c r="AY50" s="6"/>
      <c r="AZ50" s="6"/>
      <c r="BA50" s="6"/>
      <c r="BB50" s="6"/>
      <c r="BC50" s="6"/>
      <c r="BD50" s="6">
        <v>1</v>
      </c>
      <c r="BE50" s="6">
        <v>104</v>
      </c>
      <c r="BF50" s="6"/>
      <c r="BG50" s="6"/>
      <c r="BH50" s="6">
        <v>2</v>
      </c>
      <c r="BI50" s="6">
        <v>111</v>
      </c>
      <c r="BJ50" s="6"/>
      <c r="BK50" s="6"/>
      <c r="BL50" s="6"/>
      <c r="BM50" s="6"/>
      <c r="BN50" s="6"/>
      <c r="BO50" s="6"/>
      <c r="BP50" s="6"/>
      <c r="BQ50" s="6"/>
      <c r="BR50" s="6"/>
      <c r="BS50" s="6"/>
      <c r="BT50" s="6">
        <v>1</v>
      </c>
      <c r="BU50" s="6">
        <v>8</v>
      </c>
      <c r="BV50" s="8">
        <f t="shared" si="0"/>
        <v>96</v>
      </c>
      <c r="BW50" s="8">
        <f t="shared" si="0"/>
        <v>26241</v>
      </c>
      <c r="BX50" s="52"/>
      <c r="BY50" s="52"/>
      <c r="BZ50" s="52"/>
    </row>
    <row r="51" spans="1:78" s="27" customFormat="1">
      <c r="A51" s="5" t="s">
        <v>84</v>
      </c>
      <c r="B51" s="6"/>
      <c r="C51" s="6"/>
      <c r="D51" s="6"/>
      <c r="E51" s="6"/>
      <c r="F51" s="6"/>
      <c r="G51" s="6"/>
      <c r="H51" s="6"/>
      <c r="I51" s="6"/>
      <c r="J51" s="6"/>
      <c r="K51" s="6"/>
      <c r="L51" s="6"/>
      <c r="M51" s="6"/>
      <c r="N51" s="6">
        <v>1</v>
      </c>
      <c r="O51" s="6">
        <v>12</v>
      </c>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8">
        <f t="shared" si="0"/>
        <v>1</v>
      </c>
      <c r="BW51" s="8">
        <f t="shared" si="0"/>
        <v>12</v>
      </c>
      <c r="BX51" s="52"/>
      <c r="BY51" s="52"/>
      <c r="BZ51" s="52"/>
    </row>
    <row r="52" spans="1:78" s="27" customFormat="1">
      <c r="A52" s="5" t="s">
        <v>85</v>
      </c>
      <c r="B52" s="6">
        <v>3</v>
      </c>
      <c r="C52" s="6">
        <v>178</v>
      </c>
      <c r="D52" s="6">
        <v>4</v>
      </c>
      <c r="E52" s="6">
        <v>211</v>
      </c>
      <c r="F52" s="6">
        <v>3</v>
      </c>
      <c r="G52" s="6">
        <v>140</v>
      </c>
      <c r="H52" s="6"/>
      <c r="I52" s="6"/>
      <c r="J52" s="6"/>
      <c r="K52" s="6"/>
      <c r="L52" s="6"/>
      <c r="M52" s="6"/>
      <c r="N52" s="6">
        <v>7</v>
      </c>
      <c r="O52" s="6">
        <v>165</v>
      </c>
      <c r="P52" s="6"/>
      <c r="Q52" s="6"/>
      <c r="R52" s="6"/>
      <c r="S52" s="6"/>
      <c r="T52" s="6"/>
      <c r="U52" s="6"/>
      <c r="V52" s="6">
        <v>1</v>
      </c>
      <c r="W52" s="6">
        <v>117</v>
      </c>
      <c r="X52" s="6">
        <v>4</v>
      </c>
      <c r="Y52" s="6">
        <v>287</v>
      </c>
      <c r="Z52" s="6">
        <v>9</v>
      </c>
      <c r="AA52" s="6">
        <v>2361</v>
      </c>
      <c r="AB52" s="6">
        <v>1</v>
      </c>
      <c r="AC52" s="6">
        <v>329</v>
      </c>
      <c r="AD52" s="6">
        <v>10</v>
      </c>
      <c r="AE52" s="6">
        <v>3538</v>
      </c>
      <c r="AF52" s="6"/>
      <c r="AG52" s="6"/>
      <c r="AH52" s="6"/>
      <c r="AI52" s="6"/>
      <c r="AJ52" s="6"/>
      <c r="AK52" s="6"/>
      <c r="AL52" s="6"/>
      <c r="AM52" s="6"/>
      <c r="AN52" s="6"/>
      <c r="AO52" s="6"/>
      <c r="AP52" s="6">
        <v>1</v>
      </c>
      <c r="AQ52" s="6">
        <v>117</v>
      </c>
      <c r="AR52" s="6">
        <v>1</v>
      </c>
      <c r="AS52" s="6">
        <v>81</v>
      </c>
      <c r="AT52" s="6">
        <v>14</v>
      </c>
      <c r="AU52" s="6">
        <v>5712</v>
      </c>
      <c r="AV52" s="6"/>
      <c r="AW52" s="6"/>
      <c r="AX52" s="6"/>
      <c r="AY52" s="6"/>
      <c r="AZ52" s="6"/>
      <c r="BA52" s="6"/>
      <c r="BB52" s="6"/>
      <c r="BC52" s="6"/>
      <c r="BD52" s="6">
        <v>1</v>
      </c>
      <c r="BE52" s="6">
        <v>50</v>
      </c>
      <c r="BF52" s="6"/>
      <c r="BG52" s="6"/>
      <c r="BH52" s="6"/>
      <c r="BI52" s="6"/>
      <c r="BJ52" s="6">
        <v>1</v>
      </c>
      <c r="BK52" s="6">
        <v>142</v>
      </c>
      <c r="BL52" s="6">
        <v>1</v>
      </c>
      <c r="BM52" s="6">
        <v>48</v>
      </c>
      <c r="BN52" s="6"/>
      <c r="BO52" s="6"/>
      <c r="BP52" s="6"/>
      <c r="BQ52" s="6"/>
      <c r="BR52" s="6"/>
      <c r="BS52" s="6"/>
      <c r="BT52" s="6">
        <v>1</v>
      </c>
      <c r="BU52" s="6">
        <v>16</v>
      </c>
      <c r="BV52" s="8">
        <f t="shared" si="0"/>
        <v>62</v>
      </c>
      <c r="BW52" s="8">
        <f t="shared" si="0"/>
        <v>13492</v>
      </c>
      <c r="BX52" s="52"/>
      <c r="BY52" s="52"/>
      <c r="BZ52" s="52"/>
    </row>
    <row r="53" spans="1:78" s="27" customFormat="1">
      <c r="A53" s="5" t="s">
        <v>86</v>
      </c>
      <c r="B53" s="6"/>
      <c r="C53" s="6"/>
      <c r="D53" s="6"/>
      <c r="E53" s="6"/>
      <c r="F53" s="6"/>
      <c r="G53" s="6"/>
      <c r="H53" s="6"/>
      <c r="I53" s="6"/>
      <c r="J53" s="6"/>
      <c r="K53" s="6"/>
      <c r="L53" s="6"/>
      <c r="M53" s="6"/>
      <c r="N53" s="6">
        <v>6</v>
      </c>
      <c r="O53" s="6">
        <v>92</v>
      </c>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v>1</v>
      </c>
      <c r="BE53" s="6">
        <v>41</v>
      </c>
      <c r="BF53" s="6"/>
      <c r="BG53" s="6"/>
      <c r="BH53" s="6"/>
      <c r="BI53" s="6"/>
      <c r="BJ53" s="6"/>
      <c r="BK53" s="6"/>
      <c r="BL53" s="6"/>
      <c r="BM53" s="6"/>
      <c r="BN53" s="6"/>
      <c r="BO53" s="6"/>
      <c r="BP53" s="6"/>
      <c r="BQ53" s="6"/>
      <c r="BR53" s="6"/>
      <c r="BS53" s="6"/>
      <c r="BT53" s="6"/>
      <c r="BU53" s="6"/>
      <c r="BV53" s="8">
        <f t="shared" si="0"/>
        <v>7</v>
      </c>
      <c r="BW53" s="8">
        <f t="shared" si="0"/>
        <v>133</v>
      </c>
      <c r="BX53" s="52"/>
      <c r="BY53" s="52"/>
      <c r="BZ53" s="52"/>
    </row>
    <row r="54" spans="1:78" s="27" customFormat="1">
      <c r="A54" s="5" t="s">
        <v>87</v>
      </c>
      <c r="B54" s="6">
        <v>4</v>
      </c>
      <c r="C54" s="6">
        <v>103</v>
      </c>
      <c r="D54" s="6">
        <v>13</v>
      </c>
      <c r="E54" s="6">
        <v>1449</v>
      </c>
      <c r="F54" s="6">
        <v>10</v>
      </c>
      <c r="G54" s="6">
        <v>1379</v>
      </c>
      <c r="H54" s="6"/>
      <c r="I54" s="6"/>
      <c r="J54" s="6"/>
      <c r="K54" s="6"/>
      <c r="L54" s="6"/>
      <c r="M54" s="6"/>
      <c r="N54" s="6">
        <v>6</v>
      </c>
      <c r="O54" s="6">
        <v>126</v>
      </c>
      <c r="P54" s="6">
        <v>2</v>
      </c>
      <c r="Q54" s="6">
        <v>70</v>
      </c>
      <c r="R54" s="6"/>
      <c r="S54" s="6"/>
      <c r="T54" s="6">
        <v>2</v>
      </c>
      <c r="U54" s="6">
        <v>70</v>
      </c>
      <c r="V54" s="6">
        <v>2</v>
      </c>
      <c r="W54" s="6">
        <v>182</v>
      </c>
      <c r="X54" s="6">
        <v>3</v>
      </c>
      <c r="Y54" s="6">
        <v>215</v>
      </c>
      <c r="Z54" s="6">
        <v>11</v>
      </c>
      <c r="AA54" s="6">
        <v>2366</v>
      </c>
      <c r="AB54" s="6">
        <v>1</v>
      </c>
      <c r="AC54" s="6">
        <v>68</v>
      </c>
      <c r="AD54" s="6">
        <v>6</v>
      </c>
      <c r="AE54" s="6">
        <v>1688</v>
      </c>
      <c r="AF54" s="6">
        <v>2</v>
      </c>
      <c r="AG54" s="6">
        <v>445</v>
      </c>
      <c r="AH54" s="6">
        <v>2</v>
      </c>
      <c r="AI54" s="6">
        <v>823</v>
      </c>
      <c r="AJ54" s="6"/>
      <c r="AK54" s="6"/>
      <c r="AL54" s="6"/>
      <c r="AM54" s="6"/>
      <c r="AN54" s="6"/>
      <c r="AO54" s="6"/>
      <c r="AP54" s="6">
        <v>9</v>
      </c>
      <c r="AQ54" s="6">
        <v>3265</v>
      </c>
      <c r="AR54" s="6">
        <v>3</v>
      </c>
      <c r="AS54" s="6">
        <v>560</v>
      </c>
      <c r="AT54" s="6">
        <v>4</v>
      </c>
      <c r="AU54" s="6">
        <v>2976</v>
      </c>
      <c r="AV54" s="6">
        <v>1</v>
      </c>
      <c r="AW54" s="6">
        <v>378</v>
      </c>
      <c r="AX54" s="6">
        <v>1</v>
      </c>
      <c r="AY54" s="6">
        <v>94</v>
      </c>
      <c r="AZ54" s="6"/>
      <c r="BA54" s="6"/>
      <c r="BB54" s="6"/>
      <c r="BC54" s="6"/>
      <c r="BD54" s="6"/>
      <c r="BE54" s="6"/>
      <c r="BF54" s="6">
        <v>5</v>
      </c>
      <c r="BG54" s="6">
        <v>132</v>
      </c>
      <c r="BH54" s="6">
        <v>4</v>
      </c>
      <c r="BI54" s="6">
        <v>195</v>
      </c>
      <c r="BJ54" s="6"/>
      <c r="BK54" s="6"/>
      <c r="BL54" s="6">
        <v>7</v>
      </c>
      <c r="BM54" s="6">
        <v>239</v>
      </c>
      <c r="BN54" s="6">
        <v>5</v>
      </c>
      <c r="BO54" s="6">
        <v>119</v>
      </c>
      <c r="BP54" s="6"/>
      <c r="BQ54" s="6"/>
      <c r="BR54" s="6"/>
      <c r="BS54" s="6"/>
      <c r="BT54" s="6">
        <v>3</v>
      </c>
      <c r="BU54" s="6">
        <v>43</v>
      </c>
      <c r="BV54" s="8">
        <f t="shared" si="0"/>
        <v>106</v>
      </c>
      <c r="BW54" s="8">
        <f t="shared" si="0"/>
        <v>16985</v>
      </c>
      <c r="BX54" s="52"/>
      <c r="BY54" s="52"/>
      <c r="BZ54" s="52"/>
    </row>
    <row r="55" spans="1:78" s="27" customFormat="1">
      <c r="A55" s="5" t="s">
        <v>88</v>
      </c>
      <c r="B55" s="6"/>
      <c r="C55" s="6"/>
      <c r="D55" s="6"/>
      <c r="E55" s="6"/>
      <c r="F55" s="6"/>
      <c r="G55" s="6"/>
      <c r="H55" s="6"/>
      <c r="I55" s="6"/>
      <c r="J55" s="6"/>
      <c r="K55" s="6"/>
      <c r="L55" s="6"/>
      <c r="M55" s="6"/>
      <c r="N55" s="6">
        <v>9</v>
      </c>
      <c r="O55" s="6">
        <v>207</v>
      </c>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v>10</v>
      </c>
      <c r="BU55" s="6">
        <v>153</v>
      </c>
      <c r="BV55" s="8">
        <f t="shared" si="0"/>
        <v>19</v>
      </c>
      <c r="BW55" s="8">
        <f t="shared" si="0"/>
        <v>360</v>
      </c>
      <c r="BX55" s="52"/>
      <c r="BY55" s="52"/>
      <c r="BZ55" s="52"/>
    </row>
    <row r="56" spans="1:78" s="27" customFormat="1">
      <c r="A56" s="5" t="s">
        <v>89</v>
      </c>
      <c r="B56" s="6"/>
      <c r="C56" s="6"/>
      <c r="D56" s="6"/>
      <c r="E56" s="6"/>
      <c r="F56" s="6"/>
      <c r="G56" s="6"/>
      <c r="H56" s="6"/>
      <c r="I56" s="6"/>
      <c r="J56" s="6"/>
      <c r="K56" s="6"/>
      <c r="L56" s="6"/>
      <c r="M56" s="6"/>
      <c r="N56" s="6">
        <v>6</v>
      </c>
      <c r="O56" s="6">
        <v>90</v>
      </c>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v>1</v>
      </c>
      <c r="BE56" s="6">
        <v>39</v>
      </c>
      <c r="BF56" s="6"/>
      <c r="BG56" s="6"/>
      <c r="BH56" s="6"/>
      <c r="BI56" s="6"/>
      <c r="BJ56" s="6"/>
      <c r="BK56" s="6"/>
      <c r="BL56" s="6"/>
      <c r="BM56" s="6"/>
      <c r="BN56" s="6"/>
      <c r="BO56" s="6"/>
      <c r="BP56" s="6"/>
      <c r="BQ56" s="6"/>
      <c r="BR56" s="6"/>
      <c r="BS56" s="6"/>
      <c r="BT56" s="6">
        <v>2</v>
      </c>
      <c r="BU56" s="6">
        <v>24</v>
      </c>
      <c r="BV56" s="8">
        <f t="shared" si="0"/>
        <v>9</v>
      </c>
      <c r="BW56" s="8">
        <f t="shared" si="0"/>
        <v>153</v>
      </c>
      <c r="BX56" s="52"/>
      <c r="BY56" s="52"/>
      <c r="BZ56" s="52"/>
    </row>
    <row r="57" spans="1:78" s="27" customFormat="1">
      <c r="A57" s="5" t="s">
        <v>91</v>
      </c>
      <c r="B57" s="6"/>
      <c r="C57" s="6"/>
      <c r="D57" s="6"/>
      <c r="E57" s="6"/>
      <c r="F57" s="6"/>
      <c r="G57" s="6"/>
      <c r="H57" s="6"/>
      <c r="I57" s="6"/>
      <c r="J57" s="6"/>
      <c r="K57" s="6"/>
      <c r="L57" s="6"/>
      <c r="M57" s="6"/>
      <c r="N57" s="6">
        <v>1</v>
      </c>
      <c r="O57" s="6">
        <v>24</v>
      </c>
      <c r="P57" s="6"/>
      <c r="Q57" s="6"/>
      <c r="R57" s="6"/>
      <c r="S57" s="6"/>
      <c r="T57" s="6"/>
      <c r="U57" s="6"/>
      <c r="V57" s="6"/>
      <c r="W57" s="6"/>
      <c r="X57" s="6"/>
      <c r="Y57" s="6"/>
      <c r="Z57" s="6"/>
      <c r="AA57" s="6"/>
      <c r="AB57" s="6"/>
      <c r="AC57" s="6"/>
      <c r="AD57" s="6">
        <v>1</v>
      </c>
      <c r="AE57" s="6">
        <v>16</v>
      </c>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v>8</v>
      </c>
      <c r="BU57" s="6">
        <v>109</v>
      </c>
      <c r="BV57" s="8">
        <f t="shared" si="0"/>
        <v>10</v>
      </c>
      <c r="BW57" s="8">
        <f t="shared" si="0"/>
        <v>149</v>
      </c>
      <c r="BX57" s="52"/>
      <c r="BY57" s="52"/>
      <c r="BZ57" s="52"/>
    </row>
    <row r="58" spans="1:78" s="27" customFormat="1">
      <c r="A58" s="5" t="s">
        <v>92</v>
      </c>
      <c r="B58" s="6"/>
      <c r="C58" s="6"/>
      <c r="D58" s="6"/>
      <c r="E58" s="6"/>
      <c r="F58" s="6"/>
      <c r="G58" s="6"/>
      <c r="H58" s="6">
        <v>1</v>
      </c>
      <c r="I58" s="6">
        <v>82</v>
      </c>
      <c r="J58" s="6">
        <v>1</v>
      </c>
      <c r="K58" s="6">
        <v>39</v>
      </c>
      <c r="L58" s="6"/>
      <c r="M58" s="6"/>
      <c r="N58" s="6">
        <v>12</v>
      </c>
      <c r="O58" s="6">
        <v>221</v>
      </c>
      <c r="P58" s="6">
        <v>1</v>
      </c>
      <c r="Q58" s="6">
        <v>15</v>
      </c>
      <c r="R58" s="6"/>
      <c r="S58" s="6"/>
      <c r="T58" s="6"/>
      <c r="U58" s="6"/>
      <c r="V58" s="6">
        <v>1</v>
      </c>
      <c r="W58" s="6">
        <v>85</v>
      </c>
      <c r="X58" s="6">
        <v>1</v>
      </c>
      <c r="Y58" s="6">
        <v>72</v>
      </c>
      <c r="Z58" s="6">
        <v>1</v>
      </c>
      <c r="AA58" s="6">
        <v>207</v>
      </c>
      <c r="AB58" s="6"/>
      <c r="AC58" s="6"/>
      <c r="AD58" s="6">
        <v>8</v>
      </c>
      <c r="AE58" s="6">
        <v>1263</v>
      </c>
      <c r="AF58" s="6">
        <v>3</v>
      </c>
      <c r="AG58" s="6">
        <v>349</v>
      </c>
      <c r="AH58" s="6">
        <v>1</v>
      </c>
      <c r="AI58" s="6">
        <v>74</v>
      </c>
      <c r="AJ58" s="6">
        <v>1</v>
      </c>
      <c r="AK58" s="6">
        <v>246</v>
      </c>
      <c r="AL58" s="6"/>
      <c r="AM58" s="6"/>
      <c r="AN58" s="6"/>
      <c r="AO58" s="6"/>
      <c r="AP58" s="6"/>
      <c r="AQ58" s="6"/>
      <c r="AR58" s="6"/>
      <c r="AS58" s="6"/>
      <c r="AT58" s="6">
        <v>1</v>
      </c>
      <c r="AU58" s="6">
        <v>208</v>
      </c>
      <c r="AV58" s="6"/>
      <c r="AW58" s="6"/>
      <c r="AX58" s="6"/>
      <c r="AY58" s="6"/>
      <c r="AZ58" s="6"/>
      <c r="BA58" s="6"/>
      <c r="BB58" s="6"/>
      <c r="BC58" s="6"/>
      <c r="BD58" s="6">
        <v>1</v>
      </c>
      <c r="BE58" s="6">
        <v>64</v>
      </c>
      <c r="BF58" s="6">
        <v>2</v>
      </c>
      <c r="BG58" s="6">
        <v>86</v>
      </c>
      <c r="BH58" s="6">
        <v>1</v>
      </c>
      <c r="BI58" s="6">
        <v>50</v>
      </c>
      <c r="BJ58" s="6"/>
      <c r="BK58" s="6"/>
      <c r="BL58" s="6"/>
      <c r="BM58" s="6"/>
      <c r="BN58" s="6"/>
      <c r="BO58" s="6"/>
      <c r="BP58" s="6"/>
      <c r="BQ58" s="6"/>
      <c r="BR58" s="6"/>
      <c r="BS58" s="6"/>
      <c r="BT58" s="6">
        <v>17</v>
      </c>
      <c r="BU58" s="6">
        <v>269</v>
      </c>
      <c r="BV58" s="8">
        <f t="shared" si="0"/>
        <v>53</v>
      </c>
      <c r="BW58" s="8">
        <f t="shared" si="0"/>
        <v>3330</v>
      </c>
      <c r="BX58" s="52"/>
      <c r="BY58" s="52"/>
      <c r="BZ58" s="52"/>
    </row>
    <row r="59" spans="1:78" s="27" customFormat="1">
      <c r="A59" s="5" t="s">
        <v>93</v>
      </c>
      <c r="B59" s="6">
        <v>8</v>
      </c>
      <c r="C59" s="6">
        <v>374</v>
      </c>
      <c r="D59" s="6">
        <v>8</v>
      </c>
      <c r="E59" s="6">
        <v>741</v>
      </c>
      <c r="F59" s="6">
        <v>4</v>
      </c>
      <c r="G59" s="6">
        <v>664</v>
      </c>
      <c r="H59" s="6"/>
      <c r="I59" s="6"/>
      <c r="J59" s="6">
        <v>1</v>
      </c>
      <c r="K59" s="6">
        <v>18</v>
      </c>
      <c r="L59" s="6"/>
      <c r="M59" s="6"/>
      <c r="N59" s="6">
        <v>4</v>
      </c>
      <c r="O59" s="6">
        <v>116</v>
      </c>
      <c r="P59" s="6">
        <v>1</v>
      </c>
      <c r="Q59" s="6">
        <v>20</v>
      </c>
      <c r="R59" s="6"/>
      <c r="S59" s="6"/>
      <c r="T59" s="6"/>
      <c r="U59" s="6"/>
      <c r="V59" s="6">
        <v>1</v>
      </c>
      <c r="W59" s="6">
        <v>183</v>
      </c>
      <c r="X59" s="6">
        <v>1</v>
      </c>
      <c r="Y59" s="6">
        <v>42</v>
      </c>
      <c r="Z59" s="6">
        <v>6</v>
      </c>
      <c r="AA59" s="6">
        <v>1045</v>
      </c>
      <c r="AB59" s="6"/>
      <c r="AC59" s="6"/>
      <c r="AD59" s="6">
        <v>14</v>
      </c>
      <c r="AE59" s="6">
        <v>3392</v>
      </c>
      <c r="AF59" s="6">
        <v>1</v>
      </c>
      <c r="AG59" s="6">
        <v>214</v>
      </c>
      <c r="AH59" s="6"/>
      <c r="AI59" s="6"/>
      <c r="AJ59" s="6"/>
      <c r="AK59" s="6"/>
      <c r="AL59" s="6"/>
      <c r="AM59" s="6"/>
      <c r="AN59" s="6"/>
      <c r="AO59" s="6"/>
      <c r="AP59" s="6">
        <v>4</v>
      </c>
      <c r="AQ59" s="6">
        <v>1210</v>
      </c>
      <c r="AR59" s="6"/>
      <c r="AS59" s="6"/>
      <c r="AT59" s="6">
        <v>9</v>
      </c>
      <c r="AU59" s="6">
        <v>3288</v>
      </c>
      <c r="AV59" s="6"/>
      <c r="AW59" s="6"/>
      <c r="AX59" s="6">
        <v>1</v>
      </c>
      <c r="AY59" s="6">
        <v>136</v>
      </c>
      <c r="AZ59" s="6"/>
      <c r="BA59" s="6"/>
      <c r="BB59" s="6"/>
      <c r="BC59" s="6"/>
      <c r="BD59" s="6">
        <v>1</v>
      </c>
      <c r="BE59" s="6">
        <v>45</v>
      </c>
      <c r="BF59" s="6"/>
      <c r="BG59" s="6"/>
      <c r="BH59" s="6">
        <v>1</v>
      </c>
      <c r="BI59" s="6">
        <v>80</v>
      </c>
      <c r="BJ59" s="6"/>
      <c r="BK59" s="6"/>
      <c r="BL59" s="6">
        <v>3</v>
      </c>
      <c r="BM59" s="6">
        <v>101</v>
      </c>
      <c r="BN59" s="6">
        <v>2</v>
      </c>
      <c r="BO59" s="6">
        <v>114</v>
      </c>
      <c r="BP59" s="6"/>
      <c r="BQ59" s="6"/>
      <c r="BR59" s="6"/>
      <c r="BS59" s="6"/>
      <c r="BT59" s="6">
        <v>1</v>
      </c>
      <c r="BU59" s="6">
        <v>14</v>
      </c>
      <c r="BV59" s="8">
        <f t="shared" si="0"/>
        <v>71</v>
      </c>
      <c r="BW59" s="8">
        <f t="shared" si="0"/>
        <v>11797</v>
      </c>
      <c r="BX59" s="52"/>
      <c r="BY59" s="52"/>
      <c r="BZ59" s="52"/>
    </row>
    <row r="60" spans="1:78" s="27" customFormat="1">
      <c r="A60" s="5" t="s">
        <v>94</v>
      </c>
      <c r="B60" s="6"/>
      <c r="C60" s="6"/>
      <c r="D60" s="6"/>
      <c r="E60" s="6"/>
      <c r="F60" s="6"/>
      <c r="G60" s="6"/>
      <c r="H60" s="6"/>
      <c r="I60" s="6"/>
      <c r="J60" s="6"/>
      <c r="K60" s="6"/>
      <c r="L60" s="6"/>
      <c r="M60" s="6"/>
      <c r="N60" s="6">
        <v>5</v>
      </c>
      <c r="O60" s="6">
        <v>87</v>
      </c>
      <c r="P60" s="6"/>
      <c r="Q60" s="6"/>
      <c r="R60" s="6"/>
      <c r="S60" s="6"/>
      <c r="T60" s="6"/>
      <c r="U60" s="6"/>
      <c r="V60" s="6"/>
      <c r="W60" s="6"/>
      <c r="X60" s="6"/>
      <c r="Y60" s="6"/>
      <c r="Z60" s="6"/>
      <c r="AA60" s="6"/>
      <c r="AB60" s="6"/>
      <c r="AC60" s="6"/>
      <c r="AD60" s="6">
        <v>2</v>
      </c>
      <c r="AE60" s="6">
        <v>118</v>
      </c>
      <c r="AF60" s="6"/>
      <c r="AG60" s="6"/>
      <c r="AH60" s="6"/>
      <c r="AI60" s="6"/>
      <c r="AJ60" s="6"/>
      <c r="AK60" s="6"/>
      <c r="AL60" s="6"/>
      <c r="AM60" s="6"/>
      <c r="AN60" s="6"/>
      <c r="AO60" s="6"/>
      <c r="AP60" s="6"/>
      <c r="AQ60" s="6"/>
      <c r="AR60" s="6"/>
      <c r="AS60" s="6"/>
      <c r="AT60" s="6"/>
      <c r="AU60" s="6"/>
      <c r="AV60" s="6"/>
      <c r="AW60" s="6"/>
      <c r="AX60" s="6"/>
      <c r="AY60" s="6"/>
      <c r="AZ60" s="6"/>
      <c r="BA60" s="6"/>
      <c r="BB60" s="6"/>
      <c r="BC60" s="6"/>
      <c r="BD60" s="6">
        <v>1</v>
      </c>
      <c r="BE60" s="6">
        <v>32</v>
      </c>
      <c r="BF60" s="6"/>
      <c r="BG60" s="6"/>
      <c r="BH60" s="6"/>
      <c r="BI60" s="6"/>
      <c r="BJ60" s="6"/>
      <c r="BK60" s="6"/>
      <c r="BL60" s="6"/>
      <c r="BM60" s="6"/>
      <c r="BN60" s="6"/>
      <c r="BO60" s="6"/>
      <c r="BP60" s="6"/>
      <c r="BQ60" s="6"/>
      <c r="BR60" s="6"/>
      <c r="BS60" s="6"/>
      <c r="BT60" s="6">
        <v>7</v>
      </c>
      <c r="BU60" s="6">
        <v>99</v>
      </c>
      <c r="BV60" s="8">
        <f t="shared" si="0"/>
        <v>15</v>
      </c>
      <c r="BW60" s="8">
        <f t="shared" si="0"/>
        <v>336</v>
      </c>
      <c r="BX60" s="52"/>
      <c r="BY60" s="52"/>
      <c r="BZ60" s="52"/>
    </row>
    <row r="61" spans="1:78" s="27" customFormat="1">
      <c r="A61" s="5" t="s">
        <v>95</v>
      </c>
      <c r="B61" s="6"/>
      <c r="C61" s="6"/>
      <c r="D61" s="6"/>
      <c r="E61" s="6"/>
      <c r="F61" s="6"/>
      <c r="G61" s="6"/>
      <c r="H61" s="6"/>
      <c r="I61" s="6"/>
      <c r="J61" s="6"/>
      <c r="K61" s="6"/>
      <c r="L61" s="6"/>
      <c r="M61" s="6"/>
      <c r="N61" s="6">
        <v>1</v>
      </c>
      <c r="O61" s="6">
        <v>20</v>
      </c>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v>1</v>
      </c>
      <c r="BE61" s="6">
        <v>68</v>
      </c>
      <c r="BF61" s="6"/>
      <c r="BG61" s="6"/>
      <c r="BH61" s="6"/>
      <c r="BI61" s="6"/>
      <c r="BJ61" s="6"/>
      <c r="BK61" s="6"/>
      <c r="BL61" s="6"/>
      <c r="BM61" s="6"/>
      <c r="BN61" s="6"/>
      <c r="BO61" s="6"/>
      <c r="BP61" s="6"/>
      <c r="BQ61" s="6"/>
      <c r="BR61" s="6"/>
      <c r="BS61" s="6"/>
      <c r="BT61" s="6"/>
      <c r="BU61" s="6"/>
      <c r="BV61" s="8">
        <f t="shared" si="0"/>
        <v>2</v>
      </c>
      <c r="BW61" s="8">
        <f t="shared" si="0"/>
        <v>88</v>
      </c>
      <c r="BX61" s="52"/>
      <c r="BY61" s="52"/>
      <c r="BZ61" s="52"/>
    </row>
    <row r="62" spans="1:78" s="51" customFormat="1">
      <c r="A62" s="11" t="s">
        <v>96</v>
      </c>
      <c r="B62" s="12">
        <f>SUM(B9:B61)</f>
        <v>62</v>
      </c>
      <c r="C62" s="12">
        <f t="shared" ref="C62:BP62" si="1">SUM(C9:C61)</f>
        <v>2917</v>
      </c>
      <c r="D62" s="12">
        <f t="shared" si="1"/>
        <v>110</v>
      </c>
      <c r="E62" s="12">
        <f t="shared" si="1"/>
        <v>10720</v>
      </c>
      <c r="F62" s="12">
        <f t="shared" si="1"/>
        <v>96</v>
      </c>
      <c r="G62" s="12">
        <f t="shared" si="1"/>
        <v>15884</v>
      </c>
      <c r="H62" s="12">
        <f t="shared" si="1"/>
        <v>4</v>
      </c>
      <c r="I62" s="12">
        <f t="shared" si="1"/>
        <v>825</v>
      </c>
      <c r="J62" s="12">
        <f t="shared" si="1"/>
        <v>16</v>
      </c>
      <c r="K62" s="12">
        <f t="shared" si="1"/>
        <v>2215</v>
      </c>
      <c r="L62" s="12">
        <f t="shared" si="1"/>
        <v>1</v>
      </c>
      <c r="M62" s="12">
        <f t="shared" si="1"/>
        <v>18</v>
      </c>
      <c r="N62" s="12">
        <f t="shared" si="1"/>
        <v>287</v>
      </c>
      <c r="O62" s="12">
        <f t="shared" si="1"/>
        <v>5641</v>
      </c>
      <c r="P62" s="12">
        <f t="shared" si="1"/>
        <v>15</v>
      </c>
      <c r="Q62" s="12">
        <f t="shared" si="1"/>
        <v>479</v>
      </c>
      <c r="R62" s="12">
        <f t="shared" si="1"/>
        <v>1</v>
      </c>
      <c r="S62" s="12">
        <f t="shared" si="1"/>
        <v>500</v>
      </c>
      <c r="T62" s="12">
        <f t="shared" si="1"/>
        <v>8</v>
      </c>
      <c r="U62" s="12">
        <f t="shared" si="1"/>
        <v>236</v>
      </c>
      <c r="V62" s="12">
        <f t="shared" si="1"/>
        <v>14</v>
      </c>
      <c r="W62" s="12">
        <f t="shared" si="1"/>
        <v>1113</v>
      </c>
      <c r="X62" s="12">
        <f t="shared" si="1"/>
        <v>35</v>
      </c>
      <c r="Y62" s="12">
        <f t="shared" si="1"/>
        <v>4504</v>
      </c>
      <c r="Z62" s="12">
        <f t="shared" si="1"/>
        <v>185</v>
      </c>
      <c r="AA62" s="12">
        <f t="shared" si="1"/>
        <v>45987</v>
      </c>
      <c r="AB62" s="12">
        <f t="shared" si="1"/>
        <v>11</v>
      </c>
      <c r="AC62" s="12">
        <f t="shared" si="1"/>
        <v>2431</v>
      </c>
      <c r="AD62" s="12">
        <f t="shared" si="1"/>
        <v>311</v>
      </c>
      <c r="AE62" s="12">
        <f t="shared" si="1"/>
        <v>96006</v>
      </c>
      <c r="AF62" s="12">
        <f t="shared" si="1"/>
        <v>49</v>
      </c>
      <c r="AG62" s="12">
        <f t="shared" si="1"/>
        <v>13058</v>
      </c>
      <c r="AH62" s="12">
        <f t="shared" si="1"/>
        <v>54</v>
      </c>
      <c r="AI62" s="12">
        <f t="shared" si="1"/>
        <v>11067</v>
      </c>
      <c r="AJ62" s="12">
        <f t="shared" si="1"/>
        <v>4</v>
      </c>
      <c r="AK62" s="12">
        <f t="shared" si="1"/>
        <v>920</v>
      </c>
      <c r="AL62" s="12">
        <f t="shared" si="1"/>
        <v>3</v>
      </c>
      <c r="AM62" s="12">
        <f t="shared" si="1"/>
        <v>78</v>
      </c>
      <c r="AN62" s="12">
        <f t="shared" si="1"/>
        <v>9</v>
      </c>
      <c r="AO62" s="12">
        <f t="shared" si="1"/>
        <v>1066</v>
      </c>
      <c r="AP62" s="12">
        <f t="shared" si="1"/>
        <v>48</v>
      </c>
      <c r="AQ62" s="12">
        <f t="shared" si="1"/>
        <v>17030</v>
      </c>
      <c r="AR62" s="12">
        <f t="shared" si="1"/>
        <v>11</v>
      </c>
      <c r="AS62" s="12">
        <f t="shared" si="1"/>
        <v>4350</v>
      </c>
      <c r="AT62" s="12">
        <f t="shared" si="1"/>
        <v>129</v>
      </c>
      <c r="AU62" s="12">
        <f t="shared" si="1"/>
        <v>54938</v>
      </c>
      <c r="AV62" s="12">
        <f t="shared" si="1"/>
        <v>5</v>
      </c>
      <c r="AW62" s="12">
        <f t="shared" si="1"/>
        <v>2184</v>
      </c>
      <c r="AX62" s="12">
        <f t="shared" si="1"/>
        <v>7</v>
      </c>
      <c r="AY62" s="12">
        <f t="shared" si="1"/>
        <v>2023</v>
      </c>
      <c r="AZ62" s="12">
        <f t="shared" si="1"/>
        <v>3</v>
      </c>
      <c r="BA62" s="12">
        <f t="shared" si="1"/>
        <v>134</v>
      </c>
      <c r="BB62" s="12">
        <f t="shared" si="1"/>
        <v>1</v>
      </c>
      <c r="BC62" s="12">
        <f t="shared" si="1"/>
        <v>132</v>
      </c>
      <c r="BD62" s="12">
        <f t="shared" si="1"/>
        <v>36</v>
      </c>
      <c r="BE62" s="12">
        <f t="shared" si="1"/>
        <v>1747</v>
      </c>
      <c r="BF62" s="12">
        <f t="shared" si="1"/>
        <v>34</v>
      </c>
      <c r="BG62" s="12">
        <f t="shared" si="1"/>
        <v>1483</v>
      </c>
      <c r="BH62" s="12">
        <f t="shared" si="1"/>
        <v>18</v>
      </c>
      <c r="BI62" s="12">
        <f t="shared" si="1"/>
        <v>947</v>
      </c>
      <c r="BJ62" s="12">
        <f t="shared" si="1"/>
        <v>2</v>
      </c>
      <c r="BK62" s="12">
        <f t="shared" si="1"/>
        <v>214</v>
      </c>
      <c r="BL62" s="12">
        <f t="shared" si="1"/>
        <v>44</v>
      </c>
      <c r="BM62" s="12">
        <f t="shared" si="1"/>
        <v>1728</v>
      </c>
      <c r="BN62" s="12">
        <f t="shared" si="1"/>
        <v>21</v>
      </c>
      <c r="BO62" s="12">
        <f t="shared" si="1"/>
        <v>787</v>
      </c>
      <c r="BP62" s="12">
        <f t="shared" si="1"/>
        <v>2</v>
      </c>
      <c r="BQ62" s="12">
        <f>SUM(BQ9:BQ61)</f>
        <v>86</v>
      </c>
      <c r="BR62" s="12">
        <f>SUM(BR9:BR61)</f>
        <v>1</v>
      </c>
      <c r="BS62" s="12">
        <f>SUM(BS9:BS61)</f>
        <v>23</v>
      </c>
      <c r="BT62" s="12">
        <f>SUM(BT9:BT61)</f>
        <v>160</v>
      </c>
      <c r="BU62" s="12">
        <f>SUM(BU9:BU61)</f>
        <v>2415</v>
      </c>
      <c r="BV62" s="12">
        <f>B62+D62+F62+H62+J62+L62+N62+P62+R62+T62+V62+X62+Z62+AB62+AD62+AF62+AH62+AJ62+AL62+AN62+AP62+AR62+AT62+AV62+AX62+AZ62+BB62+BD62+BF62+BH62+BJ62+BL62+BN62+BP62+BR62+BT62</f>
        <v>1797</v>
      </c>
      <c r="BW62" s="12">
        <f>C62+E62+G62+I62+K62+M62+O62+Q62+S62+U62+W62+Y62+AA62+AC62+AE62+AG62+AI62+AK62+AM62+AO62+AQ62+AS62+AU62+AW62+AY62+BA62+BC62+BE62+BG62+BI62+BK62+BM62+BO62+BQ62+BS62+BU62</f>
        <v>305886</v>
      </c>
      <c r="BX62" s="52"/>
      <c r="BY62" s="52"/>
      <c r="BZ62" s="52"/>
    </row>
    <row r="63" spans="1:78" s="27" customFormat="1" ht="12.75">
      <c r="A63" s="48" t="s">
        <v>189</v>
      </c>
      <c r="BV63" s="54"/>
      <c r="BW63" s="54"/>
    </row>
    <row r="64" spans="1:78" s="27" customFormat="1" ht="12.75">
      <c r="A64" s="50" t="s">
        <v>190</v>
      </c>
      <c r="BV64" s="54"/>
      <c r="BW64" s="54"/>
    </row>
    <row r="65" spans="1:75" s="55" customFormat="1" ht="12.75">
      <c r="A65" s="50" t="s">
        <v>191</v>
      </c>
      <c r="BV65" s="56"/>
      <c r="BW65" s="57"/>
    </row>
  </sheetData>
  <sheetProtection algorithmName="SHA-512" hashValue="8qlqQidRO7rs4tgokq4zmmqqVNJ2dUzS+fL5IXMB/VjqePht/nipB9SnuzxkISgMofbeNNMzpn+/jHJjeWF3Pw==" saltValue="3c8UVTq2XgMOGR7quwh0DA==" spinCount="100000" sheet="1" objects="1" scenarios="1"/>
  <mergeCells count="38">
    <mergeCell ref="BT6:BU6"/>
    <mergeCell ref="BV6:BW6"/>
    <mergeCell ref="BH6:BI6"/>
    <mergeCell ref="BJ6:BK6"/>
    <mergeCell ref="BL6:BM6"/>
    <mergeCell ref="BN6:BO6"/>
    <mergeCell ref="BP6:BQ6"/>
    <mergeCell ref="BR6:BS6"/>
    <mergeCell ref="AX6:AY6"/>
    <mergeCell ref="AZ6:BA6"/>
    <mergeCell ref="BB6:BC6"/>
    <mergeCell ref="BD6:BE6"/>
    <mergeCell ref="BF6:BG6"/>
    <mergeCell ref="AN6:AO6"/>
    <mergeCell ref="AP6:AQ6"/>
    <mergeCell ref="AR6:AS6"/>
    <mergeCell ref="AT6:AU6"/>
    <mergeCell ref="AV6:AW6"/>
    <mergeCell ref="AD6:AE6"/>
    <mergeCell ref="AF6:AG6"/>
    <mergeCell ref="AH6:AI6"/>
    <mergeCell ref="AJ6:AK6"/>
    <mergeCell ref="AL6:AM6"/>
    <mergeCell ref="T6:U6"/>
    <mergeCell ref="V6:W6"/>
    <mergeCell ref="X6:Y6"/>
    <mergeCell ref="Z6:AA6"/>
    <mergeCell ref="AB6:AC6"/>
    <mergeCell ref="J6:K6"/>
    <mergeCell ref="L6:M6"/>
    <mergeCell ref="N6:O6"/>
    <mergeCell ref="P6:Q6"/>
    <mergeCell ref="R6:S6"/>
    <mergeCell ref="A6:A8"/>
    <mergeCell ref="B6:C6"/>
    <mergeCell ref="D6:E6"/>
    <mergeCell ref="F6:G6"/>
    <mergeCell ref="H6:I6"/>
  </mergeCells>
  <conditionalFormatting sqref="A9:BU61 BV9:BW62">
    <cfRule type="expression" dxfId="19" priority="1" stopIfTrue="1">
      <formula>MOD(ROW(),2)=0</formula>
    </cfRule>
  </conditionalFormatting>
  <conditionalFormatting sqref="A2:XFD65">
    <cfRule type="expression" priority="3">
      <formula>SI(0," ")</formula>
    </cfRule>
  </conditionalFormatting>
  <conditionalFormatting sqref="J2">
    <cfRule type="expression" priority="2">
      <formula>SI($C$42," ")</formula>
    </cfRule>
  </conditionalFormatting>
  <pageMargins left="0.70866141732283472" right="0.70866141732283472" top="0.74803149606299213" bottom="0.74803149606299213" header="0.31496062992125984" footer="0.31496062992125984"/>
  <pageSetup paperSize="8" scale="70" orientation="landscape" r:id="rId1"/>
  <colBreaks count="4" manualBreakCount="4">
    <brk id="19" max="1048575" man="1"/>
    <brk id="35" max="1048575" man="1"/>
    <brk id="51" max="1048575" man="1"/>
    <brk id="65"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3:N53"/>
  <sheetViews>
    <sheetView showGridLines="0" zoomScaleNormal="100" workbookViewId="0"/>
  </sheetViews>
  <sheetFormatPr baseColWidth="10" defaultRowHeight="15"/>
  <cols>
    <col min="1" max="1" width="25.140625" customWidth="1"/>
    <col min="2" max="2" width="5.7109375" customWidth="1"/>
    <col min="3" max="3" width="17" bestFit="1" customWidth="1"/>
    <col min="4" max="4" width="15.140625" bestFit="1" customWidth="1"/>
    <col min="5" max="5" width="14" bestFit="1" customWidth="1"/>
    <col min="8" max="8" width="25.140625" customWidth="1"/>
    <col min="9" max="9" width="5.7109375" customWidth="1"/>
    <col min="10" max="10" width="17" customWidth="1"/>
    <col min="11" max="11" width="15.140625" customWidth="1"/>
    <col min="12" max="12" width="14" customWidth="1"/>
  </cols>
  <sheetData>
    <row r="3" spans="1:13" s="60" customFormat="1" ht="16.5">
      <c r="A3" s="58" t="s">
        <v>278</v>
      </c>
      <c r="B3" s="59"/>
      <c r="H3" s="59"/>
      <c r="I3" s="59"/>
    </row>
    <row r="4" spans="1:13" s="63" customFormat="1" ht="16.5">
      <c r="A4" s="61" t="s">
        <v>279</v>
      </c>
      <c r="B4" s="62"/>
      <c r="H4" s="62"/>
      <c r="I4" s="62"/>
      <c r="L4" s="64"/>
    </row>
    <row r="5" spans="1:13" s="63" customFormat="1" ht="16.5">
      <c r="A5" s="61" t="s">
        <v>280</v>
      </c>
      <c r="B5" s="62"/>
      <c r="H5" s="62"/>
      <c r="I5" s="62"/>
    </row>
    <row r="6" spans="1:13" s="60" customFormat="1" ht="12.75">
      <c r="A6" s="59"/>
      <c r="B6" s="59"/>
      <c r="H6" s="59"/>
      <c r="I6" s="59"/>
    </row>
    <row r="7" spans="1:13" s="60" customFormat="1" ht="12.75">
      <c r="A7" s="59"/>
      <c r="B7" s="59"/>
      <c r="H7" s="59"/>
      <c r="I7" s="59"/>
    </row>
    <row r="8" spans="1:13" s="60" customFormat="1" ht="12.75">
      <c r="A8" s="130" t="s">
        <v>104</v>
      </c>
      <c r="B8" s="130"/>
      <c r="C8" s="103" t="s">
        <v>105</v>
      </c>
      <c r="D8" s="103" t="s">
        <v>106</v>
      </c>
      <c r="E8" s="103" t="s">
        <v>107</v>
      </c>
      <c r="F8" s="103" t="s">
        <v>108</v>
      </c>
      <c r="G8" s="104"/>
      <c r="H8" s="130" t="s">
        <v>104</v>
      </c>
      <c r="I8" s="130"/>
      <c r="J8" s="103" t="s">
        <v>105</v>
      </c>
      <c r="K8" s="103" t="s">
        <v>106</v>
      </c>
      <c r="L8" s="103" t="s">
        <v>107</v>
      </c>
      <c r="M8" s="103" t="s">
        <v>108</v>
      </c>
    </row>
    <row r="9" spans="1:13" s="63" customFormat="1" ht="12.75">
      <c r="A9" s="131" t="s">
        <v>109</v>
      </c>
      <c r="B9" s="131"/>
      <c r="C9" s="105" t="s">
        <v>110</v>
      </c>
      <c r="D9" s="105" t="s">
        <v>111</v>
      </c>
      <c r="E9" s="105" t="s">
        <v>112</v>
      </c>
      <c r="F9" s="105" t="s">
        <v>113</v>
      </c>
      <c r="G9" s="106"/>
      <c r="H9" s="131" t="s">
        <v>109</v>
      </c>
      <c r="I9" s="131"/>
      <c r="J9" s="105" t="s">
        <v>110</v>
      </c>
      <c r="K9" s="105" t="s">
        <v>111</v>
      </c>
      <c r="L9" s="105" t="s">
        <v>112</v>
      </c>
      <c r="M9" s="105" t="s">
        <v>113</v>
      </c>
    </row>
    <row r="10" spans="1:13" s="63" customFormat="1" ht="12.75">
      <c r="A10" s="131" t="s">
        <v>114</v>
      </c>
      <c r="B10" s="131"/>
      <c r="C10" s="105" t="s">
        <v>115</v>
      </c>
      <c r="D10" s="105" t="s">
        <v>116</v>
      </c>
      <c r="E10" s="105" t="s">
        <v>117</v>
      </c>
      <c r="F10" s="105" t="s">
        <v>118</v>
      </c>
      <c r="G10" s="106"/>
      <c r="H10" s="131" t="s">
        <v>114</v>
      </c>
      <c r="I10" s="131"/>
      <c r="J10" s="105" t="s">
        <v>115</v>
      </c>
      <c r="K10" s="105" t="s">
        <v>116</v>
      </c>
      <c r="L10" s="105" t="s">
        <v>117</v>
      </c>
      <c r="M10" s="105" t="s">
        <v>118</v>
      </c>
    </row>
    <row r="11" spans="1:13" s="60" customFormat="1">
      <c r="A11" s="132" t="s">
        <v>119</v>
      </c>
      <c r="B11" s="132"/>
      <c r="C11" s="66">
        <v>65</v>
      </c>
      <c r="D11" s="66">
        <v>978</v>
      </c>
      <c r="E11" s="66">
        <v>3123</v>
      </c>
      <c r="F11" s="67">
        <f t="shared" ref="F11:F16" si="0">E11/E$17</f>
        <v>9.4524652683192587E-2</v>
      </c>
      <c r="G11" s="68"/>
      <c r="H11" s="132" t="s">
        <v>25</v>
      </c>
      <c r="I11" s="132"/>
      <c r="J11" s="66">
        <v>3</v>
      </c>
      <c r="K11" s="66">
        <v>33</v>
      </c>
      <c r="L11" s="66">
        <v>78</v>
      </c>
      <c r="M11" s="67">
        <f>L11/L$19</f>
        <v>9.7185362389264757E-4</v>
      </c>
    </row>
    <row r="12" spans="1:13" s="60" customFormat="1">
      <c r="A12" s="132" t="s">
        <v>120</v>
      </c>
      <c r="B12" s="132"/>
      <c r="C12" s="66">
        <v>114</v>
      </c>
      <c r="D12" s="66">
        <v>3909</v>
      </c>
      <c r="E12" s="66">
        <v>11069</v>
      </c>
      <c r="F12" s="67">
        <f t="shared" si="0"/>
        <v>0.33502829988801114</v>
      </c>
      <c r="G12" s="68"/>
      <c r="H12" s="132" t="s">
        <v>26</v>
      </c>
      <c r="I12" s="132"/>
      <c r="J12" s="66">
        <v>10</v>
      </c>
      <c r="K12" s="66">
        <v>529</v>
      </c>
      <c r="L12" s="66">
        <v>1107</v>
      </c>
      <c r="M12" s="67">
        <f t="shared" ref="M12:M17" si="1">L12/L$19</f>
        <v>1.3792845662168729E-2</v>
      </c>
    </row>
    <row r="13" spans="1:13" s="60" customFormat="1">
      <c r="A13" s="132" t="s">
        <v>121</v>
      </c>
      <c r="B13" s="132"/>
      <c r="C13" s="66">
        <v>96</v>
      </c>
      <c r="D13" s="66">
        <v>6173</v>
      </c>
      <c r="E13" s="66">
        <v>15923</v>
      </c>
      <c r="F13" s="67">
        <f t="shared" si="0"/>
        <v>0.48194557946669087</v>
      </c>
      <c r="G13" s="68"/>
      <c r="H13" s="132" t="s">
        <v>27</v>
      </c>
      <c r="I13" s="132"/>
      <c r="J13" s="66">
        <v>49</v>
      </c>
      <c r="K13" s="66">
        <v>7190</v>
      </c>
      <c r="L13" s="66">
        <v>16260</v>
      </c>
      <c r="M13" s="67">
        <f t="shared" si="1"/>
        <v>0.20259410159608268</v>
      </c>
    </row>
    <row r="14" spans="1:13" s="60" customFormat="1">
      <c r="A14" s="132" t="s">
        <v>251</v>
      </c>
      <c r="B14" s="132"/>
      <c r="C14" s="66">
        <v>4</v>
      </c>
      <c r="D14" s="66">
        <v>356</v>
      </c>
      <c r="E14" s="66">
        <v>825</v>
      </c>
      <c r="F14" s="67">
        <f t="shared" si="0"/>
        <v>2.4970489421592662E-2</v>
      </c>
      <c r="G14" s="68"/>
      <c r="H14" s="132" t="s">
        <v>209</v>
      </c>
      <c r="I14" s="132"/>
      <c r="J14" s="66">
        <v>8</v>
      </c>
      <c r="K14" s="66">
        <v>1301</v>
      </c>
      <c r="L14" s="66">
        <v>3790</v>
      </c>
      <c r="M14" s="67">
        <f t="shared" si="1"/>
        <v>4.7222118391706848E-2</v>
      </c>
    </row>
    <row r="15" spans="1:13" s="60" customFormat="1">
      <c r="A15" s="132" t="s">
        <v>122</v>
      </c>
      <c r="B15" s="132"/>
      <c r="C15" s="66">
        <v>15</v>
      </c>
      <c r="D15" s="66">
        <v>592</v>
      </c>
      <c r="E15" s="66">
        <v>2081</v>
      </c>
      <c r="F15" s="67">
        <f t="shared" si="0"/>
        <v>6.2986167862223427E-2</v>
      </c>
      <c r="G15" s="68"/>
      <c r="H15" s="132" t="s">
        <v>28</v>
      </c>
      <c r="I15" s="132"/>
      <c r="J15" s="66">
        <v>130</v>
      </c>
      <c r="K15" s="66">
        <v>24958</v>
      </c>
      <c r="L15" s="66">
        <v>55354</v>
      </c>
      <c r="M15" s="67">
        <f t="shared" si="1"/>
        <v>0.68969212175581551</v>
      </c>
    </row>
    <row r="16" spans="1:13" s="60" customFormat="1">
      <c r="A16" s="132" t="s">
        <v>268</v>
      </c>
      <c r="B16" s="132"/>
      <c r="C16" s="66">
        <v>1</v>
      </c>
      <c r="D16" s="66">
        <v>9</v>
      </c>
      <c r="E16" s="66">
        <v>18</v>
      </c>
      <c r="F16" s="67">
        <f t="shared" si="0"/>
        <v>5.4481067828929448E-4</v>
      </c>
      <c r="G16" s="68"/>
      <c r="H16" s="132" t="s">
        <v>210</v>
      </c>
      <c r="I16" s="132"/>
      <c r="J16" s="66">
        <v>5</v>
      </c>
      <c r="K16" s="66">
        <v>1003</v>
      </c>
      <c r="L16" s="66">
        <v>2052</v>
      </c>
      <c r="M16" s="67">
        <f t="shared" si="1"/>
        <v>2.5567226105483499E-2</v>
      </c>
    </row>
    <row r="17" spans="1:14" s="60" customFormat="1">
      <c r="A17" s="133" t="s">
        <v>123</v>
      </c>
      <c r="B17" s="133"/>
      <c r="C17" s="69">
        <f>SUM(C11:C16)</f>
        <v>295</v>
      </c>
      <c r="D17" s="69">
        <f>SUM(D11:D16)</f>
        <v>12017</v>
      </c>
      <c r="E17" s="69">
        <f>SUM(E11:E16)</f>
        <v>33039</v>
      </c>
      <c r="F17" s="70">
        <f>SUM(F11:F16)</f>
        <v>0.99999999999999989</v>
      </c>
      <c r="G17" s="68"/>
      <c r="H17" s="132" t="s">
        <v>29</v>
      </c>
      <c r="I17" s="132"/>
      <c r="J17" s="66">
        <v>6</v>
      </c>
      <c r="K17" s="66">
        <v>805</v>
      </c>
      <c r="L17" s="66">
        <v>1618</v>
      </c>
      <c r="M17" s="67">
        <f t="shared" si="1"/>
        <v>2.0159732864850049E-2</v>
      </c>
    </row>
    <row r="18" spans="1:14" s="60" customFormat="1">
      <c r="A18" s="132"/>
      <c r="B18" s="132"/>
      <c r="C18" s="66"/>
      <c r="D18" s="66"/>
      <c r="E18" s="66"/>
      <c r="F18" s="67"/>
      <c r="G18" s="68"/>
      <c r="H18" s="132" t="s">
        <v>211</v>
      </c>
      <c r="I18" s="132"/>
      <c r="J18" s="66"/>
      <c r="K18" s="66"/>
      <c r="L18" s="66"/>
      <c r="M18" s="67"/>
    </row>
    <row r="19" spans="1:14" s="60" customFormat="1">
      <c r="A19" s="133" t="s">
        <v>7</v>
      </c>
      <c r="B19" s="133"/>
      <c r="C19" s="69">
        <v>37</v>
      </c>
      <c r="D19" s="69">
        <v>926</v>
      </c>
      <c r="E19" s="69">
        <v>1827</v>
      </c>
      <c r="F19" s="70">
        <v>1</v>
      </c>
      <c r="G19" s="68"/>
      <c r="H19" s="133" t="s">
        <v>124</v>
      </c>
      <c r="I19" s="133"/>
      <c r="J19" s="69">
        <f>SUM(J11:J18)</f>
        <v>211</v>
      </c>
      <c r="K19" s="69">
        <f>SUM(K11:K18)</f>
        <v>35819</v>
      </c>
      <c r="L19" s="69">
        <f>SUM(L11:L18)</f>
        <v>80259</v>
      </c>
      <c r="M19" s="70">
        <f>SUM(M11:M18)</f>
        <v>1</v>
      </c>
    </row>
    <row r="20" spans="1:14" s="60" customFormat="1">
      <c r="A20" s="133" t="s">
        <v>167</v>
      </c>
      <c r="B20" s="133"/>
      <c r="C20" s="69">
        <v>286</v>
      </c>
      <c r="D20" s="69">
        <v>2584</v>
      </c>
      <c r="E20" s="69">
        <v>5590</v>
      </c>
      <c r="F20" s="70">
        <v>1</v>
      </c>
      <c r="G20" s="68"/>
      <c r="H20" s="66"/>
      <c r="I20" s="66"/>
      <c r="J20" s="66"/>
      <c r="K20" s="66"/>
      <c r="L20" s="66"/>
      <c r="M20" s="66"/>
    </row>
    <row r="21" spans="1:14" s="60" customFormat="1">
      <c r="A21" s="133" t="s">
        <v>8</v>
      </c>
      <c r="B21" s="133"/>
      <c r="C21" s="69">
        <v>154</v>
      </c>
      <c r="D21" s="69">
        <v>1112</v>
      </c>
      <c r="E21" s="69">
        <v>2308</v>
      </c>
      <c r="F21" s="70">
        <v>1</v>
      </c>
      <c r="G21" s="68"/>
      <c r="H21" s="132" t="s">
        <v>30</v>
      </c>
      <c r="I21" s="132"/>
      <c r="J21" s="66"/>
      <c r="K21" s="66"/>
      <c r="L21" s="66"/>
      <c r="M21" s="67"/>
      <c r="N21" s="79"/>
    </row>
    <row r="22" spans="1:14" s="60" customFormat="1">
      <c r="A22" s="133" t="s">
        <v>207</v>
      </c>
      <c r="B22" s="133"/>
      <c r="C22" s="69">
        <v>1</v>
      </c>
      <c r="D22" s="69"/>
      <c r="E22" s="69">
        <v>500</v>
      </c>
      <c r="F22" s="70">
        <v>1</v>
      </c>
      <c r="G22" s="68"/>
      <c r="H22" s="132" t="s">
        <v>31</v>
      </c>
      <c r="I22" s="132"/>
      <c r="J22" s="66"/>
      <c r="K22" s="66"/>
      <c r="L22" s="66"/>
      <c r="M22" s="67"/>
    </row>
    <row r="23" spans="1:14" s="60" customFormat="1">
      <c r="A23" s="132"/>
      <c r="B23" s="132"/>
      <c r="C23" s="66"/>
      <c r="D23" s="66"/>
      <c r="E23" s="66"/>
      <c r="F23" s="67"/>
      <c r="G23" s="68"/>
      <c r="H23" s="132" t="s">
        <v>32</v>
      </c>
      <c r="I23" s="132"/>
      <c r="J23" s="66"/>
      <c r="K23" s="66"/>
      <c r="L23" s="66"/>
      <c r="M23" s="67"/>
    </row>
    <row r="24" spans="1:14" s="60" customFormat="1">
      <c r="A24" s="132" t="s">
        <v>12</v>
      </c>
      <c r="B24" s="132"/>
      <c r="C24" s="66"/>
      <c r="D24" s="66"/>
      <c r="E24" s="66"/>
      <c r="F24" s="67"/>
      <c r="G24" s="68"/>
      <c r="H24" s="132" t="s">
        <v>33</v>
      </c>
      <c r="I24" s="132"/>
      <c r="J24" s="66"/>
      <c r="K24" s="66"/>
      <c r="L24" s="66"/>
      <c r="M24" s="67"/>
    </row>
    <row r="25" spans="1:14" s="60" customFormat="1">
      <c r="A25" s="132" t="s">
        <v>13</v>
      </c>
      <c r="B25" s="132"/>
      <c r="C25" s="66"/>
      <c r="D25" s="66"/>
      <c r="E25" s="66"/>
      <c r="F25" s="67"/>
      <c r="G25" s="68"/>
      <c r="H25" s="133" t="s">
        <v>125</v>
      </c>
      <c r="I25" s="133"/>
      <c r="J25" s="69"/>
      <c r="K25" s="69"/>
      <c r="L25" s="69"/>
      <c r="M25" s="70"/>
    </row>
    <row r="26" spans="1:14" s="60" customFormat="1">
      <c r="A26" s="132" t="s">
        <v>14</v>
      </c>
      <c r="B26" s="132"/>
      <c r="C26" s="66"/>
      <c r="D26" s="66"/>
      <c r="E26" s="66"/>
      <c r="F26" s="67"/>
      <c r="G26" s="68"/>
      <c r="H26" s="134"/>
      <c r="I26" s="134"/>
      <c r="J26" s="71"/>
      <c r="K26" s="71"/>
      <c r="L26" s="71"/>
      <c r="M26" s="72"/>
      <c r="N26" s="79"/>
    </row>
    <row r="27" spans="1:14" s="60" customFormat="1">
      <c r="A27" s="133" t="s">
        <v>129</v>
      </c>
      <c r="B27" s="133"/>
      <c r="C27" s="69"/>
      <c r="D27" s="69"/>
      <c r="E27" s="69"/>
      <c r="F27" s="70"/>
      <c r="G27" s="68"/>
      <c r="H27" s="132" t="s">
        <v>35</v>
      </c>
      <c r="I27" s="132"/>
      <c r="J27" s="66">
        <v>36</v>
      </c>
      <c r="K27" s="66">
        <v>885</v>
      </c>
      <c r="L27" s="66">
        <v>1658</v>
      </c>
      <c r="M27" s="67">
        <f>L27/L$30</f>
        <v>0.54937044400265078</v>
      </c>
    </row>
    <row r="28" spans="1:14" s="60" customFormat="1">
      <c r="A28" s="132"/>
      <c r="B28" s="132"/>
      <c r="C28" s="66"/>
      <c r="D28" s="66"/>
      <c r="E28" s="66"/>
      <c r="F28" s="67"/>
      <c r="G28" s="68"/>
      <c r="H28" s="132" t="s">
        <v>36</v>
      </c>
      <c r="I28" s="132"/>
      <c r="J28" s="66">
        <v>21</v>
      </c>
      <c r="K28" s="66">
        <v>613</v>
      </c>
      <c r="L28" s="66">
        <v>1146</v>
      </c>
      <c r="M28" s="67">
        <f>L28/L$30</f>
        <v>0.3797216699801193</v>
      </c>
    </row>
    <row r="29" spans="1:14" s="60" customFormat="1">
      <c r="A29" s="132" t="s">
        <v>15</v>
      </c>
      <c r="B29" s="132"/>
      <c r="C29" s="66">
        <v>14</v>
      </c>
      <c r="D29" s="66">
        <v>570</v>
      </c>
      <c r="E29" s="66">
        <v>1069</v>
      </c>
      <c r="F29" s="67">
        <f>E29/E$37</f>
        <v>6.1266011404991832E-3</v>
      </c>
      <c r="G29" s="68"/>
      <c r="H29" s="132" t="s">
        <v>37</v>
      </c>
      <c r="I29" s="132"/>
      <c r="J29" s="66">
        <v>2</v>
      </c>
      <c r="K29" s="66">
        <v>116</v>
      </c>
      <c r="L29" s="66">
        <v>214</v>
      </c>
      <c r="M29" s="67">
        <f>L29/L$30</f>
        <v>7.0907886017229957E-2</v>
      </c>
    </row>
    <row r="30" spans="1:14" s="60" customFormat="1">
      <c r="A30" s="132" t="s">
        <v>16</v>
      </c>
      <c r="B30" s="132"/>
      <c r="C30" s="66">
        <v>35</v>
      </c>
      <c r="D30" s="66">
        <v>2568</v>
      </c>
      <c r="E30" s="66">
        <v>4874</v>
      </c>
      <c r="F30" s="67">
        <f t="shared" ref="F30:F36" si="2">E30/E$37</f>
        <v>2.7933633263604322E-2</v>
      </c>
      <c r="G30" s="68"/>
      <c r="H30" s="133" t="s">
        <v>128</v>
      </c>
      <c r="I30" s="133"/>
      <c r="J30" s="69">
        <f>SUM(J27:J29)</f>
        <v>59</v>
      </c>
      <c r="K30" s="69">
        <f>SUM(K27:K29)</f>
        <v>1614</v>
      </c>
      <c r="L30" s="69">
        <f>SUM(L27:L29)</f>
        <v>3018</v>
      </c>
      <c r="M30" s="70">
        <f>SUM(M27:M29)</f>
        <v>1</v>
      </c>
    </row>
    <row r="31" spans="1:14" s="60" customFormat="1">
      <c r="A31" s="132" t="s">
        <v>17</v>
      </c>
      <c r="B31" s="132"/>
      <c r="C31" s="66">
        <v>189</v>
      </c>
      <c r="D31" s="66">
        <v>25606</v>
      </c>
      <c r="E31" s="66">
        <v>48583</v>
      </c>
      <c r="F31" s="67">
        <f t="shared" si="2"/>
        <v>0.27843654182307936</v>
      </c>
      <c r="G31" s="68"/>
      <c r="H31" s="134"/>
      <c r="I31" s="134"/>
      <c r="J31" s="71"/>
      <c r="K31" s="71"/>
      <c r="L31" s="71"/>
      <c r="M31" s="72"/>
    </row>
    <row r="32" spans="1:14" s="60" customFormat="1">
      <c r="A32" s="132" t="s">
        <v>208</v>
      </c>
      <c r="B32" s="132"/>
      <c r="C32" s="66">
        <v>11</v>
      </c>
      <c r="D32" s="66">
        <v>1444</v>
      </c>
      <c r="E32" s="66">
        <v>2757</v>
      </c>
      <c r="F32" s="67">
        <f t="shared" si="2"/>
        <v>1.5800785167779465E-2</v>
      </c>
      <c r="G32" s="68"/>
      <c r="H32" s="132" t="s">
        <v>38</v>
      </c>
      <c r="I32" s="132"/>
      <c r="J32" s="66">
        <v>45</v>
      </c>
      <c r="K32" s="66">
        <v>940</v>
      </c>
      <c r="L32" s="66">
        <v>1761</v>
      </c>
      <c r="M32" s="67">
        <f>L32/L$35</f>
        <v>0.65708955223880594</v>
      </c>
    </row>
    <row r="33" spans="1:13" s="60" customFormat="1">
      <c r="A33" s="132" t="s">
        <v>168</v>
      </c>
      <c r="B33" s="132"/>
      <c r="C33" s="66">
        <v>304</v>
      </c>
      <c r="D33" s="66">
        <v>48843</v>
      </c>
      <c r="E33" s="66">
        <v>94820</v>
      </c>
      <c r="F33" s="67">
        <f t="shared" si="2"/>
        <v>0.54342780181677508</v>
      </c>
      <c r="G33" s="68"/>
      <c r="H33" s="132" t="s">
        <v>39</v>
      </c>
      <c r="I33" s="132"/>
      <c r="J33" s="66">
        <v>22</v>
      </c>
      <c r="K33" s="66">
        <v>451</v>
      </c>
      <c r="L33" s="66">
        <v>833</v>
      </c>
      <c r="M33" s="67">
        <f>L33/L$35</f>
        <v>0.31082089552238806</v>
      </c>
    </row>
    <row r="34" spans="1:13" s="60" customFormat="1">
      <c r="A34" s="132" t="s">
        <v>200</v>
      </c>
      <c r="B34" s="132"/>
      <c r="C34" s="66">
        <v>46</v>
      </c>
      <c r="D34" s="66">
        <v>5774</v>
      </c>
      <c r="E34" s="66">
        <v>11401</v>
      </c>
      <c r="F34" s="67">
        <f t="shared" si="2"/>
        <v>6.5340860245866411E-2</v>
      </c>
      <c r="G34" s="68"/>
      <c r="H34" s="132" t="s">
        <v>40</v>
      </c>
      <c r="I34" s="132"/>
      <c r="J34" s="66">
        <v>2</v>
      </c>
      <c r="K34" s="66">
        <v>46</v>
      </c>
      <c r="L34" s="66">
        <v>86</v>
      </c>
      <c r="M34" s="67">
        <f>L34/L$35</f>
        <v>3.2089552238805968E-2</v>
      </c>
    </row>
    <row r="35" spans="1:13" s="60" customFormat="1">
      <c r="A35" s="132" t="s">
        <v>19</v>
      </c>
      <c r="B35" s="132"/>
      <c r="C35" s="66">
        <v>48</v>
      </c>
      <c r="D35" s="66">
        <v>4889</v>
      </c>
      <c r="E35" s="66">
        <v>10061</v>
      </c>
      <c r="F35" s="67">
        <f t="shared" si="2"/>
        <v>5.7661117001461447E-2</v>
      </c>
      <c r="G35" s="68"/>
      <c r="H35" s="133" t="s">
        <v>130</v>
      </c>
      <c r="I35" s="133"/>
      <c r="J35" s="69">
        <f>SUM(J32:J34)</f>
        <v>69</v>
      </c>
      <c r="K35" s="69">
        <f>SUM(K32:K34)</f>
        <v>1437</v>
      </c>
      <c r="L35" s="69">
        <f>SUM(L32:L34)</f>
        <v>2680</v>
      </c>
      <c r="M35" s="70">
        <f>SUM(M32:M34)</f>
        <v>0.99999999999999989</v>
      </c>
    </row>
    <row r="36" spans="1:13" s="60" customFormat="1">
      <c r="A36" s="132" t="s">
        <v>169</v>
      </c>
      <c r="B36" s="135"/>
      <c r="C36" s="66">
        <v>4</v>
      </c>
      <c r="D36" s="66">
        <v>458</v>
      </c>
      <c r="E36" s="66">
        <v>920</v>
      </c>
      <c r="F36" s="67">
        <f t="shared" si="2"/>
        <v>5.2726595409347508E-3</v>
      </c>
      <c r="G36" s="68"/>
      <c r="H36" s="136"/>
      <c r="I36" s="136"/>
      <c r="J36" s="73"/>
      <c r="K36" s="73"/>
      <c r="L36" s="73"/>
      <c r="M36" s="74"/>
    </row>
    <row r="37" spans="1:13" s="60" customFormat="1">
      <c r="A37" s="133" t="s">
        <v>131</v>
      </c>
      <c r="B37" s="133"/>
      <c r="C37" s="69">
        <f>SUM(C29:C36)</f>
        <v>651</v>
      </c>
      <c r="D37" s="69">
        <f>SUM(D29:D36)</f>
        <v>90152</v>
      </c>
      <c r="E37" s="69">
        <f>SUM(E29:E36)</f>
        <v>174485</v>
      </c>
      <c r="F37" s="70">
        <f>SUM(F29:F36)</f>
        <v>1</v>
      </c>
      <c r="G37" s="68"/>
      <c r="H37" s="133" t="s">
        <v>42</v>
      </c>
      <c r="I37" s="133"/>
      <c r="J37" s="69">
        <v>15</v>
      </c>
      <c r="K37" s="69">
        <v>260</v>
      </c>
      <c r="L37" s="69">
        <v>479</v>
      </c>
      <c r="M37" s="70">
        <v>1</v>
      </c>
    </row>
    <row r="38" spans="1:13" s="60" customFormat="1">
      <c r="A38" s="134"/>
      <c r="B38" s="134"/>
      <c r="C38" s="71"/>
      <c r="D38" s="71"/>
      <c r="E38" s="71"/>
      <c r="F38" s="72"/>
      <c r="G38" s="68"/>
      <c r="H38" s="133" t="s">
        <v>43</v>
      </c>
      <c r="I38" s="133"/>
      <c r="J38" s="69">
        <v>8</v>
      </c>
      <c r="K38" s="69">
        <v>136</v>
      </c>
      <c r="L38" s="69">
        <v>236</v>
      </c>
      <c r="M38" s="70">
        <v>1</v>
      </c>
    </row>
    <row r="39" spans="1:13" s="60" customFormat="1">
      <c r="A39" s="132" t="s">
        <v>20</v>
      </c>
      <c r="B39" s="132"/>
      <c r="C39" s="66"/>
      <c r="D39" s="66"/>
      <c r="E39" s="66"/>
      <c r="F39" s="67"/>
      <c r="G39" s="68"/>
      <c r="H39" s="133" t="s">
        <v>44</v>
      </c>
      <c r="I39" s="133"/>
      <c r="J39" s="69">
        <v>1</v>
      </c>
      <c r="K39" s="69">
        <v>12</v>
      </c>
      <c r="L39" s="69">
        <v>23</v>
      </c>
      <c r="M39" s="70">
        <v>1</v>
      </c>
    </row>
    <row r="40" spans="1:13" s="60" customFormat="1">
      <c r="A40" s="132" t="s">
        <v>21</v>
      </c>
      <c r="B40" s="132"/>
      <c r="C40" s="66"/>
      <c r="D40" s="66"/>
      <c r="E40" s="66"/>
      <c r="F40" s="67"/>
      <c r="G40" s="68"/>
      <c r="H40" s="133" t="s">
        <v>273</v>
      </c>
      <c r="I40" s="133"/>
      <c r="J40" s="69">
        <v>3</v>
      </c>
      <c r="K40" s="69">
        <v>68</v>
      </c>
      <c r="L40" s="69">
        <v>134</v>
      </c>
      <c r="M40" s="70">
        <v>1</v>
      </c>
    </row>
    <row r="41" spans="1:13" s="60" customFormat="1">
      <c r="A41" s="132" t="s">
        <v>22</v>
      </c>
      <c r="B41" s="132"/>
      <c r="C41" s="66"/>
      <c r="D41" s="66"/>
      <c r="E41" s="66"/>
      <c r="F41" s="67"/>
      <c r="G41" s="68"/>
      <c r="H41" s="66"/>
      <c r="I41" s="66"/>
      <c r="J41" s="65"/>
      <c r="K41" s="65"/>
      <c r="L41" s="65"/>
      <c r="M41" s="65"/>
    </row>
    <row r="42" spans="1:13" s="60" customFormat="1">
      <c r="A42" s="132" t="s">
        <v>370</v>
      </c>
      <c r="B42" s="132"/>
      <c r="C42" s="66"/>
      <c r="D42" s="66"/>
      <c r="E42" s="66"/>
      <c r="F42" s="67"/>
      <c r="G42" s="68"/>
      <c r="H42" s="133" t="s">
        <v>45</v>
      </c>
      <c r="I42" s="133"/>
      <c r="J42" s="69">
        <f>C17+C19+C20+C21+C22+C27+C37+C44+J25+J30+J35+J19+J37+J38+J39+J40</f>
        <v>1791</v>
      </c>
      <c r="K42" s="69">
        <f>D17+D19+D20+D21+D22+D27+D37+D44+K25+K30+K35+K19+K37+K38+K39+K40</f>
        <v>146204</v>
      </c>
      <c r="L42" s="69">
        <f>E17+E19+E20+E21+E22+E27+E37+E44+L25+L30+L35+L19+L37+L38+L39+L40</f>
        <v>304710</v>
      </c>
      <c r="M42" s="65"/>
    </row>
    <row r="43" spans="1:13" s="60" customFormat="1">
      <c r="A43" s="132" t="s">
        <v>24</v>
      </c>
      <c r="B43" s="132"/>
      <c r="C43" s="66">
        <v>1</v>
      </c>
      <c r="D43" s="66">
        <v>67</v>
      </c>
      <c r="E43" s="66">
        <v>132</v>
      </c>
      <c r="F43" s="78">
        <f>E43/E$44</f>
        <v>1</v>
      </c>
      <c r="G43" s="68"/>
    </row>
    <row r="44" spans="1:13" s="60" customFormat="1">
      <c r="A44" s="133" t="s">
        <v>132</v>
      </c>
      <c r="B44" s="133"/>
      <c r="C44" s="69">
        <f>SUM(C39:C43)</f>
        <v>1</v>
      </c>
      <c r="D44" s="69">
        <f>SUM(D39:D43)</f>
        <v>67</v>
      </c>
      <c r="E44" s="69">
        <f>SUM(E39:E43)</f>
        <v>132</v>
      </c>
      <c r="F44" s="70">
        <f>SUM(F39:F43)</f>
        <v>1</v>
      </c>
      <c r="G44" s="68"/>
    </row>
    <row r="45" spans="1:13" s="60" customFormat="1" ht="12.75"/>
    <row r="46" spans="1:13" s="60" customFormat="1" ht="12.75"/>
    <row r="47" spans="1:13" s="60" customFormat="1" ht="12.75">
      <c r="C47" s="85"/>
      <c r="D47" s="85"/>
    </row>
    <row r="48" spans="1:13" s="60" customFormat="1" ht="12.75"/>
    <row r="49" spans="1:13" s="60" customFormat="1" ht="12.75"/>
    <row r="50" spans="1:13" s="60" customFormat="1" ht="12.75"/>
    <row r="51" spans="1:13" s="60" customFormat="1">
      <c r="H51"/>
      <c r="I51"/>
      <c r="J51"/>
      <c r="K51"/>
      <c r="L51"/>
      <c r="M51"/>
    </row>
    <row r="52" spans="1:13" s="60" customFormat="1">
      <c r="H52"/>
      <c r="I52"/>
      <c r="J52"/>
      <c r="K52"/>
      <c r="L52"/>
      <c r="M52"/>
    </row>
    <row r="53" spans="1:13">
      <c r="A53" s="60"/>
      <c r="B53" s="60"/>
      <c r="C53" s="60"/>
      <c r="D53" s="60"/>
      <c r="E53" s="60"/>
      <c r="F53" s="60"/>
    </row>
  </sheetData>
  <sheetProtection algorithmName="SHA-512" hashValue="Oxy4Npt3TGNtgNRRt2TSJt+mbhZsnXjUd9m3FeViD1L+8c+8otLifxsSB57uU9XmD9KzSSbHX4bwOtubOqNuAw==" saltValue="muBXVcpvpvf5TTgmjHOf0Q==" spinCount="100000" sheet="1"/>
  <mergeCells count="70">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23:B23"/>
    <mergeCell ref="H23:I23"/>
    <mergeCell ref="A17:B17"/>
    <mergeCell ref="H17:I17"/>
    <mergeCell ref="A18:B18"/>
    <mergeCell ref="H18:I18"/>
    <mergeCell ref="A19:B19"/>
    <mergeCell ref="H19:I19"/>
    <mergeCell ref="A20:B20"/>
    <mergeCell ref="A21:B21"/>
    <mergeCell ref="H21:I21"/>
    <mergeCell ref="A22:B22"/>
    <mergeCell ref="H22:I22"/>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37:B37"/>
    <mergeCell ref="H37:I37"/>
    <mergeCell ref="A38:B38"/>
    <mergeCell ref="H38:I38"/>
    <mergeCell ref="A43:B43"/>
    <mergeCell ref="A44:B44"/>
    <mergeCell ref="A39:B39"/>
    <mergeCell ref="H39:I39"/>
    <mergeCell ref="A40:B40"/>
    <mergeCell ref="H40:I40"/>
    <mergeCell ref="A41:B41"/>
    <mergeCell ref="A42:B42"/>
    <mergeCell ref="H42:I42"/>
  </mergeCells>
  <pageMargins left="0.7" right="0.7" top="0.75" bottom="0.75" header="0.3" footer="0.3"/>
  <pageSetup paperSize="9" scale="6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CZ65"/>
  <sheetViews>
    <sheetView showGridLines="0" zoomScaleNormal="100" workbookViewId="0"/>
  </sheetViews>
  <sheetFormatPr baseColWidth="10" defaultRowHeight="15"/>
  <cols>
    <col min="1" max="1" width="79.7109375" customWidth="1"/>
    <col min="2" max="71" width="11.42578125" customWidth="1"/>
  </cols>
  <sheetData>
    <row r="2" spans="1:104" s="27" customFormat="1" ht="16.5">
      <c r="A2" s="1" t="s">
        <v>281</v>
      </c>
      <c r="BV2" s="51"/>
      <c r="BW2" s="51"/>
    </row>
    <row r="3" spans="1:104" s="27" customFormat="1" ht="16.5">
      <c r="A3" s="3" t="s">
        <v>282</v>
      </c>
      <c r="BV3" s="51"/>
      <c r="BW3" s="51"/>
    </row>
    <row r="4" spans="1:104" s="27" customFormat="1" ht="16.5">
      <c r="A4" s="3" t="s">
        <v>283</v>
      </c>
      <c r="BV4" s="51"/>
      <c r="BW4" s="51"/>
    </row>
    <row r="5" spans="1:104" s="27" customFormat="1" ht="12.75">
      <c r="BV5" s="51"/>
      <c r="BW5" s="51"/>
    </row>
    <row r="6" spans="1:104" s="51" customFormat="1">
      <c r="A6" s="138" t="s">
        <v>187</v>
      </c>
      <c r="B6" s="137" t="s">
        <v>119</v>
      </c>
      <c r="C6" s="137"/>
      <c r="D6" s="137" t="s">
        <v>120</v>
      </c>
      <c r="E6" s="137"/>
      <c r="F6" s="137" t="s">
        <v>121</v>
      </c>
      <c r="G6" s="137"/>
      <c r="H6" s="137" t="s">
        <v>251</v>
      </c>
      <c r="I6" s="137"/>
      <c r="J6" s="137" t="s">
        <v>122</v>
      </c>
      <c r="K6" s="137"/>
      <c r="L6" s="137" t="s">
        <v>268</v>
      </c>
      <c r="M6" s="137"/>
      <c r="N6" s="137" t="s">
        <v>167</v>
      </c>
      <c r="O6" s="137"/>
      <c r="P6" s="137" t="s">
        <v>42</v>
      </c>
      <c r="Q6" s="137"/>
      <c r="R6" s="137" t="s">
        <v>198</v>
      </c>
      <c r="S6" s="137"/>
      <c r="T6" s="137" t="s">
        <v>43</v>
      </c>
      <c r="U6" s="137"/>
      <c r="V6" s="137" t="s">
        <v>15</v>
      </c>
      <c r="W6" s="137"/>
      <c r="X6" s="137" t="s">
        <v>16</v>
      </c>
      <c r="Y6" s="137"/>
      <c r="Z6" s="137" t="s">
        <v>17</v>
      </c>
      <c r="AA6" s="137"/>
      <c r="AB6" s="137" t="s">
        <v>199</v>
      </c>
      <c r="AC6" s="137"/>
      <c r="AD6" s="137" t="s">
        <v>168</v>
      </c>
      <c r="AE6" s="137"/>
      <c r="AF6" s="137" t="s">
        <v>200</v>
      </c>
      <c r="AG6" s="137"/>
      <c r="AH6" s="137" t="s">
        <v>19</v>
      </c>
      <c r="AI6" s="137"/>
      <c r="AJ6" s="137" t="s">
        <v>169</v>
      </c>
      <c r="AK6" s="137"/>
      <c r="AL6" s="137" t="s">
        <v>25</v>
      </c>
      <c r="AM6" s="137"/>
      <c r="AN6" s="137" t="s">
        <v>26</v>
      </c>
      <c r="AO6" s="137"/>
      <c r="AP6" s="137" t="s">
        <v>27</v>
      </c>
      <c r="AQ6" s="137"/>
      <c r="AR6" s="137" t="s">
        <v>209</v>
      </c>
      <c r="AS6" s="137"/>
      <c r="AT6" s="137" t="s">
        <v>28</v>
      </c>
      <c r="AU6" s="137"/>
      <c r="AV6" s="137" t="s">
        <v>210</v>
      </c>
      <c r="AW6" s="137"/>
      <c r="AX6" s="137" t="s">
        <v>29</v>
      </c>
      <c r="AY6" s="137"/>
      <c r="AZ6" s="137" t="s">
        <v>273</v>
      </c>
      <c r="BA6" s="137"/>
      <c r="BB6" s="137" t="s">
        <v>24</v>
      </c>
      <c r="BC6" s="137"/>
      <c r="BD6" s="137" t="s">
        <v>7</v>
      </c>
      <c r="BE6" s="137"/>
      <c r="BF6" s="137" t="s">
        <v>35</v>
      </c>
      <c r="BG6" s="137"/>
      <c r="BH6" s="137" t="s">
        <v>36</v>
      </c>
      <c r="BI6" s="137"/>
      <c r="BJ6" s="137" t="s">
        <v>37</v>
      </c>
      <c r="BK6" s="137"/>
      <c r="BL6" s="137" t="s">
        <v>38</v>
      </c>
      <c r="BM6" s="137"/>
      <c r="BN6" s="137" t="s">
        <v>39</v>
      </c>
      <c r="BO6" s="137"/>
      <c r="BP6" s="137" t="s">
        <v>40</v>
      </c>
      <c r="BQ6" s="137"/>
      <c r="BR6" s="137" t="s">
        <v>44</v>
      </c>
      <c r="BS6" s="137"/>
      <c r="BT6" s="137" t="s">
        <v>8</v>
      </c>
      <c r="BU6" s="137"/>
      <c r="BV6" s="137" t="s">
        <v>45</v>
      </c>
      <c r="BW6" s="137"/>
    </row>
    <row r="7" spans="1:104" s="51" customFormat="1">
      <c r="A7" s="138"/>
      <c r="B7" s="4"/>
      <c r="C7" s="4" t="s">
        <v>176</v>
      </c>
      <c r="D7" s="4"/>
      <c r="E7" s="4"/>
      <c r="F7" s="4"/>
      <c r="G7" s="4"/>
      <c r="H7" s="4"/>
      <c r="I7" s="4"/>
      <c r="J7" s="4"/>
      <c r="K7" s="4" t="s">
        <v>176</v>
      </c>
      <c r="L7" s="4"/>
      <c r="M7" s="4" t="s">
        <v>176</v>
      </c>
      <c r="N7" s="4"/>
      <c r="O7" s="4" t="s">
        <v>176</v>
      </c>
      <c r="P7" s="4"/>
      <c r="Q7" s="4" t="s">
        <v>176</v>
      </c>
      <c r="R7" s="4"/>
      <c r="S7" s="4" t="s">
        <v>176</v>
      </c>
      <c r="T7" s="4"/>
      <c r="U7" s="4" t="s">
        <v>176</v>
      </c>
      <c r="V7" s="4"/>
      <c r="W7" s="4" t="s">
        <v>176</v>
      </c>
      <c r="X7" s="4"/>
      <c r="Y7" s="4" t="s">
        <v>176</v>
      </c>
      <c r="Z7" s="4"/>
      <c r="AA7" s="4" t="s">
        <v>176</v>
      </c>
      <c r="AB7" s="4"/>
      <c r="AC7" s="4" t="s">
        <v>176</v>
      </c>
      <c r="AD7" s="4"/>
      <c r="AE7" s="4" t="s">
        <v>176</v>
      </c>
      <c r="AF7" s="4"/>
      <c r="AG7" s="4" t="s">
        <v>176</v>
      </c>
      <c r="AH7" s="4"/>
      <c r="AI7" s="4" t="s">
        <v>176</v>
      </c>
      <c r="AJ7" s="4"/>
      <c r="AK7" s="4" t="s">
        <v>176</v>
      </c>
      <c r="AL7" s="4"/>
      <c r="AM7" s="4" t="s">
        <v>176</v>
      </c>
      <c r="AN7" s="4"/>
      <c r="AO7" s="4" t="s">
        <v>176</v>
      </c>
      <c r="AP7" s="4"/>
      <c r="AQ7" s="4" t="s">
        <v>176</v>
      </c>
      <c r="AR7" s="4"/>
      <c r="AS7" s="4" t="s">
        <v>176</v>
      </c>
      <c r="AT7" s="4"/>
      <c r="AU7" s="4" t="s">
        <v>176</v>
      </c>
      <c r="AV7" s="4"/>
      <c r="AW7" s="4" t="s">
        <v>176</v>
      </c>
      <c r="AX7" s="4"/>
      <c r="AY7" s="4" t="s">
        <v>176</v>
      </c>
      <c r="AZ7" s="4"/>
      <c r="BA7" s="4" t="s">
        <v>176</v>
      </c>
      <c r="BB7" s="4"/>
      <c r="BC7" s="4" t="s">
        <v>176</v>
      </c>
      <c r="BD7" s="4"/>
      <c r="BE7" s="4" t="s">
        <v>176</v>
      </c>
      <c r="BF7" s="4"/>
      <c r="BG7" s="4" t="s">
        <v>176</v>
      </c>
      <c r="BH7" s="4"/>
      <c r="BI7" s="4" t="s">
        <v>176</v>
      </c>
      <c r="BJ7" s="4"/>
      <c r="BK7" s="4" t="s">
        <v>176</v>
      </c>
      <c r="BL7" s="4"/>
      <c r="BM7" s="4" t="s">
        <v>176</v>
      </c>
      <c r="BN7" s="4"/>
      <c r="BO7" s="4" t="s">
        <v>176</v>
      </c>
      <c r="BP7" s="4"/>
      <c r="BQ7" s="4" t="s">
        <v>176</v>
      </c>
      <c r="BR7" s="4"/>
      <c r="BS7" s="4" t="s">
        <v>176</v>
      </c>
      <c r="BT7" s="4"/>
      <c r="BU7" s="4" t="s">
        <v>176</v>
      </c>
      <c r="BV7" s="4"/>
      <c r="BW7" s="4"/>
    </row>
    <row r="8" spans="1:104" s="51" customFormat="1">
      <c r="A8" s="138" t="s">
        <v>188</v>
      </c>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201</v>
      </c>
      <c r="BC8" s="4" t="s">
        <v>202</v>
      </c>
      <c r="BD8" s="4" t="s">
        <v>201</v>
      </c>
      <c r="BE8" s="4" t="s">
        <v>202</v>
      </c>
      <c r="BF8" s="4" t="s">
        <v>46</v>
      </c>
      <c r="BG8" s="4" t="s">
        <v>47</v>
      </c>
      <c r="BH8" s="4" t="s">
        <v>46</v>
      </c>
      <c r="BI8" s="4" t="s">
        <v>47</v>
      </c>
      <c r="BJ8" s="4" t="s">
        <v>46</v>
      </c>
      <c r="BK8" s="4" t="s">
        <v>47</v>
      </c>
      <c r="BL8" s="4" t="s">
        <v>46</v>
      </c>
      <c r="BM8" s="4" t="s">
        <v>47</v>
      </c>
      <c r="BN8" s="4" t="s">
        <v>46</v>
      </c>
      <c r="BO8" s="4" t="s">
        <v>47</v>
      </c>
      <c r="BP8" s="4" t="s">
        <v>46</v>
      </c>
      <c r="BQ8" s="4" t="s">
        <v>47</v>
      </c>
      <c r="BR8" s="4" t="s">
        <v>46</v>
      </c>
      <c r="BS8" s="4" t="s">
        <v>47</v>
      </c>
      <c r="BT8" s="4" t="s">
        <v>46</v>
      </c>
      <c r="BU8" s="4" t="s">
        <v>47</v>
      </c>
      <c r="BV8" s="4" t="s">
        <v>46</v>
      </c>
      <c r="BW8" s="4" t="s">
        <v>47</v>
      </c>
    </row>
    <row r="9" spans="1:104" s="27" customFormat="1">
      <c r="A9" s="5" t="s">
        <v>48</v>
      </c>
      <c r="B9" s="6"/>
      <c r="C9" s="6"/>
      <c r="D9" s="6"/>
      <c r="E9" s="6"/>
      <c r="F9" s="6"/>
      <c r="G9" s="6"/>
      <c r="H9" s="6"/>
      <c r="I9" s="6"/>
      <c r="J9" s="6"/>
      <c r="K9" s="6"/>
      <c r="L9" s="6"/>
      <c r="M9" s="6"/>
      <c r="N9" s="6">
        <v>3</v>
      </c>
      <c r="O9" s="6">
        <v>29</v>
      </c>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v>1</v>
      </c>
      <c r="BE9" s="6">
        <v>50</v>
      </c>
      <c r="BF9" s="6"/>
      <c r="BG9" s="6"/>
      <c r="BH9" s="6"/>
      <c r="BI9" s="6"/>
      <c r="BJ9" s="6"/>
      <c r="BK9" s="6"/>
      <c r="BL9" s="6"/>
      <c r="BM9" s="6"/>
      <c r="BN9" s="6">
        <v>1</v>
      </c>
      <c r="BO9" s="6">
        <v>21</v>
      </c>
      <c r="BP9" s="6"/>
      <c r="BQ9" s="6"/>
      <c r="BR9" s="6"/>
      <c r="BS9" s="6"/>
      <c r="BT9" s="6">
        <v>8</v>
      </c>
      <c r="BU9" s="6">
        <v>112</v>
      </c>
      <c r="BV9" s="8">
        <f>B9+D9+F9+H9+J9+L9+N9+P9+R9+T9+V9+X9+Z9+AB9+AD9+AF9+AH9+AJ9+AL9+AN9+AP9+AR9+AT9+AV9+AX9+AZ9+BB9+BD9+BF9+BH9+BJ9+BL9+BN9+BP9+BR9+BT9</f>
        <v>13</v>
      </c>
      <c r="BW9" s="8">
        <f>C9+E9+G9+I9+K9+M9+O9+Q9+S9+U9+W9+Y9+AA9+AC9+AE9+AG9+AI9+AK9+AM9+AO9+AQ9+AS9+AU9+AW9+AY9+BA9+BC9+BE9+BG9+BI9+BK9+BM9+BO9+BQ9+BS9+BU9</f>
        <v>212</v>
      </c>
      <c r="BX9" s="52"/>
      <c r="BY9" s="52"/>
      <c r="BZ9" s="52"/>
      <c r="CZ9" s="53"/>
    </row>
    <row r="10" spans="1:104" s="27" customFormat="1">
      <c r="A10" s="10" t="s">
        <v>49</v>
      </c>
      <c r="B10" s="6">
        <v>5</v>
      </c>
      <c r="C10" s="6">
        <v>273</v>
      </c>
      <c r="D10" s="6">
        <v>18</v>
      </c>
      <c r="E10" s="6">
        <v>2525</v>
      </c>
      <c r="F10" s="6">
        <v>5</v>
      </c>
      <c r="G10" s="6">
        <v>4681</v>
      </c>
      <c r="H10" s="6"/>
      <c r="I10" s="6"/>
      <c r="J10" s="6"/>
      <c r="K10" s="6"/>
      <c r="L10" s="6"/>
      <c r="M10" s="6"/>
      <c r="N10" s="6">
        <v>4</v>
      </c>
      <c r="O10" s="6">
        <v>71</v>
      </c>
      <c r="P10" s="6"/>
      <c r="Q10" s="6"/>
      <c r="R10" s="6"/>
      <c r="S10" s="6"/>
      <c r="T10" s="6">
        <v>1</v>
      </c>
      <c r="U10" s="6">
        <v>32</v>
      </c>
      <c r="V10" s="6"/>
      <c r="W10" s="6"/>
      <c r="X10" s="6"/>
      <c r="Y10" s="6"/>
      <c r="Z10" s="6">
        <v>9</v>
      </c>
      <c r="AA10" s="6">
        <v>4644</v>
      </c>
      <c r="AB10" s="6"/>
      <c r="AC10" s="6"/>
      <c r="AD10" s="6">
        <v>15</v>
      </c>
      <c r="AE10" s="6">
        <v>6353</v>
      </c>
      <c r="AF10" s="6">
        <v>1</v>
      </c>
      <c r="AG10" s="6">
        <v>348</v>
      </c>
      <c r="AH10" s="6">
        <v>1</v>
      </c>
      <c r="AI10" s="6">
        <v>126</v>
      </c>
      <c r="AJ10" s="6"/>
      <c r="AK10" s="6"/>
      <c r="AL10" s="6"/>
      <c r="AM10" s="6"/>
      <c r="AN10" s="6"/>
      <c r="AO10" s="6"/>
      <c r="AP10" s="6">
        <v>4</v>
      </c>
      <c r="AQ10" s="6">
        <v>1776</v>
      </c>
      <c r="AR10" s="6">
        <v>1</v>
      </c>
      <c r="AS10" s="6">
        <v>336</v>
      </c>
      <c r="AT10" s="6">
        <v>13</v>
      </c>
      <c r="AU10" s="6">
        <v>5509</v>
      </c>
      <c r="AV10" s="6">
        <v>1</v>
      </c>
      <c r="AW10" s="6">
        <v>240</v>
      </c>
      <c r="AX10" s="6">
        <v>1</v>
      </c>
      <c r="AY10" s="6">
        <v>706</v>
      </c>
      <c r="AZ10" s="6">
        <v>1</v>
      </c>
      <c r="BA10" s="6">
        <v>22</v>
      </c>
      <c r="BB10" s="6"/>
      <c r="BC10" s="6"/>
      <c r="BD10" s="6"/>
      <c r="BE10" s="6"/>
      <c r="BF10" s="6">
        <v>2</v>
      </c>
      <c r="BG10" s="6">
        <v>76</v>
      </c>
      <c r="BH10" s="6"/>
      <c r="BI10" s="6"/>
      <c r="BJ10" s="6"/>
      <c r="BK10" s="6"/>
      <c r="BL10" s="6">
        <v>1</v>
      </c>
      <c r="BM10" s="6">
        <v>55</v>
      </c>
      <c r="BN10" s="6">
        <v>1</v>
      </c>
      <c r="BO10" s="6">
        <v>39</v>
      </c>
      <c r="BP10" s="6"/>
      <c r="BQ10" s="6"/>
      <c r="BR10" s="6"/>
      <c r="BS10" s="6"/>
      <c r="BT10" s="6">
        <v>9</v>
      </c>
      <c r="BU10" s="6">
        <v>129</v>
      </c>
      <c r="BV10" s="8">
        <f t="shared" ref="BV10:BV61" si="0">B10+D10+F10+H10+J10+L10+N10+P10+R10+T10+V10+X10+Z10+AB10+AD10+AF10+AH10+AJ10+AL10+AN10+AP10+AR10+AT10+AV10+AX10+AZ10+BB10+BD10+BF10+BH10+BJ10+BL10+BN10+BP10+BR10+BT10</f>
        <v>93</v>
      </c>
      <c r="BW10" s="8">
        <f t="shared" ref="BW10:BW61" si="1">C10+E10+G10+I10+K10+M10+O10+Q10+S10+U10+W10+Y10+AA10+AC10+AE10+AG10+AI10+AK10+AM10+AO10+AQ10+AS10+AU10+AW10+AY10+BA10+BC10+BE10+BG10+BI10+BK10+BM10+BO10+BQ10+BS10+BU10</f>
        <v>27941</v>
      </c>
      <c r="BX10" s="52"/>
      <c r="BY10" s="52"/>
      <c r="BZ10" s="52"/>
    </row>
    <row r="11" spans="1:104" s="27" customFormat="1">
      <c r="A11" s="5" t="s">
        <v>50</v>
      </c>
      <c r="B11" s="6"/>
      <c r="C11" s="6"/>
      <c r="D11" s="6"/>
      <c r="E11" s="6"/>
      <c r="F11" s="6"/>
      <c r="G11" s="6"/>
      <c r="H11" s="6"/>
      <c r="I11" s="6"/>
      <c r="J11" s="6"/>
      <c r="K11" s="6"/>
      <c r="L11" s="6"/>
      <c r="M11" s="6"/>
      <c r="N11" s="6">
        <v>3</v>
      </c>
      <c r="O11" s="6">
        <v>38</v>
      </c>
      <c r="P11" s="6"/>
      <c r="Q11" s="6"/>
      <c r="R11" s="6"/>
      <c r="S11" s="6"/>
      <c r="T11" s="6"/>
      <c r="U11" s="6"/>
      <c r="V11" s="6"/>
      <c r="W11" s="6"/>
      <c r="X11" s="6"/>
      <c r="Y11" s="6"/>
      <c r="Z11" s="6"/>
      <c r="AA11" s="6"/>
      <c r="AB11" s="6"/>
      <c r="AC11" s="6"/>
      <c r="AD11" s="6">
        <v>1</v>
      </c>
      <c r="AE11" s="6">
        <v>50</v>
      </c>
      <c r="AF11" s="6"/>
      <c r="AG11" s="6"/>
      <c r="AH11" s="6"/>
      <c r="AI11" s="6"/>
      <c r="AJ11" s="6"/>
      <c r="AK11" s="6"/>
      <c r="AL11" s="6"/>
      <c r="AM11" s="6"/>
      <c r="AN11" s="6"/>
      <c r="AO11" s="6"/>
      <c r="AP11" s="6"/>
      <c r="AQ11" s="6"/>
      <c r="AR11" s="6"/>
      <c r="AS11" s="6"/>
      <c r="AT11" s="6"/>
      <c r="AU11" s="6"/>
      <c r="AV11" s="6"/>
      <c r="AW11" s="6"/>
      <c r="AX11" s="6"/>
      <c r="AY11" s="6"/>
      <c r="AZ11" s="6">
        <v>1</v>
      </c>
      <c r="BA11" s="6">
        <v>64</v>
      </c>
      <c r="BB11" s="6"/>
      <c r="BC11" s="6"/>
      <c r="BD11" s="6">
        <v>1</v>
      </c>
      <c r="BE11" s="6">
        <v>31</v>
      </c>
      <c r="BF11" s="6"/>
      <c r="BG11" s="6"/>
      <c r="BH11" s="6"/>
      <c r="BI11" s="6"/>
      <c r="BJ11" s="6"/>
      <c r="BK11" s="6"/>
      <c r="BL11" s="6"/>
      <c r="BM11" s="6"/>
      <c r="BN11" s="6"/>
      <c r="BO11" s="6"/>
      <c r="BP11" s="6"/>
      <c r="BQ11" s="6"/>
      <c r="BR11" s="6"/>
      <c r="BS11" s="6"/>
      <c r="BT11" s="6">
        <v>2</v>
      </c>
      <c r="BU11" s="6">
        <v>26</v>
      </c>
      <c r="BV11" s="8">
        <f t="shared" si="0"/>
        <v>8</v>
      </c>
      <c r="BW11" s="8">
        <f t="shared" si="1"/>
        <v>209</v>
      </c>
      <c r="BX11" s="52"/>
      <c r="BY11" s="52"/>
      <c r="BZ11" s="52"/>
    </row>
    <row r="12" spans="1:104" s="27" customFormat="1">
      <c r="A12" s="5" t="s">
        <v>51</v>
      </c>
      <c r="B12" s="6">
        <v>1</v>
      </c>
      <c r="C12" s="6">
        <v>54</v>
      </c>
      <c r="D12" s="6">
        <v>1</v>
      </c>
      <c r="E12" s="6">
        <v>98</v>
      </c>
      <c r="F12" s="6">
        <v>1</v>
      </c>
      <c r="G12" s="6">
        <v>414</v>
      </c>
      <c r="H12" s="6"/>
      <c r="I12" s="6"/>
      <c r="J12" s="6"/>
      <c r="K12" s="6"/>
      <c r="L12" s="6"/>
      <c r="M12" s="6"/>
      <c r="N12" s="6">
        <v>1</v>
      </c>
      <c r="O12" s="6">
        <v>14</v>
      </c>
      <c r="P12" s="6"/>
      <c r="Q12" s="6"/>
      <c r="R12" s="6"/>
      <c r="S12" s="6"/>
      <c r="T12" s="6"/>
      <c r="U12" s="6"/>
      <c r="V12" s="6"/>
      <c r="W12" s="6"/>
      <c r="X12" s="6"/>
      <c r="Y12" s="6"/>
      <c r="Z12" s="6">
        <v>2</v>
      </c>
      <c r="AA12" s="6">
        <v>309</v>
      </c>
      <c r="AB12" s="6"/>
      <c r="AC12" s="6"/>
      <c r="AD12" s="6">
        <v>3</v>
      </c>
      <c r="AE12" s="6">
        <v>1458</v>
      </c>
      <c r="AF12" s="6">
        <v>2</v>
      </c>
      <c r="AG12" s="6">
        <v>287</v>
      </c>
      <c r="AH12" s="6">
        <v>1</v>
      </c>
      <c r="AI12" s="6">
        <v>330</v>
      </c>
      <c r="AJ12" s="6"/>
      <c r="AK12" s="6"/>
      <c r="AL12" s="6"/>
      <c r="AM12" s="6"/>
      <c r="AN12" s="6"/>
      <c r="AO12" s="6"/>
      <c r="AP12" s="6"/>
      <c r="AQ12" s="6"/>
      <c r="AR12" s="6"/>
      <c r="AS12" s="6"/>
      <c r="AT12" s="6">
        <v>3</v>
      </c>
      <c r="AU12" s="6">
        <v>546</v>
      </c>
      <c r="AV12" s="6"/>
      <c r="AW12" s="6"/>
      <c r="AX12" s="6"/>
      <c r="AY12" s="6"/>
      <c r="AZ12" s="6"/>
      <c r="BA12" s="6"/>
      <c r="BB12" s="6"/>
      <c r="BC12" s="6"/>
      <c r="BD12" s="6"/>
      <c r="BE12" s="6"/>
      <c r="BF12" s="6">
        <v>1</v>
      </c>
      <c r="BG12" s="6">
        <v>40</v>
      </c>
      <c r="BH12" s="6"/>
      <c r="BI12" s="6"/>
      <c r="BJ12" s="6"/>
      <c r="BK12" s="6"/>
      <c r="BL12" s="6"/>
      <c r="BM12" s="6"/>
      <c r="BN12" s="6">
        <v>1</v>
      </c>
      <c r="BO12" s="6">
        <v>28</v>
      </c>
      <c r="BP12" s="6"/>
      <c r="BQ12" s="6"/>
      <c r="BR12" s="6"/>
      <c r="BS12" s="6"/>
      <c r="BT12" s="6">
        <v>1</v>
      </c>
      <c r="BU12" s="6">
        <v>8</v>
      </c>
      <c r="BV12" s="8">
        <f t="shared" si="0"/>
        <v>18</v>
      </c>
      <c r="BW12" s="8">
        <f t="shared" si="1"/>
        <v>3586</v>
      </c>
      <c r="BX12" s="52"/>
      <c r="BY12" s="52"/>
      <c r="BZ12" s="52"/>
    </row>
    <row r="13" spans="1:104" s="27" customFormat="1">
      <c r="A13" s="5" t="s">
        <v>203</v>
      </c>
      <c r="B13" s="6"/>
      <c r="C13" s="6"/>
      <c r="D13" s="6"/>
      <c r="E13" s="6"/>
      <c r="F13" s="6"/>
      <c r="G13" s="6"/>
      <c r="H13" s="6"/>
      <c r="I13" s="6"/>
      <c r="J13" s="6"/>
      <c r="K13" s="6"/>
      <c r="L13" s="6"/>
      <c r="M13" s="6"/>
      <c r="N13" s="6">
        <v>1</v>
      </c>
      <c r="O13" s="6">
        <v>22</v>
      </c>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v>1</v>
      </c>
      <c r="AW13" s="6">
        <v>50</v>
      </c>
      <c r="AX13" s="6"/>
      <c r="AY13" s="6"/>
      <c r="AZ13" s="6"/>
      <c r="BA13" s="6"/>
      <c r="BB13" s="6"/>
      <c r="BC13" s="6"/>
      <c r="BD13" s="6"/>
      <c r="BE13" s="6"/>
      <c r="BF13" s="6"/>
      <c r="BG13" s="6"/>
      <c r="BH13" s="6"/>
      <c r="BI13" s="6"/>
      <c r="BJ13" s="6"/>
      <c r="BK13" s="6"/>
      <c r="BL13" s="6"/>
      <c r="BM13" s="6"/>
      <c r="BN13" s="6"/>
      <c r="BO13" s="6"/>
      <c r="BP13" s="6"/>
      <c r="BQ13" s="6"/>
      <c r="BR13" s="6"/>
      <c r="BS13" s="6"/>
      <c r="BT13" s="6">
        <v>1</v>
      </c>
      <c r="BU13" s="6">
        <v>32</v>
      </c>
      <c r="BV13" s="8">
        <f t="shared" si="0"/>
        <v>3</v>
      </c>
      <c r="BW13" s="8">
        <f t="shared" si="1"/>
        <v>104</v>
      </c>
      <c r="BX13" s="52"/>
      <c r="BY13" s="52"/>
      <c r="BZ13" s="52"/>
    </row>
    <row r="14" spans="1:104" s="27" customFormat="1">
      <c r="A14" s="5" t="s">
        <v>52</v>
      </c>
      <c r="B14" s="6">
        <v>1</v>
      </c>
      <c r="C14" s="6">
        <v>38</v>
      </c>
      <c r="D14" s="6"/>
      <c r="E14" s="6"/>
      <c r="F14" s="6"/>
      <c r="G14" s="6"/>
      <c r="H14" s="6"/>
      <c r="I14" s="6"/>
      <c r="J14" s="6"/>
      <c r="K14" s="6"/>
      <c r="L14" s="6"/>
      <c r="M14" s="6"/>
      <c r="N14" s="6">
        <v>9</v>
      </c>
      <c r="O14" s="6">
        <v>205</v>
      </c>
      <c r="P14" s="6"/>
      <c r="Q14" s="6"/>
      <c r="R14" s="89"/>
      <c r="S14" s="89"/>
      <c r="T14" s="6"/>
      <c r="U14" s="6"/>
      <c r="V14" s="6"/>
      <c r="W14" s="6"/>
      <c r="X14" s="6"/>
      <c r="Y14" s="6"/>
      <c r="Z14" s="6"/>
      <c r="AA14" s="6"/>
      <c r="AB14" s="6"/>
      <c r="AC14" s="6"/>
      <c r="AD14" s="6">
        <v>5</v>
      </c>
      <c r="AE14" s="6">
        <v>157</v>
      </c>
      <c r="AF14" s="6">
        <v>1</v>
      </c>
      <c r="AG14" s="6">
        <v>24</v>
      </c>
      <c r="AH14" s="6"/>
      <c r="AI14" s="6"/>
      <c r="AJ14" s="6"/>
      <c r="AK14" s="6"/>
      <c r="AL14" s="6"/>
      <c r="AM14" s="6"/>
      <c r="AN14" s="6"/>
      <c r="AO14" s="6"/>
      <c r="AP14" s="6"/>
      <c r="AQ14" s="6"/>
      <c r="AR14" s="6"/>
      <c r="AS14" s="6"/>
      <c r="AT14" s="6"/>
      <c r="AU14" s="6"/>
      <c r="AV14" s="6"/>
      <c r="AW14" s="6"/>
      <c r="AX14" s="6"/>
      <c r="AY14" s="6"/>
      <c r="AZ14" s="6"/>
      <c r="BA14" s="6"/>
      <c r="BB14" s="6"/>
      <c r="BC14" s="6"/>
      <c r="BD14" s="6">
        <v>1</v>
      </c>
      <c r="BE14" s="6">
        <v>154</v>
      </c>
      <c r="BF14" s="6">
        <v>1</v>
      </c>
      <c r="BG14" s="6">
        <v>15</v>
      </c>
      <c r="BH14" s="6">
        <v>1</v>
      </c>
      <c r="BI14" s="6">
        <v>12</v>
      </c>
      <c r="BJ14" s="6"/>
      <c r="BK14" s="6"/>
      <c r="BL14" s="6"/>
      <c r="BM14" s="6"/>
      <c r="BN14" s="6"/>
      <c r="BO14" s="6"/>
      <c r="BP14" s="6"/>
      <c r="BQ14" s="6"/>
      <c r="BR14" s="6"/>
      <c r="BS14" s="6"/>
      <c r="BT14" s="6">
        <v>4</v>
      </c>
      <c r="BU14" s="6">
        <v>45</v>
      </c>
      <c r="BV14" s="8">
        <f t="shared" si="0"/>
        <v>23</v>
      </c>
      <c r="BW14" s="8">
        <f t="shared" si="1"/>
        <v>650</v>
      </c>
      <c r="BX14" s="52"/>
      <c r="BY14" s="52"/>
      <c r="BZ14" s="52"/>
    </row>
    <row r="15" spans="1:104" s="27" customFormat="1">
      <c r="A15" s="5" t="s">
        <v>53</v>
      </c>
      <c r="B15" s="6"/>
      <c r="C15" s="6"/>
      <c r="D15" s="6"/>
      <c r="E15" s="6"/>
      <c r="F15" s="6"/>
      <c r="G15" s="6"/>
      <c r="H15" s="6"/>
      <c r="I15" s="6"/>
      <c r="J15" s="6"/>
      <c r="K15" s="6"/>
      <c r="L15" s="6"/>
      <c r="M15" s="6"/>
      <c r="N15" s="6"/>
      <c r="O15" s="6"/>
      <c r="P15" s="6"/>
      <c r="Q15" s="6"/>
      <c r="R15" s="6"/>
      <c r="S15" s="6"/>
      <c r="T15" s="6"/>
      <c r="U15" s="6"/>
      <c r="V15" s="6"/>
      <c r="W15" s="6"/>
      <c r="X15" s="6"/>
      <c r="Y15" s="6"/>
      <c r="Z15" s="6">
        <v>2</v>
      </c>
      <c r="AA15" s="6">
        <v>121</v>
      </c>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v>1</v>
      </c>
      <c r="BI15" s="6">
        <v>75</v>
      </c>
      <c r="BJ15" s="6"/>
      <c r="BK15" s="6"/>
      <c r="BL15" s="6"/>
      <c r="BM15" s="6"/>
      <c r="BN15" s="6"/>
      <c r="BO15" s="6"/>
      <c r="BP15" s="6"/>
      <c r="BQ15" s="6"/>
      <c r="BR15" s="6"/>
      <c r="BS15" s="6"/>
      <c r="BT15" s="6">
        <v>3</v>
      </c>
      <c r="BU15" s="6">
        <v>35</v>
      </c>
      <c r="BV15" s="8">
        <f t="shared" si="0"/>
        <v>6</v>
      </c>
      <c r="BW15" s="8">
        <f t="shared" si="1"/>
        <v>231</v>
      </c>
      <c r="BX15" s="52"/>
      <c r="BY15" s="52"/>
      <c r="BZ15" s="52"/>
    </row>
    <row r="16" spans="1:104" s="27" customFormat="1">
      <c r="A16" s="5" t="s">
        <v>54</v>
      </c>
      <c r="B16" s="6"/>
      <c r="C16" s="6"/>
      <c r="D16" s="6"/>
      <c r="E16" s="6"/>
      <c r="F16" s="6"/>
      <c r="G16" s="6"/>
      <c r="H16" s="6"/>
      <c r="I16" s="6"/>
      <c r="J16" s="6"/>
      <c r="K16" s="6"/>
      <c r="L16" s="6"/>
      <c r="M16" s="6"/>
      <c r="N16" s="6">
        <v>2</v>
      </c>
      <c r="O16" s="6">
        <v>78</v>
      </c>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8">
        <f t="shared" si="0"/>
        <v>2</v>
      </c>
      <c r="BW16" s="8">
        <f t="shared" si="1"/>
        <v>78</v>
      </c>
      <c r="BX16" s="52"/>
      <c r="BY16" s="52"/>
      <c r="BZ16" s="52"/>
    </row>
    <row r="17" spans="1:78" s="27" customFormat="1">
      <c r="A17" s="5" t="s">
        <v>55</v>
      </c>
      <c r="B17" s="6"/>
      <c r="C17" s="6"/>
      <c r="D17" s="6"/>
      <c r="E17" s="6"/>
      <c r="F17" s="6"/>
      <c r="G17" s="6"/>
      <c r="H17" s="6"/>
      <c r="I17" s="6"/>
      <c r="J17" s="6"/>
      <c r="K17" s="6"/>
      <c r="L17" s="6"/>
      <c r="M17" s="6"/>
      <c r="N17" s="6">
        <v>1</v>
      </c>
      <c r="O17" s="6">
        <v>22</v>
      </c>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8">
        <f t="shared" si="0"/>
        <v>1</v>
      </c>
      <c r="BW17" s="8">
        <f t="shared" si="1"/>
        <v>22</v>
      </c>
      <c r="BX17" s="52"/>
      <c r="BY17" s="52"/>
      <c r="BZ17" s="52"/>
    </row>
    <row r="18" spans="1:78" s="27" customFormat="1">
      <c r="A18" s="5" t="s">
        <v>56</v>
      </c>
      <c r="B18" s="6"/>
      <c r="C18" s="6"/>
      <c r="D18" s="6"/>
      <c r="E18" s="6"/>
      <c r="F18" s="6"/>
      <c r="G18" s="6"/>
      <c r="H18" s="6"/>
      <c r="I18" s="6"/>
      <c r="J18" s="6"/>
      <c r="K18" s="6"/>
      <c r="L18" s="6"/>
      <c r="M18" s="6"/>
      <c r="N18" s="6">
        <v>12</v>
      </c>
      <c r="O18" s="6">
        <v>180</v>
      </c>
      <c r="P18" s="6"/>
      <c r="Q18" s="6"/>
      <c r="R18" s="6"/>
      <c r="S18" s="6"/>
      <c r="T18" s="6"/>
      <c r="U18" s="6"/>
      <c r="V18" s="6"/>
      <c r="W18" s="6"/>
      <c r="X18" s="6"/>
      <c r="Y18" s="6"/>
      <c r="Z18" s="6">
        <v>1</v>
      </c>
      <c r="AA18" s="6">
        <v>30</v>
      </c>
      <c r="AB18" s="6"/>
      <c r="AC18" s="6"/>
      <c r="AD18" s="6">
        <v>1</v>
      </c>
      <c r="AE18" s="6">
        <v>38</v>
      </c>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v>1</v>
      </c>
      <c r="BU18" s="6">
        <v>20</v>
      </c>
      <c r="BV18" s="8">
        <f t="shared" si="0"/>
        <v>15</v>
      </c>
      <c r="BW18" s="8">
        <f t="shared" si="1"/>
        <v>268</v>
      </c>
      <c r="BX18" s="52"/>
      <c r="BY18" s="52"/>
      <c r="BZ18" s="52"/>
    </row>
    <row r="19" spans="1:78" s="27" customFormat="1">
      <c r="A19" s="5" t="s">
        <v>57</v>
      </c>
      <c r="B19" s="6">
        <v>10</v>
      </c>
      <c r="C19" s="6">
        <v>507</v>
      </c>
      <c r="D19" s="6">
        <v>24</v>
      </c>
      <c r="E19" s="6">
        <v>2728</v>
      </c>
      <c r="F19" s="6">
        <v>23</v>
      </c>
      <c r="G19" s="6">
        <v>4332</v>
      </c>
      <c r="H19" s="6">
        <v>1</v>
      </c>
      <c r="I19" s="6">
        <v>566</v>
      </c>
      <c r="J19" s="6">
        <v>3</v>
      </c>
      <c r="K19" s="6">
        <v>537</v>
      </c>
      <c r="L19" s="6"/>
      <c r="M19" s="6"/>
      <c r="N19" s="6">
        <v>7</v>
      </c>
      <c r="O19" s="6">
        <v>107</v>
      </c>
      <c r="P19" s="6">
        <v>1</v>
      </c>
      <c r="Q19" s="6">
        <v>19</v>
      </c>
      <c r="R19" s="6"/>
      <c r="S19" s="6"/>
      <c r="T19" s="6"/>
      <c r="U19" s="6"/>
      <c r="V19" s="6">
        <v>3</v>
      </c>
      <c r="W19" s="6">
        <v>219</v>
      </c>
      <c r="X19" s="6">
        <v>5</v>
      </c>
      <c r="Y19" s="6">
        <v>770</v>
      </c>
      <c r="Z19" s="6">
        <v>35</v>
      </c>
      <c r="AA19" s="6">
        <v>8410</v>
      </c>
      <c r="AB19" s="6"/>
      <c r="AC19" s="6"/>
      <c r="AD19" s="6">
        <v>69</v>
      </c>
      <c r="AE19" s="6">
        <v>26093</v>
      </c>
      <c r="AF19" s="6">
        <v>8</v>
      </c>
      <c r="AG19" s="6">
        <v>2663</v>
      </c>
      <c r="AH19" s="6">
        <v>8</v>
      </c>
      <c r="AI19" s="6">
        <v>1868</v>
      </c>
      <c r="AJ19" s="6"/>
      <c r="AK19" s="6"/>
      <c r="AL19" s="6"/>
      <c r="AM19" s="6"/>
      <c r="AN19" s="6">
        <v>2</v>
      </c>
      <c r="AO19" s="6">
        <v>159</v>
      </c>
      <c r="AP19" s="6">
        <v>9</v>
      </c>
      <c r="AQ19" s="6">
        <v>2851</v>
      </c>
      <c r="AR19" s="6">
        <v>3</v>
      </c>
      <c r="AS19" s="6">
        <v>944</v>
      </c>
      <c r="AT19" s="6">
        <v>17</v>
      </c>
      <c r="AU19" s="6">
        <v>7054</v>
      </c>
      <c r="AV19" s="6"/>
      <c r="AW19" s="6"/>
      <c r="AX19" s="6">
        <v>2</v>
      </c>
      <c r="AY19" s="6">
        <v>586</v>
      </c>
      <c r="AZ19" s="6"/>
      <c r="BA19" s="6"/>
      <c r="BB19" s="6"/>
      <c r="BC19" s="6"/>
      <c r="BD19" s="6">
        <v>1</v>
      </c>
      <c r="BE19" s="6">
        <v>82</v>
      </c>
      <c r="BF19" s="6">
        <v>3</v>
      </c>
      <c r="BG19" s="6">
        <v>95</v>
      </c>
      <c r="BH19" s="6">
        <v>2</v>
      </c>
      <c r="BI19" s="6">
        <v>119</v>
      </c>
      <c r="BJ19" s="6">
        <v>1</v>
      </c>
      <c r="BK19" s="6">
        <v>72</v>
      </c>
      <c r="BL19" s="6">
        <v>8</v>
      </c>
      <c r="BM19" s="6">
        <v>323</v>
      </c>
      <c r="BN19" s="6">
        <v>3</v>
      </c>
      <c r="BO19" s="6">
        <v>131</v>
      </c>
      <c r="BP19" s="6">
        <v>2</v>
      </c>
      <c r="BQ19" s="6">
        <v>86</v>
      </c>
      <c r="BR19" s="6"/>
      <c r="BS19" s="6"/>
      <c r="BT19" s="6">
        <v>1</v>
      </c>
      <c r="BU19" s="6">
        <v>4</v>
      </c>
      <c r="BV19" s="8">
        <f t="shared" si="0"/>
        <v>251</v>
      </c>
      <c r="BW19" s="8">
        <f t="shared" si="1"/>
        <v>61325</v>
      </c>
      <c r="BX19" s="52"/>
      <c r="BY19" s="52"/>
      <c r="BZ19" s="52"/>
    </row>
    <row r="20" spans="1:78" s="27" customFormat="1">
      <c r="A20" s="5" t="s">
        <v>58</v>
      </c>
      <c r="B20" s="6"/>
      <c r="C20" s="6"/>
      <c r="D20" s="6"/>
      <c r="E20" s="6"/>
      <c r="F20" s="6"/>
      <c r="G20" s="6"/>
      <c r="H20" s="6"/>
      <c r="I20" s="6"/>
      <c r="J20" s="6"/>
      <c r="K20" s="6"/>
      <c r="L20" s="6"/>
      <c r="M20" s="6"/>
      <c r="N20" s="6">
        <v>4</v>
      </c>
      <c r="O20" s="6">
        <v>142</v>
      </c>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v>1</v>
      </c>
      <c r="BE20" s="6">
        <v>64</v>
      </c>
      <c r="BF20" s="6"/>
      <c r="BG20" s="6"/>
      <c r="BH20" s="6"/>
      <c r="BI20" s="6"/>
      <c r="BJ20" s="6"/>
      <c r="BK20" s="6"/>
      <c r="BL20" s="6"/>
      <c r="BM20" s="6"/>
      <c r="BN20" s="6"/>
      <c r="BO20" s="6"/>
      <c r="BP20" s="6"/>
      <c r="BQ20" s="6"/>
      <c r="BR20" s="6"/>
      <c r="BS20" s="6"/>
      <c r="BT20" s="6">
        <v>2</v>
      </c>
      <c r="BU20" s="6">
        <v>22</v>
      </c>
      <c r="BV20" s="8">
        <f t="shared" si="0"/>
        <v>7</v>
      </c>
      <c r="BW20" s="8">
        <f t="shared" si="1"/>
        <v>228</v>
      </c>
      <c r="BX20" s="52"/>
      <c r="BY20" s="52"/>
      <c r="BZ20" s="52"/>
    </row>
    <row r="21" spans="1:78" s="27" customFormat="1">
      <c r="A21" s="5" t="s">
        <v>59</v>
      </c>
      <c r="B21" s="6"/>
      <c r="C21" s="6"/>
      <c r="D21" s="6"/>
      <c r="E21" s="6"/>
      <c r="F21" s="6"/>
      <c r="G21" s="6"/>
      <c r="H21" s="6"/>
      <c r="I21" s="6"/>
      <c r="J21" s="6"/>
      <c r="K21" s="6"/>
      <c r="L21" s="6"/>
      <c r="M21" s="6"/>
      <c r="N21" s="6">
        <v>30</v>
      </c>
      <c r="O21" s="6">
        <v>585</v>
      </c>
      <c r="P21" s="6"/>
      <c r="Q21" s="6"/>
      <c r="R21" s="6"/>
      <c r="S21" s="6"/>
      <c r="T21" s="6"/>
      <c r="U21" s="6"/>
      <c r="V21" s="6"/>
      <c r="W21" s="6"/>
      <c r="X21" s="6"/>
      <c r="Y21" s="6"/>
      <c r="Z21" s="6"/>
      <c r="AA21" s="6"/>
      <c r="AB21" s="6"/>
      <c r="AC21" s="6"/>
      <c r="AD21" s="6"/>
      <c r="AE21" s="6"/>
      <c r="AF21" s="6"/>
      <c r="AG21" s="6"/>
      <c r="AH21" s="6">
        <v>1</v>
      </c>
      <c r="AI21" s="6">
        <v>76</v>
      </c>
      <c r="AJ21" s="6"/>
      <c r="AK21" s="6"/>
      <c r="AL21" s="6"/>
      <c r="AM21" s="6"/>
      <c r="AN21" s="6"/>
      <c r="AO21" s="6"/>
      <c r="AP21" s="6"/>
      <c r="AQ21" s="6"/>
      <c r="AR21" s="6"/>
      <c r="AS21" s="6"/>
      <c r="AT21" s="6"/>
      <c r="AU21" s="6"/>
      <c r="AV21" s="6"/>
      <c r="AW21" s="6"/>
      <c r="AX21" s="6"/>
      <c r="AY21" s="6"/>
      <c r="AZ21" s="6"/>
      <c r="BA21" s="6"/>
      <c r="BB21" s="6"/>
      <c r="BC21" s="6"/>
      <c r="BD21" s="6">
        <v>3</v>
      </c>
      <c r="BE21" s="6">
        <v>74</v>
      </c>
      <c r="BF21" s="6"/>
      <c r="BG21" s="6"/>
      <c r="BH21" s="6"/>
      <c r="BI21" s="6"/>
      <c r="BJ21" s="6"/>
      <c r="BK21" s="6"/>
      <c r="BL21" s="6">
        <v>1</v>
      </c>
      <c r="BM21" s="6">
        <v>41</v>
      </c>
      <c r="BN21" s="6"/>
      <c r="BO21" s="6"/>
      <c r="BP21" s="6"/>
      <c r="BQ21" s="6"/>
      <c r="BR21" s="6"/>
      <c r="BS21" s="6"/>
      <c r="BT21" s="6">
        <v>2</v>
      </c>
      <c r="BU21" s="6">
        <v>58</v>
      </c>
      <c r="BV21" s="8">
        <f t="shared" si="0"/>
        <v>37</v>
      </c>
      <c r="BW21" s="8">
        <f t="shared" si="1"/>
        <v>834</v>
      </c>
      <c r="BX21" s="52"/>
      <c r="BY21" s="52"/>
      <c r="BZ21" s="52"/>
    </row>
    <row r="22" spans="1:78" s="27" customFormat="1">
      <c r="A22" s="5" t="s">
        <v>60</v>
      </c>
      <c r="B22" s="6">
        <v>8</v>
      </c>
      <c r="C22" s="6">
        <v>423</v>
      </c>
      <c r="D22" s="6">
        <v>7</v>
      </c>
      <c r="E22" s="6">
        <v>364</v>
      </c>
      <c r="F22" s="6">
        <v>6</v>
      </c>
      <c r="G22" s="6">
        <v>538</v>
      </c>
      <c r="H22" s="6"/>
      <c r="I22" s="6"/>
      <c r="J22" s="6"/>
      <c r="K22" s="6"/>
      <c r="L22" s="6"/>
      <c r="M22" s="6"/>
      <c r="N22" s="6">
        <v>3</v>
      </c>
      <c r="O22" s="6">
        <v>114</v>
      </c>
      <c r="P22" s="6"/>
      <c r="Q22" s="6"/>
      <c r="R22" s="6"/>
      <c r="S22" s="6"/>
      <c r="T22" s="6">
        <v>1</v>
      </c>
      <c r="U22" s="6">
        <v>68</v>
      </c>
      <c r="V22" s="6">
        <v>5</v>
      </c>
      <c r="W22" s="6">
        <v>262</v>
      </c>
      <c r="X22" s="6"/>
      <c r="Y22" s="6"/>
      <c r="Z22" s="6">
        <v>11</v>
      </c>
      <c r="AA22" s="6">
        <v>1886</v>
      </c>
      <c r="AB22" s="6">
        <v>2</v>
      </c>
      <c r="AC22" s="6">
        <v>310</v>
      </c>
      <c r="AD22" s="6">
        <v>23</v>
      </c>
      <c r="AE22" s="6">
        <v>5921</v>
      </c>
      <c r="AF22" s="6">
        <v>6</v>
      </c>
      <c r="AG22" s="6">
        <v>1466</v>
      </c>
      <c r="AH22" s="6">
        <v>3</v>
      </c>
      <c r="AI22" s="6">
        <v>474</v>
      </c>
      <c r="AJ22" s="6">
        <v>1</v>
      </c>
      <c r="AK22" s="6">
        <v>284</v>
      </c>
      <c r="AL22" s="6">
        <v>3</v>
      </c>
      <c r="AM22" s="6">
        <v>78</v>
      </c>
      <c r="AN22" s="6"/>
      <c r="AO22" s="6"/>
      <c r="AP22" s="6">
        <v>4</v>
      </c>
      <c r="AQ22" s="6">
        <v>1032</v>
      </c>
      <c r="AR22" s="6">
        <v>1</v>
      </c>
      <c r="AS22" s="6">
        <v>78</v>
      </c>
      <c r="AT22" s="6">
        <v>10</v>
      </c>
      <c r="AU22" s="6">
        <v>4067</v>
      </c>
      <c r="AV22" s="6">
        <v>1</v>
      </c>
      <c r="AW22" s="6">
        <v>840</v>
      </c>
      <c r="AX22" s="6">
        <v>1</v>
      </c>
      <c r="AY22" s="6">
        <v>96</v>
      </c>
      <c r="AZ22" s="6"/>
      <c r="BA22" s="6"/>
      <c r="BB22" s="6"/>
      <c r="BC22" s="6"/>
      <c r="BD22" s="6">
        <v>2</v>
      </c>
      <c r="BE22" s="6">
        <v>84</v>
      </c>
      <c r="BF22" s="6">
        <v>6</v>
      </c>
      <c r="BG22" s="6">
        <v>497</v>
      </c>
      <c r="BH22" s="6">
        <v>4</v>
      </c>
      <c r="BI22" s="6">
        <v>279</v>
      </c>
      <c r="BJ22" s="6"/>
      <c r="BK22" s="6"/>
      <c r="BL22" s="6">
        <v>4</v>
      </c>
      <c r="BM22" s="6">
        <v>132</v>
      </c>
      <c r="BN22" s="6">
        <v>2</v>
      </c>
      <c r="BO22" s="6">
        <v>83</v>
      </c>
      <c r="BP22" s="6"/>
      <c r="BQ22" s="6"/>
      <c r="BR22" s="6"/>
      <c r="BS22" s="6"/>
      <c r="BT22" s="6">
        <v>1</v>
      </c>
      <c r="BU22" s="6">
        <v>20</v>
      </c>
      <c r="BV22" s="8">
        <f t="shared" si="0"/>
        <v>115</v>
      </c>
      <c r="BW22" s="8">
        <f t="shared" si="1"/>
        <v>19396</v>
      </c>
      <c r="BX22" s="52"/>
      <c r="BY22" s="52"/>
      <c r="BZ22" s="52"/>
    </row>
    <row r="23" spans="1:78" s="27" customFormat="1">
      <c r="A23" s="5" t="s">
        <v>218</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v>1</v>
      </c>
      <c r="BE23" s="6">
        <v>50</v>
      </c>
      <c r="BF23" s="6"/>
      <c r="BG23" s="6"/>
      <c r="BH23" s="6"/>
      <c r="BI23" s="6"/>
      <c r="BJ23" s="6"/>
      <c r="BK23" s="6"/>
      <c r="BL23" s="6"/>
      <c r="BM23" s="6"/>
      <c r="BN23" s="6"/>
      <c r="BO23" s="6"/>
      <c r="BP23" s="6"/>
      <c r="BQ23" s="6"/>
      <c r="BR23" s="6"/>
      <c r="BS23" s="6"/>
      <c r="BT23" s="6"/>
      <c r="BU23" s="6"/>
      <c r="BV23" s="8">
        <f t="shared" si="0"/>
        <v>1</v>
      </c>
      <c r="BW23" s="8">
        <f t="shared" si="1"/>
        <v>50</v>
      </c>
      <c r="BX23" s="52"/>
      <c r="BY23" s="52"/>
      <c r="BZ23" s="52"/>
    </row>
    <row r="24" spans="1:78" s="27" customFormat="1">
      <c r="A24" s="5" t="s">
        <v>61</v>
      </c>
      <c r="B24" s="6"/>
      <c r="C24" s="6"/>
      <c r="D24" s="6"/>
      <c r="E24" s="6"/>
      <c r="F24" s="6"/>
      <c r="G24" s="6"/>
      <c r="H24" s="6"/>
      <c r="I24" s="6"/>
      <c r="J24" s="6"/>
      <c r="K24" s="6"/>
      <c r="L24" s="6"/>
      <c r="M24" s="6"/>
      <c r="N24" s="6">
        <v>1</v>
      </c>
      <c r="O24" s="6">
        <v>17</v>
      </c>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v>2</v>
      </c>
      <c r="BU24" s="6">
        <v>24</v>
      </c>
      <c r="BV24" s="8">
        <f t="shared" si="0"/>
        <v>3</v>
      </c>
      <c r="BW24" s="8">
        <f t="shared" si="1"/>
        <v>41</v>
      </c>
      <c r="BX24" s="52"/>
      <c r="BY24" s="52"/>
      <c r="BZ24" s="52"/>
    </row>
    <row r="25" spans="1:78" s="27" customFormat="1">
      <c r="A25" s="5" t="s">
        <v>62</v>
      </c>
      <c r="B25" s="6"/>
      <c r="C25" s="6"/>
      <c r="D25" s="6"/>
      <c r="E25" s="6"/>
      <c r="F25" s="6"/>
      <c r="G25" s="6"/>
      <c r="H25" s="6"/>
      <c r="I25" s="6"/>
      <c r="J25" s="6"/>
      <c r="K25" s="6"/>
      <c r="L25" s="6"/>
      <c r="M25" s="6"/>
      <c r="N25" s="6">
        <v>1</v>
      </c>
      <c r="O25" s="6">
        <v>16</v>
      </c>
      <c r="P25" s="6"/>
      <c r="Q25" s="6"/>
      <c r="R25" s="6"/>
      <c r="S25" s="6"/>
      <c r="T25" s="6">
        <v>1</v>
      </c>
      <c r="U25" s="6">
        <v>17</v>
      </c>
      <c r="V25" s="6"/>
      <c r="W25" s="6"/>
      <c r="X25" s="6"/>
      <c r="Y25" s="6"/>
      <c r="Z25" s="6"/>
      <c r="AA25" s="6"/>
      <c r="AB25" s="6"/>
      <c r="AC25" s="6"/>
      <c r="AD25" s="6">
        <v>2</v>
      </c>
      <c r="AE25" s="6">
        <v>244</v>
      </c>
      <c r="AF25" s="6"/>
      <c r="AG25" s="6"/>
      <c r="AH25" s="6"/>
      <c r="AI25" s="6"/>
      <c r="AJ25" s="6"/>
      <c r="AK25" s="6"/>
      <c r="AL25" s="6"/>
      <c r="AM25" s="6"/>
      <c r="AN25" s="6"/>
      <c r="AO25" s="6"/>
      <c r="AP25" s="6"/>
      <c r="AQ25" s="6"/>
      <c r="AR25" s="6"/>
      <c r="AS25" s="6"/>
      <c r="AT25" s="6">
        <v>1</v>
      </c>
      <c r="AU25" s="6">
        <v>52</v>
      </c>
      <c r="AV25" s="6"/>
      <c r="AW25" s="6"/>
      <c r="AX25" s="6"/>
      <c r="AY25" s="6"/>
      <c r="AZ25" s="6"/>
      <c r="BA25" s="6"/>
      <c r="BB25" s="6">
        <v>1</v>
      </c>
      <c r="BC25" s="6">
        <v>132</v>
      </c>
      <c r="BD25" s="6"/>
      <c r="BE25" s="6"/>
      <c r="BF25" s="6">
        <v>1</v>
      </c>
      <c r="BG25" s="6">
        <v>14</v>
      </c>
      <c r="BH25" s="6"/>
      <c r="BI25" s="6"/>
      <c r="BJ25" s="6"/>
      <c r="BK25" s="6"/>
      <c r="BL25" s="6"/>
      <c r="BM25" s="6"/>
      <c r="BN25" s="6"/>
      <c r="BO25" s="6"/>
      <c r="BP25" s="6"/>
      <c r="BQ25" s="6"/>
      <c r="BR25" s="6"/>
      <c r="BS25" s="6"/>
      <c r="BT25" s="6"/>
      <c r="BU25" s="6"/>
      <c r="BV25" s="8">
        <f t="shared" si="0"/>
        <v>7</v>
      </c>
      <c r="BW25" s="8">
        <f t="shared" si="1"/>
        <v>475</v>
      </c>
      <c r="BX25" s="52"/>
      <c r="BY25" s="52"/>
      <c r="BZ25" s="52"/>
    </row>
    <row r="26" spans="1:78" s="27" customFormat="1">
      <c r="A26" s="5" t="s">
        <v>249</v>
      </c>
      <c r="B26" s="6"/>
      <c r="C26" s="6"/>
      <c r="D26" s="6"/>
      <c r="E26" s="6"/>
      <c r="F26" s="6"/>
      <c r="G26" s="6"/>
      <c r="H26" s="6"/>
      <c r="I26" s="6"/>
      <c r="J26" s="6"/>
      <c r="K26" s="6"/>
      <c r="L26" s="6"/>
      <c r="M26" s="6"/>
      <c r="N26" s="6">
        <v>2</v>
      </c>
      <c r="O26" s="6">
        <v>10</v>
      </c>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8">
        <f t="shared" si="0"/>
        <v>2</v>
      </c>
      <c r="BW26" s="8">
        <f t="shared" si="1"/>
        <v>10</v>
      </c>
      <c r="BX26" s="52"/>
      <c r="BY26" s="52"/>
      <c r="BZ26" s="52"/>
    </row>
    <row r="27" spans="1:78" s="27" customFormat="1">
      <c r="A27" s="5" t="s">
        <v>63</v>
      </c>
      <c r="B27" s="6"/>
      <c r="C27" s="6"/>
      <c r="D27" s="6"/>
      <c r="E27" s="6"/>
      <c r="F27" s="6"/>
      <c r="G27" s="6"/>
      <c r="H27" s="6"/>
      <c r="I27" s="6"/>
      <c r="J27" s="6"/>
      <c r="K27" s="6"/>
      <c r="L27" s="6"/>
      <c r="M27" s="6"/>
      <c r="N27" s="6">
        <v>9</v>
      </c>
      <c r="O27" s="6">
        <v>154</v>
      </c>
      <c r="P27" s="6"/>
      <c r="Q27" s="6"/>
      <c r="R27" s="6"/>
      <c r="S27" s="6"/>
      <c r="T27" s="6"/>
      <c r="U27" s="6"/>
      <c r="V27" s="6"/>
      <c r="W27" s="6"/>
      <c r="X27" s="6"/>
      <c r="Y27" s="6"/>
      <c r="Z27" s="6"/>
      <c r="AA27" s="6"/>
      <c r="AB27" s="6"/>
      <c r="AC27" s="6"/>
      <c r="AD27" s="6">
        <v>1</v>
      </c>
      <c r="AE27" s="6">
        <v>37</v>
      </c>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v>1</v>
      </c>
      <c r="BG27" s="6">
        <v>16</v>
      </c>
      <c r="BH27" s="6"/>
      <c r="BI27" s="6"/>
      <c r="BJ27" s="6"/>
      <c r="BK27" s="6"/>
      <c r="BL27" s="6"/>
      <c r="BM27" s="6"/>
      <c r="BN27" s="6"/>
      <c r="BO27" s="6"/>
      <c r="BP27" s="6"/>
      <c r="BQ27" s="6"/>
      <c r="BR27" s="6"/>
      <c r="BS27" s="6"/>
      <c r="BT27" s="6"/>
      <c r="BU27" s="6"/>
      <c r="BV27" s="8">
        <f t="shared" si="0"/>
        <v>11</v>
      </c>
      <c r="BW27" s="8">
        <f t="shared" si="1"/>
        <v>207</v>
      </c>
      <c r="BX27" s="52"/>
      <c r="BY27" s="52"/>
      <c r="BZ27" s="52"/>
    </row>
    <row r="28" spans="1:78" s="27" customFormat="1">
      <c r="A28" s="5" t="s">
        <v>64</v>
      </c>
      <c r="B28" s="6"/>
      <c r="C28" s="6"/>
      <c r="D28" s="6"/>
      <c r="E28" s="6"/>
      <c r="F28" s="6"/>
      <c r="G28" s="6"/>
      <c r="H28" s="6"/>
      <c r="I28" s="6"/>
      <c r="J28" s="6"/>
      <c r="K28" s="6"/>
      <c r="L28" s="6"/>
      <c r="M28" s="6"/>
      <c r="N28" s="6">
        <v>1</v>
      </c>
      <c r="O28" s="6">
        <v>10</v>
      </c>
      <c r="P28" s="6"/>
      <c r="Q28" s="6"/>
      <c r="R28" s="6"/>
      <c r="S28" s="6"/>
      <c r="T28" s="6"/>
      <c r="U28" s="6"/>
      <c r="V28" s="6"/>
      <c r="W28" s="6"/>
      <c r="X28" s="6"/>
      <c r="Y28" s="6"/>
      <c r="Z28" s="6"/>
      <c r="AA28" s="6"/>
      <c r="AB28" s="6"/>
      <c r="AC28" s="6"/>
      <c r="AD28" s="6">
        <v>1</v>
      </c>
      <c r="AE28" s="6">
        <v>111</v>
      </c>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v>3</v>
      </c>
      <c r="BU28" s="6">
        <v>32</v>
      </c>
      <c r="BV28" s="8">
        <f t="shared" si="0"/>
        <v>5</v>
      </c>
      <c r="BW28" s="8">
        <f t="shared" si="1"/>
        <v>153</v>
      </c>
      <c r="BX28" s="52"/>
      <c r="BY28" s="52"/>
      <c r="BZ28" s="52"/>
    </row>
    <row r="29" spans="1:78" s="27" customFormat="1">
      <c r="A29" s="5" t="s">
        <v>65</v>
      </c>
      <c r="B29" s="6">
        <v>9</v>
      </c>
      <c r="C29" s="6">
        <v>245</v>
      </c>
      <c r="D29" s="6">
        <v>11</v>
      </c>
      <c r="E29" s="6">
        <v>702</v>
      </c>
      <c r="F29" s="6">
        <v>3</v>
      </c>
      <c r="G29" s="6">
        <v>459</v>
      </c>
      <c r="H29" s="6"/>
      <c r="I29" s="6"/>
      <c r="J29" s="6"/>
      <c r="K29" s="6"/>
      <c r="L29" s="6"/>
      <c r="M29" s="6"/>
      <c r="N29" s="6">
        <v>17</v>
      </c>
      <c r="O29" s="6">
        <v>342</v>
      </c>
      <c r="P29" s="6"/>
      <c r="Q29" s="6"/>
      <c r="R29" s="6"/>
      <c r="S29" s="6"/>
      <c r="T29" s="6"/>
      <c r="U29" s="6"/>
      <c r="V29" s="6"/>
      <c r="W29" s="6"/>
      <c r="X29" s="6"/>
      <c r="Y29" s="6"/>
      <c r="Z29" s="6">
        <v>5</v>
      </c>
      <c r="AA29" s="6">
        <v>1816</v>
      </c>
      <c r="AB29" s="6"/>
      <c r="AC29" s="6"/>
      <c r="AD29" s="6">
        <v>3</v>
      </c>
      <c r="AE29" s="6">
        <v>1243</v>
      </c>
      <c r="AF29" s="6">
        <v>1</v>
      </c>
      <c r="AG29" s="6">
        <v>202</v>
      </c>
      <c r="AH29" s="6"/>
      <c r="AI29" s="6"/>
      <c r="AJ29" s="6"/>
      <c r="AK29" s="6"/>
      <c r="AL29" s="6"/>
      <c r="AM29" s="6"/>
      <c r="AN29" s="6"/>
      <c r="AO29" s="6"/>
      <c r="AP29" s="6"/>
      <c r="AQ29" s="6"/>
      <c r="AR29" s="6"/>
      <c r="AS29" s="6"/>
      <c r="AT29" s="6">
        <v>2</v>
      </c>
      <c r="AU29" s="6">
        <v>750</v>
      </c>
      <c r="AV29" s="6"/>
      <c r="AW29" s="6"/>
      <c r="AX29" s="6"/>
      <c r="AY29" s="6"/>
      <c r="AZ29" s="6">
        <v>1</v>
      </c>
      <c r="BA29" s="6">
        <v>48</v>
      </c>
      <c r="BB29" s="6"/>
      <c r="BC29" s="6"/>
      <c r="BD29" s="6">
        <v>3</v>
      </c>
      <c r="BE29" s="6">
        <v>108</v>
      </c>
      <c r="BF29" s="6">
        <v>1</v>
      </c>
      <c r="BG29" s="6">
        <v>35</v>
      </c>
      <c r="BH29" s="6"/>
      <c r="BI29" s="6"/>
      <c r="BJ29" s="6"/>
      <c r="BK29" s="6"/>
      <c r="BL29" s="6">
        <v>2</v>
      </c>
      <c r="BM29" s="6">
        <v>75</v>
      </c>
      <c r="BN29" s="6"/>
      <c r="BO29" s="6"/>
      <c r="BP29" s="6"/>
      <c r="BQ29" s="6"/>
      <c r="BR29" s="6"/>
      <c r="BS29" s="6"/>
      <c r="BT29" s="6">
        <v>2</v>
      </c>
      <c r="BU29" s="6">
        <v>18</v>
      </c>
      <c r="BV29" s="8">
        <f t="shared" si="0"/>
        <v>60</v>
      </c>
      <c r="BW29" s="8">
        <f t="shared" si="1"/>
        <v>6043</v>
      </c>
      <c r="BX29" s="52"/>
      <c r="BY29" s="52"/>
      <c r="BZ29" s="52"/>
    </row>
    <row r="30" spans="1:78" s="27" customFormat="1">
      <c r="A30" s="5" t="s">
        <v>66</v>
      </c>
      <c r="B30" s="6"/>
      <c r="C30" s="6"/>
      <c r="D30" s="6"/>
      <c r="E30" s="6"/>
      <c r="F30" s="6"/>
      <c r="G30" s="6"/>
      <c r="H30" s="6"/>
      <c r="I30" s="6"/>
      <c r="J30" s="6"/>
      <c r="K30" s="6"/>
      <c r="L30" s="6"/>
      <c r="M30" s="6"/>
      <c r="N30" s="6">
        <v>2</v>
      </c>
      <c r="O30" s="6">
        <v>25</v>
      </c>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v>2</v>
      </c>
      <c r="AU30" s="6">
        <v>62</v>
      </c>
      <c r="AV30" s="6"/>
      <c r="AW30" s="6"/>
      <c r="AX30" s="6"/>
      <c r="AY30" s="6"/>
      <c r="AZ30" s="6"/>
      <c r="BA30" s="6"/>
      <c r="BB30" s="6"/>
      <c r="BC30" s="6"/>
      <c r="BD30" s="6"/>
      <c r="BE30" s="6"/>
      <c r="BF30" s="6"/>
      <c r="BG30" s="6"/>
      <c r="BH30" s="6"/>
      <c r="BI30" s="6"/>
      <c r="BJ30" s="6"/>
      <c r="BK30" s="6"/>
      <c r="BL30" s="6"/>
      <c r="BM30" s="6"/>
      <c r="BN30" s="6"/>
      <c r="BO30" s="6"/>
      <c r="BP30" s="6"/>
      <c r="BQ30" s="6"/>
      <c r="BR30" s="6"/>
      <c r="BS30" s="6"/>
      <c r="BT30" s="6">
        <v>3</v>
      </c>
      <c r="BU30" s="6">
        <v>60</v>
      </c>
      <c r="BV30" s="8">
        <f t="shared" si="0"/>
        <v>7</v>
      </c>
      <c r="BW30" s="8">
        <f t="shared" si="1"/>
        <v>147</v>
      </c>
      <c r="BX30" s="52"/>
      <c r="BY30" s="52"/>
      <c r="BZ30" s="52"/>
    </row>
    <row r="31" spans="1:78" s="27" customFormat="1">
      <c r="A31" s="5" t="s">
        <v>67</v>
      </c>
      <c r="B31" s="6"/>
      <c r="C31" s="6"/>
      <c r="D31" s="6"/>
      <c r="E31" s="6"/>
      <c r="F31" s="6"/>
      <c r="G31" s="6"/>
      <c r="H31" s="6"/>
      <c r="I31" s="6"/>
      <c r="J31" s="6"/>
      <c r="K31" s="6"/>
      <c r="L31" s="6"/>
      <c r="M31" s="6"/>
      <c r="N31" s="6">
        <v>6</v>
      </c>
      <c r="O31" s="6">
        <v>102</v>
      </c>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v>1</v>
      </c>
      <c r="BE31" s="6">
        <v>30</v>
      </c>
      <c r="BF31" s="6"/>
      <c r="BG31" s="6"/>
      <c r="BH31" s="6"/>
      <c r="BI31" s="6"/>
      <c r="BJ31" s="6"/>
      <c r="BK31" s="6"/>
      <c r="BL31" s="6"/>
      <c r="BM31" s="6"/>
      <c r="BN31" s="6"/>
      <c r="BO31" s="6"/>
      <c r="BP31" s="6"/>
      <c r="BQ31" s="6"/>
      <c r="BR31" s="6"/>
      <c r="BS31" s="6"/>
      <c r="BT31" s="6"/>
      <c r="BU31" s="6"/>
      <c r="BV31" s="8">
        <f t="shared" si="0"/>
        <v>7</v>
      </c>
      <c r="BW31" s="8">
        <f t="shared" si="1"/>
        <v>132</v>
      </c>
      <c r="BX31" s="52"/>
      <c r="BY31" s="52"/>
      <c r="BZ31" s="52"/>
    </row>
    <row r="32" spans="1:78" s="27" customFormat="1">
      <c r="A32" s="5" t="s">
        <v>68</v>
      </c>
      <c r="B32" s="6"/>
      <c r="C32" s="6"/>
      <c r="D32" s="6"/>
      <c r="E32" s="6"/>
      <c r="F32" s="6"/>
      <c r="G32" s="6"/>
      <c r="H32" s="6"/>
      <c r="I32" s="6"/>
      <c r="J32" s="6"/>
      <c r="K32" s="6"/>
      <c r="L32" s="6"/>
      <c r="M32" s="6"/>
      <c r="N32" s="6">
        <v>3</v>
      </c>
      <c r="O32" s="6">
        <v>58</v>
      </c>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8">
        <f t="shared" si="0"/>
        <v>3</v>
      </c>
      <c r="BW32" s="8">
        <f t="shared" si="1"/>
        <v>58</v>
      </c>
      <c r="BX32" s="52"/>
      <c r="BY32" s="52"/>
      <c r="BZ32" s="52"/>
    </row>
    <row r="33" spans="1:78" s="27" customFormat="1">
      <c r="A33" s="5" t="s">
        <v>69</v>
      </c>
      <c r="B33" s="6"/>
      <c r="C33" s="6"/>
      <c r="D33" s="6"/>
      <c r="E33" s="6"/>
      <c r="F33" s="6"/>
      <c r="G33" s="6"/>
      <c r="H33" s="6"/>
      <c r="I33" s="6"/>
      <c r="J33" s="6"/>
      <c r="K33" s="6"/>
      <c r="L33" s="6"/>
      <c r="M33" s="6"/>
      <c r="N33" s="6">
        <v>1</v>
      </c>
      <c r="O33" s="6">
        <v>17</v>
      </c>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v>2</v>
      </c>
      <c r="BU33" s="6">
        <v>46</v>
      </c>
      <c r="BV33" s="8">
        <f t="shared" si="0"/>
        <v>3</v>
      </c>
      <c r="BW33" s="8">
        <f t="shared" si="1"/>
        <v>63</v>
      </c>
      <c r="BX33" s="52"/>
      <c r="BY33" s="52"/>
      <c r="BZ33" s="52"/>
    </row>
    <row r="34" spans="1:78" s="27" customFormat="1">
      <c r="A34" s="5" t="s">
        <v>177</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v>5</v>
      </c>
      <c r="BU34" s="6">
        <v>38</v>
      </c>
      <c r="BV34" s="8">
        <f t="shared" si="0"/>
        <v>5</v>
      </c>
      <c r="BW34" s="8">
        <f t="shared" si="1"/>
        <v>38</v>
      </c>
      <c r="BX34" s="52"/>
      <c r="BY34" s="52"/>
      <c r="BZ34" s="52"/>
    </row>
    <row r="35" spans="1:78" s="27" customFormat="1">
      <c r="A35" s="5" t="s">
        <v>71</v>
      </c>
      <c r="B35" s="6"/>
      <c r="C35" s="6"/>
      <c r="D35" s="6"/>
      <c r="E35" s="6"/>
      <c r="F35" s="6">
        <v>1</v>
      </c>
      <c r="G35" s="6">
        <v>120</v>
      </c>
      <c r="H35" s="6"/>
      <c r="I35" s="6"/>
      <c r="J35" s="6">
        <v>1</v>
      </c>
      <c r="K35" s="6">
        <v>936</v>
      </c>
      <c r="L35" s="6"/>
      <c r="M35" s="6"/>
      <c r="N35" s="6">
        <v>23</v>
      </c>
      <c r="O35" s="6">
        <v>595</v>
      </c>
      <c r="P35" s="6"/>
      <c r="Q35" s="6"/>
      <c r="R35" s="6"/>
      <c r="S35" s="6"/>
      <c r="T35" s="6">
        <v>1</v>
      </c>
      <c r="U35" s="6">
        <v>26</v>
      </c>
      <c r="V35" s="6"/>
      <c r="W35" s="6"/>
      <c r="X35" s="6">
        <v>5</v>
      </c>
      <c r="Y35" s="6">
        <v>1471</v>
      </c>
      <c r="Z35" s="6">
        <v>24</v>
      </c>
      <c r="AA35" s="6">
        <v>7283</v>
      </c>
      <c r="AB35" s="6">
        <v>1</v>
      </c>
      <c r="AC35" s="6">
        <v>297</v>
      </c>
      <c r="AD35" s="6">
        <v>5</v>
      </c>
      <c r="AE35" s="6">
        <v>1933</v>
      </c>
      <c r="AF35" s="6"/>
      <c r="AG35" s="6"/>
      <c r="AH35" s="6">
        <v>1</v>
      </c>
      <c r="AI35" s="6">
        <v>300</v>
      </c>
      <c r="AJ35" s="6"/>
      <c r="AK35" s="6"/>
      <c r="AL35" s="6"/>
      <c r="AM35" s="6"/>
      <c r="AN35" s="6"/>
      <c r="AO35" s="6"/>
      <c r="AP35" s="6">
        <v>1</v>
      </c>
      <c r="AQ35" s="6">
        <v>346</v>
      </c>
      <c r="AR35" s="6"/>
      <c r="AS35" s="6"/>
      <c r="AT35" s="6"/>
      <c r="AU35" s="6"/>
      <c r="AV35" s="6"/>
      <c r="AW35" s="6"/>
      <c r="AX35" s="6"/>
      <c r="AY35" s="6"/>
      <c r="AZ35" s="6"/>
      <c r="BA35" s="6"/>
      <c r="BB35" s="6"/>
      <c r="BC35" s="6"/>
      <c r="BD35" s="6">
        <v>2</v>
      </c>
      <c r="BE35" s="6">
        <v>92</v>
      </c>
      <c r="BF35" s="6">
        <v>3</v>
      </c>
      <c r="BG35" s="6">
        <v>161</v>
      </c>
      <c r="BH35" s="6"/>
      <c r="BI35" s="6"/>
      <c r="BJ35" s="6"/>
      <c r="BK35" s="6"/>
      <c r="BL35" s="6">
        <v>1</v>
      </c>
      <c r="BM35" s="6">
        <v>48</v>
      </c>
      <c r="BN35" s="6">
        <v>2</v>
      </c>
      <c r="BO35" s="6">
        <v>80</v>
      </c>
      <c r="BP35" s="6"/>
      <c r="BQ35" s="6"/>
      <c r="BR35" s="6"/>
      <c r="BS35" s="6"/>
      <c r="BT35" s="6">
        <v>1</v>
      </c>
      <c r="BU35" s="6">
        <v>28</v>
      </c>
      <c r="BV35" s="8">
        <f t="shared" si="0"/>
        <v>72</v>
      </c>
      <c r="BW35" s="8">
        <f t="shared" si="1"/>
        <v>13716</v>
      </c>
      <c r="BX35" s="52"/>
      <c r="BY35" s="52"/>
      <c r="BZ35" s="52"/>
    </row>
    <row r="36" spans="1:78" s="27" customFormat="1">
      <c r="A36" s="5" t="s">
        <v>72</v>
      </c>
      <c r="B36" s="6">
        <v>2</v>
      </c>
      <c r="C36" s="6">
        <v>237</v>
      </c>
      <c r="D36" s="6">
        <v>5</v>
      </c>
      <c r="E36" s="6">
        <v>575</v>
      </c>
      <c r="F36" s="6">
        <v>5</v>
      </c>
      <c r="G36" s="6">
        <v>203</v>
      </c>
      <c r="H36" s="6"/>
      <c r="I36" s="6"/>
      <c r="J36" s="6"/>
      <c r="K36" s="6"/>
      <c r="L36" s="6"/>
      <c r="M36" s="6"/>
      <c r="N36" s="6">
        <v>26</v>
      </c>
      <c r="O36" s="6">
        <v>478</v>
      </c>
      <c r="P36" s="6">
        <v>2</v>
      </c>
      <c r="Q36" s="6">
        <v>46</v>
      </c>
      <c r="R36" s="6"/>
      <c r="S36" s="6"/>
      <c r="T36" s="6"/>
      <c r="U36" s="6"/>
      <c r="V36" s="6"/>
      <c r="W36" s="6"/>
      <c r="X36" s="6">
        <v>1</v>
      </c>
      <c r="Y36" s="6">
        <v>41</v>
      </c>
      <c r="Z36" s="6">
        <v>9</v>
      </c>
      <c r="AA36" s="6">
        <v>4209</v>
      </c>
      <c r="AB36" s="6">
        <v>1</v>
      </c>
      <c r="AC36" s="6">
        <v>454</v>
      </c>
      <c r="AD36" s="6">
        <v>9</v>
      </c>
      <c r="AE36" s="6">
        <v>3584</v>
      </c>
      <c r="AF36" s="6"/>
      <c r="AG36" s="6"/>
      <c r="AH36" s="6"/>
      <c r="AI36" s="6"/>
      <c r="AJ36" s="6"/>
      <c r="AK36" s="6"/>
      <c r="AL36" s="6"/>
      <c r="AM36" s="6"/>
      <c r="AN36" s="6"/>
      <c r="AO36" s="6"/>
      <c r="AP36" s="6">
        <v>4</v>
      </c>
      <c r="AQ36" s="6">
        <v>1781</v>
      </c>
      <c r="AR36" s="6"/>
      <c r="AS36" s="6"/>
      <c r="AT36" s="6">
        <v>4</v>
      </c>
      <c r="AU36" s="6">
        <v>3881</v>
      </c>
      <c r="AV36" s="6"/>
      <c r="AW36" s="6"/>
      <c r="AX36" s="6"/>
      <c r="AY36" s="6"/>
      <c r="AZ36" s="6"/>
      <c r="BA36" s="6"/>
      <c r="BB36" s="6"/>
      <c r="BC36" s="6"/>
      <c r="BD36" s="6">
        <v>3</v>
      </c>
      <c r="BE36" s="6">
        <v>108</v>
      </c>
      <c r="BF36" s="6">
        <v>1</v>
      </c>
      <c r="BG36" s="6">
        <v>111</v>
      </c>
      <c r="BH36" s="6"/>
      <c r="BI36" s="6"/>
      <c r="BJ36" s="6"/>
      <c r="BK36" s="6"/>
      <c r="BL36" s="6"/>
      <c r="BM36" s="6"/>
      <c r="BN36" s="6"/>
      <c r="BO36" s="6"/>
      <c r="BP36" s="6"/>
      <c r="BQ36" s="6"/>
      <c r="BR36" s="6"/>
      <c r="BS36" s="6"/>
      <c r="BT36" s="6"/>
      <c r="BU36" s="6"/>
      <c r="BV36" s="8">
        <f t="shared" si="0"/>
        <v>72</v>
      </c>
      <c r="BW36" s="8">
        <f t="shared" si="1"/>
        <v>15708</v>
      </c>
      <c r="BX36" s="52"/>
      <c r="BY36" s="52"/>
      <c r="BZ36" s="52"/>
    </row>
    <row r="37" spans="1:78" s="27" customFormat="1">
      <c r="A37" s="5" t="s">
        <v>250</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v>1</v>
      </c>
      <c r="BU37" s="6">
        <v>22</v>
      </c>
      <c r="BV37" s="8">
        <f t="shared" si="0"/>
        <v>1</v>
      </c>
      <c r="BW37" s="8">
        <f t="shared" si="1"/>
        <v>22</v>
      </c>
      <c r="BX37" s="52"/>
      <c r="BY37" s="52"/>
      <c r="BZ37" s="52"/>
    </row>
    <row r="38" spans="1:78" s="27" customFormat="1">
      <c r="A38" s="5" t="s">
        <v>73</v>
      </c>
      <c r="B38" s="6"/>
      <c r="C38" s="6"/>
      <c r="D38" s="6"/>
      <c r="E38" s="6"/>
      <c r="F38" s="6"/>
      <c r="G38" s="6"/>
      <c r="H38" s="6"/>
      <c r="I38" s="6"/>
      <c r="J38" s="6"/>
      <c r="K38" s="6"/>
      <c r="L38" s="6"/>
      <c r="M38" s="6"/>
      <c r="N38" s="6">
        <v>5</v>
      </c>
      <c r="O38" s="6">
        <v>66</v>
      </c>
      <c r="P38" s="6"/>
      <c r="Q38" s="6"/>
      <c r="R38" s="6"/>
      <c r="S38" s="6"/>
      <c r="T38" s="6"/>
      <c r="U38" s="6"/>
      <c r="V38" s="6"/>
      <c r="W38" s="6"/>
      <c r="X38" s="6"/>
      <c r="Y38" s="6"/>
      <c r="Z38" s="6"/>
      <c r="AA38" s="6"/>
      <c r="AB38" s="6"/>
      <c r="AC38" s="6"/>
      <c r="AD38" s="6">
        <v>1</v>
      </c>
      <c r="AE38" s="6">
        <v>22</v>
      </c>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v>2</v>
      </c>
      <c r="BU38" s="6">
        <v>34</v>
      </c>
      <c r="BV38" s="8">
        <f t="shared" si="0"/>
        <v>8</v>
      </c>
      <c r="BW38" s="8">
        <f t="shared" si="1"/>
        <v>122</v>
      </c>
      <c r="BX38" s="52"/>
      <c r="BY38" s="52"/>
      <c r="BZ38" s="52"/>
    </row>
    <row r="39" spans="1:78" s="27" customFormat="1">
      <c r="A39" s="5" t="s">
        <v>74</v>
      </c>
      <c r="B39" s="6"/>
      <c r="C39" s="6"/>
      <c r="D39" s="6"/>
      <c r="E39" s="6"/>
      <c r="F39" s="6"/>
      <c r="G39" s="6"/>
      <c r="H39" s="6"/>
      <c r="I39" s="6"/>
      <c r="J39" s="6"/>
      <c r="K39" s="6"/>
      <c r="L39" s="6"/>
      <c r="M39" s="6"/>
      <c r="N39" s="6">
        <v>1</v>
      </c>
      <c r="O39" s="6">
        <v>24</v>
      </c>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v>2</v>
      </c>
      <c r="BU39" s="6">
        <v>33</v>
      </c>
      <c r="BV39" s="8">
        <f t="shared" si="0"/>
        <v>3</v>
      </c>
      <c r="BW39" s="8">
        <f t="shared" si="1"/>
        <v>57</v>
      </c>
      <c r="BX39" s="52"/>
      <c r="BY39" s="52"/>
      <c r="BZ39" s="52"/>
    </row>
    <row r="40" spans="1:78" s="27" customFormat="1">
      <c r="A40" s="5" t="s">
        <v>75</v>
      </c>
      <c r="B40" s="6"/>
      <c r="C40" s="6"/>
      <c r="D40" s="6"/>
      <c r="E40" s="6"/>
      <c r="F40" s="6"/>
      <c r="G40" s="6"/>
      <c r="H40" s="6"/>
      <c r="I40" s="6"/>
      <c r="J40" s="6"/>
      <c r="K40" s="6"/>
      <c r="L40" s="6"/>
      <c r="M40" s="6"/>
      <c r="N40" s="6">
        <v>3</v>
      </c>
      <c r="O40" s="6">
        <v>80</v>
      </c>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v>2</v>
      </c>
      <c r="BE40" s="6">
        <v>125</v>
      </c>
      <c r="BF40" s="6"/>
      <c r="BG40" s="6"/>
      <c r="BH40" s="6"/>
      <c r="BI40" s="6"/>
      <c r="BJ40" s="6"/>
      <c r="BK40" s="6"/>
      <c r="BL40" s="6"/>
      <c r="BM40" s="6"/>
      <c r="BN40" s="6"/>
      <c r="BO40" s="6"/>
      <c r="BP40" s="6"/>
      <c r="BQ40" s="6"/>
      <c r="BR40" s="6"/>
      <c r="BS40" s="6"/>
      <c r="BT40" s="6">
        <v>1</v>
      </c>
      <c r="BU40" s="6">
        <v>12</v>
      </c>
      <c r="BV40" s="8">
        <f t="shared" si="0"/>
        <v>6</v>
      </c>
      <c r="BW40" s="8">
        <f t="shared" si="1"/>
        <v>217</v>
      </c>
      <c r="BX40" s="52"/>
      <c r="BY40" s="52"/>
      <c r="BZ40" s="52"/>
    </row>
    <row r="41" spans="1:78" s="27" customFormat="1">
      <c r="A41" s="5" t="s">
        <v>76</v>
      </c>
      <c r="B41" s="6"/>
      <c r="C41" s="6"/>
      <c r="D41" s="6">
        <v>1</v>
      </c>
      <c r="E41" s="6">
        <v>358</v>
      </c>
      <c r="F41" s="6">
        <v>6</v>
      </c>
      <c r="G41" s="6">
        <v>795</v>
      </c>
      <c r="H41" s="6"/>
      <c r="I41" s="6"/>
      <c r="J41" s="6"/>
      <c r="K41" s="6"/>
      <c r="L41" s="6"/>
      <c r="M41" s="6"/>
      <c r="N41" s="6">
        <v>1</v>
      </c>
      <c r="O41" s="6">
        <v>22</v>
      </c>
      <c r="P41" s="6"/>
      <c r="Q41" s="6"/>
      <c r="R41" s="6">
        <v>1</v>
      </c>
      <c r="S41" s="6">
        <v>500</v>
      </c>
      <c r="T41" s="6"/>
      <c r="U41" s="6"/>
      <c r="V41" s="6"/>
      <c r="W41" s="6"/>
      <c r="X41" s="6"/>
      <c r="Y41" s="6"/>
      <c r="Z41" s="6">
        <v>2</v>
      </c>
      <c r="AA41" s="6">
        <v>372</v>
      </c>
      <c r="AB41" s="6"/>
      <c r="AC41" s="6"/>
      <c r="AD41" s="6">
        <v>8</v>
      </c>
      <c r="AE41" s="6">
        <v>3275</v>
      </c>
      <c r="AF41" s="6">
        <v>2</v>
      </c>
      <c r="AG41" s="6">
        <v>1080</v>
      </c>
      <c r="AH41" s="6">
        <v>3</v>
      </c>
      <c r="AI41" s="6">
        <v>1186</v>
      </c>
      <c r="AJ41" s="6"/>
      <c r="AK41" s="6"/>
      <c r="AL41" s="6"/>
      <c r="AM41" s="6"/>
      <c r="AN41" s="6"/>
      <c r="AO41" s="6"/>
      <c r="AP41" s="6">
        <v>2</v>
      </c>
      <c r="AQ41" s="6">
        <v>307</v>
      </c>
      <c r="AR41" s="6">
        <v>1</v>
      </c>
      <c r="AS41" s="6">
        <v>2205</v>
      </c>
      <c r="AT41" s="6">
        <v>11</v>
      </c>
      <c r="AU41" s="6">
        <v>6250</v>
      </c>
      <c r="AV41" s="6">
        <v>1</v>
      </c>
      <c r="AW41" s="6">
        <v>544</v>
      </c>
      <c r="AX41" s="6"/>
      <c r="AY41" s="6"/>
      <c r="AZ41" s="6"/>
      <c r="BA41" s="6"/>
      <c r="BB41" s="6"/>
      <c r="BC41" s="6"/>
      <c r="BD41" s="6">
        <v>1</v>
      </c>
      <c r="BE41" s="6">
        <v>30</v>
      </c>
      <c r="BF41" s="6"/>
      <c r="BG41" s="6"/>
      <c r="BH41" s="6"/>
      <c r="BI41" s="6"/>
      <c r="BJ41" s="6"/>
      <c r="BK41" s="6"/>
      <c r="BL41" s="6"/>
      <c r="BM41" s="6"/>
      <c r="BN41" s="6"/>
      <c r="BO41" s="6"/>
      <c r="BP41" s="6"/>
      <c r="BQ41" s="6"/>
      <c r="BR41" s="6"/>
      <c r="BS41" s="6"/>
      <c r="BT41" s="6">
        <v>1</v>
      </c>
      <c r="BU41" s="6">
        <v>10</v>
      </c>
      <c r="BV41" s="8">
        <f t="shared" si="0"/>
        <v>41</v>
      </c>
      <c r="BW41" s="8">
        <f t="shared" si="1"/>
        <v>16934</v>
      </c>
      <c r="BX41" s="52"/>
      <c r="BY41" s="52"/>
      <c r="BZ41" s="52"/>
    </row>
    <row r="42" spans="1:78" s="27" customFormat="1">
      <c r="A42" s="5" t="s">
        <v>77</v>
      </c>
      <c r="B42" s="6">
        <v>4</v>
      </c>
      <c r="C42" s="6">
        <v>277</v>
      </c>
      <c r="D42" s="6">
        <v>5</v>
      </c>
      <c r="E42" s="6">
        <v>376</v>
      </c>
      <c r="F42" s="6">
        <v>5</v>
      </c>
      <c r="G42" s="6">
        <v>462</v>
      </c>
      <c r="H42" s="6"/>
      <c r="I42" s="6"/>
      <c r="J42" s="6">
        <v>5</v>
      </c>
      <c r="K42" s="6">
        <v>183</v>
      </c>
      <c r="L42" s="6">
        <v>1</v>
      </c>
      <c r="M42" s="6">
        <v>18</v>
      </c>
      <c r="N42" s="6">
        <v>4</v>
      </c>
      <c r="O42" s="6">
        <v>43</v>
      </c>
      <c r="P42" s="6">
        <v>5</v>
      </c>
      <c r="Q42" s="6">
        <v>181</v>
      </c>
      <c r="R42" s="6"/>
      <c r="S42" s="6"/>
      <c r="T42" s="6">
        <v>1</v>
      </c>
      <c r="U42" s="6">
        <v>12</v>
      </c>
      <c r="V42" s="6">
        <v>2</v>
      </c>
      <c r="W42" s="6">
        <v>127</v>
      </c>
      <c r="X42" s="6">
        <v>13</v>
      </c>
      <c r="Y42" s="6">
        <v>1501</v>
      </c>
      <c r="Z42" s="6">
        <v>36</v>
      </c>
      <c r="AA42" s="6">
        <v>8574</v>
      </c>
      <c r="AB42" s="6">
        <v>4</v>
      </c>
      <c r="AC42" s="6">
        <v>1243</v>
      </c>
      <c r="AD42" s="6">
        <v>85</v>
      </c>
      <c r="AE42" s="6">
        <v>24499</v>
      </c>
      <c r="AF42" s="6">
        <v>13</v>
      </c>
      <c r="AG42" s="6">
        <v>2826</v>
      </c>
      <c r="AH42" s="6">
        <v>21</v>
      </c>
      <c r="AI42" s="6">
        <v>3369</v>
      </c>
      <c r="AJ42" s="6">
        <v>2</v>
      </c>
      <c r="AK42" s="6">
        <v>390</v>
      </c>
      <c r="AL42" s="6"/>
      <c r="AM42" s="6"/>
      <c r="AN42" s="6">
        <v>6</v>
      </c>
      <c r="AO42" s="6">
        <v>659</v>
      </c>
      <c r="AP42" s="6">
        <v>2</v>
      </c>
      <c r="AQ42" s="6">
        <v>289</v>
      </c>
      <c r="AR42" s="6">
        <v>1</v>
      </c>
      <c r="AS42" s="6">
        <v>146</v>
      </c>
      <c r="AT42" s="6">
        <v>11</v>
      </c>
      <c r="AU42" s="6">
        <v>3432</v>
      </c>
      <c r="AV42" s="6"/>
      <c r="AW42" s="6"/>
      <c r="AX42" s="6"/>
      <c r="AY42" s="6"/>
      <c r="AZ42" s="6"/>
      <c r="BA42" s="6"/>
      <c r="BB42" s="6"/>
      <c r="BC42" s="6"/>
      <c r="BD42" s="6">
        <v>1</v>
      </c>
      <c r="BE42" s="6">
        <v>41</v>
      </c>
      <c r="BF42" s="6">
        <v>4</v>
      </c>
      <c r="BG42" s="6">
        <v>122</v>
      </c>
      <c r="BH42" s="6">
        <v>1</v>
      </c>
      <c r="BI42" s="6">
        <v>48</v>
      </c>
      <c r="BJ42" s="6"/>
      <c r="BK42" s="6"/>
      <c r="BL42" s="6">
        <v>16</v>
      </c>
      <c r="BM42" s="6">
        <v>651</v>
      </c>
      <c r="BN42" s="6">
        <v>4</v>
      </c>
      <c r="BO42" s="6">
        <v>173</v>
      </c>
      <c r="BP42" s="6"/>
      <c r="BQ42" s="6"/>
      <c r="BR42" s="6"/>
      <c r="BS42" s="6"/>
      <c r="BT42" s="6">
        <v>38</v>
      </c>
      <c r="BU42" s="6">
        <v>631</v>
      </c>
      <c r="BV42" s="8">
        <f t="shared" si="0"/>
        <v>290</v>
      </c>
      <c r="BW42" s="8">
        <f t="shared" si="1"/>
        <v>50273</v>
      </c>
      <c r="BX42" s="52"/>
      <c r="BY42" s="52"/>
      <c r="BZ42" s="52"/>
    </row>
    <row r="43" spans="1:78" s="27" customFormat="1">
      <c r="A43" s="5" t="s">
        <v>78</v>
      </c>
      <c r="B43" s="6"/>
      <c r="C43" s="6"/>
      <c r="D43" s="6"/>
      <c r="E43" s="6"/>
      <c r="F43" s="6"/>
      <c r="G43" s="6"/>
      <c r="H43" s="6"/>
      <c r="I43" s="6"/>
      <c r="J43" s="6"/>
      <c r="K43" s="6"/>
      <c r="L43" s="6"/>
      <c r="M43" s="6"/>
      <c r="N43" s="6">
        <v>5</v>
      </c>
      <c r="O43" s="6">
        <v>96</v>
      </c>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v>2</v>
      </c>
      <c r="BU43" s="6">
        <v>21</v>
      </c>
      <c r="BV43" s="8">
        <f t="shared" si="0"/>
        <v>7</v>
      </c>
      <c r="BW43" s="8">
        <f t="shared" si="1"/>
        <v>117</v>
      </c>
      <c r="BX43" s="52"/>
      <c r="BY43" s="52"/>
      <c r="BZ43" s="52"/>
    </row>
    <row r="44" spans="1:78" s="27" customFormat="1">
      <c r="A44" s="5" t="s">
        <v>178</v>
      </c>
      <c r="B44" s="6"/>
      <c r="C44" s="6"/>
      <c r="D44" s="6"/>
      <c r="E44" s="6"/>
      <c r="F44" s="6"/>
      <c r="G44" s="6"/>
      <c r="H44" s="6"/>
      <c r="I44" s="6"/>
      <c r="J44" s="6"/>
      <c r="K44" s="6"/>
      <c r="L44" s="6"/>
      <c r="M44" s="6"/>
      <c r="N44" s="6">
        <v>2</v>
      </c>
      <c r="O44" s="6">
        <v>28</v>
      </c>
      <c r="P44" s="6"/>
      <c r="Q44" s="6"/>
      <c r="R44" s="6"/>
      <c r="S44" s="6"/>
      <c r="T44" s="6">
        <v>1</v>
      </c>
      <c r="U44" s="6">
        <v>11</v>
      </c>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v>1</v>
      </c>
      <c r="BU44" s="6">
        <v>10</v>
      </c>
      <c r="BV44" s="8">
        <f t="shared" si="0"/>
        <v>4</v>
      </c>
      <c r="BW44" s="8">
        <f t="shared" si="1"/>
        <v>49</v>
      </c>
      <c r="BX44" s="52"/>
      <c r="BY44" s="52"/>
      <c r="BZ44" s="52"/>
    </row>
    <row r="45" spans="1:78" s="27" customFormat="1">
      <c r="A45" s="5" t="s">
        <v>79</v>
      </c>
      <c r="B45" s="6">
        <v>4</v>
      </c>
      <c r="C45" s="6">
        <v>172</v>
      </c>
      <c r="D45" s="6">
        <v>8</v>
      </c>
      <c r="E45" s="6">
        <v>397</v>
      </c>
      <c r="F45" s="6">
        <v>14</v>
      </c>
      <c r="G45" s="6">
        <v>1158</v>
      </c>
      <c r="H45" s="6">
        <v>2</v>
      </c>
      <c r="I45" s="6">
        <v>177</v>
      </c>
      <c r="J45" s="6">
        <v>2</v>
      </c>
      <c r="K45" s="6">
        <v>286</v>
      </c>
      <c r="L45" s="6"/>
      <c r="M45" s="6"/>
      <c r="N45" s="6">
        <v>9</v>
      </c>
      <c r="O45" s="6">
        <v>137</v>
      </c>
      <c r="P45" s="6"/>
      <c r="Q45" s="6"/>
      <c r="R45" s="6"/>
      <c r="S45" s="6"/>
      <c r="T45" s="6"/>
      <c r="U45" s="6"/>
      <c r="V45" s="6"/>
      <c r="W45" s="6"/>
      <c r="X45" s="6"/>
      <c r="Y45" s="6"/>
      <c r="Z45" s="6">
        <v>8</v>
      </c>
      <c r="AA45" s="6">
        <v>1125</v>
      </c>
      <c r="AB45" s="6">
        <v>1</v>
      </c>
      <c r="AC45" s="6">
        <v>56</v>
      </c>
      <c r="AD45" s="6">
        <v>12</v>
      </c>
      <c r="AE45" s="6">
        <v>1695</v>
      </c>
      <c r="AF45" s="6">
        <v>2</v>
      </c>
      <c r="AG45" s="6">
        <v>448</v>
      </c>
      <c r="AH45" s="6">
        <v>3</v>
      </c>
      <c r="AI45" s="6">
        <v>355</v>
      </c>
      <c r="AJ45" s="6"/>
      <c r="AK45" s="6"/>
      <c r="AL45" s="6"/>
      <c r="AM45" s="6"/>
      <c r="AN45" s="6"/>
      <c r="AO45" s="6"/>
      <c r="AP45" s="6">
        <v>1</v>
      </c>
      <c r="AQ45" s="6">
        <v>176</v>
      </c>
      <c r="AR45" s="6"/>
      <c r="AS45" s="6"/>
      <c r="AT45" s="6">
        <v>5</v>
      </c>
      <c r="AU45" s="6">
        <v>1131</v>
      </c>
      <c r="AV45" s="6"/>
      <c r="AW45" s="6"/>
      <c r="AX45" s="6"/>
      <c r="AY45" s="6"/>
      <c r="AZ45" s="6"/>
      <c r="BA45" s="6"/>
      <c r="BB45" s="6"/>
      <c r="BC45" s="6"/>
      <c r="BD45" s="6"/>
      <c r="BE45" s="6"/>
      <c r="BF45" s="6"/>
      <c r="BG45" s="6"/>
      <c r="BH45" s="6">
        <v>2</v>
      </c>
      <c r="BI45" s="6">
        <v>78</v>
      </c>
      <c r="BJ45" s="6"/>
      <c r="BK45" s="6"/>
      <c r="BL45" s="6">
        <v>1</v>
      </c>
      <c r="BM45" s="6">
        <v>48</v>
      </c>
      <c r="BN45" s="6">
        <v>1</v>
      </c>
      <c r="BO45" s="6">
        <v>45</v>
      </c>
      <c r="BP45" s="6"/>
      <c r="BQ45" s="6"/>
      <c r="BR45" s="6">
        <v>1</v>
      </c>
      <c r="BS45" s="6">
        <v>23</v>
      </c>
      <c r="BT45" s="6">
        <v>4</v>
      </c>
      <c r="BU45" s="6">
        <v>57</v>
      </c>
      <c r="BV45" s="8">
        <f t="shared" si="0"/>
        <v>80</v>
      </c>
      <c r="BW45" s="8">
        <f t="shared" si="1"/>
        <v>7564</v>
      </c>
      <c r="BX45" s="52"/>
      <c r="BY45" s="52"/>
      <c r="BZ45" s="52"/>
    </row>
    <row r="46" spans="1:78" s="27" customFormat="1">
      <c r="A46" s="5" t="s">
        <v>80</v>
      </c>
      <c r="B46" s="6"/>
      <c r="C46" s="6"/>
      <c r="D46" s="6"/>
      <c r="E46" s="6"/>
      <c r="F46" s="6"/>
      <c r="G46" s="6"/>
      <c r="H46" s="6"/>
      <c r="I46" s="6"/>
      <c r="J46" s="6"/>
      <c r="K46" s="6"/>
      <c r="L46" s="6"/>
      <c r="M46" s="6"/>
      <c r="N46" s="6">
        <v>8</v>
      </c>
      <c r="O46" s="6">
        <v>120</v>
      </c>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v>2</v>
      </c>
      <c r="BE46" s="6">
        <v>116</v>
      </c>
      <c r="BF46" s="6"/>
      <c r="BG46" s="6"/>
      <c r="BH46" s="6"/>
      <c r="BI46" s="6"/>
      <c r="BJ46" s="6"/>
      <c r="BK46" s="6"/>
      <c r="BL46" s="6"/>
      <c r="BM46" s="6"/>
      <c r="BN46" s="6"/>
      <c r="BO46" s="6"/>
      <c r="BP46" s="6"/>
      <c r="BQ46" s="6"/>
      <c r="BR46" s="6"/>
      <c r="BS46" s="6"/>
      <c r="BT46" s="6">
        <v>1</v>
      </c>
      <c r="BU46" s="6">
        <v>18</v>
      </c>
      <c r="BV46" s="8">
        <f t="shared" si="0"/>
        <v>11</v>
      </c>
      <c r="BW46" s="8">
        <f t="shared" si="1"/>
        <v>254</v>
      </c>
      <c r="BX46" s="52"/>
      <c r="BY46" s="52"/>
      <c r="BZ46" s="52"/>
    </row>
    <row r="47" spans="1:78" s="27" customFormat="1">
      <c r="A47" s="5" t="s">
        <v>81</v>
      </c>
      <c r="B47" s="6"/>
      <c r="C47" s="6"/>
      <c r="D47" s="6"/>
      <c r="E47" s="6"/>
      <c r="F47" s="6">
        <v>1</v>
      </c>
      <c r="G47" s="6">
        <v>25</v>
      </c>
      <c r="H47" s="6"/>
      <c r="I47" s="6"/>
      <c r="J47" s="6"/>
      <c r="K47" s="6"/>
      <c r="L47" s="6"/>
      <c r="M47" s="6"/>
      <c r="N47" s="6">
        <v>3</v>
      </c>
      <c r="O47" s="6">
        <v>50</v>
      </c>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v>2</v>
      </c>
      <c r="BE47" s="6">
        <v>111</v>
      </c>
      <c r="BF47" s="6"/>
      <c r="BG47" s="6"/>
      <c r="BH47" s="6"/>
      <c r="BI47" s="6"/>
      <c r="BJ47" s="6"/>
      <c r="BK47" s="6"/>
      <c r="BL47" s="6"/>
      <c r="BM47" s="6"/>
      <c r="BN47" s="6"/>
      <c r="BO47" s="6"/>
      <c r="BP47" s="6"/>
      <c r="BQ47" s="6"/>
      <c r="BR47" s="6"/>
      <c r="BS47" s="6"/>
      <c r="BT47" s="6"/>
      <c r="BU47" s="6"/>
      <c r="BV47" s="8">
        <f t="shared" si="0"/>
        <v>6</v>
      </c>
      <c r="BW47" s="8">
        <f t="shared" si="1"/>
        <v>186</v>
      </c>
      <c r="BX47" s="52"/>
      <c r="BY47" s="52"/>
      <c r="BZ47" s="52"/>
    </row>
    <row r="48" spans="1:78" s="27" customFormat="1">
      <c r="A48" s="5" t="s">
        <v>179</v>
      </c>
      <c r="B48" s="6">
        <v>5</v>
      </c>
      <c r="C48" s="6">
        <v>204</v>
      </c>
      <c r="D48" s="6">
        <v>2</v>
      </c>
      <c r="E48" s="6">
        <v>75</v>
      </c>
      <c r="F48" s="6">
        <v>3</v>
      </c>
      <c r="G48" s="6">
        <v>109</v>
      </c>
      <c r="H48" s="6"/>
      <c r="I48" s="6"/>
      <c r="J48" s="6">
        <v>2</v>
      </c>
      <c r="K48" s="6">
        <v>82</v>
      </c>
      <c r="L48" s="6"/>
      <c r="M48" s="6"/>
      <c r="N48" s="6">
        <v>3</v>
      </c>
      <c r="O48" s="6">
        <v>50</v>
      </c>
      <c r="P48" s="6"/>
      <c r="Q48" s="6"/>
      <c r="R48" s="6"/>
      <c r="S48" s="6"/>
      <c r="T48" s="6"/>
      <c r="U48" s="6"/>
      <c r="V48" s="6"/>
      <c r="W48" s="6"/>
      <c r="X48" s="6"/>
      <c r="Y48" s="6"/>
      <c r="Z48" s="6">
        <v>5</v>
      </c>
      <c r="AA48" s="6">
        <v>1118</v>
      </c>
      <c r="AB48" s="6"/>
      <c r="AC48" s="6"/>
      <c r="AD48" s="6">
        <v>5</v>
      </c>
      <c r="AE48" s="6">
        <v>1583</v>
      </c>
      <c r="AF48" s="6">
        <v>3</v>
      </c>
      <c r="AG48" s="6">
        <v>493</v>
      </c>
      <c r="AH48" s="6">
        <v>1</v>
      </c>
      <c r="AI48" s="6">
        <v>102</v>
      </c>
      <c r="AJ48" s="6"/>
      <c r="AK48" s="6"/>
      <c r="AL48" s="6"/>
      <c r="AM48" s="6"/>
      <c r="AN48" s="6"/>
      <c r="AO48" s="6"/>
      <c r="AP48" s="6"/>
      <c r="AQ48" s="6"/>
      <c r="AR48" s="6"/>
      <c r="AS48" s="6"/>
      <c r="AT48" s="6">
        <v>1</v>
      </c>
      <c r="AU48" s="6">
        <v>156</v>
      </c>
      <c r="AV48" s="6"/>
      <c r="AW48" s="6"/>
      <c r="AX48" s="6"/>
      <c r="AY48" s="6"/>
      <c r="AZ48" s="6"/>
      <c r="BA48" s="6"/>
      <c r="BB48" s="6"/>
      <c r="BC48" s="6"/>
      <c r="BD48" s="6">
        <v>1</v>
      </c>
      <c r="BE48" s="6">
        <v>34</v>
      </c>
      <c r="BF48" s="6">
        <v>3</v>
      </c>
      <c r="BG48" s="6">
        <v>83</v>
      </c>
      <c r="BH48" s="6">
        <v>1</v>
      </c>
      <c r="BI48" s="6">
        <v>15</v>
      </c>
      <c r="BJ48" s="6"/>
      <c r="BK48" s="6"/>
      <c r="BL48" s="6"/>
      <c r="BM48" s="6"/>
      <c r="BN48" s="6"/>
      <c r="BO48" s="6"/>
      <c r="BP48" s="6"/>
      <c r="BQ48" s="6"/>
      <c r="BR48" s="6"/>
      <c r="BS48" s="6"/>
      <c r="BT48" s="6">
        <v>1</v>
      </c>
      <c r="BU48" s="6">
        <v>10</v>
      </c>
      <c r="BV48" s="8">
        <f t="shared" si="0"/>
        <v>36</v>
      </c>
      <c r="BW48" s="8">
        <f t="shared" si="1"/>
        <v>4114</v>
      </c>
      <c r="BX48" s="52"/>
      <c r="BY48" s="52"/>
      <c r="BZ48" s="52"/>
    </row>
    <row r="49" spans="1:78" s="27" customFormat="1">
      <c r="A49" s="5" t="s">
        <v>261</v>
      </c>
      <c r="B49" s="6"/>
      <c r="C49" s="6"/>
      <c r="D49" s="6"/>
      <c r="E49" s="6"/>
      <c r="F49" s="6"/>
      <c r="G49" s="6"/>
      <c r="H49" s="6"/>
      <c r="I49" s="6"/>
      <c r="J49" s="6"/>
      <c r="K49" s="6"/>
      <c r="L49" s="6"/>
      <c r="M49" s="6"/>
      <c r="N49" s="6">
        <v>2</v>
      </c>
      <c r="O49" s="6">
        <v>28</v>
      </c>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8">
        <f t="shared" si="0"/>
        <v>2</v>
      </c>
      <c r="BW49" s="8">
        <f t="shared" si="1"/>
        <v>28</v>
      </c>
      <c r="BX49" s="52"/>
      <c r="BY49" s="52"/>
      <c r="BZ49" s="52"/>
    </row>
    <row r="50" spans="1:78" s="27" customFormat="1">
      <c r="A50" s="5" t="s">
        <v>180</v>
      </c>
      <c r="B50" s="6">
        <v>2</v>
      </c>
      <c r="C50" s="6">
        <v>70</v>
      </c>
      <c r="D50" s="6">
        <v>6</v>
      </c>
      <c r="E50" s="6">
        <v>450</v>
      </c>
      <c r="F50" s="6">
        <v>6</v>
      </c>
      <c r="G50" s="6">
        <v>444</v>
      </c>
      <c r="H50" s="6"/>
      <c r="I50" s="6"/>
      <c r="J50" s="6"/>
      <c r="K50" s="6"/>
      <c r="L50" s="6"/>
      <c r="M50" s="6"/>
      <c r="N50" s="6">
        <v>10</v>
      </c>
      <c r="O50" s="6">
        <v>255</v>
      </c>
      <c r="P50" s="6">
        <v>3</v>
      </c>
      <c r="Q50" s="6">
        <v>128</v>
      </c>
      <c r="R50" s="6"/>
      <c r="S50" s="6"/>
      <c r="T50" s="6"/>
      <c r="U50" s="6"/>
      <c r="V50" s="6"/>
      <c r="W50" s="6"/>
      <c r="X50" s="6">
        <v>3</v>
      </c>
      <c r="Y50" s="6">
        <v>544</v>
      </c>
      <c r="Z50" s="6">
        <v>11</v>
      </c>
      <c r="AA50" s="6">
        <v>2364</v>
      </c>
      <c r="AB50" s="6"/>
      <c r="AC50" s="6"/>
      <c r="AD50" s="6">
        <v>19</v>
      </c>
      <c r="AE50" s="6">
        <v>7141</v>
      </c>
      <c r="AF50" s="6">
        <v>2</v>
      </c>
      <c r="AG50" s="6">
        <v>673</v>
      </c>
      <c r="AH50" s="6">
        <v>3</v>
      </c>
      <c r="AI50" s="6">
        <v>1042</v>
      </c>
      <c r="AJ50" s="6"/>
      <c r="AK50" s="6"/>
      <c r="AL50" s="6"/>
      <c r="AM50" s="6"/>
      <c r="AN50" s="6">
        <v>1</v>
      </c>
      <c r="AO50" s="6">
        <v>274</v>
      </c>
      <c r="AP50" s="6">
        <v>7</v>
      </c>
      <c r="AQ50" s="6">
        <v>2938</v>
      </c>
      <c r="AR50" s="6"/>
      <c r="AS50" s="6"/>
      <c r="AT50" s="6">
        <v>19</v>
      </c>
      <c r="AU50" s="6">
        <v>9692</v>
      </c>
      <c r="AV50" s="6"/>
      <c r="AW50" s="6"/>
      <c r="AX50" s="6"/>
      <c r="AY50" s="6"/>
      <c r="AZ50" s="6"/>
      <c r="BA50" s="6"/>
      <c r="BB50" s="6"/>
      <c r="BC50" s="6"/>
      <c r="BD50" s="6">
        <v>1</v>
      </c>
      <c r="BE50" s="6">
        <v>104</v>
      </c>
      <c r="BF50" s="6"/>
      <c r="BG50" s="6"/>
      <c r="BH50" s="6">
        <v>2</v>
      </c>
      <c r="BI50" s="6">
        <v>111</v>
      </c>
      <c r="BJ50" s="6"/>
      <c r="BK50" s="6"/>
      <c r="BL50" s="6"/>
      <c r="BM50" s="6"/>
      <c r="BN50" s="6"/>
      <c r="BO50" s="6"/>
      <c r="BP50" s="6"/>
      <c r="BQ50" s="6"/>
      <c r="BR50" s="6"/>
      <c r="BS50" s="6"/>
      <c r="BT50" s="6">
        <v>1</v>
      </c>
      <c r="BU50" s="6">
        <v>8</v>
      </c>
      <c r="BV50" s="8">
        <f t="shared" si="0"/>
        <v>96</v>
      </c>
      <c r="BW50" s="8">
        <f t="shared" si="1"/>
        <v>26238</v>
      </c>
      <c r="BX50" s="52"/>
      <c r="BY50" s="52"/>
      <c r="BZ50" s="52"/>
    </row>
    <row r="51" spans="1:78" s="27" customFormat="1">
      <c r="A51" s="5" t="s">
        <v>84</v>
      </c>
      <c r="B51" s="6"/>
      <c r="C51" s="6"/>
      <c r="D51" s="6"/>
      <c r="E51" s="6"/>
      <c r="F51" s="6"/>
      <c r="G51" s="6"/>
      <c r="H51" s="6"/>
      <c r="I51" s="6"/>
      <c r="J51" s="6"/>
      <c r="K51" s="6"/>
      <c r="L51" s="6"/>
      <c r="M51" s="6"/>
      <c r="N51" s="6">
        <v>1</v>
      </c>
      <c r="O51" s="6">
        <v>12</v>
      </c>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8">
        <f t="shared" si="0"/>
        <v>1</v>
      </c>
      <c r="BW51" s="8">
        <f t="shared" si="1"/>
        <v>12</v>
      </c>
      <c r="BX51" s="52"/>
      <c r="BY51" s="52"/>
      <c r="BZ51" s="52"/>
    </row>
    <row r="52" spans="1:78" s="27" customFormat="1">
      <c r="A52" s="5" t="s">
        <v>85</v>
      </c>
      <c r="B52" s="6">
        <v>3</v>
      </c>
      <c r="C52" s="6">
        <v>178</v>
      </c>
      <c r="D52" s="6">
        <v>4</v>
      </c>
      <c r="E52" s="6">
        <v>211</v>
      </c>
      <c r="F52" s="6">
        <v>3</v>
      </c>
      <c r="G52" s="6">
        <v>140</v>
      </c>
      <c r="H52" s="6"/>
      <c r="I52" s="6"/>
      <c r="J52" s="6"/>
      <c r="K52" s="6"/>
      <c r="L52" s="6"/>
      <c r="M52" s="6"/>
      <c r="N52" s="6">
        <v>7</v>
      </c>
      <c r="O52" s="6">
        <v>165</v>
      </c>
      <c r="P52" s="6"/>
      <c r="Q52" s="6"/>
      <c r="R52" s="6"/>
      <c r="S52" s="6"/>
      <c r="T52" s="6"/>
      <c r="U52" s="6"/>
      <c r="V52" s="6">
        <v>1</v>
      </c>
      <c r="W52" s="6">
        <v>117</v>
      </c>
      <c r="X52" s="6">
        <v>3</v>
      </c>
      <c r="Y52" s="6">
        <v>218</v>
      </c>
      <c r="Z52" s="6">
        <v>9</v>
      </c>
      <c r="AA52" s="6">
        <v>2361</v>
      </c>
      <c r="AB52" s="6">
        <v>1</v>
      </c>
      <c r="AC52" s="6">
        <v>329</v>
      </c>
      <c r="AD52" s="6">
        <v>10</v>
      </c>
      <c r="AE52" s="6">
        <v>3538</v>
      </c>
      <c r="AF52" s="6"/>
      <c r="AG52" s="6"/>
      <c r="AH52" s="6"/>
      <c r="AI52" s="6"/>
      <c r="AJ52" s="6"/>
      <c r="AK52" s="6"/>
      <c r="AL52" s="6"/>
      <c r="AM52" s="6"/>
      <c r="AN52" s="6"/>
      <c r="AO52" s="6"/>
      <c r="AP52" s="6">
        <v>1</v>
      </c>
      <c r="AQ52" s="6">
        <v>117</v>
      </c>
      <c r="AR52" s="6">
        <v>1</v>
      </c>
      <c r="AS52" s="6">
        <v>81</v>
      </c>
      <c r="AT52" s="6">
        <v>14</v>
      </c>
      <c r="AU52" s="6">
        <v>5740</v>
      </c>
      <c r="AV52" s="6"/>
      <c r="AW52" s="6"/>
      <c r="AX52" s="6"/>
      <c r="AY52" s="6"/>
      <c r="AZ52" s="6"/>
      <c r="BA52" s="6"/>
      <c r="BB52" s="6"/>
      <c r="BC52" s="6"/>
      <c r="BD52" s="6">
        <v>1</v>
      </c>
      <c r="BE52" s="6">
        <v>50</v>
      </c>
      <c r="BF52" s="6">
        <v>1</v>
      </c>
      <c r="BG52" s="6">
        <v>69</v>
      </c>
      <c r="BH52" s="6"/>
      <c r="BI52" s="6"/>
      <c r="BJ52" s="6">
        <v>1</v>
      </c>
      <c r="BK52" s="6">
        <v>142</v>
      </c>
      <c r="BL52" s="6">
        <v>1</v>
      </c>
      <c r="BM52" s="6">
        <v>48</v>
      </c>
      <c r="BN52" s="6"/>
      <c r="BO52" s="6"/>
      <c r="BP52" s="6"/>
      <c r="BQ52" s="6"/>
      <c r="BR52" s="6"/>
      <c r="BS52" s="6"/>
      <c r="BT52" s="6">
        <v>1</v>
      </c>
      <c r="BU52" s="6">
        <v>16</v>
      </c>
      <c r="BV52" s="8">
        <f t="shared" si="0"/>
        <v>62</v>
      </c>
      <c r="BW52" s="8">
        <f t="shared" si="1"/>
        <v>13520</v>
      </c>
      <c r="BX52" s="52"/>
      <c r="BY52" s="52"/>
      <c r="BZ52" s="52"/>
    </row>
    <row r="53" spans="1:78" s="27" customFormat="1">
      <c r="A53" s="5" t="s">
        <v>86</v>
      </c>
      <c r="B53" s="6"/>
      <c r="C53" s="6"/>
      <c r="D53" s="6"/>
      <c r="E53" s="6"/>
      <c r="F53" s="6"/>
      <c r="G53" s="6"/>
      <c r="H53" s="6"/>
      <c r="I53" s="6"/>
      <c r="J53" s="6"/>
      <c r="K53" s="6"/>
      <c r="L53" s="6"/>
      <c r="M53" s="6"/>
      <c r="N53" s="6">
        <v>6</v>
      </c>
      <c r="O53" s="6">
        <v>92</v>
      </c>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v>1</v>
      </c>
      <c r="BE53" s="6">
        <v>41</v>
      </c>
      <c r="BF53" s="6"/>
      <c r="BG53" s="6"/>
      <c r="BH53" s="6"/>
      <c r="BI53" s="6"/>
      <c r="BJ53" s="6"/>
      <c r="BK53" s="6"/>
      <c r="BL53" s="6"/>
      <c r="BM53" s="6"/>
      <c r="BN53" s="6"/>
      <c r="BO53" s="6"/>
      <c r="BP53" s="6"/>
      <c r="BQ53" s="6"/>
      <c r="BR53" s="6"/>
      <c r="BS53" s="6"/>
      <c r="BT53" s="6"/>
      <c r="BU53" s="6"/>
      <c r="BV53" s="8">
        <f t="shared" si="0"/>
        <v>7</v>
      </c>
      <c r="BW53" s="8">
        <f t="shared" si="1"/>
        <v>133</v>
      </c>
      <c r="BX53" s="52"/>
      <c r="BY53" s="52"/>
      <c r="BZ53" s="52"/>
    </row>
    <row r="54" spans="1:78" s="27" customFormat="1">
      <c r="A54" s="5" t="s">
        <v>87</v>
      </c>
      <c r="B54" s="6">
        <v>4</v>
      </c>
      <c r="C54" s="6">
        <v>103</v>
      </c>
      <c r="D54" s="6">
        <v>13</v>
      </c>
      <c r="E54" s="6">
        <v>1437</v>
      </c>
      <c r="F54" s="6">
        <v>10</v>
      </c>
      <c r="G54" s="6">
        <v>1379</v>
      </c>
      <c r="H54" s="6"/>
      <c r="I54" s="6"/>
      <c r="J54" s="6"/>
      <c r="K54" s="6"/>
      <c r="L54" s="6"/>
      <c r="M54" s="6"/>
      <c r="N54" s="6">
        <v>6</v>
      </c>
      <c r="O54" s="6">
        <v>126</v>
      </c>
      <c r="P54" s="6">
        <v>2</v>
      </c>
      <c r="Q54" s="6">
        <v>70</v>
      </c>
      <c r="R54" s="6"/>
      <c r="S54" s="6"/>
      <c r="T54" s="6">
        <v>2</v>
      </c>
      <c r="U54" s="6">
        <v>70</v>
      </c>
      <c r="V54" s="6">
        <v>1</v>
      </c>
      <c r="W54" s="6">
        <v>76</v>
      </c>
      <c r="X54" s="6">
        <v>3</v>
      </c>
      <c r="Y54" s="6">
        <v>215</v>
      </c>
      <c r="Z54" s="6">
        <v>11</v>
      </c>
      <c r="AA54" s="6">
        <v>2366</v>
      </c>
      <c r="AB54" s="6">
        <v>1</v>
      </c>
      <c r="AC54" s="6">
        <v>68</v>
      </c>
      <c r="AD54" s="6">
        <v>6</v>
      </c>
      <c r="AE54" s="6">
        <v>1688</v>
      </c>
      <c r="AF54" s="6">
        <v>1</v>
      </c>
      <c r="AG54" s="6">
        <v>328</v>
      </c>
      <c r="AH54" s="6">
        <v>1</v>
      </c>
      <c r="AI54" s="6">
        <v>759</v>
      </c>
      <c r="AJ54" s="6"/>
      <c r="AK54" s="6"/>
      <c r="AL54" s="6"/>
      <c r="AM54" s="6"/>
      <c r="AN54" s="6">
        <v>1</v>
      </c>
      <c r="AO54" s="6">
        <v>15</v>
      </c>
      <c r="AP54" s="6">
        <v>9</v>
      </c>
      <c r="AQ54" s="6">
        <v>3265</v>
      </c>
      <c r="AR54" s="6"/>
      <c r="AS54" s="6"/>
      <c r="AT54" s="6">
        <v>7</v>
      </c>
      <c r="AU54" s="6">
        <v>3536</v>
      </c>
      <c r="AV54" s="6">
        <v>1</v>
      </c>
      <c r="AW54" s="6">
        <v>378</v>
      </c>
      <c r="AX54" s="6">
        <v>1</v>
      </c>
      <c r="AY54" s="6">
        <v>94</v>
      </c>
      <c r="AZ54" s="6"/>
      <c r="BA54" s="6"/>
      <c r="BB54" s="6"/>
      <c r="BC54" s="6"/>
      <c r="BD54" s="6"/>
      <c r="BE54" s="6"/>
      <c r="BF54" s="6">
        <v>6</v>
      </c>
      <c r="BG54" s="6">
        <v>238</v>
      </c>
      <c r="BH54" s="6">
        <v>4</v>
      </c>
      <c r="BI54" s="6">
        <v>195</v>
      </c>
      <c r="BJ54" s="6"/>
      <c r="BK54" s="6"/>
      <c r="BL54" s="6">
        <v>7</v>
      </c>
      <c r="BM54" s="6">
        <v>239</v>
      </c>
      <c r="BN54" s="6">
        <v>5</v>
      </c>
      <c r="BO54" s="6">
        <v>119</v>
      </c>
      <c r="BP54" s="6"/>
      <c r="BQ54" s="6"/>
      <c r="BR54" s="6"/>
      <c r="BS54" s="6"/>
      <c r="BT54" s="6">
        <v>3</v>
      </c>
      <c r="BU54" s="6">
        <v>43</v>
      </c>
      <c r="BV54" s="8">
        <f t="shared" si="0"/>
        <v>105</v>
      </c>
      <c r="BW54" s="8">
        <f t="shared" si="1"/>
        <v>16807</v>
      </c>
      <c r="BX54" s="52"/>
      <c r="BY54" s="52"/>
      <c r="BZ54" s="52"/>
    </row>
    <row r="55" spans="1:78" s="27" customFormat="1">
      <c r="A55" s="5" t="s">
        <v>88</v>
      </c>
      <c r="B55" s="6"/>
      <c r="C55" s="6"/>
      <c r="D55" s="6"/>
      <c r="E55" s="6"/>
      <c r="F55" s="6"/>
      <c r="G55" s="6"/>
      <c r="H55" s="6"/>
      <c r="I55" s="6"/>
      <c r="J55" s="6"/>
      <c r="K55" s="6"/>
      <c r="L55" s="6"/>
      <c r="M55" s="6"/>
      <c r="N55" s="6">
        <v>9</v>
      </c>
      <c r="O55" s="6">
        <v>207</v>
      </c>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v>10</v>
      </c>
      <c r="BU55" s="6">
        <v>153</v>
      </c>
      <c r="BV55" s="8">
        <f t="shared" si="0"/>
        <v>19</v>
      </c>
      <c r="BW55" s="8">
        <f t="shared" si="1"/>
        <v>360</v>
      </c>
      <c r="BX55" s="52"/>
      <c r="BY55" s="52"/>
      <c r="BZ55" s="52"/>
    </row>
    <row r="56" spans="1:78" s="27" customFormat="1">
      <c r="A56" s="5" t="s">
        <v>89</v>
      </c>
      <c r="B56" s="6"/>
      <c r="C56" s="6"/>
      <c r="D56" s="6"/>
      <c r="E56" s="6"/>
      <c r="F56" s="6"/>
      <c r="G56" s="6"/>
      <c r="H56" s="6"/>
      <c r="I56" s="6"/>
      <c r="J56" s="6"/>
      <c r="K56" s="6"/>
      <c r="L56" s="6"/>
      <c r="M56" s="6"/>
      <c r="N56" s="6">
        <v>6</v>
      </c>
      <c r="O56" s="6">
        <v>90</v>
      </c>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v>1</v>
      </c>
      <c r="BE56" s="6">
        <v>39</v>
      </c>
      <c r="BF56" s="6"/>
      <c r="BG56" s="6"/>
      <c r="BH56" s="6"/>
      <c r="BI56" s="6"/>
      <c r="BJ56" s="6"/>
      <c r="BK56" s="6"/>
      <c r="BL56" s="6"/>
      <c r="BM56" s="6"/>
      <c r="BN56" s="6"/>
      <c r="BO56" s="6"/>
      <c r="BP56" s="6"/>
      <c r="BQ56" s="6"/>
      <c r="BR56" s="6"/>
      <c r="BS56" s="6"/>
      <c r="BT56" s="6">
        <v>2</v>
      </c>
      <c r="BU56" s="6">
        <v>24</v>
      </c>
      <c r="BV56" s="8">
        <f t="shared" si="0"/>
        <v>9</v>
      </c>
      <c r="BW56" s="8">
        <f t="shared" si="1"/>
        <v>153</v>
      </c>
      <c r="BX56" s="52"/>
      <c r="BY56" s="52"/>
      <c r="BZ56" s="52"/>
    </row>
    <row r="57" spans="1:78" s="27" customFormat="1">
      <c r="A57" s="5" t="s">
        <v>91</v>
      </c>
      <c r="B57" s="6"/>
      <c r="C57" s="6"/>
      <c r="D57" s="6"/>
      <c r="E57" s="6"/>
      <c r="F57" s="6"/>
      <c r="G57" s="6"/>
      <c r="H57" s="6"/>
      <c r="I57" s="6"/>
      <c r="J57" s="6"/>
      <c r="K57" s="6"/>
      <c r="L57" s="6"/>
      <c r="M57" s="6"/>
      <c r="N57" s="6">
        <v>1</v>
      </c>
      <c r="O57" s="6">
        <v>24</v>
      </c>
      <c r="P57" s="6"/>
      <c r="Q57" s="6"/>
      <c r="R57" s="6"/>
      <c r="S57" s="6"/>
      <c r="T57" s="6"/>
      <c r="U57" s="6"/>
      <c r="V57" s="6"/>
      <c r="W57" s="6"/>
      <c r="X57" s="6"/>
      <c r="Y57" s="6"/>
      <c r="Z57" s="6"/>
      <c r="AA57" s="6"/>
      <c r="AB57" s="6"/>
      <c r="AC57" s="6"/>
      <c r="AD57" s="6">
        <v>1</v>
      </c>
      <c r="AE57" s="6">
        <v>16</v>
      </c>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v>7</v>
      </c>
      <c r="BU57" s="6">
        <v>91</v>
      </c>
      <c r="BV57" s="8">
        <f t="shared" si="0"/>
        <v>9</v>
      </c>
      <c r="BW57" s="8">
        <f t="shared" si="1"/>
        <v>131</v>
      </c>
      <c r="BX57" s="52"/>
      <c r="BY57" s="52"/>
      <c r="BZ57" s="52"/>
    </row>
    <row r="58" spans="1:78" s="27" customFormat="1">
      <c r="A58" s="5" t="s">
        <v>92</v>
      </c>
      <c r="B58" s="6"/>
      <c r="C58" s="6"/>
      <c r="D58" s="6"/>
      <c r="E58" s="6"/>
      <c r="F58" s="6"/>
      <c r="G58" s="6"/>
      <c r="H58" s="6">
        <v>1</v>
      </c>
      <c r="I58" s="6">
        <v>82</v>
      </c>
      <c r="J58" s="6">
        <v>1</v>
      </c>
      <c r="K58" s="6">
        <v>39</v>
      </c>
      <c r="L58" s="6"/>
      <c r="M58" s="6"/>
      <c r="N58" s="6">
        <v>12</v>
      </c>
      <c r="O58" s="6">
        <v>221</v>
      </c>
      <c r="P58" s="6">
        <v>1</v>
      </c>
      <c r="Q58" s="6">
        <v>15</v>
      </c>
      <c r="R58" s="6"/>
      <c r="S58" s="6"/>
      <c r="T58" s="6"/>
      <c r="U58" s="6"/>
      <c r="V58" s="6">
        <v>1</v>
      </c>
      <c r="W58" s="6">
        <v>85</v>
      </c>
      <c r="X58" s="6">
        <v>1</v>
      </c>
      <c r="Y58" s="6">
        <v>72</v>
      </c>
      <c r="Z58" s="6">
        <v>1</v>
      </c>
      <c r="AA58" s="6">
        <v>207</v>
      </c>
      <c r="AB58" s="6"/>
      <c r="AC58" s="6"/>
      <c r="AD58" s="6">
        <v>8</v>
      </c>
      <c r="AE58" s="6">
        <v>1268</v>
      </c>
      <c r="AF58" s="6">
        <v>3</v>
      </c>
      <c r="AG58" s="6">
        <v>349</v>
      </c>
      <c r="AH58" s="6">
        <v>1</v>
      </c>
      <c r="AI58" s="6">
        <v>74</v>
      </c>
      <c r="AJ58" s="6">
        <v>1</v>
      </c>
      <c r="AK58" s="6">
        <v>246</v>
      </c>
      <c r="AL58" s="6"/>
      <c r="AM58" s="6"/>
      <c r="AN58" s="6"/>
      <c r="AO58" s="6"/>
      <c r="AP58" s="6"/>
      <c r="AQ58" s="6"/>
      <c r="AR58" s="6"/>
      <c r="AS58" s="6"/>
      <c r="AT58" s="6">
        <v>1</v>
      </c>
      <c r="AU58" s="6">
        <v>208</v>
      </c>
      <c r="AV58" s="6"/>
      <c r="AW58" s="6"/>
      <c r="AX58" s="6"/>
      <c r="AY58" s="6"/>
      <c r="AZ58" s="6"/>
      <c r="BA58" s="6"/>
      <c r="BB58" s="6"/>
      <c r="BC58" s="6"/>
      <c r="BD58" s="6">
        <v>1</v>
      </c>
      <c r="BE58" s="6">
        <v>64</v>
      </c>
      <c r="BF58" s="6">
        <v>2</v>
      </c>
      <c r="BG58" s="6">
        <v>86</v>
      </c>
      <c r="BH58" s="6">
        <v>1</v>
      </c>
      <c r="BI58" s="6">
        <v>50</v>
      </c>
      <c r="BJ58" s="6"/>
      <c r="BK58" s="6"/>
      <c r="BL58" s="6"/>
      <c r="BM58" s="6"/>
      <c r="BN58" s="6"/>
      <c r="BO58" s="6"/>
      <c r="BP58" s="6"/>
      <c r="BQ58" s="6"/>
      <c r="BR58" s="6"/>
      <c r="BS58" s="6"/>
      <c r="BT58" s="6">
        <v>15</v>
      </c>
      <c r="BU58" s="6">
        <v>249</v>
      </c>
      <c r="BV58" s="8">
        <f t="shared" si="0"/>
        <v>51</v>
      </c>
      <c r="BW58" s="8">
        <f t="shared" si="1"/>
        <v>3315</v>
      </c>
      <c r="BX58" s="52"/>
      <c r="BY58" s="52"/>
      <c r="BZ58" s="52"/>
    </row>
    <row r="59" spans="1:78" s="27" customFormat="1">
      <c r="A59" s="5" t="s">
        <v>93</v>
      </c>
      <c r="B59" s="6">
        <v>7</v>
      </c>
      <c r="C59" s="6">
        <v>342</v>
      </c>
      <c r="D59" s="6">
        <v>9</v>
      </c>
      <c r="E59" s="6">
        <v>773</v>
      </c>
      <c r="F59" s="6">
        <v>4</v>
      </c>
      <c r="G59" s="6">
        <v>664</v>
      </c>
      <c r="H59" s="6"/>
      <c r="I59" s="6"/>
      <c r="J59" s="6">
        <v>1</v>
      </c>
      <c r="K59" s="6">
        <v>18</v>
      </c>
      <c r="L59" s="6"/>
      <c r="M59" s="6"/>
      <c r="N59" s="6">
        <v>4</v>
      </c>
      <c r="O59" s="6">
        <v>116</v>
      </c>
      <c r="P59" s="6">
        <v>1</v>
      </c>
      <c r="Q59" s="6">
        <v>20</v>
      </c>
      <c r="R59" s="6"/>
      <c r="S59" s="6"/>
      <c r="T59" s="6"/>
      <c r="U59" s="6"/>
      <c r="V59" s="6">
        <v>1</v>
      </c>
      <c r="W59" s="6">
        <v>183</v>
      </c>
      <c r="X59" s="6">
        <v>1</v>
      </c>
      <c r="Y59" s="6">
        <v>42</v>
      </c>
      <c r="Z59" s="6">
        <v>8</v>
      </c>
      <c r="AA59" s="6">
        <v>1388</v>
      </c>
      <c r="AB59" s="6"/>
      <c r="AC59" s="6"/>
      <c r="AD59" s="6">
        <v>10</v>
      </c>
      <c r="AE59" s="6">
        <v>2757</v>
      </c>
      <c r="AF59" s="6">
        <v>1</v>
      </c>
      <c r="AG59" s="6">
        <v>214</v>
      </c>
      <c r="AH59" s="6"/>
      <c r="AI59" s="6"/>
      <c r="AJ59" s="6"/>
      <c r="AK59" s="6"/>
      <c r="AL59" s="6"/>
      <c r="AM59" s="6"/>
      <c r="AN59" s="6"/>
      <c r="AO59" s="6"/>
      <c r="AP59" s="6">
        <v>5</v>
      </c>
      <c r="AQ59" s="6">
        <v>1382</v>
      </c>
      <c r="AR59" s="6"/>
      <c r="AS59" s="6"/>
      <c r="AT59" s="6">
        <v>9</v>
      </c>
      <c r="AU59" s="6">
        <v>3288</v>
      </c>
      <c r="AV59" s="6"/>
      <c r="AW59" s="6"/>
      <c r="AX59" s="6">
        <v>1</v>
      </c>
      <c r="AY59" s="6">
        <v>136</v>
      </c>
      <c r="AZ59" s="6"/>
      <c r="BA59" s="6"/>
      <c r="BB59" s="6"/>
      <c r="BC59" s="6"/>
      <c r="BD59" s="6">
        <v>1</v>
      </c>
      <c r="BE59" s="6">
        <v>45</v>
      </c>
      <c r="BF59" s="6"/>
      <c r="BG59" s="6"/>
      <c r="BH59" s="6">
        <v>2</v>
      </c>
      <c r="BI59" s="6">
        <v>164</v>
      </c>
      <c r="BJ59" s="6"/>
      <c r="BK59" s="6"/>
      <c r="BL59" s="6">
        <v>3</v>
      </c>
      <c r="BM59" s="6">
        <v>101</v>
      </c>
      <c r="BN59" s="6">
        <v>2</v>
      </c>
      <c r="BO59" s="6">
        <v>114</v>
      </c>
      <c r="BP59" s="6"/>
      <c r="BQ59" s="6"/>
      <c r="BR59" s="6"/>
      <c r="BS59" s="6"/>
      <c r="BT59" s="6">
        <v>1</v>
      </c>
      <c r="BU59" s="6">
        <v>10</v>
      </c>
      <c r="BV59" s="8">
        <f t="shared" si="0"/>
        <v>71</v>
      </c>
      <c r="BW59" s="8">
        <f t="shared" si="1"/>
        <v>11757</v>
      </c>
      <c r="BX59" s="52"/>
      <c r="BY59" s="52"/>
      <c r="BZ59" s="52"/>
    </row>
    <row r="60" spans="1:78" s="27" customFormat="1">
      <c r="A60" s="5" t="s">
        <v>94</v>
      </c>
      <c r="B60" s="6"/>
      <c r="C60" s="6"/>
      <c r="D60" s="6"/>
      <c r="E60" s="6"/>
      <c r="F60" s="6"/>
      <c r="G60" s="6"/>
      <c r="H60" s="6"/>
      <c r="I60" s="6"/>
      <c r="J60" s="6"/>
      <c r="K60" s="6"/>
      <c r="L60" s="6"/>
      <c r="M60" s="6"/>
      <c r="N60" s="6">
        <v>5</v>
      </c>
      <c r="O60" s="6">
        <v>87</v>
      </c>
      <c r="P60" s="6"/>
      <c r="Q60" s="6"/>
      <c r="R60" s="6"/>
      <c r="S60" s="6"/>
      <c r="T60" s="6"/>
      <c r="U60" s="6"/>
      <c r="V60" s="6"/>
      <c r="W60" s="6"/>
      <c r="X60" s="6"/>
      <c r="Y60" s="6"/>
      <c r="Z60" s="6"/>
      <c r="AA60" s="6"/>
      <c r="AB60" s="6"/>
      <c r="AC60" s="6"/>
      <c r="AD60" s="6">
        <v>1</v>
      </c>
      <c r="AE60" s="6">
        <v>116</v>
      </c>
      <c r="AF60" s="6"/>
      <c r="AG60" s="6"/>
      <c r="AH60" s="6"/>
      <c r="AI60" s="6"/>
      <c r="AJ60" s="6"/>
      <c r="AK60" s="6"/>
      <c r="AL60" s="6"/>
      <c r="AM60" s="6"/>
      <c r="AN60" s="6"/>
      <c r="AO60" s="6"/>
      <c r="AP60" s="6"/>
      <c r="AQ60" s="6"/>
      <c r="AR60" s="6"/>
      <c r="AS60" s="6"/>
      <c r="AT60" s="6"/>
      <c r="AU60" s="6"/>
      <c r="AV60" s="6"/>
      <c r="AW60" s="6"/>
      <c r="AX60" s="6"/>
      <c r="AY60" s="6"/>
      <c r="AZ60" s="6"/>
      <c r="BA60" s="6"/>
      <c r="BB60" s="6"/>
      <c r="BC60" s="6"/>
      <c r="BD60" s="6">
        <v>1</v>
      </c>
      <c r="BE60" s="6">
        <v>32</v>
      </c>
      <c r="BF60" s="6"/>
      <c r="BG60" s="6"/>
      <c r="BH60" s="6"/>
      <c r="BI60" s="6"/>
      <c r="BJ60" s="6"/>
      <c r="BK60" s="6"/>
      <c r="BL60" s="6"/>
      <c r="BM60" s="6"/>
      <c r="BN60" s="6"/>
      <c r="BO60" s="6"/>
      <c r="BP60" s="6"/>
      <c r="BQ60" s="6"/>
      <c r="BR60" s="6"/>
      <c r="BS60" s="6"/>
      <c r="BT60" s="6">
        <v>7</v>
      </c>
      <c r="BU60" s="6">
        <v>99</v>
      </c>
      <c r="BV60" s="8">
        <f t="shared" si="0"/>
        <v>14</v>
      </c>
      <c r="BW60" s="8">
        <f t="shared" si="1"/>
        <v>334</v>
      </c>
      <c r="BX60" s="52"/>
      <c r="BY60" s="52"/>
      <c r="BZ60" s="52"/>
    </row>
    <row r="61" spans="1:78" s="27" customFormat="1">
      <c r="A61" s="5" t="s">
        <v>95</v>
      </c>
      <c r="B61" s="6"/>
      <c r="C61" s="6"/>
      <c r="D61" s="6"/>
      <c r="E61" s="6"/>
      <c r="F61" s="6"/>
      <c r="G61" s="6"/>
      <c r="H61" s="6"/>
      <c r="I61" s="6"/>
      <c r="J61" s="6"/>
      <c r="K61" s="6"/>
      <c r="L61" s="6"/>
      <c r="M61" s="6"/>
      <c r="N61" s="6">
        <v>1</v>
      </c>
      <c r="O61" s="6">
        <v>20</v>
      </c>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v>1</v>
      </c>
      <c r="BE61" s="6">
        <v>68</v>
      </c>
      <c r="BF61" s="6"/>
      <c r="BG61" s="6"/>
      <c r="BH61" s="6"/>
      <c r="BI61" s="6"/>
      <c r="BJ61" s="6"/>
      <c r="BK61" s="6"/>
      <c r="BL61" s="6"/>
      <c r="BM61" s="6"/>
      <c r="BN61" s="6"/>
      <c r="BO61" s="6"/>
      <c r="BP61" s="6"/>
      <c r="BQ61" s="6"/>
      <c r="BR61" s="6"/>
      <c r="BS61" s="6"/>
      <c r="BT61" s="6"/>
      <c r="BU61" s="6"/>
      <c r="BV61" s="8">
        <f t="shared" si="0"/>
        <v>2</v>
      </c>
      <c r="BW61" s="8">
        <f t="shared" si="1"/>
        <v>88</v>
      </c>
      <c r="BX61" s="52"/>
      <c r="BY61" s="52"/>
      <c r="BZ61" s="52"/>
    </row>
    <row r="62" spans="1:78" s="51" customFormat="1">
      <c r="A62" s="11" t="s">
        <v>96</v>
      </c>
      <c r="B62" s="12">
        <f>SUM(B9:B61)</f>
        <v>65</v>
      </c>
      <c r="C62" s="12">
        <f t="shared" ref="C62:BP62" si="2">SUM(C9:C61)</f>
        <v>3123</v>
      </c>
      <c r="D62" s="12">
        <f t="shared" si="2"/>
        <v>114</v>
      </c>
      <c r="E62" s="12">
        <f t="shared" si="2"/>
        <v>11069</v>
      </c>
      <c r="F62" s="12">
        <f t="shared" si="2"/>
        <v>96</v>
      </c>
      <c r="G62" s="12">
        <f t="shared" si="2"/>
        <v>15923</v>
      </c>
      <c r="H62" s="12">
        <f t="shared" si="2"/>
        <v>4</v>
      </c>
      <c r="I62" s="12">
        <f t="shared" si="2"/>
        <v>825</v>
      </c>
      <c r="J62" s="12">
        <f t="shared" si="2"/>
        <v>15</v>
      </c>
      <c r="K62" s="12">
        <f t="shared" si="2"/>
        <v>2081</v>
      </c>
      <c r="L62" s="12">
        <f t="shared" si="2"/>
        <v>1</v>
      </c>
      <c r="M62" s="12">
        <f t="shared" si="2"/>
        <v>18</v>
      </c>
      <c r="N62" s="12">
        <f t="shared" si="2"/>
        <v>286</v>
      </c>
      <c r="O62" s="12">
        <f t="shared" si="2"/>
        <v>5590</v>
      </c>
      <c r="P62" s="12">
        <f t="shared" si="2"/>
        <v>15</v>
      </c>
      <c r="Q62" s="12">
        <f t="shared" si="2"/>
        <v>479</v>
      </c>
      <c r="R62" s="12">
        <f t="shared" si="2"/>
        <v>1</v>
      </c>
      <c r="S62" s="12">
        <f t="shared" si="2"/>
        <v>500</v>
      </c>
      <c r="T62" s="12">
        <f t="shared" si="2"/>
        <v>8</v>
      </c>
      <c r="U62" s="12">
        <f t="shared" si="2"/>
        <v>236</v>
      </c>
      <c r="V62" s="12">
        <f t="shared" si="2"/>
        <v>14</v>
      </c>
      <c r="W62" s="12">
        <f t="shared" si="2"/>
        <v>1069</v>
      </c>
      <c r="X62" s="12">
        <f t="shared" si="2"/>
        <v>35</v>
      </c>
      <c r="Y62" s="12">
        <f t="shared" si="2"/>
        <v>4874</v>
      </c>
      <c r="Z62" s="12">
        <f t="shared" si="2"/>
        <v>189</v>
      </c>
      <c r="AA62" s="12">
        <f t="shared" si="2"/>
        <v>48583</v>
      </c>
      <c r="AB62" s="12">
        <f t="shared" si="2"/>
        <v>11</v>
      </c>
      <c r="AC62" s="12">
        <f t="shared" si="2"/>
        <v>2757</v>
      </c>
      <c r="AD62" s="12">
        <f t="shared" si="2"/>
        <v>304</v>
      </c>
      <c r="AE62" s="12">
        <f t="shared" si="2"/>
        <v>94820</v>
      </c>
      <c r="AF62" s="12">
        <f t="shared" si="2"/>
        <v>46</v>
      </c>
      <c r="AG62" s="12">
        <f t="shared" si="2"/>
        <v>11401</v>
      </c>
      <c r="AH62" s="12">
        <f t="shared" si="2"/>
        <v>48</v>
      </c>
      <c r="AI62" s="12">
        <f t="shared" si="2"/>
        <v>10061</v>
      </c>
      <c r="AJ62" s="12">
        <f t="shared" si="2"/>
        <v>4</v>
      </c>
      <c r="AK62" s="12">
        <f t="shared" si="2"/>
        <v>920</v>
      </c>
      <c r="AL62" s="12">
        <f t="shared" si="2"/>
        <v>3</v>
      </c>
      <c r="AM62" s="12">
        <f t="shared" si="2"/>
        <v>78</v>
      </c>
      <c r="AN62" s="12">
        <f t="shared" si="2"/>
        <v>10</v>
      </c>
      <c r="AO62" s="12">
        <f t="shared" si="2"/>
        <v>1107</v>
      </c>
      <c r="AP62" s="12">
        <f t="shared" si="2"/>
        <v>49</v>
      </c>
      <c r="AQ62" s="12">
        <f t="shared" si="2"/>
        <v>16260</v>
      </c>
      <c r="AR62" s="12">
        <f t="shared" si="2"/>
        <v>8</v>
      </c>
      <c r="AS62" s="12">
        <f t="shared" si="2"/>
        <v>3790</v>
      </c>
      <c r="AT62" s="12">
        <f t="shared" si="2"/>
        <v>130</v>
      </c>
      <c r="AU62" s="12">
        <f t="shared" si="2"/>
        <v>55354</v>
      </c>
      <c r="AV62" s="12">
        <f t="shared" si="2"/>
        <v>5</v>
      </c>
      <c r="AW62" s="12">
        <f t="shared" si="2"/>
        <v>2052</v>
      </c>
      <c r="AX62" s="12">
        <f t="shared" si="2"/>
        <v>6</v>
      </c>
      <c r="AY62" s="12">
        <f t="shared" si="2"/>
        <v>1618</v>
      </c>
      <c r="AZ62" s="12">
        <f t="shared" si="2"/>
        <v>3</v>
      </c>
      <c r="BA62" s="12">
        <f t="shared" si="2"/>
        <v>134</v>
      </c>
      <c r="BB62" s="12">
        <f t="shared" si="2"/>
        <v>1</v>
      </c>
      <c r="BC62" s="12">
        <f t="shared" si="2"/>
        <v>132</v>
      </c>
      <c r="BD62" s="12">
        <f t="shared" si="2"/>
        <v>37</v>
      </c>
      <c r="BE62" s="12">
        <f t="shared" si="2"/>
        <v>1827</v>
      </c>
      <c r="BF62" s="12">
        <f t="shared" si="2"/>
        <v>36</v>
      </c>
      <c r="BG62" s="12">
        <f t="shared" si="2"/>
        <v>1658</v>
      </c>
      <c r="BH62" s="12">
        <f t="shared" si="2"/>
        <v>21</v>
      </c>
      <c r="BI62" s="12">
        <f t="shared" si="2"/>
        <v>1146</v>
      </c>
      <c r="BJ62" s="12">
        <f t="shared" si="2"/>
        <v>2</v>
      </c>
      <c r="BK62" s="12">
        <f t="shared" si="2"/>
        <v>214</v>
      </c>
      <c r="BL62" s="12">
        <f t="shared" si="2"/>
        <v>45</v>
      </c>
      <c r="BM62" s="12">
        <f t="shared" si="2"/>
        <v>1761</v>
      </c>
      <c r="BN62" s="12">
        <f t="shared" si="2"/>
        <v>22</v>
      </c>
      <c r="BO62" s="12">
        <f t="shared" si="2"/>
        <v>833</v>
      </c>
      <c r="BP62" s="12">
        <f t="shared" si="2"/>
        <v>2</v>
      </c>
      <c r="BQ62" s="12">
        <f>SUM(BQ9:BQ61)</f>
        <v>86</v>
      </c>
      <c r="BR62" s="12">
        <f>SUM(BR9:BR61)</f>
        <v>1</v>
      </c>
      <c r="BS62" s="12">
        <f>SUM(BS9:BS61)</f>
        <v>23</v>
      </c>
      <c r="BT62" s="12">
        <f>SUM(BT9:BT61)</f>
        <v>154</v>
      </c>
      <c r="BU62" s="12">
        <f>SUM(BU9:BU61)</f>
        <v>2308</v>
      </c>
      <c r="BV62" s="12">
        <f>B62+D62+F62+H62+J62+L62+N62+P62+R62+T62+V62+X62+Z62+AB62+AD62+AF62+AH62+AJ62+AL62+AN62+AP62+AR62+AT62+AV62+AX62+AZ62+BB62+BD62+BF62+BH62+BJ62+BL62+BN62+BP62+BR62+BT62</f>
        <v>1791</v>
      </c>
      <c r="BW62" s="12">
        <f>C62+E62+G62+I62+K62+M62+O62+Q62+S62+U62+W62+Y62+AA62+AC62+AE62+AG62+AI62+AK62+AM62+AO62+AQ62+AS62+AU62+AW62+AY62+BA62+BC62+BE62+BG62+BI62+BK62+BM62+BO62+BQ62+BS62+BU62</f>
        <v>304710</v>
      </c>
      <c r="BX62" s="52"/>
      <c r="BY62" s="52"/>
      <c r="BZ62" s="52"/>
    </row>
    <row r="63" spans="1:78" s="27" customFormat="1" ht="12.75">
      <c r="A63" s="48" t="s">
        <v>189</v>
      </c>
      <c r="BV63" s="54"/>
      <c r="BW63" s="54"/>
    </row>
    <row r="64" spans="1:78" s="27" customFormat="1" ht="12.75">
      <c r="A64" s="50" t="s">
        <v>190</v>
      </c>
      <c r="BV64" s="54"/>
      <c r="BW64" s="54"/>
    </row>
    <row r="65" spans="1:75" s="55" customFormat="1" ht="12.75">
      <c r="A65" s="50" t="s">
        <v>191</v>
      </c>
      <c r="BV65" s="56"/>
      <c r="BW65" s="57"/>
    </row>
  </sheetData>
  <sheetProtection password="C668" sheet="1"/>
  <mergeCells count="38">
    <mergeCell ref="X6:Y6"/>
    <mergeCell ref="A6:A8"/>
    <mergeCell ref="B6:C6"/>
    <mergeCell ref="D6:E6"/>
    <mergeCell ref="F6:G6"/>
    <mergeCell ref="H6:I6"/>
    <mergeCell ref="J6:K6"/>
    <mergeCell ref="N6:O6"/>
    <mergeCell ref="P6:Q6"/>
    <mergeCell ref="R6:S6"/>
    <mergeCell ref="T6:U6"/>
    <mergeCell ref="V6:W6"/>
    <mergeCell ref="L6:M6"/>
    <mergeCell ref="AP6:AQ6"/>
    <mergeCell ref="AR6:AS6"/>
    <mergeCell ref="AT6:AU6"/>
    <mergeCell ref="AV6:AW6"/>
    <mergeCell ref="Z6:AA6"/>
    <mergeCell ref="AB6:AC6"/>
    <mergeCell ref="AD6:AE6"/>
    <mergeCell ref="AF6:AG6"/>
    <mergeCell ref="AH6:AI6"/>
    <mergeCell ref="AJ6:AK6"/>
    <mergeCell ref="AL6:AM6"/>
    <mergeCell ref="AN6:AO6"/>
    <mergeCell ref="BT6:BU6"/>
    <mergeCell ref="BV6:BW6"/>
    <mergeCell ref="BH6:BI6"/>
    <mergeCell ref="BJ6:BK6"/>
    <mergeCell ref="BL6:BM6"/>
    <mergeCell ref="BN6:BO6"/>
    <mergeCell ref="BP6:BQ6"/>
    <mergeCell ref="BR6:BS6"/>
    <mergeCell ref="AX6:AY6"/>
    <mergeCell ref="AZ6:BA6"/>
    <mergeCell ref="BB6:BC6"/>
    <mergeCell ref="BD6:BE6"/>
    <mergeCell ref="BF6:BG6"/>
  </mergeCells>
  <conditionalFormatting sqref="A9:BU61 BV9:BW62">
    <cfRule type="expression" dxfId="18" priority="1" stopIfTrue="1">
      <formula>MOD(ROW(),2)=0</formula>
    </cfRule>
  </conditionalFormatting>
  <conditionalFormatting sqref="A2:XFD65">
    <cfRule type="expression" priority="3">
      <formula>SI(0," ")</formula>
    </cfRule>
  </conditionalFormatting>
  <conditionalFormatting sqref="J2">
    <cfRule type="expression" priority="2">
      <formula>SI($C$42," ")</formula>
    </cfRule>
  </conditionalFormatting>
  <pageMargins left="0.70866141732283472" right="0.70866141732283472" top="0.74803149606299213" bottom="0.74803149606299213" header="0.31496062992125984" footer="0.31496062992125984"/>
  <pageSetup paperSize="8" scale="70" orientation="landscape" r:id="rId1"/>
  <colBreaks count="4" manualBreakCount="4">
    <brk id="19" max="1048575" man="1"/>
    <brk id="35" max="1048575" man="1"/>
    <brk id="51" max="1048575" man="1"/>
    <brk id="65"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3:N53"/>
  <sheetViews>
    <sheetView showGridLines="0" workbookViewId="0"/>
  </sheetViews>
  <sheetFormatPr baseColWidth="10" defaultRowHeight="15"/>
  <cols>
    <col min="1" max="1" width="25.140625" customWidth="1"/>
    <col min="2" max="2" width="5.7109375" customWidth="1"/>
    <col min="3" max="3" width="17" bestFit="1" customWidth="1"/>
    <col min="4" max="4" width="15.140625" bestFit="1" customWidth="1"/>
    <col min="5" max="5" width="14" bestFit="1" customWidth="1"/>
    <col min="8" max="8" width="25.140625" customWidth="1"/>
    <col min="9" max="9" width="5.7109375" customWidth="1"/>
    <col min="10" max="10" width="17" customWidth="1"/>
    <col min="11" max="11" width="15.140625" customWidth="1"/>
    <col min="12" max="12" width="14" customWidth="1"/>
  </cols>
  <sheetData>
    <row r="3" spans="1:13" s="60" customFormat="1" ht="16.5">
      <c r="A3" s="58" t="s">
        <v>275</v>
      </c>
      <c r="B3" s="59"/>
      <c r="H3" s="59"/>
      <c r="I3" s="59"/>
    </row>
    <row r="4" spans="1:13" s="63" customFormat="1" ht="16.5">
      <c r="A4" s="61" t="s">
        <v>276</v>
      </c>
      <c r="B4" s="62"/>
      <c r="H4" s="62"/>
      <c r="I4" s="62"/>
      <c r="L4" s="64"/>
    </row>
    <row r="5" spans="1:13" s="63" customFormat="1" ht="16.5">
      <c r="A5" s="61" t="s">
        <v>277</v>
      </c>
      <c r="B5" s="62"/>
      <c r="H5" s="62"/>
      <c r="I5" s="62"/>
    </row>
    <row r="6" spans="1:13" s="60" customFormat="1" ht="12.75">
      <c r="A6" s="59"/>
      <c r="B6" s="59"/>
      <c r="H6" s="59"/>
      <c r="I6" s="59"/>
    </row>
    <row r="7" spans="1:13" s="60" customFormat="1" ht="12.75">
      <c r="A7" s="59"/>
      <c r="B7" s="59"/>
      <c r="H7" s="59"/>
      <c r="I7" s="59"/>
    </row>
    <row r="8" spans="1:13" s="60" customFormat="1" ht="12.75">
      <c r="A8" s="130" t="s">
        <v>104</v>
      </c>
      <c r="B8" s="130"/>
      <c r="C8" s="103" t="s">
        <v>105</v>
      </c>
      <c r="D8" s="103" t="s">
        <v>106</v>
      </c>
      <c r="E8" s="103" t="s">
        <v>107</v>
      </c>
      <c r="F8" s="103" t="s">
        <v>108</v>
      </c>
      <c r="G8" s="104"/>
      <c r="H8" s="130" t="s">
        <v>104</v>
      </c>
      <c r="I8" s="130"/>
      <c r="J8" s="103" t="s">
        <v>105</v>
      </c>
      <c r="K8" s="103" t="s">
        <v>106</v>
      </c>
      <c r="L8" s="103" t="s">
        <v>107</v>
      </c>
      <c r="M8" s="103" t="s">
        <v>108</v>
      </c>
    </row>
    <row r="9" spans="1:13" s="63" customFormat="1" ht="12.75">
      <c r="A9" s="131" t="s">
        <v>109</v>
      </c>
      <c r="B9" s="131"/>
      <c r="C9" s="105" t="s">
        <v>110</v>
      </c>
      <c r="D9" s="105" t="s">
        <v>111</v>
      </c>
      <c r="E9" s="105" t="s">
        <v>112</v>
      </c>
      <c r="F9" s="105" t="s">
        <v>113</v>
      </c>
      <c r="G9" s="106"/>
      <c r="H9" s="131" t="s">
        <v>109</v>
      </c>
      <c r="I9" s="131"/>
      <c r="J9" s="105" t="s">
        <v>110</v>
      </c>
      <c r="K9" s="105" t="s">
        <v>111</v>
      </c>
      <c r="L9" s="105" t="s">
        <v>112</v>
      </c>
      <c r="M9" s="105" t="s">
        <v>113</v>
      </c>
    </row>
    <row r="10" spans="1:13" s="63" customFormat="1" ht="12.75">
      <c r="A10" s="131" t="s">
        <v>114</v>
      </c>
      <c r="B10" s="131"/>
      <c r="C10" s="105" t="s">
        <v>115</v>
      </c>
      <c r="D10" s="105" t="s">
        <v>116</v>
      </c>
      <c r="E10" s="105" t="s">
        <v>117</v>
      </c>
      <c r="F10" s="105" t="s">
        <v>118</v>
      </c>
      <c r="G10" s="106"/>
      <c r="H10" s="131" t="s">
        <v>114</v>
      </c>
      <c r="I10" s="131"/>
      <c r="J10" s="105" t="s">
        <v>115</v>
      </c>
      <c r="K10" s="105" t="s">
        <v>116</v>
      </c>
      <c r="L10" s="105" t="s">
        <v>117</v>
      </c>
      <c r="M10" s="105" t="s">
        <v>118</v>
      </c>
    </row>
    <row r="11" spans="1:13" s="60" customFormat="1">
      <c r="A11" s="132" t="s">
        <v>119</v>
      </c>
      <c r="B11" s="132"/>
      <c r="C11" s="66">
        <v>67</v>
      </c>
      <c r="D11" s="66">
        <v>995</v>
      </c>
      <c r="E11" s="66">
        <v>3170</v>
      </c>
      <c r="F11" s="67">
        <f>E11/E$17</f>
        <v>9.5683670389375183E-2</v>
      </c>
      <c r="G11" s="68"/>
      <c r="H11" s="132" t="s">
        <v>25</v>
      </c>
      <c r="I11" s="132"/>
      <c r="J11" s="66">
        <v>3</v>
      </c>
      <c r="K11" s="66">
        <v>33</v>
      </c>
      <c r="L11" s="66">
        <v>78</v>
      </c>
      <c r="M11" s="67">
        <f>L11/L$19</f>
        <v>9.7972718366116517E-4</v>
      </c>
    </row>
    <row r="12" spans="1:13" s="60" customFormat="1">
      <c r="A12" s="132" t="s">
        <v>120</v>
      </c>
      <c r="B12" s="132"/>
      <c r="C12" s="66">
        <v>114</v>
      </c>
      <c r="D12" s="66">
        <v>3878</v>
      </c>
      <c r="E12" s="66">
        <v>11093</v>
      </c>
      <c r="F12" s="67">
        <f>E12/E$17</f>
        <v>0.33483247811651073</v>
      </c>
      <c r="G12" s="68"/>
      <c r="H12" s="132" t="s">
        <v>26</v>
      </c>
      <c r="I12" s="132"/>
      <c r="J12" s="66">
        <v>11</v>
      </c>
      <c r="K12" s="66">
        <v>761</v>
      </c>
      <c r="L12" s="66">
        <v>1647</v>
      </c>
      <c r="M12" s="67">
        <f t="shared" ref="M12:M17" si="0">L12/L$19</f>
        <v>2.0687316301153065E-2</v>
      </c>
    </row>
    <row r="13" spans="1:13" s="60" customFormat="1">
      <c r="A13" s="132" t="s">
        <v>121</v>
      </c>
      <c r="B13" s="132"/>
      <c r="C13" s="66">
        <v>94</v>
      </c>
      <c r="D13" s="66">
        <v>6198</v>
      </c>
      <c r="E13" s="66">
        <v>15953</v>
      </c>
      <c r="F13" s="67">
        <f>E13/E$17</f>
        <v>0.48152731663145187</v>
      </c>
      <c r="G13" s="68"/>
      <c r="H13" s="132" t="s">
        <v>27</v>
      </c>
      <c r="I13" s="132"/>
      <c r="J13" s="66">
        <v>53</v>
      </c>
      <c r="K13" s="66">
        <v>7715</v>
      </c>
      <c r="L13" s="66">
        <v>17549</v>
      </c>
      <c r="M13" s="67">
        <f t="shared" si="0"/>
        <v>0.22042605571884341</v>
      </c>
    </row>
    <row r="14" spans="1:13" s="60" customFormat="1">
      <c r="A14" s="132" t="s">
        <v>251</v>
      </c>
      <c r="B14" s="132"/>
      <c r="C14" s="66">
        <v>5</v>
      </c>
      <c r="D14" s="66">
        <v>205</v>
      </c>
      <c r="E14" s="66">
        <v>487</v>
      </c>
      <c r="F14" s="67">
        <f>E14/E$17</f>
        <v>1.4699667974645336E-2</v>
      </c>
      <c r="G14" s="68"/>
      <c r="H14" s="132" t="s">
        <v>209</v>
      </c>
      <c r="I14" s="132"/>
      <c r="J14" s="66">
        <v>7</v>
      </c>
      <c r="K14" s="66">
        <v>1262</v>
      </c>
      <c r="L14" s="66">
        <v>3712</v>
      </c>
      <c r="M14" s="67">
        <f t="shared" si="0"/>
        <v>4.662496545833647E-2</v>
      </c>
    </row>
    <row r="15" spans="1:13" s="60" customFormat="1">
      <c r="A15" s="132" t="s">
        <v>122</v>
      </c>
      <c r="B15" s="132"/>
      <c r="C15" s="66">
        <v>17</v>
      </c>
      <c r="D15" s="66">
        <v>763</v>
      </c>
      <c r="E15" s="66">
        <v>2427</v>
      </c>
      <c r="F15" s="67">
        <f>E15/E$17</f>
        <v>7.32568668880169E-2</v>
      </c>
      <c r="G15" s="68"/>
      <c r="H15" s="132" t="s">
        <v>28</v>
      </c>
      <c r="I15" s="132"/>
      <c r="J15" s="66">
        <v>122</v>
      </c>
      <c r="K15" s="66">
        <v>23850</v>
      </c>
      <c r="L15" s="66">
        <v>52926</v>
      </c>
      <c r="M15" s="67">
        <f t="shared" si="0"/>
        <v>0.6647825759288567</v>
      </c>
    </row>
    <row r="16" spans="1:13" s="60" customFormat="1">
      <c r="A16" s="132" t="s">
        <v>268</v>
      </c>
      <c r="B16" s="132"/>
      <c r="C16" s="66"/>
      <c r="D16" s="66"/>
      <c r="E16" s="66"/>
      <c r="F16" s="67"/>
      <c r="G16" s="68"/>
      <c r="H16" s="132" t="s">
        <v>210</v>
      </c>
      <c r="I16" s="132"/>
      <c r="J16" s="66">
        <v>5</v>
      </c>
      <c r="K16" s="66">
        <v>1017</v>
      </c>
      <c r="L16" s="66">
        <v>2080</v>
      </c>
      <c r="M16" s="67">
        <f t="shared" si="0"/>
        <v>2.6126058230964404E-2</v>
      </c>
    </row>
    <row r="17" spans="1:14" s="60" customFormat="1">
      <c r="A17" s="133" t="s">
        <v>123</v>
      </c>
      <c r="B17" s="133"/>
      <c r="C17" s="69">
        <f>SUM(C11:C15)</f>
        <v>297</v>
      </c>
      <c r="D17" s="69">
        <f>SUM(D11:D15)</f>
        <v>12039</v>
      </c>
      <c r="E17" s="69">
        <f>SUM(E11:E15)</f>
        <v>33130</v>
      </c>
      <c r="F17" s="70">
        <f>SUM(F11:F15)</f>
        <v>1</v>
      </c>
      <c r="G17" s="68"/>
      <c r="H17" s="132" t="s">
        <v>29</v>
      </c>
      <c r="I17" s="132"/>
      <c r="J17" s="66">
        <v>6</v>
      </c>
      <c r="K17" s="66">
        <v>805</v>
      </c>
      <c r="L17" s="66">
        <v>1622</v>
      </c>
      <c r="M17" s="67">
        <f t="shared" si="0"/>
        <v>2.0373301178184741E-2</v>
      </c>
    </row>
    <row r="18" spans="1:14" s="60" customFormat="1">
      <c r="A18" s="132"/>
      <c r="B18" s="132"/>
      <c r="C18" s="66"/>
      <c r="D18" s="66"/>
      <c r="E18" s="66"/>
      <c r="F18" s="67"/>
      <c r="G18" s="68"/>
      <c r="H18" s="132" t="s">
        <v>211</v>
      </c>
      <c r="I18" s="132"/>
      <c r="J18" s="66"/>
      <c r="K18" s="66"/>
      <c r="L18" s="66"/>
      <c r="M18" s="67"/>
    </row>
    <row r="19" spans="1:14" s="60" customFormat="1">
      <c r="A19" s="133" t="s">
        <v>7</v>
      </c>
      <c r="B19" s="133"/>
      <c r="C19" s="69">
        <v>37</v>
      </c>
      <c r="D19" s="69">
        <v>902</v>
      </c>
      <c r="E19" s="69">
        <v>1785</v>
      </c>
      <c r="F19" s="70">
        <v>1</v>
      </c>
      <c r="G19" s="68"/>
      <c r="H19" s="133" t="s">
        <v>124</v>
      </c>
      <c r="I19" s="133"/>
      <c r="J19" s="69">
        <f>SUM(J11:J18)</f>
        <v>207</v>
      </c>
      <c r="K19" s="69">
        <f>SUM(K11:K18)</f>
        <v>35443</v>
      </c>
      <c r="L19" s="69">
        <f>SUM(L11:L18)</f>
        <v>79614</v>
      </c>
      <c r="M19" s="70">
        <f>SUM(M11:M18)</f>
        <v>0.99999999999999989</v>
      </c>
    </row>
    <row r="20" spans="1:14" s="60" customFormat="1">
      <c r="A20" s="133" t="s">
        <v>167</v>
      </c>
      <c r="B20" s="133"/>
      <c r="C20" s="69">
        <v>284</v>
      </c>
      <c r="D20" s="69">
        <v>2528</v>
      </c>
      <c r="E20" s="69">
        <v>5484</v>
      </c>
      <c r="F20" s="70">
        <v>1</v>
      </c>
      <c r="G20" s="68"/>
      <c r="H20" s="66"/>
      <c r="I20" s="66"/>
      <c r="J20" s="66"/>
      <c r="K20" s="66"/>
      <c r="L20" s="66"/>
      <c r="M20" s="66"/>
    </row>
    <row r="21" spans="1:14" s="60" customFormat="1">
      <c r="A21" s="133" t="s">
        <v>8</v>
      </c>
      <c r="B21" s="133"/>
      <c r="C21" s="69">
        <v>156</v>
      </c>
      <c r="D21" s="69">
        <v>1114</v>
      </c>
      <c r="E21" s="69">
        <v>2333</v>
      </c>
      <c r="F21" s="70">
        <v>1</v>
      </c>
      <c r="G21" s="68"/>
      <c r="H21" s="132" t="s">
        <v>30</v>
      </c>
      <c r="I21" s="132"/>
      <c r="J21" s="66"/>
      <c r="K21" s="66"/>
      <c r="L21" s="66"/>
      <c r="M21" s="67"/>
      <c r="N21" s="79"/>
    </row>
    <row r="22" spans="1:14" s="60" customFormat="1">
      <c r="A22" s="133" t="s">
        <v>207</v>
      </c>
      <c r="B22" s="133"/>
      <c r="C22" s="69">
        <v>1</v>
      </c>
      <c r="D22" s="69"/>
      <c r="E22" s="69">
        <v>500</v>
      </c>
      <c r="F22" s="70">
        <v>1</v>
      </c>
      <c r="G22" s="68"/>
      <c r="H22" s="132" t="s">
        <v>31</v>
      </c>
      <c r="I22" s="132"/>
      <c r="J22" s="66"/>
      <c r="K22" s="66"/>
      <c r="L22" s="66"/>
      <c r="M22" s="67"/>
    </row>
    <row r="23" spans="1:14" s="60" customFormat="1">
      <c r="A23" s="132"/>
      <c r="B23" s="132"/>
      <c r="C23" s="66"/>
      <c r="D23" s="66"/>
      <c r="E23" s="66"/>
      <c r="F23" s="67"/>
      <c r="G23" s="68"/>
      <c r="H23" s="132" t="s">
        <v>32</v>
      </c>
      <c r="I23" s="132"/>
      <c r="J23" s="66"/>
      <c r="K23" s="66"/>
      <c r="L23" s="66"/>
      <c r="M23" s="67"/>
    </row>
    <row r="24" spans="1:14" s="60" customFormat="1">
      <c r="A24" s="132" t="s">
        <v>12</v>
      </c>
      <c r="B24" s="132"/>
      <c r="C24" s="66"/>
      <c r="D24" s="66"/>
      <c r="E24" s="66"/>
      <c r="F24" s="67"/>
      <c r="G24" s="68"/>
      <c r="H24" s="132" t="s">
        <v>33</v>
      </c>
      <c r="I24" s="132"/>
      <c r="J24" s="66"/>
      <c r="K24" s="66"/>
      <c r="L24" s="66"/>
      <c r="M24" s="67"/>
    </row>
    <row r="25" spans="1:14" s="60" customFormat="1">
      <c r="A25" s="132" t="s">
        <v>13</v>
      </c>
      <c r="B25" s="132"/>
      <c r="C25" s="66"/>
      <c r="D25" s="66"/>
      <c r="E25" s="66"/>
      <c r="F25" s="67"/>
      <c r="G25" s="68"/>
      <c r="H25" s="133" t="s">
        <v>125</v>
      </c>
      <c r="I25" s="133"/>
      <c r="J25" s="69"/>
      <c r="K25" s="69"/>
      <c r="L25" s="69"/>
      <c r="M25" s="70"/>
    </row>
    <row r="26" spans="1:14" s="60" customFormat="1">
      <c r="A26" s="132" t="s">
        <v>14</v>
      </c>
      <c r="B26" s="132"/>
      <c r="C26" s="66"/>
      <c r="D26" s="66"/>
      <c r="E26" s="66"/>
      <c r="F26" s="67"/>
      <c r="G26" s="68"/>
      <c r="H26" s="134"/>
      <c r="I26" s="134"/>
      <c r="J26" s="71"/>
      <c r="K26" s="71"/>
      <c r="L26" s="71"/>
      <c r="M26" s="72"/>
      <c r="N26" s="79"/>
    </row>
    <row r="27" spans="1:14" s="60" customFormat="1">
      <c r="A27" s="133" t="s">
        <v>129</v>
      </c>
      <c r="B27" s="133"/>
      <c r="C27" s="69"/>
      <c r="D27" s="69"/>
      <c r="E27" s="69"/>
      <c r="F27" s="70"/>
      <c r="G27" s="68"/>
      <c r="H27" s="132" t="s">
        <v>35</v>
      </c>
      <c r="I27" s="132"/>
      <c r="J27" s="66">
        <v>36</v>
      </c>
      <c r="K27" s="66">
        <v>885</v>
      </c>
      <c r="L27" s="66">
        <v>1658</v>
      </c>
      <c r="M27" s="67">
        <f>L27/L$30</f>
        <v>0.52752147629653201</v>
      </c>
    </row>
    <row r="28" spans="1:14" s="60" customFormat="1">
      <c r="A28" s="132"/>
      <c r="B28" s="132"/>
      <c r="C28" s="66"/>
      <c r="D28" s="66"/>
      <c r="E28" s="66"/>
      <c r="F28" s="67"/>
      <c r="G28" s="68"/>
      <c r="H28" s="132" t="s">
        <v>36</v>
      </c>
      <c r="I28" s="132"/>
      <c r="J28" s="66">
        <v>23</v>
      </c>
      <c r="K28" s="66">
        <v>682</v>
      </c>
      <c r="L28" s="66">
        <v>1271</v>
      </c>
      <c r="M28" s="67">
        <f>L28/L$30</f>
        <v>0.40439070951320394</v>
      </c>
    </row>
    <row r="29" spans="1:14" s="60" customFormat="1">
      <c r="A29" s="132" t="s">
        <v>15</v>
      </c>
      <c r="B29" s="132"/>
      <c r="C29" s="66">
        <v>16</v>
      </c>
      <c r="D29" s="66">
        <v>632</v>
      </c>
      <c r="E29" s="66">
        <v>1188</v>
      </c>
      <c r="F29" s="67">
        <f>E29/E$37</f>
        <v>6.8404021327314393E-3</v>
      </c>
      <c r="G29" s="68"/>
      <c r="H29" s="132" t="s">
        <v>37</v>
      </c>
      <c r="I29" s="132"/>
      <c r="J29" s="66">
        <v>2</v>
      </c>
      <c r="K29" s="66">
        <v>116</v>
      </c>
      <c r="L29" s="66">
        <v>214</v>
      </c>
      <c r="M29" s="67">
        <f>L29/L$30</f>
        <v>6.8087814190264079E-2</v>
      </c>
    </row>
    <row r="30" spans="1:14" s="60" customFormat="1">
      <c r="A30" s="132" t="s">
        <v>16</v>
      </c>
      <c r="B30" s="132"/>
      <c r="C30" s="66">
        <v>32</v>
      </c>
      <c r="D30" s="66">
        <v>2473</v>
      </c>
      <c r="E30" s="66">
        <v>4690</v>
      </c>
      <c r="F30" s="67">
        <f t="shared" ref="F30:F36" si="1">E30/E$37</f>
        <v>2.700461784723102E-2</v>
      </c>
      <c r="G30" s="68"/>
      <c r="H30" s="133" t="s">
        <v>128</v>
      </c>
      <c r="I30" s="133"/>
      <c r="J30" s="69">
        <f>SUM(J27:J29)</f>
        <v>61</v>
      </c>
      <c r="K30" s="69">
        <f>SUM(K27:K29)</f>
        <v>1683</v>
      </c>
      <c r="L30" s="69">
        <f>SUM(L27:L29)</f>
        <v>3143</v>
      </c>
      <c r="M30" s="70">
        <f>SUM(M27:M29)</f>
        <v>1</v>
      </c>
    </row>
    <row r="31" spans="1:14" s="60" customFormat="1">
      <c r="A31" s="132" t="s">
        <v>17</v>
      </c>
      <c r="B31" s="132"/>
      <c r="C31" s="66">
        <v>191</v>
      </c>
      <c r="D31" s="66">
        <v>25498</v>
      </c>
      <c r="E31" s="66">
        <v>48316</v>
      </c>
      <c r="F31" s="67">
        <f t="shared" si="1"/>
        <v>0.27819938505475778</v>
      </c>
      <c r="G31" s="68"/>
      <c r="H31" s="134"/>
      <c r="I31" s="134"/>
      <c r="J31" s="71"/>
      <c r="K31" s="71"/>
      <c r="L31" s="71"/>
      <c r="M31" s="72"/>
    </row>
    <row r="32" spans="1:14" s="60" customFormat="1">
      <c r="A32" s="132" t="s">
        <v>208</v>
      </c>
      <c r="B32" s="132"/>
      <c r="C32" s="66">
        <v>11</v>
      </c>
      <c r="D32" s="66">
        <v>1444</v>
      </c>
      <c r="E32" s="66">
        <v>2757</v>
      </c>
      <c r="F32" s="67">
        <f t="shared" si="1"/>
        <v>1.5874569595909577E-2</v>
      </c>
      <c r="G32" s="68"/>
      <c r="H32" s="132" t="s">
        <v>38</v>
      </c>
      <c r="I32" s="132"/>
      <c r="J32" s="66">
        <v>46</v>
      </c>
      <c r="K32" s="66">
        <v>954</v>
      </c>
      <c r="L32" s="66">
        <v>1784</v>
      </c>
      <c r="M32" s="67">
        <f>L32/L$35</f>
        <v>0.64943574808882421</v>
      </c>
    </row>
    <row r="33" spans="1:13" s="60" customFormat="1">
      <c r="A33" s="132" t="s">
        <v>168</v>
      </c>
      <c r="B33" s="132"/>
      <c r="C33" s="66">
        <v>302</v>
      </c>
      <c r="D33" s="66">
        <v>48755</v>
      </c>
      <c r="E33" s="66">
        <v>94269</v>
      </c>
      <c r="F33" s="67">
        <f t="shared" si="1"/>
        <v>0.54279281872934348</v>
      </c>
      <c r="G33" s="68"/>
      <c r="H33" s="132" t="s">
        <v>39</v>
      </c>
      <c r="I33" s="132"/>
      <c r="J33" s="66">
        <v>23</v>
      </c>
      <c r="K33" s="66">
        <v>475</v>
      </c>
      <c r="L33" s="66">
        <v>877</v>
      </c>
      <c r="M33" s="67">
        <f>L33/L$35</f>
        <v>0.3192573716781944</v>
      </c>
    </row>
    <row r="34" spans="1:13" s="60" customFormat="1">
      <c r="A34" s="132" t="s">
        <v>200</v>
      </c>
      <c r="B34" s="132"/>
      <c r="C34" s="66">
        <v>48</v>
      </c>
      <c r="D34" s="66">
        <v>5759</v>
      </c>
      <c r="E34" s="66">
        <v>11378</v>
      </c>
      <c r="F34" s="67">
        <f t="shared" si="1"/>
        <v>6.5513548372237634E-2</v>
      </c>
      <c r="G34" s="68"/>
      <c r="H34" s="132" t="s">
        <v>40</v>
      </c>
      <c r="I34" s="132"/>
      <c r="J34" s="66">
        <v>2</v>
      </c>
      <c r="K34" s="66">
        <v>46</v>
      </c>
      <c r="L34" s="66">
        <v>86</v>
      </c>
      <c r="M34" s="67">
        <f>L34/L$35</f>
        <v>3.1306880232981435E-2</v>
      </c>
    </row>
    <row r="35" spans="1:13" s="60" customFormat="1">
      <c r="A35" s="132" t="s">
        <v>19</v>
      </c>
      <c r="B35" s="132"/>
      <c r="C35" s="66">
        <v>48</v>
      </c>
      <c r="D35" s="66">
        <v>4933</v>
      </c>
      <c r="E35" s="66">
        <v>10156</v>
      </c>
      <c r="F35" s="67">
        <f t="shared" si="1"/>
        <v>5.847737715489941E-2</v>
      </c>
      <c r="G35" s="68"/>
      <c r="H35" s="133" t="s">
        <v>130</v>
      </c>
      <c r="I35" s="133"/>
      <c r="J35" s="69">
        <f>SUM(J32:J34)</f>
        <v>71</v>
      </c>
      <c r="K35" s="69">
        <f>SUM(K32:K34)</f>
        <v>1475</v>
      </c>
      <c r="L35" s="69">
        <f>SUM(L32:L34)</f>
        <v>2747</v>
      </c>
      <c r="M35" s="70">
        <f>SUM(M32:M34)</f>
        <v>1</v>
      </c>
    </row>
    <row r="36" spans="1:13" s="60" customFormat="1">
      <c r="A36" s="132" t="s">
        <v>169</v>
      </c>
      <c r="B36" s="135"/>
      <c r="C36" s="66">
        <v>4</v>
      </c>
      <c r="D36" s="66">
        <v>458</v>
      </c>
      <c r="E36" s="66">
        <v>920</v>
      </c>
      <c r="F36" s="67">
        <f t="shared" si="1"/>
        <v>5.2972811128896673E-3</v>
      </c>
      <c r="G36" s="68"/>
      <c r="H36" s="136"/>
      <c r="I36" s="136"/>
      <c r="J36" s="73"/>
      <c r="K36" s="73"/>
      <c r="L36" s="73"/>
      <c r="M36" s="74"/>
    </row>
    <row r="37" spans="1:13" s="60" customFormat="1">
      <c r="A37" s="133" t="s">
        <v>131</v>
      </c>
      <c r="B37" s="133"/>
      <c r="C37" s="69">
        <f>SUM(C29:C36)</f>
        <v>652</v>
      </c>
      <c r="D37" s="69">
        <f>SUM(D29:D36)</f>
        <v>89952</v>
      </c>
      <c r="E37" s="69">
        <f>SUM(E29:E36)</f>
        <v>173674</v>
      </c>
      <c r="F37" s="70">
        <f>SUM(F29:F36)</f>
        <v>1</v>
      </c>
      <c r="G37" s="68"/>
      <c r="H37" s="133" t="s">
        <v>42</v>
      </c>
      <c r="I37" s="133"/>
      <c r="J37" s="69">
        <v>15</v>
      </c>
      <c r="K37" s="69">
        <v>260</v>
      </c>
      <c r="L37" s="69">
        <v>479</v>
      </c>
      <c r="M37" s="70">
        <v>1</v>
      </c>
    </row>
    <row r="38" spans="1:13" s="60" customFormat="1">
      <c r="A38" s="134"/>
      <c r="B38" s="134"/>
      <c r="C38" s="71"/>
      <c r="D38" s="71"/>
      <c r="E38" s="71"/>
      <c r="F38" s="72"/>
      <c r="G38" s="68"/>
      <c r="H38" s="133" t="s">
        <v>43</v>
      </c>
      <c r="I38" s="133"/>
      <c r="J38" s="69">
        <v>8</v>
      </c>
      <c r="K38" s="69">
        <v>136</v>
      </c>
      <c r="L38" s="69">
        <v>236</v>
      </c>
      <c r="M38" s="70">
        <v>1</v>
      </c>
    </row>
    <row r="39" spans="1:13" s="60" customFormat="1">
      <c r="A39" s="132" t="s">
        <v>20</v>
      </c>
      <c r="B39" s="132"/>
      <c r="C39" s="66"/>
      <c r="D39" s="66"/>
      <c r="E39" s="66"/>
      <c r="F39" s="67"/>
      <c r="G39" s="68"/>
      <c r="H39" s="133" t="s">
        <v>44</v>
      </c>
      <c r="I39" s="133"/>
      <c r="J39" s="69">
        <v>1</v>
      </c>
      <c r="K39" s="69">
        <v>12</v>
      </c>
      <c r="L39" s="69">
        <v>23</v>
      </c>
      <c r="M39" s="70">
        <v>1</v>
      </c>
    </row>
    <row r="40" spans="1:13" s="60" customFormat="1">
      <c r="A40" s="132" t="s">
        <v>21</v>
      </c>
      <c r="B40" s="132"/>
      <c r="C40" s="66">
        <v>1</v>
      </c>
      <c r="D40" s="66">
        <v>80</v>
      </c>
      <c r="E40" s="66">
        <v>152</v>
      </c>
      <c r="F40" s="67">
        <f>E40/E$44</f>
        <v>0.53521126760563376</v>
      </c>
      <c r="G40" s="68"/>
      <c r="H40" s="133" t="s">
        <v>273</v>
      </c>
      <c r="I40" s="133"/>
      <c r="J40" s="69">
        <v>3</v>
      </c>
      <c r="K40" s="69">
        <v>68</v>
      </c>
      <c r="L40" s="69">
        <v>134</v>
      </c>
      <c r="M40" s="70">
        <v>1</v>
      </c>
    </row>
    <row r="41" spans="1:13" s="60" customFormat="1">
      <c r="A41" s="132" t="s">
        <v>22</v>
      </c>
      <c r="B41" s="132"/>
      <c r="C41" s="66"/>
      <c r="D41" s="66"/>
      <c r="E41" s="66"/>
      <c r="F41" s="67"/>
      <c r="G41" s="68"/>
      <c r="H41" s="66"/>
      <c r="I41" s="66"/>
      <c r="J41" s="65"/>
      <c r="K41" s="65"/>
      <c r="L41" s="65"/>
      <c r="M41" s="65"/>
    </row>
    <row r="42" spans="1:13" s="60" customFormat="1">
      <c r="A42" s="132" t="s">
        <v>172</v>
      </c>
      <c r="B42" s="132"/>
      <c r="C42" s="66"/>
      <c r="D42" s="66"/>
      <c r="E42" s="66"/>
      <c r="F42" s="67"/>
      <c r="G42" s="68"/>
      <c r="H42" s="133" t="s">
        <v>45</v>
      </c>
      <c r="I42" s="133"/>
      <c r="J42" s="69">
        <f>C17+C19+C20+C21+C22+C27+C37+C44+J25+J30+J35+J19+J37+J38+J39+J40</f>
        <v>1795</v>
      </c>
      <c r="K42" s="69">
        <f>D17+D19+D20+D21+D22+D27+D37+D44+K25+K30+K35+K19+K37+K38+K39+K40</f>
        <v>145759</v>
      </c>
      <c r="L42" s="69">
        <f>E17+E19+E20+E21+E22+E27+E37+E44+L25+L30+L35+L19+L37+L38+L39+L40</f>
        <v>303566</v>
      </c>
      <c r="M42" s="65"/>
    </row>
    <row r="43" spans="1:13" s="60" customFormat="1">
      <c r="A43" s="132" t="s">
        <v>24</v>
      </c>
      <c r="B43" s="132"/>
      <c r="C43" s="66">
        <v>1</v>
      </c>
      <c r="D43" s="66">
        <v>67</v>
      </c>
      <c r="E43" s="66">
        <v>132</v>
      </c>
      <c r="F43" s="67">
        <f>E43/E$44</f>
        <v>0.46478873239436619</v>
      </c>
      <c r="G43" s="68"/>
    </row>
    <row r="44" spans="1:13" s="60" customFormat="1">
      <c r="A44" s="133" t="s">
        <v>132</v>
      </c>
      <c r="B44" s="133"/>
      <c r="C44" s="69">
        <f>SUM(C39:C43)</f>
        <v>2</v>
      </c>
      <c r="D44" s="69">
        <f>SUM(D39:D43)</f>
        <v>147</v>
      </c>
      <c r="E44" s="69">
        <f>SUM(E39:E43)</f>
        <v>284</v>
      </c>
      <c r="F44" s="70">
        <f>SUM(F39:F43)</f>
        <v>1</v>
      </c>
      <c r="G44" s="68"/>
    </row>
    <row r="45" spans="1:13" s="60" customFormat="1" ht="12.75"/>
    <row r="46" spans="1:13" s="60" customFormat="1" ht="12.75"/>
    <row r="47" spans="1:13" s="60" customFormat="1" ht="12.75">
      <c r="C47" s="85"/>
      <c r="D47" s="85"/>
    </row>
    <row r="48" spans="1:13" s="60" customFormat="1" ht="12.75"/>
    <row r="49" spans="1:13" s="60" customFormat="1" ht="12.75"/>
    <row r="50" spans="1:13" s="60" customFormat="1" ht="12.75"/>
    <row r="51" spans="1:13" s="60" customFormat="1">
      <c r="H51"/>
      <c r="I51"/>
      <c r="J51"/>
      <c r="K51"/>
      <c r="L51"/>
      <c r="M51"/>
    </row>
    <row r="52" spans="1:13" s="60" customFormat="1">
      <c r="H52"/>
      <c r="I52"/>
      <c r="J52"/>
      <c r="K52"/>
      <c r="L52"/>
      <c r="M52"/>
    </row>
    <row r="53" spans="1:13">
      <c r="A53" s="60"/>
      <c r="B53" s="60"/>
      <c r="C53" s="60"/>
      <c r="D53" s="60"/>
      <c r="E53" s="60"/>
      <c r="F53" s="60"/>
    </row>
  </sheetData>
  <sheetProtection algorithmName="SHA-512" hashValue="eZphiqk+rryCteeY/7DqzUv4xUvblVF5RSfeV1z30ejDESIx4eRfgKpTjHIBhug+5zFIZiH1Z+Z5dguXETHFcw==" saltValue="EEfMRmKboDgq5cYoj12cig==" spinCount="100000" sheet="1"/>
  <mergeCells count="70">
    <mergeCell ref="A43:B43"/>
    <mergeCell ref="H42:I42"/>
    <mergeCell ref="A44:B44"/>
    <mergeCell ref="A39:B39"/>
    <mergeCell ref="H38:I38"/>
    <mergeCell ref="A40:B40"/>
    <mergeCell ref="H39:I39"/>
    <mergeCell ref="A41:B41"/>
    <mergeCell ref="A42:B42"/>
    <mergeCell ref="H40:I40"/>
    <mergeCell ref="A36:B36"/>
    <mergeCell ref="H35:I35"/>
    <mergeCell ref="A37:B37"/>
    <mergeCell ref="H36:I36"/>
    <mergeCell ref="A38:B38"/>
    <mergeCell ref="H37:I37"/>
    <mergeCell ref="A33:B33"/>
    <mergeCell ref="H32:I32"/>
    <mergeCell ref="A34:B34"/>
    <mergeCell ref="H33:I33"/>
    <mergeCell ref="A35:B35"/>
    <mergeCell ref="H34:I34"/>
    <mergeCell ref="A30:B30"/>
    <mergeCell ref="H29:I29"/>
    <mergeCell ref="A31:B31"/>
    <mergeCell ref="H30:I30"/>
    <mergeCell ref="A32:B32"/>
    <mergeCell ref="H31:I31"/>
    <mergeCell ref="A27:B27"/>
    <mergeCell ref="H26:I26"/>
    <mergeCell ref="A28:B28"/>
    <mergeCell ref="H27:I27"/>
    <mergeCell ref="A29:B29"/>
    <mergeCell ref="H28:I28"/>
    <mergeCell ref="A24:B24"/>
    <mergeCell ref="H24:I24"/>
    <mergeCell ref="A25:B25"/>
    <mergeCell ref="A26:B26"/>
    <mergeCell ref="H25:I25"/>
    <mergeCell ref="A23:B23"/>
    <mergeCell ref="H23:I23"/>
    <mergeCell ref="A17:B17"/>
    <mergeCell ref="H17:I17"/>
    <mergeCell ref="A18:B18"/>
    <mergeCell ref="H18:I18"/>
    <mergeCell ref="A19:B19"/>
    <mergeCell ref="H19:I19"/>
    <mergeCell ref="A20:B20"/>
    <mergeCell ref="A21:B21"/>
    <mergeCell ref="H21:I21"/>
    <mergeCell ref="A22:B22"/>
    <mergeCell ref="H22:I22"/>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 right="0.7" top="0.75" bottom="0.75" header="0.3" footer="0.3"/>
  <pageSetup paperSize="9" scale="6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CZ65"/>
  <sheetViews>
    <sheetView showGridLines="0" zoomScaleNormal="100" workbookViewId="0"/>
  </sheetViews>
  <sheetFormatPr baseColWidth="10" defaultRowHeight="15"/>
  <cols>
    <col min="1" max="1" width="79.7109375" customWidth="1"/>
    <col min="2" max="71" width="11.42578125" customWidth="1"/>
  </cols>
  <sheetData>
    <row r="2" spans="1:104" s="27" customFormat="1" ht="16.5">
      <c r="A2" s="1" t="s">
        <v>270</v>
      </c>
      <c r="BV2" s="51"/>
      <c r="BW2" s="51"/>
    </row>
    <row r="3" spans="1:104" s="27" customFormat="1" ht="16.5">
      <c r="A3" s="3" t="s">
        <v>271</v>
      </c>
      <c r="BV3" s="51"/>
      <c r="BW3" s="51"/>
    </row>
    <row r="4" spans="1:104" s="27" customFormat="1" ht="16.5">
      <c r="A4" s="3" t="s">
        <v>272</v>
      </c>
      <c r="BV4" s="51"/>
      <c r="BW4" s="51"/>
    </row>
    <row r="5" spans="1:104" s="27" customFormat="1" ht="12.75">
      <c r="BV5" s="51"/>
      <c r="BW5" s="51"/>
    </row>
    <row r="6" spans="1:104" s="51" customFormat="1">
      <c r="A6" s="138" t="s">
        <v>187</v>
      </c>
      <c r="B6" s="137" t="s">
        <v>119</v>
      </c>
      <c r="C6" s="137"/>
      <c r="D6" s="137" t="s">
        <v>120</v>
      </c>
      <c r="E6" s="137"/>
      <c r="F6" s="137" t="s">
        <v>121</v>
      </c>
      <c r="G6" s="137"/>
      <c r="H6" s="137" t="s">
        <v>251</v>
      </c>
      <c r="I6" s="137"/>
      <c r="J6" s="137" t="s">
        <v>122</v>
      </c>
      <c r="K6" s="137"/>
      <c r="L6" s="137" t="s">
        <v>167</v>
      </c>
      <c r="M6" s="137"/>
      <c r="N6" s="137" t="s">
        <v>42</v>
      </c>
      <c r="O6" s="137"/>
      <c r="P6" s="137" t="s">
        <v>198</v>
      </c>
      <c r="Q6" s="137"/>
      <c r="R6" s="137" t="s">
        <v>43</v>
      </c>
      <c r="S6" s="137"/>
      <c r="T6" s="137" t="s">
        <v>15</v>
      </c>
      <c r="U6" s="137"/>
      <c r="V6" s="137" t="s">
        <v>16</v>
      </c>
      <c r="W6" s="137"/>
      <c r="X6" s="137" t="s">
        <v>17</v>
      </c>
      <c r="Y6" s="137"/>
      <c r="Z6" s="137" t="s">
        <v>199</v>
      </c>
      <c r="AA6" s="137"/>
      <c r="AB6" s="137" t="s">
        <v>168</v>
      </c>
      <c r="AC6" s="137"/>
      <c r="AD6" s="137" t="s">
        <v>200</v>
      </c>
      <c r="AE6" s="137"/>
      <c r="AF6" s="137" t="s">
        <v>19</v>
      </c>
      <c r="AG6" s="137"/>
      <c r="AH6" s="137" t="s">
        <v>169</v>
      </c>
      <c r="AI6" s="137"/>
      <c r="AJ6" s="137" t="s">
        <v>25</v>
      </c>
      <c r="AK6" s="137"/>
      <c r="AL6" s="137" t="s">
        <v>26</v>
      </c>
      <c r="AM6" s="137"/>
      <c r="AN6" s="137" t="s">
        <v>27</v>
      </c>
      <c r="AO6" s="137"/>
      <c r="AP6" s="137" t="s">
        <v>209</v>
      </c>
      <c r="AQ6" s="137"/>
      <c r="AR6" s="137" t="s">
        <v>28</v>
      </c>
      <c r="AS6" s="137"/>
      <c r="AT6" s="137" t="s">
        <v>210</v>
      </c>
      <c r="AU6" s="137"/>
      <c r="AV6" s="137" t="s">
        <v>29</v>
      </c>
      <c r="AW6" s="137"/>
      <c r="AX6" s="137" t="s">
        <v>273</v>
      </c>
      <c r="AY6" s="137"/>
      <c r="AZ6" s="137" t="s">
        <v>21</v>
      </c>
      <c r="BA6" s="137"/>
      <c r="BB6" s="137" t="s">
        <v>24</v>
      </c>
      <c r="BC6" s="137"/>
      <c r="BD6" s="137" t="s">
        <v>7</v>
      </c>
      <c r="BE6" s="137"/>
      <c r="BF6" s="137" t="s">
        <v>35</v>
      </c>
      <c r="BG6" s="137"/>
      <c r="BH6" s="137" t="s">
        <v>36</v>
      </c>
      <c r="BI6" s="137"/>
      <c r="BJ6" s="137" t="s">
        <v>37</v>
      </c>
      <c r="BK6" s="137"/>
      <c r="BL6" s="137" t="s">
        <v>38</v>
      </c>
      <c r="BM6" s="137"/>
      <c r="BN6" s="137" t="s">
        <v>39</v>
      </c>
      <c r="BO6" s="137"/>
      <c r="BP6" s="137" t="s">
        <v>40</v>
      </c>
      <c r="BQ6" s="137"/>
      <c r="BR6" s="137" t="s">
        <v>44</v>
      </c>
      <c r="BS6" s="137"/>
      <c r="BT6" s="137" t="s">
        <v>8</v>
      </c>
      <c r="BU6" s="137"/>
      <c r="BV6" s="137" t="s">
        <v>45</v>
      </c>
      <c r="BW6" s="137"/>
    </row>
    <row r="7" spans="1:104" s="51" customFormat="1">
      <c r="A7" s="138"/>
      <c r="B7" s="4"/>
      <c r="C7" s="4" t="s">
        <v>176</v>
      </c>
      <c r="D7" s="4"/>
      <c r="E7" s="4"/>
      <c r="F7" s="4"/>
      <c r="G7" s="4"/>
      <c r="H7" s="4"/>
      <c r="I7" s="4"/>
      <c r="J7" s="4"/>
      <c r="K7" s="4" t="s">
        <v>176</v>
      </c>
      <c r="L7" s="4"/>
      <c r="M7" s="4" t="s">
        <v>176</v>
      </c>
      <c r="N7" s="4"/>
      <c r="O7" s="4" t="s">
        <v>176</v>
      </c>
      <c r="P7" s="4"/>
      <c r="Q7" s="4" t="s">
        <v>176</v>
      </c>
      <c r="R7" s="4"/>
      <c r="S7" s="4" t="s">
        <v>176</v>
      </c>
      <c r="T7" s="4"/>
      <c r="U7" s="4" t="s">
        <v>176</v>
      </c>
      <c r="V7" s="4"/>
      <c r="W7" s="4" t="s">
        <v>176</v>
      </c>
      <c r="X7" s="4"/>
      <c r="Y7" s="4" t="s">
        <v>176</v>
      </c>
      <c r="Z7" s="4"/>
      <c r="AA7" s="4" t="s">
        <v>176</v>
      </c>
      <c r="AB7" s="4"/>
      <c r="AC7" s="4" t="s">
        <v>176</v>
      </c>
      <c r="AD7" s="4"/>
      <c r="AE7" s="4" t="s">
        <v>176</v>
      </c>
      <c r="AF7" s="4"/>
      <c r="AG7" s="4" t="s">
        <v>176</v>
      </c>
      <c r="AH7" s="4"/>
      <c r="AI7" s="4" t="s">
        <v>176</v>
      </c>
      <c r="AJ7" s="4"/>
      <c r="AK7" s="4" t="s">
        <v>176</v>
      </c>
      <c r="AL7" s="4"/>
      <c r="AM7" s="4" t="s">
        <v>176</v>
      </c>
      <c r="AN7" s="4"/>
      <c r="AO7" s="4" t="s">
        <v>176</v>
      </c>
      <c r="AP7" s="4"/>
      <c r="AQ7" s="4" t="s">
        <v>176</v>
      </c>
      <c r="AR7" s="4"/>
      <c r="AS7" s="4" t="s">
        <v>176</v>
      </c>
      <c r="AT7" s="4"/>
      <c r="AU7" s="4" t="s">
        <v>176</v>
      </c>
      <c r="AV7" s="4"/>
      <c r="AW7" s="4" t="s">
        <v>176</v>
      </c>
      <c r="AX7" s="4"/>
      <c r="AY7" s="4" t="s">
        <v>176</v>
      </c>
      <c r="AZ7" s="4"/>
      <c r="BA7" s="4" t="s">
        <v>176</v>
      </c>
      <c r="BB7" s="4"/>
      <c r="BC7" s="4" t="s">
        <v>176</v>
      </c>
      <c r="BD7" s="4"/>
      <c r="BE7" s="4" t="s">
        <v>176</v>
      </c>
      <c r="BF7" s="4"/>
      <c r="BG7" s="4" t="s">
        <v>176</v>
      </c>
      <c r="BH7" s="4"/>
      <c r="BI7" s="4" t="s">
        <v>176</v>
      </c>
      <c r="BJ7" s="4"/>
      <c r="BK7" s="4" t="s">
        <v>176</v>
      </c>
      <c r="BL7" s="4"/>
      <c r="BM7" s="4" t="s">
        <v>176</v>
      </c>
      <c r="BN7" s="4"/>
      <c r="BO7" s="4" t="s">
        <v>176</v>
      </c>
      <c r="BP7" s="4"/>
      <c r="BQ7" s="4" t="s">
        <v>176</v>
      </c>
      <c r="BR7" s="4"/>
      <c r="BS7" s="4" t="s">
        <v>176</v>
      </c>
      <c r="BT7" s="4"/>
      <c r="BU7" s="4" t="s">
        <v>176</v>
      </c>
      <c r="BV7" s="4"/>
      <c r="BW7" s="4"/>
    </row>
    <row r="8" spans="1:104" s="51" customFormat="1">
      <c r="A8" s="138" t="s">
        <v>188</v>
      </c>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201</v>
      </c>
      <c r="BC8" s="4" t="s">
        <v>202</v>
      </c>
      <c r="BD8" s="4" t="s">
        <v>201</v>
      </c>
      <c r="BE8" s="4" t="s">
        <v>202</v>
      </c>
      <c r="BF8" s="4" t="s">
        <v>46</v>
      </c>
      <c r="BG8" s="4" t="s">
        <v>47</v>
      </c>
      <c r="BH8" s="4" t="s">
        <v>46</v>
      </c>
      <c r="BI8" s="4" t="s">
        <v>47</v>
      </c>
      <c r="BJ8" s="4" t="s">
        <v>46</v>
      </c>
      <c r="BK8" s="4" t="s">
        <v>47</v>
      </c>
      <c r="BL8" s="4" t="s">
        <v>46</v>
      </c>
      <c r="BM8" s="4" t="s">
        <v>47</v>
      </c>
      <c r="BN8" s="4" t="s">
        <v>46</v>
      </c>
      <c r="BO8" s="4" t="s">
        <v>47</v>
      </c>
      <c r="BP8" s="4" t="s">
        <v>46</v>
      </c>
      <c r="BQ8" s="4" t="s">
        <v>47</v>
      </c>
      <c r="BR8" s="4" t="s">
        <v>46</v>
      </c>
      <c r="BS8" s="4" t="s">
        <v>47</v>
      </c>
      <c r="BT8" s="4" t="s">
        <v>46</v>
      </c>
      <c r="BU8" s="4" t="s">
        <v>47</v>
      </c>
      <c r="BV8" s="4" t="s">
        <v>46</v>
      </c>
      <c r="BW8" s="4" t="s">
        <v>47</v>
      </c>
    </row>
    <row r="9" spans="1:104" s="27" customFormat="1">
      <c r="A9" s="5" t="s">
        <v>48</v>
      </c>
      <c r="B9" s="6"/>
      <c r="C9" s="6"/>
      <c r="D9" s="6"/>
      <c r="E9" s="6"/>
      <c r="F9" s="6"/>
      <c r="G9" s="6"/>
      <c r="H9" s="6"/>
      <c r="I9" s="6"/>
      <c r="J9" s="6"/>
      <c r="K9" s="6"/>
      <c r="L9" s="6">
        <v>3</v>
      </c>
      <c r="M9" s="6">
        <v>29</v>
      </c>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v>1</v>
      </c>
      <c r="BE9" s="6">
        <v>50</v>
      </c>
      <c r="BF9" s="6"/>
      <c r="BG9" s="6"/>
      <c r="BH9" s="6"/>
      <c r="BI9" s="6"/>
      <c r="BJ9" s="6"/>
      <c r="BK9" s="6"/>
      <c r="BL9" s="6"/>
      <c r="BM9" s="6"/>
      <c r="BN9" s="6">
        <v>1</v>
      </c>
      <c r="BO9" s="6">
        <v>21</v>
      </c>
      <c r="BP9" s="6"/>
      <c r="BQ9" s="6"/>
      <c r="BR9" s="6"/>
      <c r="BS9" s="6"/>
      <c r="BT9" s="6">
        <v>8</v>
      </c>
      <c r="BU9" s="6">
        <v>112</v>
      </c>
      <c r="BV9" s="8">
        <f>B9+D9+F9+H9+J9+L9+N9+P9+R9+T9+V9+X9+Z9+AB9+AD9+AF9+AH9+AJ9+AL9+AN9+AP9+AR9+AT9+AV9+AX9+AZ9+BB9+BD9+BF9+BH9+BJ9+BL9+BN9+BP9+BR9+BT9</f>
        <v>13</v>
      </c>
      <c r="BW9" s="8">
        <f>C9+E9+G9+I9+K9+M9+O9+Q9+S9+U9+W9+Y9+AA9+AC9+AE9+AG9+AI9+AK9+AM9+AO9+AQ9+AS9+AU9+AW9+AY9+BA9+BC9+BE9+BG9+BI9+BK9+BM9+BO9+BQ9+BS9+BU9</f>
        <v>212</v>
      </c>
      <c r="BX9" s="52"/>
      <c r="BY9" s="52"/>
      <c r="BZ9" s="52"/>
      <c r="CZ9" s="53"/>
    </row>
    <row r="10" spans="1:104" s="27" customFormat="1">
      <c r="A10" s="10" t="s">
        <v>49</v>
      </c>
      <c r="B10" s="6">
        <v>5</v>
      </c>
      <c r="C10" s="6">
        <v>273</v>
      </c>
      <c r="D10" s="6">
        <v>17</v>
      </c>
      <c r="E10" s="6">
        <v>2437</v>
      </c>
      <c r="F10" s="6">
        <v>6</v>
      </c>
      <c r="G10" s="6">
        <v>4769</v>
      </c>
      <c r="H10" s="6"/>
      <c r="I10" s="6"/>
      <c r="J10" s="6"/>
      <c r="K10" s="6"/>
      <c r="L10" s="6">
        <v>4</v>
      </c>
      <c r="M10" s="6">
        <v>71</v>
      </c>
      <c r="N10" s="6"/>
      <c r="O10" s="6"/>
      <c r="P10" s="6"/>
      <c r="Q10" s="6"/>
      <c r="R10" s="6">
        <v>1</v>
      </c>
      <c r="S10" s="6">
        <v>32</v>
      </c>
      <c r="T10" s="6"/>
      <c r="U10" s="6"/>
      <c r="V10" s="6"/>
      <c r="W10" s="6"/>
      <c r="X10" s="6">
        <v>9</v>
      </c>
      <c r="Y10" s="6">
        <v>4644</v>
      </c>
      <c r="Z10" s="6"/>
      <c r="AA10" s="6"/>
      <c r="AB10" s="6">
        <v>15</v>
      </c>
      <c r="AC10" s="6">
        <v>6353</v>
      </c>
      <c r="AD10" s="6">
        <v>1</v>
      </c>
      <c r="AE10" s="6">
        <v>348</v>
      </c>
      <c r="AF10" s="6">
        <v>1</v>
      </c>
      <c r="AG10" s="6">
        <v>126</v>
      </c>
      <c r="AH10" s="6"/>
      <c r="AI10" s="6"/>
      <c r="AJ10" s="6"/>
      <c r="AK10" s="6"/>
      <c r="AL10" s="6"/>
      <c r="AM10" s="6"/>
      <c r="AN10" s="6">
        <v>4</v>
      </c>
      <c r="AO10" s="6">
        <v>1776</v>
      </c>
      <c r="AP10" s="6">
        <v>1</v>
      </c>
      <c r="AQ10" s="6">
        <v>336</v>
      </c>
      <c r="AR10" s="6">
        <v>13</v>
      </c>
      <c r="AS10" s="6">
        <v>5468</v>
      </c>
      <c r="AT10" s="6">
        <v>1</v>
      </c>
      <c r="AU10" s="6">
        <v>240</v>
      </c>
      <c r="AV10" s="6">
        <v>1</v>
      </c>
      <c r="AW10" s="6">
        <v>706</v>
      </c>
      <c r="AX10" s="6">
        <v>1</v>
      </c>
      <c r="AY10" s="6">
        <v>22</v>
      </c>
      <c r="AZ10" s="6"/>
      <c r="BA10" s="6"/>
      <c r="BB10" s="6"/>
      <c r="BC10" s="6"/>
      <c r="BD10" s="6"/>
      <c r="BE10" s="6"/>
      <c r="BF10" s="6">
        <v>2</v>
      </c>
      <c r="BG10" s="6">
        <v>76</v>
      </c>
      <c r="BH10" s="6"/>
      <c r="BI10" s="6"/>
      <c r="BJ10" s="6"/>
      <c r="BK10" s="6"/>
      <c r="BL10" s="6">
        <v>1</v>
      </c>
      <c r="BM10" s="6">
        <v>55</v>
      </c>
      <c r="BN10" s="6">
        <v>1</v>
      </c>
      <c r="BO10" s="6">
        <v>39</v>
      </c>
      <c r="BP10" s="6"/>
      <c r="BQ10" s="6"/>
      <c r="BR10" s="6"/>
      <c r="BS10" s="6"/>
      <c r="BT10" s="6">
        <v>8</v>
      </c>
      <c r="BU10" s="6">
        <v>107</v>
      </c>
      <c r="BV10" s="8">
        <f>B10+D10+F10+H10+J10+L10+N10+P10+R10+T10+V10+X10+Z10+AB10+AD10+AF10+AH10+AJ10+AL10+AN10+AP10+AR10+AT10+AV10+AX10+AZ10+BB10+BD10+BF10+BH10+BJ10+BL10+BN10+BP10+BR10+BT10</f>
        <v>92</v>
      </c>
      <c r="BW10" s="8">
        <f>C10+E10+G10+I10+K10+M10+O10+Q10+S10+U10+W10+Y10+AA10+AC10+AE10+AG10+AI10+AK10+AM10+AO10+AQ10+AS10+AU10+AW10+AY10+BA10+BC10+BE10+BG10+BI10+BK10+BM10+BO10+BQ10+BS10+BU10</f>
        <v>27878</v>
      </c>
      <c r="BX10" s="52"/>
      <c r="BY10" s="52"/>
      <c r="BZ10" s="52"/>
    </row>
    <row r="11" spans="1:104" s="27" customFormat="1">
      <c r="A11" s="5" t="s">
        <v>50</v>
      </c>
      <c r="B11" s="6"/>
      <c r="C11" s="6"/>
      <c r="D11" s="6"/>
      <c r="E11" s="6"/>
      <c r="F11" s="6"/>
      <c r="G11" s="6"/>
      <c r="H11" s="6"/>
      <c r="I11" s="6"/>
      <c r="J11" s="6"/>
      <c r="K11" s="6"/>
      <c r="L11" s="6">
        <v>3</v>
      </c>
      <c r="M11" s="6">
        <v>38</v>
      </c>
      <c r="N11" s="6"/>
      <c r="O11" s="6"/>
      <c r="P11" s="6"/>
      <c r="Q11" s="6"/>
      <c r="R11" s="6"/>
      <c r="S11" s="6"/>
      <c r="T11" s="6"/>
      <c r="U11" s="6"/>
      <c r="V11" s="6"/>
      <c r="W11" s="6"/>
      <c r="X11" s="6"/>
      <c r="Y11" s="6"/>
      <c r="Z11" s="6"/>
      <c r="AA11" s="6"/>
      <c r="AB11" s="6">
        <v>1</v>
      </c>
      <c r="AC11" s="6">
        <v>50</v>
      </c>
      <c r="AD11" s="6"/>
      <c r="AE11" s="6"/>
      <c r="AF11" s="6"/>
      <c r="AG11" s="6"/>
      <c r="AH11" s="6"/>
      <c r="AI11" s="6"/>
      <c r="AJ11" s="6"/>
      <c r="AK11" s="6"/>
      <c r="AL11" s="6"/>
      <c r="AM11" s="6"/>
      <c r="AN11" s="6"/>
      <c r="AO11" s="6"/>
      <c r="AP11" s="6"/>
      <c r="AQ11" s="6"/>
      <c r="AR11" s="6"/>
      <c r="AS11" s="6"/>
      <c r="AT11" s="6"/>
      <c r="AU11" s="6"/>
      <c r="AV11" s="6"/>
      <c r="AW11" s="6"/>
      <c r="AX11" s="6">
        <v>1</v>
      </c>
      <c r="AY11" s="6">
        <v>64</v>
      </c>
      <c r="AZ11" s="6"/>
      <c r="BA11" s="6"/>
      <c r="BB11" s="6"/>
      <c r="BC11" s="6"/>
      <c r="BD11" s="6">
        <v>1</v>
      </c>
      <c r="BE11" s="6">
        <v>31</v>
      </c>
      <c r="BF11" s="6"/>
      <c r="BG11" s="6"/>
      <c r="BH11" s="6"/>
      <c r="BI11" s="6"/>
      <c r="BJ11" s="6"/>
      <c r="BK11" s="6"/>
      <c r="BL11" s="6"/>
      <c r="BM11" s="6"/>
      <c r="BN11" s="6"/>
      <c r="BO11" s="6"/>
      <c r="BP11" s="6"/>
      <c r="BQ11" s="6"/>
      <c r="BR11" s="6"/>
      <c r="BS11" s="6"/>
      <c r="BT11" s="6">
        <v>2</v>
      </c>
      <c r="BU11" s="6">
        <v>26</v>
      </c>
      <c r="BV11" s="8">
        <f t="shared" ref="BV11:BV61" si="0">B11+D11+F11+H11+J11+L11+N11+P11+R11+T11+V11+X11+Z11+AB11+AD11+AF11+AH11+AJ11+AL11+AN11+AP11+AR11+AT11+AV11+AX11+AZ11+BB11+BD11+BF11+BH11+BJ11+BL11+BN11+BP11+BR11+BT11</f>
        <v>8</v>
      </c>
      <c r="BW11" s="8">
        <f t="shared" ref="BW11:BW61" si="1">C11+E11+G11+I11+K11+M11+O11+Q11+S11+U11+W11+Y11+AA11+AC11+AE11+AG11+AI11+AK11+AM11+AO11+AQ11+AS11+AU11+AW11+AY11+BA11+BC11+BE11+BG11+BI11+BK11+BM11+BO11+BQ11+BS11+BU11</f>
        <v>209</v>
      </c>
      <c r="BX11" s="52"/>
      <c r="BY11" s="52"/>
      <c r="BZ11" s="52"/>
    </row>
    <row r="12" spans="1:104" s="27" customFormat="1">
      <c r="A12" s="5" t="s">
        <v>51</v>
      </c>
      <c r="B12" s="6">
        <v>1</v>
      </c>
      <c r="C12" s="6">
        <v>54</v>
      </c>
      <c r="D12" s="6">
        <v>1</v>
      </c>
      <c r="E12" s="6">
        <v>98</v>
      </c>
      <c r="F12" s="6">
        <v>1</v>
      </c>
      <c r="G12" s="6">
        <v>414</v>
      </c>
      <c r="H12" s="6"/>
      <c r="I12" s="6"/>
      <c r="J12" s="6"/>
      <c r="K12" s="6"/>
      <c r="L12" s="6">
        <v>1</v>
      </c>
      <c r="M12" s="6">
        <v>14</v>
      </c>
      <c r="N12" s="6"/>
      <c r="O12" s="6"/>
      <c r="P12" s="6"/>
      <c r="Q12" s="6"/>
      <c r="R12" s="6"/>
      <c r="S12" s="6"/>
      <c r="T12" s="6"/>
      <c r="U12" s="6"/>
      <c r="V12" s="6"/>
      <c r="W12" s="6"/>
      <c r="X12" s="6">
        <v>2</v>
      </c>
      <c r="Y12" s="6">
        <v>309</v>
      </c>
      <c r="Z12" s="6"/>
      <c r="AA12" s="6"/>
      <c r="AB12" s="6">
        <v>3</v>
      </c>
      <c r="AC12" s="6">
        <v>1458</v>
      </c>
      <c r="AD12" s="6">
        <v>2</v>
      </c>
      <c r="AE12" s="6">
        <v>287</v>
      </c>
      <c r="AF12" s="6">
        <v>1</v>
      </c>
      <c r="AG12" s="6">
        <v>330</v>
      </c>
      <c r="AH12" s="6"/>
      <c r="AI12" s="6"/>
      <c r="AJ12" s="6"/>
      <c r="AK12" s="6"/>
      <c r="AL12" s="6"/>
      <c r="AM12" s="6"/>
      <c r="AN12" s="6"/>
      <c r="AO12" s="6"/>
      <c r="AP12" s="6"/>
      <c r="AQ12" s="6"/>
      <c r="AR12" s="6">
        <v>3</v>
      </c>
      <c r="AS12" s="6">
        <v>606</v>
      </c>
      <c r="AT12" s="6"/>
      <c r="AU12" s="6"/>
      <c r="AV12" s="6"/>
      <c r="AW12" s="6"/>
      <c r="AX12" s="6"/>
      <c r="AY12" s="6"/>
      <c r="AZ12" s="6"/>
      <c r="BA12" s="6"/>
      <c r="BB12" s="6"/>
      <c r="BC12" s="6"/>
      <c r="BD12" s="6"/>
      <c r="BE12" s="6"/>
      <c r="BF12" s="6">
        <v>1</v>
      </c>
      <c r="BG12" s="6">
        <v>40</v>
      </c>
      <c r="BH12" s="6"/>
      <c r="BI12" s="6"/>
      <c r="BJ12" s="6"/>
      <c r="BK12" s="6"/>
      <c r="BL12" s="6"/>
      <c r="BM12" s="6"/>
      <c r="BN12" s="6">
        <v>1</v>
      </c>
      <c r="BO12" s="6">
        <v>28</v>
      </c>
      <c r="BP12" s="6"/>
      <c r="BQ12" s="6"/>
      <c r="BR12" s="6"/>
      <c r="BS12" s="6"/>
      <c r="BT12" s="6">
        <v>1</v>
      </c>
      <c r="BU12" s="6">
        <v>8</v>
      </c>
      <c r="BV12" s="8">
        <f t="shared" si="0"/>
        <v>18</v>
      </c>
      <c r="BW12" s="8">
        <f t="shared" si="1"/>
        <v>3646</v>
      </c>
      <c r="BX12" s="52"/>
      <c r="BY12" s="52"/>
      <c r="BZ12" s="52"/>
    </row>
    <row r="13" spans="1:104" s="27" customFormat="1">
      <c r="A13" s="5" t="s">
        <v>203</v>
      </c>
      <c r="B13" s="6"/>
      <c r="C13" s="6"/>
      <c r="D13" s="6"/>
      <c r="E13" s="6"/>
      <c r="F13" s="6"/>
      <c r="G13" s="6"/>
      <c r="H13" s="6"/>
      <c r="I13" s="6"/>
      <c r="J13" s="6"/>
      <c r="K13" s="6"/>
      <c r="L13" s="6">
        <v>1</v>
      </c>
      <c r="M13" s="6">
        <v>22</v>
      </c>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v>1</v>
      </c>
      <c r="BU13" s="6">
        <v>32</v>
      </c>
      <c r="BV13" s="8">
        <f t="shared" si="0"/>
        <v>2</v>
      </c>
      <c r="BW13" s="8">
        <f t="shared" si="1"/>
        <v>54</v>
      </c>
      <c r="BX13" s="52"/>
      <c r="BY13" s="52"/>
      <c r="BZ13" s="52"/>
    </row>
    <row r="14" spans="1:104" s="27" customFormat="1">
      <c r="A14" s="5" t="s">
        <v>52</v>
      </c>
      <c r="B14" s="6">
        <v>1</v>
      </c>
      <c r="C14" s="6">
        <v>38</v>
      </c>
      <c r="D14" s="6"/>
      <c r="E14" s="6"/>
      <c r="F14" s="6"/>
      <c r="G14" s="6"/>
      <c r="H14" s="6"/>
      <c r="I14" s="6"/>
      <c r="J14" s="6"/>
      <c r="K14" s="6"/>
      <c r="L14" s="6">
        <v>8</v>
      </c>
      <c r="M14" s="6">
        <v>137</v>
      </c>
      <c r="N14" s="6"/>
      <c r="O14" s="6"/>
      <c r="P14" s="89"/>
      <c r="Q14" s="89"/>
      <c r="R14" s="6"/>
      <c r="S14" s="6"/>
      <c r="T14" s="6"/>
      <c r="U14" s="6"/>
      <c r="V14" s="6"/>
      <c r="W14" s="6"/>
      <c r="X14" s="6"/>
      <c r="Y14" s="6"/>
      <c r="Z14" s="6"/>
      <c r="AA14" s="6"/>
      <c r="AB14" s="6">
        <v>5</v>
      </c>
      <c r="AC14" s="6">
        <v>157</v>
      </c>
      <c r="AD14" s="6">
        <v>1</v>
      </c>
      <c r="AE14" s="6">
        <v>24</v>
      </c>
      <c r="AF14" s="6"/>
      <c r="AG14" s="6"/>
      <c r="AH14" s="6"/>
      <c r="AI14" s="6"/>
      <c r="AJ14" s="6"/>
      <c r="AK14" s="6"/>
      <c r="AL14" s="6"/>
      <c r="AM14" s="6"/>
      <c r="AN14" s="6"/>
      <c r="AO14" s="6"/>
      <c r="AP14" s="6"/>
      <c r="AQ14" s="6"/>
      <c r="AR14" s="6"/>
      <c r="AS14" s="6"/>
      <c r="AT14" s="6"/>
      <c r="AU14" s="6"/>
      <c r="AV14" s="6"/>
      <c r="AW14" s="6"/>
      <c r="AX14" s="6"/>
      <c r="AY14" s="6"/>
      <c r="AZ14" s="6"/>
      <c r="BA14" s="6"/>
      <c r="BB14" s="6"/>
      <c r="BC14" s="6"/>
      <c r="BD14" s="6">
        <v>1</v>
      </c>
      <c r="BE14" s="6">
        <v>154</v>
      </c>
      <c r="BF14" s="6">
        <v>1</v>
      </c>
      <c r="BG14" s="6">
        <v>15</v>
      </c>
      <c r="BH14" s="6">
        <v>1</v>
      </c>
      <c r="BI14" s="6">
        <v>12</v>
      </c>
      <c r="BJ14" s="6"/>
      <c r="BK14" s="6"/>
      <c r="BL14" s="6"/>
      <c r="BM14" s="6"/>
      <c r="BN14" s="6"/>
      <c r="BO14" s="6"/>
      <c r="BP14" s="6"/>
      <c r="BQ14" s="6"/>
      <c r="BR14" s="6"/>
      <c r="BS14" s="6"/>
      <c r="BT14" s="6">
        <v>4</v>
      </c>
      <c r="BU14" s="6">
        <v>45</v>
      </c>
      <c r="BV14" s="8">
        <f t="shared" si="0"/>
        <v>22</v>
      </c>
      <c r="BW14" s="8">
        <f t="shared" si="1"/>
        <v>582</v>
      </c>
      <c r="BX14" s="52"/>
      <c r="BY14" s="52"/>
      <c r="BZ14" s="52"/>
    </row>
    <row r="15" spans="1:104" s="27" customFormat="1">
      <c r="A15" s="5" t="s">
        <v>53</v>
      </c>
      <c r="B15" s="6"/>
      <c r="C15" s="6"/>
      <c r="D15" s="6"/>
      <c r="E15" s="6"/>
      <c r="F15" s="6"/>
      <c r="G15" s="6"/>
      <c r="H15" s="6"/>
      <c r="I15" s="6"/>
      <c r="J15" s="6"/>
      <c r="K15" s="6"/>
      <c r="L15" s="6"/>
      <c r="M15" s="6"/>
      <c r="N15" s="6"/>
      <c r="O15" s="6"/>
      <c r="P15" s="6"/>
      <c r="Q15" s="6"/>
      <c r="R15" s="6"/>
      <c r="S15" s="6"/>
      <c r="T15" s="6"/>
      <c r="U15" s="6"/>
      <c r="V15" s="6"/>
      <c r="W15" s="6"/>
      <c r="X15" s="6">
        <v>2</v>
      </c>
      <c r="Y15" s="6">
        <v>121</v>
      </c>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v>1</v>
      </c>
      <c r="BI15" s="6">
        <v>75</v>
      </c>
      <c r="BJ15" s="6"/>
      <c r="BK15" s="6"/>
      <c r="BL15" s="6"/>
      <c r="BM15" s="6"/>
      <c r="BN15" s="6"/>
      <c r="BO15" s="6"/>
      <c r="BP15" s="6"/>
      <c r="BQ15" s="6"/>
      <c r="BR15" s="6"/>
      <c r="BS15" s="6"/>
      <c r="BT15" s="6">
        <v>3</v>
      </c>
      <c r="BU15" s="6">
        <v>35</v>
      </c>
      <c r="BV15" s="8">
        <f t="shared" si="0"/>
        <v>6</v>
      </c>
      <c r="BW15" s="8">
        <f t="shared" si="1"/>
        <v>231</v>
      </c>
      <c r="BX15" s="52"/>
      <c r="BY15" s="52"/>
      <c r="BZ15" s="52"/>
    </row>
    <row r="16" spans="1:104" s="27" customFormat="1">
      <c r="A16" s="5" t="s">
        <v>54</v>
      </c>
      <c r="B16" s="6"/>
      <c r="C16" s="6"/>
      <c r="D16" s="6"/>
      <c r="E16" s="6"/>
      <c r="F16" s="6"/>
      <c r="G16" s="6"/>
      <c r="H16" s="6"/>
      <c r="I16" s="6"/>
      <c r="J16" s="6"/>
      <c r="K16" s="6"/>
      <c r="L16" s="6">
        <v>2</v>
      </c>
      <c r="M16" s="6">
        <v>78</v>
      </c>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8">
        <f t="shared" si="0"/>
        <v>2</v>
      </c>
      <c r="BW16" s="8">
        <f t="shared" si="1"/>
        <v>78</v>
      </c>
      <c r="BX16" s="52"/>
      <c r="BY16" s="52"/>
      <c r="BZ16" s="52"/>
    </row>
    <row r="17" spans="1:78" s="27" customFormat="1">
      <c r="A17" s="5" t="s">
        <v>55</v>
      </c>
      <c r="B17" s="6"/>
      <c r="C17" s="6"/>
      <c r="D17" s="6"/>
      <c r="E17" s="6"/>
      <c r="F17" s="6"/>
      <c r="G17" s="6"/>
      <c r="H17" s="6"/>
      <c r="I17" s="6"/>
      <c r="J17" s="6"/>
      <c r="K17" s="6"/>
      <c r="L17" s="6">
        <v>1</v>
      </c>
      <c r="M17" s="6">
        <v>22</v>
      </c>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8">
        <f t="shared" si="0"/>
        <v>1</v>
      </c>
      <c r="BW17" s="8">
        <f t="shared" si="1"/>
        <v>22</v>
      </c>
      <c r="BX17" s="52"/>
      <c r="BY17" s="52"/>
      <c r="BZ17" s="52"/>
    </row>
    <row r="18" spans="1:78" s="27" customFormat="1">
      <c r="A18" s="5" t="s">
        <v>56</v>
      </c>
      <c r="B18" s="6"/>
      <c r="C18" s="6"/>
      <c r="D18" s="6"/>
      <c r="E18" s="6"/>
      <c r="F18" s="6"/>
      <c r="G18" s="6"/>
      <c r="H18" s="6"/>
      <c r="I18" s="6"/>
      <c r="J18" s="6"/>
      <c r="K18" s="6"/>
      <c r="L18" s="6">
        <v>12</v>
      </c>
      <c r="M18" s="6">
        <v>180</v>
      </c>
      <c r="N18" s="6"/>
      <c r="O18" s="6"/>
      <c r="P18" s="6"/>
      <c r="Q18" s="6"/>
      <c r="R18" s="6"/>
      <c r="S18" s="6"/>
      <c r="T18" s="6"/>
      <c r="U18" s="6"/>
      <c r="V18" s="6"/>
      <c r="W18" s="6"/>
      <c r="X18" s="6">
        <v>1</v>
      </c>
      <c r="Y18" s="6">
        <v>30</v>
      </c>
      <c r="Z18" s="6"/>
      <c r="AA18" s="6"/>
      <c r="AB18" s="6">
        <v>1</v>
      </c>
      <c r="AC18" s="6">
        <v>38</v>
      </c>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v>1</v>
      </c>
      <c r="BU18" s="6">
        <v>20</v>
      </c>
      <c r="BV18" s="8">
        <f t="shared" si="0"/>
        <v>15</v>
      </c>
      <c r="BW18" s="8">
        <f t="shared" si="1"/>
        <v>268</v>
      </c>
      <c r="BX18" s="52"/>
      <c r="BY18" s="52"/>
      <c r="BZ18" s="52"/>
    </row>
    <row r="19" spans="1:78" s="27" customFormat="1">
      <c r="A19" s="5" t="s">
        <v>57</v>
      </c>
      <c r="B19" s="6">
        <v>11</v>
      </c>
      <c r="C19" s="6">
        <v>532</v>
      </c>
      <c r="D19" s="6">
        <v>22</v>
      </c>
      <c r="E19" s="6">
        <v>2491</v>
      </c>
      <c r="F19" s="6">
        <v>23</v>
      </c>
      <c r="G19" s="6">
        <v>4332</v>
      </c>
      <c r="H19" s="6"/>
      <c r="I19" s="6"/>
      <c r="J19" s="6">
        <v>4</v>
      </c>
      <c r="K19" s="6">
        <v>749</v>
      </c>
      <c r="L19" s="6">
        <v>7</v>
      </c>
      <c r="M19" s="6">
        <v>107</v>
      </c>
      <c r="N19" s="6">
        <v>1</v>
      </c>
      <c r="O19" s="6">
        <v>19</v>
      </c>
      <c r="P19" s="6"/>
      <c r="Q19" s="6"/>
      <c r="R19" s="6"/>
      <c r="S19" s="6"/>
      <c r="T19" s="6">
        <v>4</v>
      </c>
      <c r="U19" s="6">
        <v>278</v>
      </c>
      <c r="V19" s="6">
        <v>3</v>
      </c>
      <c r="W19" s="6">
        <v>640</v>
      </c>
      <c r="X19" s="6">
        <v>35</v>
      </c>
      <c r="Y19" s="6">
        <v>7695</v>
      </c>
      <c r="Z19" s="6"/>
      <c r="AA19" s="6"/>
      <c r="AB19" s="6">
        <v>71</v>
      </c>
      <c r="AC19" s="6">
        <v>26990</v>
      </c>
      <c r="AD19" s="6">
        <v>8</v>
      </c>
      <c r="AE19" s="6">
        <v>2663</v>
      </c>
      <c r="AF19" s="6">
        <v>8</v>
      </c>
      <c r="AG19" s="6">
        <v>1868</v>
      </c>
      <c r="AH19" s="6"/>
      <c r="AI19" s="6"/>
      <c r="AJ19" s="6"/>
      <c r="AK19" s="6"/>
      <c r="AL19" s="6">
        <v>3</v>
      </c>
      <c r="AM19" s="6">
        <v>725</v>
      </c>
      <c r="AN19" s="6">
        <v>9</v>
      </c>
      <c r="AO19" s="6">
        <v>2851</v>
      </c>
      <c r="AP19" s="6">
        <v>3</v>
      </c>
      <c r="AQ19" s="6">
        <v>944</v>
      </c>
      <c r="AR19" s="6">
        <v>17</v>
      </c>
      <c r="AS19" s="6">
        <v>7055</v>
      </c>
      <c r="AT19" s="6"/>
      <c r="AU19" s="6"/>
      <c r="AV19" s="6">
        <v>2</v>
      </c>
      <c r="AW19" s="6">
        <v>586</v>
      </c>
      <c r="AX19" s="6"/>
      <c r="AY19" s="6"/>
      <c r="AZ19" s="6"/>
      <c r="BA19" s="6"/>
      <c r="BB19" s="6"/>
      <c r="BC19" s="6"/>
      <c r="BD19" s="6">
        <v>1</v>
      </c>
      <c r="BE19" s="6">
        <v>82</v>
      </c>
      <c r="BF19" s="6">
        <v>3</v>
      </c>
      <c r="BG19" s="6">
        <v>95</v>
      </c>
      <c r="BH19" s="6">
        <v>2</v>
      </c>
      <c r="BI19" s="6">
        <v>119</v>
      </c>
      <c r="BJ19" s="6">
        <v>1</v>
      </c>
      <c r="BK19" s="6">
        <v>72</v>
      </c>
      <c r="BL19" s="6">
        <v>8</v>
      </c>
      <c r="BM19" s="6">
        <v>323</v>
      </c>
      <c r="BN19" s="6">
        <v>3</v>
      </c>
      <c r="BO19" s="6">
        <v>131</v>
      </c>
      <c r="BP19" s="6">
        <v>2</v>
      </c>
      <c r="BQ19" s="6">
        <v>86</v>
      </c>
      <c r="BR19" s="6"/>
      <c r="BS19" s="6"/>
      <c r="BT19" s="6">
        <v>1</v>
      </c>
      <c r="BU19" s="6">
        <v>4</v>
      </c>
      <c r="BV19" s="8">
        <f t="shared" si="0"/>
        <v>252</v>
      </c>
      <c r="BW19" s="8">
        <f t="shared" si="1"/>
        <v>61437</v>
      </c>
      <c r="BX19" s="52"/>
      <c r="BY19" s="52"/>
      <c r="BZ19" s="52"/>
    </row>
    <row r="20" spans="1:78" s="27" customFormat="1">
      <c r="A20" s="5" t="s">
        <v>58</v>
      </c>
      <c r="B20" s="6"/>
      <c r="C20" s="6"/>
      <c r="D20" s="6"/>
      <c r="E20" s="6"/>
      <c r="F20" s="6"/>
      <c r="G20" s="6"/>
      <c r="H20" s="6"/>
      <c r="I20" s="6"/>
      <c r="J20" s="6"/>
      <c r="K20" s="6"/>
      <c r="L20" s="6">
        <v>4</v>
      </c>
      <c r="M20" s="6">
        <v>142</v>
      </c>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v>1</v>
      </c>
      <c r="BE20" s="6">
        <v>64</v>
      </c>
      <c r="BF20" s="6"/>
      <c r="BG20" s="6"/>
      <c r="BH20" s="6"/>
      <c r="BI20" s="6"/>
      <c r="BJ20" s="6"/>
      <c r="BK20" s="6"/>
      <c r="BL20" s="6"/>
      <c r="BM20" s="6"/>
      <c r="BN20" s="6"/>
      <c r="BO20" s="6"/>
      <c r="BP20" s="6"/>
      <c r="BQ20" s="6"/>
      <c r="BR20" s="6"/>
      <c r="BS20" s="6"/>
      <c r="BT20" s="6">
        <v>2</v>
      </c>
      <c r="BU20" s="6">
        <v>22</v>
      </c>
      <c r="BV20" s="8">
        <f t="shared" si="0"/>
        <v>7</v>
      </c>
      <c r="BW20" s="8">
        <f t="shared" si="1"/>
        <v>228</v>
      </c>
      <c r="BX20" s="52"/>
      <c r="BY20" s="52"/>
      <c r="BZ20" s="52"/>
    </row>
    <row r="21" spans="1:78" s="27" customFormat="1">
      <c r="A21" s="5" t="s">
        <v>59</v>
      </c>
      <c r="B21" s="6"/>
      <c r="C21" s="6"/>
      <c r="D21" s="6"/>
      <c r="E21" s="6"/>
      <c r="F21" s="6"/>
      <c r="G21" s="6"/>
      <c r="H21" s="6"/>
      <c r="I21" s="6"/>
      <c r="J21" s="6"/>
      <c r="K21" s="6"/>
      <c r="L21" s="6">
        <v>30</v>
      </c>
      <c r="M21" s="6">
        <v>585</v>
      </c>
      <c r="N21" s="6"/>
      <c r="O21" s="6"/>
      <c r="P21" s="6"/>
      <c r="Q21" s="6"/>
      <c r="R21" s="6"/>
      <c r="S21" s="6"/>
      <c r="T21" s="6"/>
      <c r="U21" s="6"/>
      <c r="V21" s="6"/>
      <c r="W21" s="6"/>
      <c r="X21" s="6"/>
      <c r="Y21" s="6"/>
      <c r="Z21" s="6"/>
      <c r="AA21" s="6"/>
      <c r="AB21" s="6"/>
      <c r="AC21" s="6"/>
      <c r="AD21" s="6"/>
      <c r="AE21" s="6"/>
      <c r="AF21" s="6">
        <v>1</v>
      </c>
      <c r="AG21" s="6">
        <v>76</v>
      </c>
      <c r="AH21" s="6"/>
      <c r="AI21" s="6"/>
      <c r="AJ21" s="6"/>
      <c r="AK21" s="6"/>
      <c r="AL21" s="6"/>
      <c r="AM21" s="6"/>
      <c r="AN21" s="6"/>
      <c r="AO21" s="6"/>
      <c r="AP21" s="6"/>
      <c r="AQ21" s="6"/>
      <c r="AR21" s="6"/>
      <c r="AS21" s="6"/>
      <c r="AT21" s="6"/>
      <c r="AU21" s="6"/>
      <c r="AV21" s="6"/>
      <c r="AW21" s="6"/>
      <c r="AX21" s="6"/>
      <c r="AY21" s="6"/>
      <c r="AZ21" s="6"/>
      <c r="BA21" s="6"/>
      <c r="BB21" s="6"/>
      <c r="BC21" s="6"/>
      <c r="BD21" s="6">
        <v>3</v>
      </c>
      <c r="BE21" s="6">
        <v>74</v>
      </c>
      <c r="BF21" s="6"/>
      <c r="BG21" s="6"/>
      <c r="BH21" s="6"/>
      <c r="BI21" s="6"/>
      <c r="BJ21" s="6"/>
      <c r="BK21" s="6"/>
      <c r="BL21" s="6">
        <v>1</v>
      </c>
      <c r="BM21" s="6">
        <v>41</v>
      </c>
      <c r="BN21" s="6"/>
      <c r="BO21" s="6"/>
      <c r="BP21" s="6"/>
      <c r="BQ21" s="6"/>
      <c r="BR21" s="6"/>
      <c r="BS21" s="6"/>
      <c r="BT21" s="6">
        <v>2</v>
      </c>
      <c r="BU21" s="6">
        <v>58</v>
      </c>
      <c r="BV21" s="8">
        <f t="shared" si="0"/>
        <v>37</v>
      </c>
      <c r="BW21" s="8">
        <f t="shared" si="1"/>
        <v>834</v>
      </c>
      <c r="BX21" s="52"/>
      <c r="BY21" s="52"/>
      <c r="BZ21" s="52"/>
    </row>
    <row r="22" spans="1:78" s="27" customFormat="1">
      <c r="A22" s="5" t="s">
        <v>60</v>
      </c>
      <c r="B22" s="6">
        <v>8</v>
      </c>
      <c r="C22" s="6">
        <v>423</v>
      </c>
      <c r="D22" s="6">
        <v>9</v>
      </c>
      <c r="E22" s="6">
        <v>524</v>
      </c>
      <c r="F22" s="6">
        <v>6</v>
      </c>
      <c r="G22" s="6">
        <v>538</v>
      </c>
      <c r="H22" s="6"/>
      <c r="I22" s="6"/>
      <c r="J22" s="6"/>
      <c r="K22" s="6"/>
      <c r="L22" s="6">
        <v>3</v>
      </c>
      <c r="M22" s="6">
        <v>114</v>
      </c>
      <c r="N22" s="6"/>
      <c r="O22" s="6"/>
      <c r="P22" s="6"/>
      <c r="Q22" s="6"/>
      <c r="R22" s="6">
        <v>1</v>
      </c>
      <c r="S22" s="6">
        <v>68</v>
      </c>
      <c r="T22" s="6">
        <v>5</v>
      </c>
      <c r="U22" s="6">
        <v>268</v>
      </c>
      <c r="V22" s="6"/>
      <c r="W22" s="6"/>
      <c r="X22" s="6">
        <v>10</v>
      </c>
      <c r="Y22" s="6">
        <v>1475</v>
      </c>
      <c r="Z22" s="6">
        <v>2</v>
      </c>
      <c r="AA22" s="6">
        <v>310</v>
      </c>
      <c r="AB22" s="6">
        <v>24</v>
      </c>
      <c r="AC22" s="6">
        <v>6614</v>
      </c>
      <c r="AD22" s="6">
        <v>7</v>
      </c>
      <c r="AE22" s="6">
        <v>1522</v>
      </c>
      <c r="AF22" s="6">
        <v>3</v>
      </c>
      <c r="AG22" s="6">
        <v>474</v>
      </c>
      <c r="AH22" s="6">
        <v>1</v>
      </c>
      <c r="AI22" s="6">
        <v>284</v>
      </c>
      <c r="AJ22" s="6">
        <v>3</v>
      </c>
      <c r="AK22" s="6">
        <v>78</v>
      </c>
      <c r="AL22" s="6"/>
      <c r="AM22" s="6"/>
      <c r="AN22" s="6">
        <v>4</v>
      </c>
      <c r="AO22" s="6">
        <v>1032</v>
      </c>
      <c r="AP22" s="6"/>
      <c r="AQ22" s="6"/>
      <c r="AR22" s="6">
        <v>9</v>
      </c>
      <c r="AS22" s="6">
        <v>3729</v>
      </c>
      <c r="AT22" s="6">
        <v>2</v>
      </c>
      <c r="AU22" s="6">
        <v>918</v>
      </c>
      <c r="AV22" s="6">
        <v>1</v>
      </c>
      <c r="AW22" s="6">
        <v>100</v>
      </c>
      <c r="AX22" s="6"/>
      <c r="AY22" s="6"/>
      <c r="AZ22" s="6"/>
      <c r="BA22" s="6"/>
      <c r="BB22" s="6"/>
      <c r="BC22" s="6"/>
      <c r="BD22" s="6">
        <v>2</v>
      </c>
      <c r="BE22" s="6">
        <v>84</v>
      </c>
      <c r="BF22" s="6">
        <v>6</v>
      </c>
      <c r="BG22" s="6">
        <v>497</v>
      </c>
      <c r="BH22" s="6">
        <v>4</v>
      </c>
      <c r="BI22" s="6">
        <v>279</v>
      </c>
      <c r="BJ22" s="6"/>
      <c r="BK22" s="6"/>
      <c r="BL22" s="6">
        <v>4</v>
      </c>
      <c r="BM22" s="6">
        <v>132</v>
      </c>
      <c r="BN22" s="6">
        <v>2</v>
      </c>
      <c r="BO22" s="6">
        <v>83</v>
      </c>
      <c r="BP22" s="6"/>
      <c r="BQ22" s="6"/>
      <c r="BR22" s="6"/>
      <c r="BS22" s="6"/>
      <c r="BT22" s="6">
        <v>1</v>
      </c>
      <c r="BU22" s="6">
        <v>20</v>
      </c>
      <c r="BV22" s="8">
        <f t="shared" si="0"/>
        <v>117</v>
      </c>
      <c r="BW22" s="8">
        <f t="shared" si="1"/>
        <v>19566</v>
      </c>
      <c r="BX22" s="52"/>
      <c r="BY22" s="52"/>
      <c r="BZ22" s="52"/>
    </row>
    <row r="23" spans="1:78" s="27" customFormat="1">
      <c r="A23" s="5" t="s">
        <v>218</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v>1</v>
      </c>
      <c r="BE23" s="6">
        <v>50</v>
      </c>
      <c r="BF23" s="6"/>
      <c r="BG23" s="6"/>
      <c r="BH23" s="6"/>
      <c r="BI23" s="6"/>
      <c r="BJ23" s="6"/>
      <c r="BK23" s="6"/>
      <c r="BL23" s="6"/>
      <c r="BM23" s="6"/>
      <c r="BN23" s="6"/>
      <c r="BO23" s="6"/>
      <c r="BP23" s="6"/>
      <c r="BQ23" s="6"/>
      <c r="BR23" s="6"/>
      <c r="BS23" s="6"/>
      <c r="BT23" s="6"/>
      <c r="BU23" s="6"/>
      <c r="BV23" s="8">
        <f t="shared" si="0"/>
        <v>1</v>
      </c>
      <c r="BW23" s="8">
        <f t="shared" si="1"/>
        <v>50</v>
      </c>
      <c r="BX23" s="52"/>
      <c r="BY23" s="52"/>
      <c r="BZ23" s="52"/>
    </row>
    <row r="24" spans="1:78" s="27" customFormat="1">
      <c r="A24" s="5" t="s">
        <v>61</v>
      </c>
      <c r="B24" s="6"/>
      <c r="C24" s="6"/>
      <c r="D24" s="6"/>
      <c r="E24" s="6"/>
      <c r="F24" s="6"/>
      <c r="G24" s="6"/>
      <c r="H24" s="6"/>
      <c r="I24" s="6"/>
      <c r="J24" s="6"/>
      <c r="K24" s="6"/>
      <c r="L24" s="6">
        <v>1</v>
      </c>
      <c r="M24" s="6">
        <v>17</v>
      </c>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v>2</v>
      </c>
      <c r="BU24" s="6">
        <v>24</v>
      </c>
      <c r="BV24" s="8">
        <f t="shared" si="0"/>
        <v>3</v>
      </c>
      <c r="BW24" s="8">
        <f t="shared" si="1"/>
        <v>41</v>
      </c>
      <c r="BX24" s="52"/>
      <c r="BY24" s="52"/>
      <c r="BZ24" s="52"/>
    </row>
    <row r="25" spans="1:78" s="27" customFormat="1">
      <c r="A25" s="5" t="s">
        <v>62</v>
      </c>
      <c r="B25" s="6"/>
      <c r="C25" s="6"/>
      <c r="D25" s="6"/>
      <c r="E25" s="6"/>
      <c r="F25" s="6"/>
      <c r="G25" s="6"/>
      <c r="H25" s="6"/>
      <c r="I25" s="6"/>
      <c r="J25" s="6"/>
      <c r="K25" s="6"/>
      <c r="L25" s="6">
        <v>1</v>
      </c>
      <c r="M25" s="6">
        <v>16</v>
      </c>
      <c r="N25" s="6"/>
      <c r="O25" s="6"/>
      <c r="P25" s="6"/>
      <c r="Q25" s="6"/>
      <c r="R25" s="6">
        <v>1</v>
      </c>
      <c r="S25" s="6">
        <v>17</v>
      </c>
      <c r="T25" s="6"/>
      <c r="U25" s="6"/>
      <c r="V25" s="6"/>
      <c r="W25" s="6"/>
      <c r="X25" s="6"/>
      <c r="Y25" s="6"/>
      <c r="Z25" s="6"/>
      <c r="AA25" s="6"/>
      <c r="AB25" s="6">
        <v>2</v>
      </c>
      <c r="AC25" s="6">
        <v>244</v>
      </c>
      <c r="AD25" s="6"/>
      <c r="AE25" s="6"/>
      <c r="AF25" s="6"/>
      <c r="AG25" s="6"/>
      <c r="AH25" s="6"/>
      <c r="AI25" s="6"/>
      <c r="AJ25" s="6"/>
      <c r="AK25" s="6"/>
      <c r="AL25" s="6"/>
      <c r="AM25" s="6"/>
      <c r="AN25" s="6"/>
      <c r="AO25" s="6"/>
      <c r="AP25" s="6"/>
      <c r="AQ25" s="6"/>
      <c r="AR25" s="6">
        <v>1</v>
      </c>
      <c r="AS25" s="6">
        <v>52</v>
      </c>
      <c r="AT25" s="6"/>
      <c r="AU25" s="6"/>
      <c r="AV25" s="6"/>
      <c r="AW25" s="6"/>
      <c r="AX25" s="6"/>
      <c r="AY25" s="6"/>
      <c r="AZ25" s="6"/>
      <c r="BA25" s="6"/>
      <c r="BB25" s="6">
        <v>1</v>
      </c>
      <c r="BC25" s="6">
        <v>132</v>
      </c>
      <c r="BD25" s="6"/>
      <c r="BE25" s="6"/>
      <c r="BF25" s="6">
        <v>1</v>
      </c>
      <c r="BG25" s="6">
        <v>14</v>
      </c>
      <c r="BH25" s="6"/>
      <c r="BI25" s="6"/>
      <c r="BJ25" s="6"/>
      <c r="BK25" s="6"/>
      <c r="BL25" s="6"/>
      <c r="BM25" s="6"/>
      <c r="BN25" s="6"/>
      <c r="BO25" s="6"/>
      <c r="BP25" s="6"/>
      <c r="BQ25" s="6"/>
      <c r="BR25" s="6"/>
      <c r="BS25" s="6"/>
      <c r="BT25" s="6"/>
      <c r="BU25" s="6"/>
      <c r="BV25" s="8">
        <f t="shared" si="0"/>
        <v>7</v>
      </c>
      <c r="BW25" s="8">
        <f t="shared" si="1"/>
        <v>475</v>
      </c>
      <c r="BX25" s="52"/>
      <c r="BY25" s="52"/>
      <c r="BZ25" s="52"/>
    </row>
    <row r="26" spans="1:78" s="27" customFormat="1">
      <c r="A26" s="5" t="s">
        <v>249</v>
      </c>
      <c r="B26" s="6"/>
      <c r="C26" s="6"/>
      <c r="D26" s="6"/>
      <c r="E26" s="6"/>
      <c r="F26" s="6"/>
      <c r="G26" s="6"/>
      <c r="H26" s="6"/>
      <c r="I26" s="6"/>
      <c r="J26" s="6"/>
      <c r="K26" s="6"/>
      <c r="L26" s="6">
        <v>2</v>
      </c>
      <c r="M26" s="6">
        <v>10</v>
      </c>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8">
        <f t="shared" si="0"/>
        <v>2</v>
      </c>
      <c r="BW26" s="8">
        <f t="shared" si="1"/>
        <v>10</v>
      </c>
      <c r="BX26" s="52"/>
      <c r="BY26" s="52"/>
      <c r="BZ26" s="52"/>
    </row>
    <row r="27" spans="1:78" s="27" customFormat="1">
      <c r="A27" s="5" t="s">
        <v>63</v>
      </c>
      <c r="B27" s="6"/>
      <c r="C27" s="6"/>
      <c r="D27" s="6"/>
      <c r="E27" s="6"/>
      <c r="F27" s="6"/>
      <c r="G27" s="6"/>
      <c r="H27" s="6"/>
      <c r="I27" s="6"/>
      <c r="J27" s="6"/>
      <c r="K27" s="6"/>
      <c r="L27" s="6">
        <v>9</v>
      </c>
      <c r="M27" s="6">
        <v>154</v>
      </c>
      <c r="N27" s="6"/>
      <c r="O27" s="6"/>
      <c r="P27" s="6"/>
      <c r="Q27" s="6"/>
      <c r="R27" s="6"/>
      <c r="S27" s="6"/>
      <c r="T27" s="6"/>
      <c r="U27" s="6"/>
      <c r="V27" s="6"/>
      <c r="W27" s="6"/>
      <c r="X27" s="6"/>
      <c r="Y27" s="6"/>
      <c r="Z27" s="6"/>
      <c r="AA27" s="6"/>
      <c r="AB27" s="6">
        <v>1</v>
      </c>
      <c r="AC27" s="6">
        <v>37</v>
      </c>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v>1</v>
      </c>
      <c r="BG27" s="6">
        <v>16</v>
      </c>
      <c r="BH27" s="6"/>
      <c r="BI27" s="6"/>
      <c r="BJ27" s="6"/>
      <c r="BK27" s="6"/>
      <c r="BL27" s="6"/>
      <c r="BM27" s="6"/>
      <c r="BN27" s="6"/>
      <c r="BO27" s="6"/>
      <c r="BP27" s="6"/>
      <c r="BQ27" s="6"/>
      <c r="BR27" s="6"/>
      <c r="BS27" s="6"/>
      <c r="BT27" s="6"/>
      <c r="BU27" s="6"/>
      <c r="BV27" s="8">
        <f t="shared" si="0"/>
        <v>11</v>
      </c>
      <c r="BW27" s="8">
        <f t="shared" si="1"/>
        <v>207</v>
      </c>
      <c r="BX27" s="52"/>
      <c r="BY27" s="52"/>
      <c r="BZ27" s="52"/>
    </row>
    <row r="28" spans="1:78" s="27" customFormat="1">
      <c r="A28" s="5" t="s">
        <v>64</v>
      </c>
      <c r="B28" s="6"/>
      <c r="C28" s="6"/>
      <c r="D28" s="6"/>
      <c r="E28" s="6"/>
      <c r="F28" s="6"/>
      <c r="G28" s="6"/>
      <c r="H28" s="6"/>
      <c r="I28" s="6"/>
      <c r="J28" s="6"/>
      <c r="K28" s="6"/>
      <c r="L28" s="6">
        <v>1</v>
      </c>
      <c r="M28" s="6">
        <v>10</v>
      </c>
      <c r="N28" s="6"/>
      <c r="O28" s="6"/>
      <c r="P28" s="6"/>
      <c r="Q28" s="6"/>
      <c r="R28" s="6"/>
      <c r="S28" s="6"/>
      <c r="T28" s="6"/>
      <c r="U28" s="6"/>
      <c r="V28" s="6"/>
      <c r="W28" s="6"/>
      <c r="X28" s="6"/>
      <c r="Y28" s="6"/>
      <c r="Z28" s="6"/>
      <c r="AA28" s="6"/>
      <c r="AB28" s="6">
        <v>1</v>
      </c>
      <c r="AC28" s="6">
        <v>111</v>
      </c>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v>3</v>
      </c>
      <c r="BU28" s="6">
        <v>32</v>
      </c>
      <c r="BV28" s="8">
        <f t="shared" si="0"/>
        <v>5</v>
      </c>
      <c r="BW28" s="8">
        <f t="shared" si="1"/>
        <v>153</v>
      </c>
      <c r="BX28" s="52"/>
      <c r="BY28" s="52"/>
      <c r="BZ28" s="52"/>
    </row>
    <row r="29" spans="1:78" s="27" customFormat="1">
      <c r="A29" s="5" t="s">
        <v>65</v>
      </c>
      <c r="B29" s="6">
        <v>7</v>
      </c>
      <c r="C29" s="6">
        <v>197</v>
      </c>
      <c r="D29" s="6">
        <v>11</v>
      </c>
      <c r="E29" s="6">
        <v>723</v>
      </c>
      <c r="F29" s="6">
        <v>3</v>
      </c>
      <c r="G29" s="6">
        <v>459</v>
      </c>
      <c r="H29" s="6"/>
      <c r="I29" s="6"/>
      <c r="J29" s="6"/>
      <c r="K29" s="6"/>
      <c r="L29" s="6">
        <v>16</v>
      </c>
      <c r="M29" s="6">
        <v>302</v>
      </c>
      <c r="N29" s="6"/>
      <c r="O29" s="6"/>
      <c r="P29" s="6"/>
      <c r="Q29" s="6"/>
      <c r="R29" s="6"/>
      <c r="S29" s="6"/>
      <c r="T29" s="6"/>
      <c r="U29" s="6"/>
      <c r="V29" s="6"/>
      <c r="W29" s="6"/>
      <c r="X29" s="6">
        <v>5</v>
      </c>
      <c r="Y29" s="6">
        <v>1816</v>
      </c>
      <c r="Z29" s="6"/>
      <c r="AA29" s="6"/>
      <c r="AB29" s="6">
        <v>3</v>
      </c>
      <c r="AC29" s="6">
        <v>1243</v>
      </c>
      <c r="AD29" s="6">
        <v>1</v>
      </c>
      <c r="AE29" s="6">
        <v>202</v>
      </c>
      <c r="AF29" s="6"/>
      <c r="AG29" s="6"/>
      <c r="AH29" s="6"/>
      <c r="AI29" s="6"/>
      <c r="AJ29" s="6"/>
      <c r="AK29" s="6"/>
      <c r="AL29" s="6"/>
      <c r="AM29" s="6"/>
      <c r="AN29" s="6"/>
      <c r="AO29" s="6"/>
      <c r="AP29" s="6"/>
      <c r="AQ29" s="6"/>
      <c r="AR29" s="6">
        <v>2</v>
      </c>
      <c r="AS29" s="6">
        <v>750</v>
      </c>
      <c r="AT29" s="6"/>
      <c r="AU29" s="6"/>
      <c r="AV29" s="6"/>
      <c r="AW29" s="6"/>
      <c r="AX29" s="6">
        <v>1</v>
      </c>
      <c r="AY29" s="6">
        <v>48</v>
      </c>
      <c r="AZ29" s="6"/>
      <c r="BA29" s="6"/>
      <c r="BB29" s="6"/>
      <c r="BC29" s="6"/>
      <c r="BD29" s="6">
        <v>3</v>
      </c>
      <c r="BE29" s="6">
        <v>108</v>
      </c>
      <c r="BF29" s="6">
        <v>1</v>
      </c>
      <c r="BG29" s="6">
        <v>35</v>
      </c>
      <c r="BH29" s="6"/>
      <c r="BI29" s="6"/>
      <c r="BJ29" s="6"/>
      <c r="BK29" s="6"/>
      <c r="BL29" s="6">
        <v>2</v>
      </c>
      <c r="BM29" s="6">
        <v>75</v>
      </c>
      <c r="BN29" s="6"/>
      <c r="BO29" s="6"/>
      <c r="BP29" s="6"/>
      <c r="BQ29" s="6"/>
      <c r="BR29" s="6"/>
      <c r="BS29" s="6"/>
      <c r="BT29" s="6">
        <v>2</v>
      </c>
      <c r="BU29" s="6">
        <v>18</v>
      </c>
      <c r="BV29" s="8">
        <f t="shared" si="0"/>
        <v>57</v>
      </c>
      <c r="BW29" s="8">
        <f t="shared" si="1"/>
        <v>5976</v>
      </c>
      <c r="BX29" s="52"/>
      <c r="BY29" s="52"/>
      <c r="BZ29" s="52"/>
    </row>
    <row r="30" spans="1:78" s="27" customFormat="1">
      <c r="A30" s="5" t="s">
        <v>66</v>
      </c>
      <c r="B30" s="6"/>
      <c r="C30" s="6"/>
      <c r="D30" s="6"/>
      <c r="E30" s="6"/>
      <c r="F30" s="6"/>
      <c r="G30" s="6"/>
      <c r="H30" s="6"/>
      <c r="I30" s="6"/>
      <c r="J30" s="6"/>
      <c r="K30" s="6"/>
      <c r="L30" s="6">
        <v>2</v>
      </c>
      <c r="M30" s="6">
        <v>25</v>
      </c>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v>2</v>
      </c>
      <c r="AS30" s="6">
        <v>62</v>
      </c>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v>3</v>
      </c>
      <c r="BU30" s="6">
        <v>60</v>
      </c>
      <c r="BV30" s="8">
        <f t="shared" si="0"/>
        <v>7</v>
      </c>
      <c r="BW30" s="8">
        <f t="shared" si="1"/>
        <v>147</v>
      </c>
      <c r="BX30" s="52"/>
      <c r="BY30" s="52"/>
      <c r="BZ30" s="52"/>
    </row>
    <row r="31" spans="1:78" s="27" customFormat="1">
      <c r="A31" s="5" t="s">
        <v>67</v>
      </c>
      <c r="B31" s="6"/>
      <c r="C31" s="6"/>
      <c r="D31" s="6"/>
      <c r="E31" s="6"/>
      <c r="F31" s="6"/>
      <c r="G31" s="6"/>
      <c r="H31" s="6"/>
      <c r="I31" s="6"/>
      <c r="J31" s="6"/>
      <c r="K31" s="6"/>
      <c r="L31" s="6">
        <v>6</v>
      </c>
      <c r="M31" s="6">
        <v>102</v>
      </c>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v>1</v>
      </c>
      <c r="BE31" s="6">
        <v>30</v>
      </c>
      <c r="BF31" s="6"/>
      <c r="BG31" s="6"/>
      <c r="BH31" s="6"/>
      <c r="BI31" s="6"/>
      <c r="BJ31" s="6"/>
      <c r="BK31" s="6"/>
      <c r="BL31" s="6"/>
      <c r="BM31" s="6"/>
      <c r="BN31" s="6"/>
      <c r="BO31" s="6"/>
      <c r="BP31" s="6"/>
      <c r="BQ31" s="6"/>
      <c r="BR31" s="6"/>
      <c r="BS31" s="6"/>
      <c r="BT31" s="6"/>
      <c r="BU31" s="6"/>
      <c r="BV31" s="8">
        <f t="shared" si="0"/>
        <v>7</v>
      </c>
      <c r="BW31" s="8">
        <f t="shared" si="1"/>
        <v>132</v>
      </c>
      <c r="BX31" s="52"/>
      <c r="BY31" s="52"/>
      <c r="BZ31" s="52"/>
    </row>
    <row r="32" spans="1:78" s="27" customFormat="1">
      <c r="A32" s="5" t="s">
        <v>68</v>
      </c>
      <c r="B32" s="6"/>
      <c r="C32" s="6"/>
      <c r="D32" s="6"/>
      <c r="E32" s="6"/>
      <c r="F32" s="6"/>
      <c r="G32" s="6"/>
      <c r="H32" s="6"/>
      <c r="I32" s="6"/>
      <c r="J32" s="6"/>
      <c r="K32" s="6"/>
      <c r="L32" s="6">
        <v>3</v>
      </c>
      <c r="M32" s="6">
        <v>58</v>
      </c>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8">
        <f t="shared" si="0"/>
        <v>3</v>
      </c>
      <c r="BW32" s="8">
        <f t="shared" si="1"/>
        <v>58</v>
      </c>
      <c r="BX32" s="52"/>
      <c r="BY32" s="52"/>
      <c r="BZ32" s="52"/>
    </row>
    <row r="33" spans="1:78" s="27" customFormat="1">
      <c r="A33" s="5" t="s">
        <v>69</v>
      </c>
      <c r="B33" s="6"/>
      <c r="C33" s="6"/>
      <c r="D33" s="6"/>
      <c r="E33" s="6"/>
      <c r="F33" s="6"/>
      <c r="G33" s="6"/>
      <c r="H33" s="6"/>
      <c r="I33" s="6"/>
      <c r="J33" s="6"/>
      <c r="K33" s="6"/>
      <c r="L33" s="6">
        <v>1</v>
      </c>
      <c r="M33" s="6">
        <v>17</v>
      </c>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v>2</v>
      </c>
      <c r="BU33" s="6">
        <v>46</v>
      </c>
      <c r="BV33" s="8">
        <f t="shared" si="0"/>
        <v>3</v>
      </c>
      <c r="BW33" s="8">
        <f t="shared" si="1"/>
        <v>63</v>
      </c>
      <c r="BX33" s="52"/>
      <c r="BY33" s="52"/>
      <c r="BZ33" s="52"/>
    </row>
    <row r="34" spans="1:78" s="27" customFormat="1">
      <c r="A34" s="5" t="s">
        <v>177</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v>5</v>
      </c>
      <c r="BU34" s="6">
        <v>38</v>
      </c>
      <c r="BV34" s="8">
        <f t="shared" si="0"/>
        <v>5</v>
      </c>
      <c r="BW34" s="8">
        <f t="shared" si="1"/>
        <v>38</v>
      </c>
      <c r="BX34" s="52"/>
      <c r="BY34" s="52"/>
      <c r="BZ34" s="52"/>
    </row>
    <row r="35" spans="1:78" s="27" customFormat="1">
      <c r="A35" s="5" t="s">
        <v>71</v>
      </c>
      <c r="B35" s="6"/>
      <c r="C35" s="6"/>
      <c r="D35" s="6"/>
      <c r="E35" s="6"/>
      <c r="F35" s="6">
        <v>1</v>
      </c>
      <c r="G35" s="6">
        <v>120</v>
      </c>
      <c r="H35" s="6"/>
      <c r="I35" s="6"/>
      <c r="J35" s="6">
        <v>1</v>
      </c>
      <c r="K35" s="6">
        <v>936</v>
      </c>
      <c r="L35" s="6">
        <v>24</v>
      </c>
      <c r="M35" s="6">
        <v>639</v>
      </c>
      <c r="N35" s="6"/>
      <c r="O35" s="6"/>
      <c r="P35" s="6"/>
      <c r="Q35" s="6"/>
      <c r="R35" s="6">
        <v>1</v>
      </c>
      <c r="S35" s="6">
        <v>26</v>
      </c>
      <c r="T35" s="6"/>
      <c r="U35" s="6"/>
      <c r="V35" s="6">
        <v>5</v>
      </c>
      <c r="W35" s="6">
        <v>1471</v>
      </c>
      <c r="X35" s="6">
        <v>24</v>
      </c>
      <c r="Y35" s="6">
        <v>7281</v>
      </c>
      <c r="Z35" s="6">
        <v>1</v>
      </c>
      <c r="AA35" s="6">
        <v>297</v>
      </c>
      <c r="AB35" s="6">
        <v>5</v>
      </c>
      <c r="AC35" s="6">
        <v>1933</v>
      </c>
      <c r="AD35" s="6"/>
      <c r="AE35" s="6"/>
      <c r="AF35" s="6">
        <v>2</v>
      </c>
      <c r="AG35" s="6">
        <v>493</v>
      </c>
      <c r="AH35" s="6"/>
      <c r="AI35" s="6"/>
      <c r="AJ35" s="6"/>
      <c r="AK35" s="6"/>
      <c r="AL35" s="6"/>
      <c r="AM35" s="6"/>
      <c r="AN35" s="6">
        <v>1</v>
      </c>
      <c r="AO35" s="6">
        <v>346</v>
      </c>
      <c r="AP35" s="6"/>
      <c r="AQ35" s="6"/>
      <c r="AR35" s="6"/>
      <c r="AS35" s="6"/>
      <c r="AT35" s="6"/>
      <c r="AU35" s="6"/>
      <c r="AV35" s="6"/>
      <c r="AW35" s="6"/>
      <c r="AX35" s="6"/>
      <c r="AY35" s="6"/>
      <c r="AZ35" s="6"/>
      <c r="BA35" s="6"/>
      <c r="BB35" s="6"/>
      <c r="BC35" s="6"/>
      <c r="BD35" s="6">
        <v>2</v>
      </c>
      <c r="BE35" s="6">
        <v>92</v>
      </c>
      <c r="BF35" s="6">
        <v>3</v>
      </c>
      <c r="BG35" s="6">
        <v>161</v>
      </c>
      <c r="BH35" s="6"/>
      <c r="BI35" s="6"/>
      <c r="BJ35" s="6"/>
      <c r="BK35" s="6"/>
      <c r="BL35" s="6">
        <v>1</v>
      </c>
      <c r="BM35" s="6">
        <v>48</v>
      </c>
      <c r="BN35" s="6">
        <v>2</v>
      </c>
      <c r="BO35" s="6">
        <v>80</v>
      </c>
      <c r="BP35" s="6"/>
      <c r="BQ35" s="6"/>
      <c r="BR35" s="6"/>
      <c r="BS35" s="6"/>
      <c r="BT35" s="6">
        <v>1</v>
      </c>
      <c r="BU35" s="6">
        <v>28</v>
      </c>
      <c r="BV35" s="8">
        <f t="shared" si="0"/>
        <v>74</v>
      </c>
      <c r="BW35" s="8">
        <f t="shared" si="1"/>
        <v>13951</v>
      </c>
      <c r="BX35" s="52"/>
      <c r="BY35" s="52"/>
      <c r="BZ35" s="52"/>
    </row>
    <row r="36" spans="1:78" s="27" customFormat="1">
      <c r="A36" s="5" t="s">
        <v>72</v>
      </c>
      <c r="B36" s="6">
        <v>2</v>
      </c>
      <c r="C36" s="6">
        <v>237</v>
      </c>
      <c r="D36" s="6">
        <v>5</v>
      </c>
      <c r="E36" s="6">
        <v>575</v>
      </c>
      <c r="F36" s="6">
        <v>4</v>
      </c>
      <c r="G36" s="6">
        <v>157</v>
      </c>
      <c r="H36" s="6"/>
      <c r="I36" s="6"/>
      <c r="J36" s="6">
        <v>2</v>
      </c>
      <c r="K36" s="6">
        <v>180</v>
      </c>
      <c r="L36" s="6">
        <v>26</v>
      </c>
      <c r="M36" s="6">
        <v>474</v>
      </c>
      <c r="N36" s="6">
        <v>2</v>
      </c>
      <c r="O36" s="6">
        <v>46</v>
      </c>
      <c r="P36" s="6"/>
      <c r="Q36" s="6"/>
      <c r="R36" s="6"/>
      <c r="S36" s="6"/>
      <c r="T36" s="6"/>
      <c r="U36" s="6"/>
      <c r="V36" s="6">
        <v>1</v>
      </c>
      <c r="W36" s="6">
        <v>41</v>
      </c>
      <c r="X36" s="6">
        <v>9</v>
      </c>
      <c r="Y36" s="6">
        <v>3927</v>
      </c>
      <c r="Z36" s="6">
        <v>1</v>
      </c>
      <c r="AA36" s="6">
        <v>454</v>
      </c>
      <c r="AB36" s="6">
        <v>8</v>
      </c>
      <c r="AC36" s="6">
        <v>3283</v>
      </c>
      <c r="AD36" s="6"/>
      <c r="AE36" s="6"/>
      <c r="AF36" s="6"/>
      <c r="AG36" s="6"/>
      <c r="AH36" s="6"/>
      <c r="AI36" s="6"/>
      <c r="AJ36" s="6"/>
      <c r="AK36" s="6"/>
      <c r="AL36" s="6"/>
      <c r="AM36" s="6"/>
      <c r="AN36" s="6">
        <v>4</v>
      </c>
      <c r="AO36" s="6">
        <v>1781</v>
      </c>
      <c r="AP36" s="6"/>
      <c r="AQ36" s="6"/>
      <c r="AR36" s="6">
        <v>3</v>
      </c>
      <c r="AS36" s="6">
        <v>3835</v>
      </c>
      <c r="AT36" s="6"/>
      <c r="AU36" s="6"/>
      <c r="AV36" s="6"/>
      <c r="AW36" s="6"/>
      <c r="AX36" s="6"/>
      <c r="AY36" s="6"/>
      <c r="AZ36" s="6"/>
      <c r="BA36" s="6"/>
      <c r="BB36" s="6"/>
      <c r="BC36" s="6"/>
      <c r="BD36" s="6">
        <v>3</v>
      </c>
      <c r="BE36" s="6">
        <v>108</v>
      </c>
      <c r="BF36" s="6">
        <v>1</v>
      </c>
      <c r="BG36" s="6">
        <v>111</v>
      </c>
      <c r="BH36" s="6">
        <v>1</v>
      </c>
      <c r="BI36" s="6">
        <v>46</v>
      </c>
      <c r="BJ36" s="6"/>
      <c r="BK36" s="6"/>
      <c r="BL36" s="6"/>
      <c r="BM36" s="6"/>
      <c r="BN36" s="6"/>
      <c r="BO36" s="6"/>
      <c r="BP36" s="6"/>
      <c r="BQ36" s="6"/>
      <c r="BR36" s="6"/>
      <c r="BS36" s="6"/>
      <c r="BT36" s="6"/>
      <c r="BU36" s="6"/>
      <c r="BV36" s="8">
        <f t="shared" si="0"/>
        <v>72</v>
      </c>
      <c r="BW36" s="8">
        <f t="shared" si="1"/>
        <v>15255</v>
      </c>
      <c r="BX36" s="52"/>
      <c r="BY36" s="52"/>
      <c r="BZ36" s="52"/>
    </row>
    <row r="37" spans="1:78" s="27" customFormat="1">
      <c r="A37" s="5" t="s">
        <v>250</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v>1</v>
      </c>
      <c r="BU37" s="6">
        <v>22</v>
      </c>
      <c r="BV37" s="8">
        <f t="shared" si="0"/>
        <v>1</v>
      </c>
      <c r="BW37" s="8">
        <f t="shared" si="1"/>
        <v>22</v>
      </c>
      <c r="BX37" s="52"/>
      <c r="BY37" s="52"/>
      <c r="BZ37" s="52"/>
    </row>
    <row r="38" spans="1:78" s="27" customFormat="1">
      <c r="A38" s="5" t="s">
        <v>73</v>
      </c>
      <c r="B38" s="6"/>
      <c r="C38" s="6"/>
      <c r="D38" s="6"/>
      <c r="E38" s="6"/>
      <c r="F38" s="6"/>
      <c r="G38" s="6"/>
      <c r="H38" s="6"/>
      <c r="I38" s="6"/>
      <c r="J38" s="6"/>
      <c r="K38" s="6"/>
      <c r="L38" s="6">
        <v>5</v>
      </c>
      <c r="M38" s="6">
        <v>66</v>
      </c>
      <c r="N38" s="6"/>
      <c r="O38" s="6"/>
      <c r="P38" s="6"/>
      <c r="Q38" s="6"/>
      <c r="R38" s="6"/>
      <c r="S38" s="6"/>
      <c r="T38" s="6"/>
      <c r="U38" s="6"/>
      <c r="V38" s="6"/>
      <c r="W38" s="6"/>
      <c r="X38" s="6"/>
      <c r="Y38" s="6"/>
      <c r="Z38" s="6"/>
      <c r="AA38" s="6"/>
      <c r="AB38" s="6">
        <v>1</v>
      </c>
      <c r="AC38" s="6">
        <v>22</v>
      </c>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v>2</v>
      </c>
      <c r="BU38" s="6">
        <v>34</v>
      </c>
      <c r="BV38" s="8">
        <f t="shared" si="0"/>
        <v>8</v>
      </c>
      <c r="BW38" s="8">
        <f t="shared" si="1"/>
        <v>122</v>
      </c>
      <c r="BX38" s="52"/>
      <c r="BY38" s="52"/>
      <c r="BZ38" s="52"/>
    </row>
    <row r="39" spans="1:78" s="27" customFormat="1">
      <c r="A39" s="5" t="s">
        <v>74</v>
      </c>
      <c r="B39" s="6"/>
      <c r="C39" s="6"/>
      <c r="D39" s="6"/>
      <c r="E39" s="6"/>
      <c r="F39" s="6"/>
      <c r="G39" s="6"/>
      <c r="H39" s="6"/>
      <c r="I39" s="6"/>
      <c r="J39" s="6"/>
      <c r="K39" s="6"/>
      <c r="L39" s="6">
        <v>1</v>
      </c>
      <c r="M39" s="6">
        <v>24</v>
      </c>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v>2</v>
      </c>
      <c r="BU39" s="6">
        <v>33</v>
      </c>
      <c r="BV39" s="8">
        <f t="shared" si="0"/>
        <v>3</v>
      </c>
      <c r="BW39" s="8">
        <f t="shared" si="1"/>
        <v>57</v>
      </c>
      <c r="BX39" s="52"/>
      <c r="BY39" s="52"/>
      <c r="BZ39" s="52"/>
    </row>
    <row r="40" spans="1:78" s="27" customFormat="1">
      <c r="A40" s="5" t="s">
        <v>75</v>
      </c>
      <c r="B40" s="6"/>
      <c r="C40" s="6"/>
      <c r="D40" s="6"/>
      <c r="E40" s="6"/>
      <c r="F40" s="6"/>
      <c r="G40" s="6"/>
      <c r="H40" s="6"/>
      <c r="I40" s="6"/>
      <c r="J40" s="6"/>
      <c r="K40" s="6"/>
      <c r="L40" s="6">
        <v>3</v>
      </c>
      <c r="M40" s="6">
        <v>80</v>
      </c>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v>2</v>
      </c>
      <c r="BE40" s="6">
        <v>95</v>
      </c>
      <c r="BF40" s="6"/>
      <c r="BG40" s="6"/>
      <c r="BH40" s="6"/>
      <c r="BI40" s="6"/>
      <c r="BJ40" s="6"/>
      <c r="BK40" s="6"/>
      <c r="BL40" s="6"/>
      <c r="BM40" s="6"/>
      <c r="BN40" s="6"/>
      <c r="BO40" s="6"/>
      <c r="BP40" s="6"/>
      <c r="BQ40" s="6"/>
      <c r="BR40" s="6"/>
      <c r="BS40" s="6"/>
      <c r="BT40" s="6">
        <v>1</v>
      </c>
      <c r="BU40" s="6">
        <v>12</v>
      </c>
      <c r="BV40" s="8">
        <f t="shared" si="0"/>
        <v>6</v>
      </c>
      <c r="BW40" s="8">
        <f t="shared" si="1"/>
        <v>187</v>
      </c>
      <c r="BX40" s="52"/>
      <c r="BY40" s="52"/>
      <c r="BZ40" s="52"/>
    </row>
    <row r="41" spans="1:78" s="27" customFormat="1">
      <c r="A41" s="5" t="s">
        <v>76</v>
      </c>
      <c r="B41" s="6"/>
      <c r="C41" s="6"/>
      <c r="D41" s="6">
        <v>1</v>
      </c>
      <c r="E41" s="6">
        <v>358</v>
      </c>
      <c r="F41" s="6">
        <v>6</v>
      </c>
      <c r="G41" s="6">
        <v>795</v>
      </c>
      <c r="H41" s="6"/>
      <c r="I41" s="6"/>
      <c r="J41" s="6"/>
      <c r="K41" s="6"/>
      <c r="L41" s="6">
        <v>1</v>
      </c>
      <c r="M41" s="6">
        <v>22</v>
      </c>
      <c r="N41" s="6"/>
      <c r="O41" s="6"/>
      <c r="P41" s="6">
        <v>1</v>
      </c>
      <c r="Q41" s="6">
        <v>500</v>
      </c>
      <c r="R41" s="6"/>
      <c r="S41" s="6"/>
      <c r="T41" s="6"/>
      <c r="U41" s="6"/>
      <c r="V41" s="6"/>
      <c r="W41" s="6"/>
      <c r="X41" s="6">
        <v>2</v>
      </c>
      <c r="Y41" s="6">
        <v>372</v>
      </c>
      <c r="Z41" s="6"/>
      <c r="AA41" s="6"/>
      <c r="AB41" s="6">
        <v>8</v>
      </c>
      <c r="AC41" s="6">
        <v>3275</v>
      </c>
      <c r="AD41" s="6">
        <v>2</v>
      </c>
      <c r="AE41" s="6">
        <v>1080</v>
      </c>
      <c r="AF41" s="6">
        <v>3</v>
      </c>
      <c r="AG41" s="6">
        <v>1186</v>
      </c>
      <c r="AH41" s="6"/>
      <c r="AI41" s="6"/>
      <c r="AJ41" s="6"/>
      <c r="AK41" s="6"/>
      <c r="AL41" s="6"/>
      <c r="AM41" s="6"/>
      <c r="AN41" s="6">
        <v>2</v>
      </c>
      <c r="AO41" s="6">
        <v>307</v>
      </c>
      <c r="AP41" s="6">
        <v>1</v>
      </c>
      <c r="AQ41" s="6">
        <v>2205</v>
      </c>
      <c r="AR41" s="6">
        <v>11</v>
      </c>
      <c r="AS41" s="6">
        <v>6250</v>
      </c>
      <c r="AT41" s="6">
        <v>1</v>
      </c>
      <c r="AU41" s="6">
        <v>544</v>
      </c>
      <c r="AV41" s="6"/>
      <c r="AW41" s="6"/>
      <c r="AX41" s="6"/>
      <c r="AY41" s="6"/>
      <c r="AZ41" s="6"/>
      <c r="BA41" s="6"/>
      <c r="BB41" s="6"/>
      <c r="BC41" s="6"/>
      <c r="BD41" s="6">
        <v>1</v>
      </c>
      <c r="BE41" s="6">
        <v>30</v>
      </c>
      <c r="BF41" s="6"/>
      <c r="BG41" s="6"/>
      <c r="BH41" s="6"/>
      <c r="BI41" s="6"/>
      <c r="BJ41" s="6"/>
      <c r="BK41" s="6"/>
      <c r="BL41" s="6"/>
      <c r="BM41" s="6"/>
      <c r="BN41" s="6"/>
      <c r="BO41" s="6"/>
      <c r="BP41" s="6"/>
      <c r="BQ41" s="6"/>
      <c r="BR41" s="6"/>
      <c r="BS41" s="6"/>
      <c r="BT41" s="6">
        <v>1</v>
      </c>
      <c r="BU41" s="6">
        <v>10</v>
      </c>
      <c r="BV41" s="8">
        <f t="shared" si="0"/>
        <v>41</v>
      </c>
      <c r="BW41" s="8">
        <f t="shared" si="1"/>
        <v>16934</v>
      </c>
      <c r="BX41" s="52"/>
      <c r="BY41" s="52"/>
      <c r="BZ41" s="52"/>
    </row>
    <row r="42" spans="1:78" s="27" customFormat="1">
      <c r="A42" s="5" t="s">
        <v>77</v>
      </c>
      <c r="B42" s="6">
        <v>4</v>
      </c>
      <c r="C42" s="6">
        <v>277</v>
      </c>
      <c r="D42" s="6">
        <v>5</v>
      </c>
      <c r="E42" s="6">
        <v>376</v>
      </c>
      <c r="F42" s="6">
        <v>4</v>
      </c>
      <c r="G42" s="6">
        <v>370</v>
      </c>
      <c r="H42" s="6">
        <v>1</v>
      </c>
      <c r="I42" s="6">
        <v>92</v>
      </c>
      <c r="J42" s="6">
        <v>4</v>
      </c>
      <c r="K42" s="6">
        <v>147</v>
      </c>
      <c r="L42" s="6">
        <v>4</v>
      </c>
      <c r="M42" s="6">
        <v>43</v>
      </c>
      <c r="N42" s="6">
        <v>5</v>
      </c>
      <c r="O42" s="6">
        <v>181</v>
      </c>
      <c r="P42" s="6"/>
      <c r="Q42" s="6"/>
      <c r="R42" s="6">
        <v>1</v>
      </c>
      <c r="S42" s="6">
        <v>12</v>
      </c>
      <c r="T42" s="6">
        <v>3</v>
      </c>
      <c r="U42" s="6">
        <v>181</v>
      </c>
      <c r="V42" s="6">
        <v>12</v>
      </c>
      <c r="W42" s="6">
        <v>1447</v>
      </c>
      <c r="X42" s="6">
        <v>38</v>
      </c>
      <c r="Y42" s="6">
        <v>9208</v>
      </c>
      <c r="Z42" s="6">
        <v>4</v>
      </c>
      <c r="AA42" s="6">
        <v>1243</v>
      </c>
      <c r="AB42" s="6">
        <v>82</v>
      </c>
      <c r="AC42" s="6">
        <v>23302</v>
      </c>
      <c r="AD42" s="6">
        <v>14</v>
      </c>
      <c r="AE42" s="6">
        <v>2864</v>
      </c>
      <c r="AF42" s="6">
        <v>21</v>
      </c>
      <c r="AG42" s="6">
        <v>3373</v>
      </c>
      <c r="AH42" s="6">
        <v>2</v>
      </c>
      <c r="AI42" s="6">
        <v>390</v>
      </c>
      <c r="AJ42" s="6"/>
      <c r="AK42" s="6"/>
      <c r="AL42" s="6">
        <v>6</v>
      </c>
      <c r="AM42" s="6">
        <v>659</v>
      </c>
      <c r="AN42" s="6">
        <v>3</v>
      </c>
      <c r="AO42" s="6">
        <v>304</v>
      </c>
      <c r="AP42" s="6">
        <v>1</v>
      </c>
      <c r="AQ42" s="6">
        <v>146</v>
      </c>
      <c r="AR42" s="6">
        <v>11</v>
      </c>
      <c r="AS42" s="6">
        <v>3432</v>
      </c>
      <c r="AT42" s="6"/>
      <c r="AU42" s="6"/>
      <c r="AV42" s="6"/>
      <c r="AW42" s="6"/>
      <c r="AX42" s="6"/>
      <c r="AY42" s="6"/>
      <c r="AZ42" s="6"/>
      <c r="BA42" s="6"/>
      <c r="BB42" s="6"/>
      <c r="BC42" s="6"/>
      <c r="BD42" s="6">
        <v>1</v>
      </c>
      <c r="BE42" s="6">
        <v>41</v>
      </c>
      <c r="BF42" s="6">
        <v>4</v>
      </c>
      <c r="BG42" s="6">
        <v>122</v>
      </c>
      <c r="BH42" s="6">
        <v>1</v>
      </c>
      <c r="BI42" s="6">
        <v>48</v>
      </c>
      <c r="BJ42" s="6"/>
      <c r="BK42" s="6"/>
      <c r="BL42" s="6">
        <v>17</v>
      </c>
      <c r="BM42" s="6">
        <v>687</v>
      </c>
      <c r="BN42" s="6">
        <v>5</v>
      </c>
      <c r="BO42" s="6">
        <v>217</v>
      </c>
      <c r="BP42" s="6"/>
      <c r="BQ42" s="6"/>
      <c r="BR42" s="6"/>
      <c r="BS42" s="6"/>
      <c r="BT42" s="6">
        <v>40</v>
      </c>
      <c r="BU42" s="6">
        <v>668</v>
      </c>
      <c r="BV42" s="8">
        <f t="shared" si="0"/>
        <v>293</v>
      </c>
      <c r="BW42" s="8">
        <f t="shared" si="1"/>
        <v>49830</v>
      </c>
      <c r="BX42" s="52"/>
      <c r="BY42" s="52"/>
      <c r="BZ42" s="52"/>
    </row>
    <row r="43" spans="1:78" s="27" customFormat="1">
      <c r="A43" s="5" t="s">
        <v>78</v>
      </c>
      <c r="B43" s="6"/>
      <c r="C43" s="6"/>
      <c r="D43" s="6"/>
      <c r="E43" s="6"/>
      <c r="F43" s="6"/>
      <c r="G43" s="6"/>
      <c r="H43" s="6"/>
      <c r="I43" s="6"/>
      <c r="J43" s="6"/>
      <c r="K43" s="6"/>
      <c r="L43" s="6">
        <v>5</v>
      </c>
      <c r="M43" s="6">
        <v>96</v>
      </c>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v>2</v>
      </c>
      <c r="BU43" s="6">
        <v>21</v>
      </c>
      <c r="BV43" s="8">
        <f t="shared" si="0"/>
        <v>7</v>
      </c>
      <c r="BW43" s="8">
        <f t="shared" si="1"/>
        <v>117</v>
      </c>
      <c r="BX43" s="52"/>
      <c r="BY43" s="52"/>
      <c r="BZ43" s="52"/>
    </row>
    <row r="44" spans="1:78" s="27" customFormat="1">
      <c r="A44" s="5" t="s">
        <v>178</v>
      </c>
      <c r="B44" s="6"/>
      <c r="C44" s="6"/>
      <c r="D44" s="6"/>
      <c r="E44" s="6"/>
      <c r="F44" s="6"/>
      <c r="G44" s="6"/>
      <c r="H44" s="6"/>
      <c r="I44" s="6"/>
      <c r="J44" s="6"/>
      <c r="K44" s="6"/>
      <c r="L44" s="6">
        <v>2</v>
      </c>
      <c r="M44" s="6">
        <v>28</v>
      </c>
      <c r="N44" s="6"/>
      <c r="O44" s="6"/>
      <c r="P44" s="6"/>
      <c r="Q44" s="6"/>
      <c r="R44" s="6">
        <v>1</v>
      </c>
      <c r="S44" s="6">
        <v>11</v>
      </c>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v>1</v>
      </c>
      <c r="BU44" s="6">
        <v>10</v>
      </c>
      <c r="BV44" s="8">
        <f t="shared" si="0"/>
        <v>4</v>
      </c>
      <c r="BW44" s="8">
        <f t="shared" si="1"/>
        <v>49</v>
      </c>
      <c r="BX44" s="52"/>
      <c r="BY44" s="52"/>
      <c r="BZ44" s="52"/>
    </row>
    <row r="45" spans="1:78" s="27" customFormat="1">
      <c r="A45" s="5" t="s">
        <v>79</v>
      </c>
      <c r="B45" s="6">
        <v>5</v>
      </c>
      <c r="C45" s="6">
        <v>192</v>
      </c>
      <c r="D45" s="6">
        <v>8</v>
      </c>
      <c r="E45" s="6">
        <v>397</v>
      </c>
      <c r="F45" s="6">
        <v>13</v>
      </c>
      <c r="G45" s="6">
        <v>1138</v>
      </c>
      <c r="H45" s="6">
        <v>2</v>
      </c>
      <c r="I45" s="6">
        <v>177</v>
      </c>
      <c r="J45" s="6">
        <v>2</v>
      </c>
      <c r="K45" s="6">
        <v>286</v>
      </c>
      <c r="L45" s="6">
        <v>8</v>
      </c>
      <c r="M45" s="6">
        <v>109</v>
      </c>
      <c r="N45" s="6"/>
      <c r="O45" s="6"/>
      <c r="P45" s="6"/>
      <c r="Q45" s="6"/>
      <c r="R45" s="6"/>
      <c r="S45" s="6"/>
      <c r="T45" s="6"/>
      <c r="U45" s="6"/>
      <c r="V45" s="6"/>
      <c r="W45" s="6"/>
      <c r="X45" s="6">
        <v>8</v>
      </c>
      <c r="Y45" s="6">
        <v>1125</v>
      </c>
      <c r="Z45" s="6">
        <v>1</v>
      </c>
      <c r="AA45" s="6">
        <v>56</v>
      </c>
      <c r="AB45" s="6">
        <v>13</v>
      </c>
      <c r="AC45" s="6">
        <v>1914</v>
      </c>
      <c r="AD45" s="6">
        <v>1</v>
      </c>
      <c r="AE45" s="6">
        <v>229</v>
      </c>
      <c r="AF45" s="6">
        <v>3</v>
      </c>
      <c r="AG45" s="6">
        <v>355</v>
      </c>
      <c r="AH45" s="6"/>
      <c r="AI45" s="6"/>
      <c r="AJ45" s="6"/>
      <c r="AK45" s="6"/>
      <c r="AL45" s="6"/>
      <c r="AM45" s="6"/>
      <c r="AN45" s="6">
        <v>1</v>
      </c>
      <c r="AO45" s="6">
        <v>176</v>
      </c>
      <c r="AP45" s="6"/>
      <c r="AQ45" s="6"/>
      <c r="AR45" s="6">
        <v>5</v>
      </c>
      <c r="AS45" s="6">
        <v>1131</v>
      </c>
      <c r="AT45" s="6"/>
      <c r="AU45" s="6"/>
      <c r="AV45" s="6"/>
      <c r="AW45" s="6"/>
      <c r="AX45" s="6"/>
      <c r="AY45" s="6"/>
      <c r="AZ45" s="6"/>
      <c r="BA45" s="6"/>
      <c r="BB45" s="6"/>
      <c r="BC45" s="6"/>
      <c r="BD45" s="6"/>
      <c r="BE45" s="6"/>
      <c r="BF45" s="6"/>
      <c r="BG45" s="6"/>
      <c r="BH45" s="6">
        <v>2</v>
      </c>
      <c r="BI45" s="6">
        <v>78</v>
      </c>
      <c r="BJ45" s="6"/>
      <c r="BK45" s="6"/>
      <c r="BL45" s="6">
        <v>1</v>
      </c>
      <c r="BM45" s="6">
        <v>48</v>
      </c>
      <c r="BN45" s="6">
        <v>1</v>
      </c>
      <c r="BO45" s="6">
        <v>45</v>
      </c>
      <c r="BP45" s="6"/>
      <c r="BQ45" s="6"/>
      <c r="BR45" s="6">
        <v>1</v>
      </c>
      <c r="BS45" s="6">
        <v>23</v>
      </c>
      <c r="BT45" s="6">
        <v>4</v>
      </c>
      <c r="BU45" s="6">
        <v>57</v>
      </c>
      <c r="BV45" s="8">
        <f t="shared" si="0"/>
        <v>79</v>
      </c>
      <c r="BW45" s="8">
        <f t="shared" si="1"/>
        <v>7536</v>
      </c>
      <c r="BX45" s="52"/>
      <c r="BY45" s="52"/>
      <c r="BZ45" s="52"/>
    </row>
    <row r="46" spans="1:78" s="27" customFormat="1">
      <c r="A46" s="5" t="s">
        <v>80</v>
      </c>
      <c r="B46" s="6"/>
      <c r="C46" s="6"/>
      <c r="D46" s="6"/>
      <c r="E46" s="6"/>
      <c r="F46" s="6"/>
      <c r="G46" s="6"/>
      <c r="H46" s="6"/>
      <c r="I46" s="6"/>
      <c r="J46" s="6"/>
      <c r="K46" s="6"/>
      <c r="L46" s="6">
        <v>8</v>
      </c>
      <c r="M46" s="6">
        <v>120</v>
      </c>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v>2</v>
      </c>
      <c r="BE46" s="6">
        <v>116</v>
      </c>
      <c r="BF46" s="6"/>
      <c r="BG46" s="6"/>
      <c r="BH46" s="6"/>
      <c r="BI46" s="6"/>
      <c r="BJ46" s="6"/>
      <c r="BK46" s="6"/>
      <c r="BL46" s="6"/>
      <c r="BM46" s="6"/>
      <c r="BN46" s="6"/>
      <c r="BO46" s="6"/>
      <c r="BP46" s="6"/>
      <c r="BQ46" s="6"/>
      <c r="BR46" s="6"/>
      <c r="BS46" s="6"/>
      <c r="BT46" s="6">
        <v>1</v>
      </c>
      <c r="BU46" s="6">
        <v>18</v>
      </c>
      <c r="BV46" s="8">
        <f t="shared" si="0"/>
        <v>11</v>
      </c>
      <c r="BW46" s="8">
        <f t="shared" si="1"/>
        <v>254</v>
      </c>
      <c r="BX46" s="52"/>
      <c r="BY46" s="52"/>
      <c r="BZ46" s="52"/>
    </row>
    <row r="47" spans="1:78" s="27" customFormat="1">
      <c r="A47" s="5" t="s">
        <v>81</v>
      </c>
      <c r="B47" s="6"/>
      <c r="C47" s="6"/>
      <c r="D47" s="6"/>
      <c r="E47" s="6"/>
      <c r="F47" s="6">
        <v>1</v>
      </c>
      <c r="G47" s="6">
        <v>25</v>
      </c>
      <c r="H47" s="6"/>
      <c r="I47" s="6"/>
      <c r="J47" s="6"/>
      <c r="K47" s="6"/>
      <c r="L47" s="6">
        <v>3</v>
      </c>
      <c r="M47" s="6">
        <v>50</v>
      </c>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v>2</v>
      </c>
      <c r="BE47" s="6">
        <v>111</v>
      </c>
      <c r="BF47" s="6"/>
      <c r="BG47" s="6"/>
      <c r="BH47" s="6"/>
      <c r="BI47" s="6"/>
      <c r="BJ47" s="6"/>
      <c r="BK47" s="6"/>
      <c r="BL47" s="6"/>
      <c r="BM47" s="6"/>
      <c r="BN47" s="6"/>
      <c r="BO47" s="6"/>
      <c r="BP47" s="6"/>
      <c r="BQ47" s="6"/>
      <c r="BR47" s="6"/>
      <c r="BS47" s="6"/>
      <c r="BT47" s="6"/>
      <c r="BU47" s="6"/>
      <c r="BV47" s="8">
        <f t="shared" si="0"/>
        <v>6</v>
      </c>
      <c r="BW47" s="8">
        <f t="shared" si="1"/>
        <v>186</v>
      </c>
      <c r="BX47" s="52"/>
      <c r="BY47" s="52"/>
      <c r="BZ47" s="52"/>
    </row>
    <row r="48" spans="1:78" s="27" customFormat="1">
      <c r="A48" s="5" t="s">
        <v>179</v>
      </c>
      <c r="B48" s="6">
        <v>5</v>
      </c>
      <c r="C48" s="6">
        <v>204</v>
      </c>
      <c r="D48" s="6">
        <v>2</v>
      </c>
      <c r="E48" s="6">
        <v>75</v>
      </c>
      <c r="F48" s="6">
        <v>3</v>
      </c>
      <c r="G48" s="6">
        <v>109</v>
      </c>
      <c r="H48" s="6"/>
      <c r="I48" s="6"/>
      <c r="J48" s="6">
        <v>2</v>
      </c>
      <c r="K48" s="6">
        <v>72</v>
      </c>
      <c r="L48" s="6">
        <v>3</v>
      </c>
      <c r="M48" s="6">
        <v>50</v>
      </c>
      <c r="N48" s="6"/>
      <c r="O48" s="6"/>
      <c r="P48" s="6"/>
      <c r="Q48" s="6"/>
      <c r="R48" s="6"/>
      <c r="S48" s="6"/>
      <c r="T48" s="6"/>
      <c r="U48" s="6"/>
      <c r="V48" s="6"/>
      <c r="W48" s="6"/>
      <c r="X48" s="6">
        <v>5</v>
      </c>
      <c r="Y48" s="6">
        <v>1118</v>
      </c>
      <c r="Z48" s="6"/>
      <c r="AA48" s="6"/>
      <c r="AB48" s="6">
        <v>5</v>
      </c>
      <c r="AC48" s="6">
        <v>1583</v>
      </c>
      <c r="AD48" s="6">
        <v>4</v>
      </c>
      <c r="AE48" s="6">
        <v>595</v>
      </c>
      <c r="AF48" s="6"/>
      <c r="AG48" s="6"/>
      <c r="AH48" s="6"/>
      <c r="AI48" s="6"/>
      <c r="AJ48" s="6"/>
      <c r="AK48" s="6"/>
      <c r="AL48" s="6"/>
      <c r="AM48" s="6"/>
      <c r="AN48" s="6"/>
      <c r="AO48" s="6"/>
      <c r="AP48" s="6"/>
      <c r="AQ48" s="6"/>
      <c r="AR48" s="6">
        <v>1</v>
      </c>
      <c r="AS48" s="6">
        <v>156</v>
      </c>
      <c r="AT48" s="6"/>
      <c r="AU48" s="6"/>
      <c r="AV48" s="6"/>
      <c r="AW48" s="6"/>
      <c r="AX48" s="6"/>
      <c r="AY48" s="6"/>
      <c r="AZ48" s="6"/>
      <c r="BA48" s="6"/>
      <c r="BB48" s="6"/>
      <c r="BC48" s="6"/>
      <c r="BD48" s="6">
        <v>1</v>
      </c>
      <c r="BE48" s="6">
        <v>34</v>
      </c>
      <c r="BF48" s="6">
        <v>3</v>
      </c>
      <c r="BG48" s="6">
        <v>83</v>
      </c>
      <c r="BH48" s="6">
        <v>1</v>
      </c>
      <c r="BI48" s="6">
        <v>15</v>
      </c>
      <c r="BJ48" s="6"/>
      <c r="BK48" s="6"/>
      <c r="BL48" s="6"/>
      <c r="BM48" s="6"/>
      <c r="BN48" s="6"/>
      <c r="BO48" s="6"/>
      <c r="BP48" s="6"/>
      <c r="BQ48" s="6"/>
      <c r="BR48" s="6"/>
      <c r="BS48" s="6"/>
      <c r="BT48" s="6">
        <v>1</v>
      </c>
      <c r="BU48" s="6">
        <v>10</v>
      </c>
      <c r="BV48" s="8">
        <f t="shared" si="0"/>
        <v>36</v>
      </c>
      <c r="BW48" s="8">
        <f t="shared" si="1"/>
        <v>4104</v>
      </c>
      <c r="BX48" s="52"/>
      <c r="BY48" s="52"/>
      <c r="BZ48" s="52"/>
    </row>
    <row r="49" spans="1:78" s="27" customFormat="1">
      <c r="A49" s="5" t="s">
        <v>261</v>
      </c>
      <c r="B49" s="6"/>
      <c r="C49" s="6"/>
      <c r="D49" s="6"/>
      <c r="E49" s="6"/>
      <c r="F49" s="6"/>
      <c r="G49" s="6"/>
      <c r="H49" s="6"/>
      <c r="I49" s="6"/>
      <c r="J49" s="6"/>
      <c r="K49" s="6"/>
      <c r="L49" s="6">
        <v>2</v>
      </c>
      <c r="M49" s="6">
        <v>28</v>
      </c>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8">
        <f t="shared" si="0"/>
        <v>2</v>
      </c>
      <c r="BW49" s="8">
        <f t="shared" si="1"/>
        <v>28</v>
      </c>
      <c r="BX49" s="52"/>
      <c r="BY49" s="52"/>
      <c r="BZ49" s="52"/>
    </row>
    <row r="50" spans="1:78" s="27" customFormat="1">
      <c r="A50" s="5" t="s">
        <v>180</v>
      </c>
      <c r="B50" s="6">
        <v>2</v>
      </c>
      <c r="C50" s="6">
        <v>70</v>
      </c>
      <c r="D50" s="6">
        <v>6</v>
      </c>
      <c r="E50" s="6">
        <v>450</v>
      </c>
      <c r="F50" s="6">
        <v>6</v>
      </c>
      <c r="G50" s="6">
        <v>444</v>
      </c>
      <c r="H50" s="6"/>
      <c r="I50" s="6"/>
      <c r="J50" s="6"/>
      <c r="K50" s="6"/>
      <c r="L50" s="6">
        <v>10</v>
      </c>
      <c r="M50" s="6">
        <v>255</v>
      </c>
      <c r="N50" s="6">
        <v>3</v>
      </c>
      <c r="O50" s="6">
        <v>128</v>
      </c>
      <c r="P50" s="6"/>
      <c r="Q50" s="6"/>
      <c r="R50" s="6"/>
      <c r="S50" s="6"/>
      <c r="T50" s="6"/>
      <c r="U50" s="6"/>
      <c r="V50" s="6">
        <v>3</v>
      </c>
      <c r="W50" s="6">
        <v>544</v>
      </c>
      <c r="X50" s="6">
        <v>11</v>
      </c>
      <c r="Y50" s="6">
        <v>2364</v>
      </c>
      <c r="Z50" s="6"/>
      <c r="AA50" s="6"/>
      <c r="AB50" s="6">
        <v>19</v>
      </c>
      <c r="AC50" s="6">
        <v>7141</v>
      </c>
      <c r="AD50" s="6">
        <v>2</v>
      </c>
      <c r="AE50" s="6">
        <v>673</v>
      </c>
      <c r="AF50" s="6">
        <v>3</v>
      </c>
      <c r="AG50" s="6">
        <v>1042</v>
      </c>
      <c r="AH50" s="6"/>
      <c r="AI50" s="6"/>
      <c r="AJ50" s="6"/>
      <c r="AK50" s="6"/>
      <c r="AL50" s="6">
        <v>1</v>
      </c>
      <c r="AM50" s="6">
        <v>248</v>
      </c>
      <c r="AN50" s="6">
        <v>9</v>
      </c>
      <c r="AO50" s="6">
        <v>4056</v>
      </c>
      <c r="AP50" s="6"/>
      <c r="AQ50" s="6"/>
      <c r="AR50" s="6">
        <v>16</v>
      </c>
      <c r="AS50" s="6">
        <v>8188</v>
      </c>
      <c r="AT50" s="6"/>
      <c r="AU50" s="6"/>
      <c r="AV50" s="6"/>
      <c r="AW50" s="6"/>
      <c r="AX50" s="6"/>
      <c r="AY50" s="6"/>
      <c r="AZ50" s="6">
        <v>1</v>
      </c>
      <c r="BA50" s="6">
        <v>152</v>
      </c>
      <c r="BB50" s="6"/>
      <c r="BC50" s="6"/>
      <c r="BD50" s="6">
        <v>1</v>
      </c>
      <c r="BE50" s="6">
        <v>92</v>
      </c>
      <c r="BF50" s="6"/>
      <c r="BG50" s="6"/>
      <c r="BH50" s="6">
        <v>2</v>
      </c>
      <c r="BI50" s="6">
        <v>111</v>
      </c>
      <c r="BJ50" s="6"/>
      <c r="BK50" s="6"/>
      <c r="BL50" s="6"/>
      <c r="BM50" s="6"/>
      <c r="BN50" s="6"/>
      <c r="BO50" s="6"/>
      <c r="BP50" s="6"/>
      <c r="BQ50" s="6"/>
      <c r="BR50" s="6"/>
      <c r="BS50" s="6"/>
      <c r="BT50" s="6">
        <v>1</v>
      </c>
      <c r="BU50" s="6">
        <v>8</v>
      </c>
      <c r="BV50" s="8">
        <f t="shared" si="0"/>
        <v>96</v>
      </c>
      <c r="BW50" s="8">
        <f t="shared" si="1"/>
        <v>25966</v>
      </c>
      <c r="BX50" s="52"/>
      <c r="BY50" s="52"/>
      <c r="BZ50" s="52"/>
    </row>
    <row r="51" spans="1:78" s="27" customFormat="1">
      <c r="A51" s="5" t="s">
        <v>84</v>
      </c>
      <c r="B51" s="6"/>
      <c r="C51" s="6"/>
      <c r="D51" s="6"/>
      <c r="E51" s="6"/>
      <c r="F51" s="6"/>
      <c r="G51" s="6"/>
      <c r="H51" s="6"/>
      <c r="I51" s="6"/>
      <c r="J51" s="6"/>
      <c r="K51" s="6"/>
      <c r="L51" s="6">
        <v>1</v>
      </c>
      <c r="M51" s="6">
        <v>12</v>
      </c>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8">
        <f t="shared" si="0"/>
        <v>1</v>
      </c>
      <c r="BW51" s="8">
        <f t="shared" si="1"/>
        <v>12</v>
      </c>
      <c r="BX51" s="52"/>
      <c r="BY51" s="52"/>
      <c r="BZ51" s="52"/>
    </row>
    <row r="52" spans="1:78" s="27" customFormat="1">
      <c r="A52" s="5" t="s">
        <v>85</v>
      </c>
      <c r="B52" s="6">
        <v>3</v>
      </c>
      <c r="C52" s="6">
        <v>178</v>
      </c>
      <c r="D52" s="6">
        <v>4</v>
      </c>
      <c r="E52" s="6">
        <v>211</v>
      </c>
      <c r="F52" s="6">
        <v>3</v>
      </c>
      <c r="G52" s="6">
        <v>140</v>
      </c>
      <c r="H52" s="6"/>
      <c r="I52" s="6"/>
      <c r="J52" s="6"/>
      <c r="K52" s="6"/>
      <c r="L52" s="6">
        <v>7</v>
      </c>
      <c r="M52" s="6">
        <v>165</v>
      </c>
      <c r="N52" s="6"/>
      <c r="O52" s="6"/>
      <c r="P52" s="6"/>
      <c r="Q52" s="6"/>
      <c r="R52" s="6"/>
      <c r="S52" s="6"/>
      <c r="T52" s="6">
        <v>1</v>
      </c>
      <c r="U52" s="6">
        <v>117</v>
      </c>
      <c r="V52" s="6">
        <v>3</v>
      </c>
      <c r="W52" s="6">
        <v>218</v>
      </c>
      <c r="X52" s="6">
        <v>11</v>
      </c>
      <c r="Y52" s="6">
        <v>2949</v>
      </c>
      <c r="Z52" s="6">
        <v>1</v>
      </c>
      <c r="AA52" s="6">
        <v>329</v>
      </c>
      <c r="AB52" s="6">
        <v>8</v>
      </c>
      <c r="AC52" s="6">
        <v>2868</v>
      </c>
      <c r="AD52" s="6"/>
      <c r="AE52" s="6"/>
      <c r="AF52" s="6"/>
      <c r="AG52" s="6"/>
      <c r="AH52" s="6"/>
      <c r="AI52" s="6"/>
      <c r="AJ52" s="6"/>
      <c r="AK52" s="6"/>
      <c r="AL52" s="6"/>
      <c r="AM52" s="6"/>
      <c r="AN52" s="6">
        <v>1</v>
      </c>
      <c r="AO52" s="6">
        <v>117</v>
      </c>
      <c r="AP52" s="6">
        <v>1</v>
      </c>
      <c r="AQ52" s="6">
        <v>81</v>
      </c>
      <c r="AR52" s="6">
        <v>14</v>
      </c>
      <c r="AS52" s="6">
        <v>5740</v>
      </c>
      <c r="AT52" s="6"/>
      <c r="AU52" s="6"/>
      <c r="AV52" s="6"/>
      <c r="AW52" s="6"/>
      <c r="AX52" s="6"/>
      <c r="AY52" s="6"/>
      <c r="AZ52" s="6"/>
      <c r="BA52" s="6"/>
      <c r="BB52" s="6"/>
      <c r="BC52" s="6"/>
      <c r="BD52" s="6">
        <v>1</v>
      </c>
      <c r="BE52" s="6">
        <v>50</v>
      </c>
      <c r="BF52" s="6">
        <v>1</v>
      </c>
      <c r="BG52" s="6">
        <v>69</v>
      </c>
      <c r="BH52" s="6"/>
      <c r="BI52" s="6"/>
      <c r="BJ52" s="6">
        <v>1</v>
      </c>
      <c r="BK52" s="6">
        <v>142</v>
      </c>
      <c r="BL52" s="6">
        <v>1</v>
      </c>
      <c r="BM52" s="6">
        <v>48</v>
      </c>
      <c r="BN52" s="6"/>
      <c r="BO52" s="6"/>
      <c r="BP52" s="6"/>
      <c r="BQ52" s="6"/>
      <c r="BR52" s="6"/>
      <c r="BS52" s="6"/>
      <c r="BT52" s="6">
        <v>1</v>
      </c>
      <c r="BU52" s="6">
        <v>16</v>
      </c>
      <c r="BV52" s="8">
        <f t="shared" si="0"/>
        <v>62</v>
      </c>
      <c r="BW52" s="8">
        <f t="shared" si="1"/>
        <v>13438</v>
      </c>
      <c r="BX52" s="52"/>
      <c r="BY52" s="52"/>
      <c r="BZ52" s="52"/>
    </row>
    <row r="53" spans="1:78" s="27" customFormat="1">
      <c r="A53" s="5" t="s">
        <v>86</v>
      </c>
      <c r="B53" s="6"/>
      <c r="C53" s="6"/>
      <c r="D53" s="6"/>
      <c r="E53" s="6"/>
      <c r="F53" s="6"/>
      <c r="G53" s="6"/>
      <c r="H53" s="6"/>
      <c r="I53" s="6"/>
      <c r="J53" s="6"/>
      <c r="K53" s="6"/>
      <c r="L53" s="6">
        <v>6</v>
      </c>
      <c r="M53" s="6">
        <v>92</v>
      </c>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v>1</v>
      </c>
      <c r="BE53" s="6">
        <v>41</v>
      </c>
      <c r="BF53" s="6"/>
      <c r="BG53" s="6"/>
      <c r="BH53" s="6"/>
      <c r="BI53" s="6"/>
      <c r="BJ53" s="6"/>
      <c r="BK53" s="6"/>
      <c r="BL53" s="6"/>
      <c r="BM53" s="6"/>
      <c r="BN53" s="6"/>
      <c r="BO53" s="6"/>
      <c r="BP53" s="6"/>
      <c r="BQ53" s="6"/>
      <c r="BR53" s="6"/>
      <c r="BS53" s="6"/>
      <c r="BT53" s="6"/>
      <c r="BU53" s="6"/>
      <c r="BV53" s="8">
        <f t="shared" si="0"/>
        <v>7</v>
      </c>
      <c r="BW53" s="8">
        <f t="shared" si="1"/>
        <v>133</v>
      </c>
      <c r="BX53" s="52"/>
      <c r="BY53" s="52"/>
      <c r="BZ53" s="52"/>
    </row>
    <row r="54" spans="1:78" s="27" customFormat="1">
      <c r="A54" s="5" t="s">
        <v>87</v>
      </c>
      <c r="B54" s="6">
        <v>5</v>
      </c>
      <c r="C54" s="6">
        <v>117</v>
      </c>
      <c r="D54" s="6">
        <v>14</v>
      </c>
      <c r="E54" s="6">
        <v>1605</v>
      </c>
      <c r="F54" s="6">
        <v>10</v>
      </c>
      <c r="G54" s="6">
        <v>1479</v>
      </c>
      <c r="H54" s="6">
        <v>1</v>
      </c>
      <c r="I54" s="6">
        <v>136</v>
      </c>
      <c r="J54" s="6"/>
      <c r="K54" s="6"/>
      <c r="L54" s="6">
        <v>6</v>
      </c>
      <c r="M54" s="6">
        <v>126</v>
      </c>
      <c r="N54" s="6">
        <v>2</v>
      </c>
      <c r="O54" s="6">
        <v>70</v>
      </c>
      <c r="P54" s="6"/>
      <c r="Q54" s="6"/>
      <c r="R54" s="6">
        <v>2</v>
      </c>
      <c r="S54" s="6">
        <v>70</v>
      </c>
      <c r="T54" s="6">
        <v>1</v>
      </c>
      <c r="U54" s="6">
        <v>76</v>
      </c>
      <c r="V54" s="6">
        <v>3</v>
      </c>
      <c r="W54" s="6">
        <v>215</v>
      </c>
      <c r="X54" s="6">
        <v>10</v>
      </c>
      <c r="Y54" s="6">
        <v>2287</v>
      </c>
      <c r="Z54" s="6">
        <v>1</v>
      </c>
      <c r="AA54" s="6">
        <v>68</v>
      </c>
      <c r="AB54" s="6">
        <v>6</v>
      </c>
      <c r="AC54" s="6">
        <v>1688</v>
      </c>
      <c r="AD54" s="6">
        <v>1</v>
      </c>
      <c r="AE54" s="6">
        <v>328</v>
      </c>
      <c r="AF54" s="6">
        <v>1</v>
      </c>
      <c r="AG54" s="6">
        <v>759</v>
      </c>
      <c r="AH54" s="6"/>
      <c r="AI54" s="6"/>
      <c r="AJ54" s="6"/>
      <c r="AK54" s="6"/>
      <c r="AL54" s="6">
        <v>1</v>
      </c>
      <c r="AM54" s="6">
        <v>15</v>
      </c>
      <c r="AN54" s="6">
        <v>10</v>
      </c>
      <c r="AO54" s="6">
        <v>3421</v>
      </c>
      <c r="AP54" s="6"/>
      <c r="AQ54" s="6"/>
      <c r="AR54" s="6">
        <v>4</v>
      </c>
      <c r="AS54" s="6">
        <v>2976</v>
      </c>
      <c r="AT54" s="6">
        <v>1</v>
      </c>
      <c r="AU54" s="6">
        <v>378</v>
      </c>
      <c r="AV54" s="6">
        <v>1</v>
      </c>
      <c r="AW54" s="6">
        <v>94</v>
      </c>
      <c r="AX54" s="6"/>
      <c r="AY54" s="6"/>
      <c r="AZ54" s="6"/>
      <c r="BA54" s="6"/>
      <c r="BB54" s="6"/>
      <c r="BC54" s="6"/>
      <c r="BD54" s="6"/>
      <c r="BE54" s="6"/>
      <c r="BF54" s="6">
        <v>6</v>
      </c>
      <c r="BG54" s="6">
        <v>238</v>
      </c>
      <c r="BH54" s="6">
        <v>5</v>
      </c>
      <c r="BI54" s="6">
        <v>274</v>
      </c>
      <c r="BJ54" s="6"/>
      <c r="BK54" s="6"/>
      <c r="BL54" s="6">
        <v>7</v>
      </c>
      <c r="BM54" s="6">
        <v>239</v>
      </c>
      <c r="BN54" s="6">
        <v>5</v>
      </c>
      <c r="BO54" s="6">
        <v>119</v>
      </c>
      <c r="BP54" s="6"/>
      <c r="BQ54" s="6"/>
      <c r="BR54" s="6"/>
      <c r="BS54" s="6"/>
      <c r="BT54" s="6">
        <v>3</v>
      </c>
      <c r="BU54" s="6">
        <v>43</v>
      </c>
      <c r="BV54" s="8">
        <f t="shared" si="0"/>
        <v>106</v>
      </c>
      <c r="BW54" s="8">
        <f t="shared" si="1"/>
        <v>16821</v>
      </c>
      <c r="BX54" s="52"/>
      <c r="BY54" s="52"/>
      <c r="BZ54" s="52"/>
    </row>
    <row r="55" spans="1:78" s="27" customFormat="1">
      <c r="A55" s="5" t="s">
        <v>88</v>
      </c>
      <c r="B55" s="6"/>
      <c r="C55" s="6"/>
      <c r="D55" s="6"/>
      <c r="E55" s="6"/>
      <c r="F55" s="6"/>
      <c r="G55" s="6"/>
      <c r="H55" s="6"/>
      <c r="I55" s="6"/>
      <c r="J55" s="6"/>
      <c r="K55" s="6"/>
      <c r="L55" s="6">
        <v>9</v>
      </c>
      <c r="M55" s="6">
        <v>197</v>
      </c>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v>11</v>
      </c>
      <c r="BU55" s="6">
        <v>161</v>
      </c>
      <c r="BV55" s="8">
        <f t="shared" si="0"/>
        <v>20</v>
      </c>
      <c r="BW55" s="8">
        <f t="shared" si="1"/>
        <v>358</v>
      </c>
      <c r="BX55" s="52"/>
      <c r="BY55" s="52"/>
      <c r="BZ55" s="52"/>
    </row>
    <row r="56" spans="1:78" s="27" customFormat="1">
      <c r="A56" s="5" t="s">
        <v>89</v>
      </c>
      <c r="B56" s="6"/>
      <c r="C56" s="6"/>
      <c r="D56" s="6"/>
      <c r="E56" s="6"/>
      <c r="F56" s="6"/>
      <c r="G56" s="6"/>
      <c r="H56" s="6"/>
      <c r="I56" s="6"/>
      <c r="J56" s="6"/>
      <c r="K56" s="6"/>
      <c r="L56" s="6">
        <v>6</v>
      </c>
      <c r="M56" s="6">
        <v>90</v>
      </c>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v>1</v>
      </c>
      <c r="BE56" s="6">
        <v>39</v>
      </c>
      <c r="BF56" s="6"/>
      <c r="BG56" s="6"/>
      <c r="BH56" s="6"/>
      <c r="BI56" s="6"/>
      <c r="BJ56" s="6"/>
      <c r="BK56" s="6"/>
      <c r="BL56" s="6"/>
      <c r="BM56" s="6"/>
      <c r="BN56" s="6"/>
      <c r="BO56" s="6"/>
      <c r="BP56" s="6"/>
      <c r="BQ56" s="6"/>
      <c r="BR56" s="6"/>
      <c r="BS56" s="6"/>
      <c r="BT56" s="6">
        <v>2</v>
      </c>
      <c r="BU56" s="6">
        <v>24</v>
      </c>
      <c r="BV56" s="8">
        <f t="shared" si="0"/>
        <v>9</v>
      </c>
      <c r="BW56" s="8">
        <f t="shared" si="1"/>
        <v>153</v>
      </c>
      <c r="BX56" s="52"/>
      <c r="BY56" s="52"/>
      <c r="BZ56" s="52"/>
    </row>
    <row r="57" spans="1:78" s="27" customFormat="1">
      <c r="A57" s="5" t="s">
        <v>91</v>
      </c>
      <c r="B57" s="6"/>
      <c r="C57" s="6"/>
      <c r="D57" s="6"/>
      <c r="E57" s="6"/>
      <c r="F57" s="6"/>
      <c r="G57" s="6"/>
      <c r="H57" s="6"/>
      <c r="I57" s="6"/>
      <c r="J57" s="6"/>
      <c r="K57" s="6"/>
      <c r="L57" s="6">
        <v>1</v>
      </c>
      <c r="M57" s="6">
        <v>24</v>
      </c>
      <c r="N57" s="6"/>
      <c r="O57" s="6"/>
      <c r="P57" s="6"/>
      <c r="Q57" s="6"/>
      <c r="R57" s="6"/>
      <c r="S57" s="6"/>
      <c r="T57" s="6"/>
      <c r="U57" s="6"/>
      <c r="V57" s="6"/>
      <c r="W57" s="6"/>
      <c r="X57" s="6"/>
      <c r="Y57" s="6"/>
      <c r="Z57" s="6"/>
      <c r="AA57" s="6"/>
      <c r="AB57" s="6">
        <v>1</v>
      </c>
      <c r="AC57" s="6">
        <v>16</v>
      </c>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v>7</v>
      </c>
      <c r="BU57" s="6">
        <v>91</v>
      </c>
      <c r="BV57" s="8">
        <f t="shared" si="0"/>
        <v>9</v>
      </c>
      <c r="BW57" s="8">
        <f t="shared" si="1"/>
        <v>131</v>
      </c>
      <c r="BX57" s="52"/>
      <c r="BY57" s="52"/>
      <c r="BZ57" s="52"/>
    </row>
    <row r="58" spans="1:78" s="27" customFormat="1">
      <c r="A58" s="5" t="s">
        <v>92</v>
      </c>
      <c r="B58" s="6"/>
      <c r="C58" s="6"/>
      <c r="D58" s="6"/>
      <c r="E58" s="6"/>
      <c r="F58" s="6"/>
      <c r="G58" s="6"/>
      <c r="H58" s="6">
        <v>1</v>
      </c>
      <c r="I58" s="6">
        <v>82</v>
      </c>
      <c r="J58" s="6">
        <v>1</v>
      </c>
      <c r="K58" s="6">
        <v>39</v>
      </c>
      <c r="L58" s="6">
        <v>12</v>
      </c>
      <c r="M58" s="6">
        <v>221</v>
      </c>
      <c r="N58" s="6">
        <v>1</v>
      </c>
      <c r="O58" s="6">
        <v>15</v>
      </c>
      <c r="P58" s="6"/>
      <c r="Q58" s="6"/>
      <c r="R58" s="6"/>
      <c r="S58" s="6"/>
      <c r="T58" s="6">
        <v>1</v>
      </c>
      <c r="U58" s="6">
        <v>85</v>
      </c>
      <c r="V58" s="6">
        <v>1</v>
      </c>
      <c r="W58" s="6">
        <v>72</v>
      </c>
      <c r="X58" s="6">
        <v>1</v>
      </c>
      <c r="Y58" s="6">
        <v>207</v>
      </c>
      <c r="Z58" s="6"/>
      <c r="AA58" s="6"/>
      <c r="AB58" s="6">
        <v>8</v>
      </c>
      <c r="AC58" s="6">
        <v>1268</v>
      </c>
      <c r="AD58" s="6">
        <v>3</v>
      </c>
      <c r="AE58" s="6">
        <v>349</v>
      </c>
      <c r="AF58" s="6">
        <v>1</v>
      </c>
      <c r="AG58" s="6">
        <v>74</v>
      </c>
      <c r="AH58" s="6">
        <v>1</v>
      </c>
      <c r="AI58" s="6">
        <v>246</v>
      </c>
      <c r="AJ58" s="6"/>
      <c r="AK58" s="6"/>
      <c r="AL58" s="6"/>
      <c r="AM58" s="6"/>
      <c r="AN58" s="6"/>
      <c r="AO58" s="6"/>
      <c r="AP58" s="6"/>
      <c r="AQ58" s="6"/>
      <c r="AR58" s="6">
        <v>1</v>
      </c>
      <c r="AS58" s="6">
        <v>208</v>
      </c>
      <c r="AT58" s="6"/>
      <c r="AU58" s="6"/>
      <c r="AV58" s="6"/>
      <c r="AW58" s="6"/>
      <c r="AX58" s="6"/>
      <c r="AY58" s="6"/>
      <c r="AZ58" s="6"/>
      <c r="BA58" s="6"/>
      <c r="BB58" s="6"/>
      <c r="BC58" s="6"/>
      <c r="BD58" s="6">
        <v>1</v>
      </c>
      <c r="BE58" s="6">
        <v>64</v>
      </c>
      <c r="BF58" s="6">
        <v>2</v>
      </c>
      <c r="BG58" s="6">
        <v>86</v>
      </c>
      <c r="BH58" s="6">
        <v>1</v>
      </c>
      <c r="BI58" s="6">
        <v>50</v>
      </c>
      <c r="BJ58" s="6"/>
      <c r="BK58" s="6"/>
      <c r="BL58" s="6"/>
      <c r="BM58" s="6"/>
      <c r="BN58" s="6"/>
      <c r="BO58" s="6"/>
      <c r="BP58" s="6"/>
      <c r="BQ58" s="6"/>
      <c r="BR58" s="6"/>
      <c r="BS58" s="6"/>
      <c r="BT58" s="6">
        <v>15</v>
      </c>
      <c r="BU58" s="6">
        <v>251</v>
      </c>
      <c r="BV58" s="8">
        <f t="shared" si="0"/>
        <v>51</v>
      </c>
      <c r="BW58" s="8">
        <f t="shared" si="1"/>
        <v>3317</v>
      </c>
      <c r="BX58" s="52"/>
      <c r="BY58" s="52"/>
      <c r="BZ58" s="52"/>
    </row>
    <row r="59" spans="1:78" s="27" customFormat="1">
      <c r="A59" s="5" t="s">
        <v>93</v>
      </c>
      <c r="B59" s="6">
        <v>8</v>
      </c>
      <c r="C59" s="6">
        <v>378</v>
      </c>
      <c r="D59" s="6">
        <v>9</v>
      </c>
      <c r="E59" s="6">
        <v>773</v>
      </c>
      <c r="F59" s="6">
        <v>4</v>
      </c>
      <c r="G59" s="6">
        <v>664</v>
      </c>
      <c r="H59" s="6"/>
      <c r="I59" s="6"/>
      <c r="J59" s="6">
        <v>1</v>
      </c>
      <c r="K59" s="6">
        <v>18</v>
      </c>
      <c r="L59" s="6">
        <v>4</v>
      </c>
      <c r="M59" s="6">
        <v>116</v>
      </c>
      <c r="N59" s="6">
        <v>1</v>
      </c>
      <c r="O59" s="6">
        <v>20</v>
      </c>
      <c r="P59" s="6"/>
      <c r="Q59" s="6"/>
      <c r="R59" s="6"/>
      <c r="S59" s="6"/>
      <c r="T59" s="6">
        <v>1</v>
      </c>
      <c r="U59" s="6">
        <v>183</v>
      </c>
      <c r="V59" s="6">
        <v>1</v>
      </c>
      <c r="W59" s="6">
        <v>42</v>
      </c>
      <c r="X59" s="6">
        <v>8</v>
      </c>
      <c r="Y59" s="6">
        <v>1388</v>
      </c>
      <c r="Z59" s="6"/>
      <c r="AA59" s="6"/>
      <c r="AB59" s="6">
        <v>10</v>
      </c>
      <c r="AC59" s="6">
        <v>2565</v>
      </c>
      <c r="AD59" s="6">
        <v>1</v>
      </c>
      <c r="AE59" s="6">
        <v>214</v>
      </c>
      <c r="AF59" s="6"/>
      <c r="AG59" s="6"/>
      <c r="AH59" s="6"/>
      <c r="AI59" s="6"/>
      <c r="AJ59" s="6"/>
      <c r="AK59" s="6"/>
      <c r="AL59" s="6"/>
      <c r="AM59" s="6"/>
      <c r="AN59" s="6">
        <v>5</v>
      </c>
      <c r="AO59" s="6">
        <v>1382</v>
      </c>
      <c r="AP59" s="6"/>
      <c r="AQ59" s="6"/>
      <c r="AR59" s="6">
        <v>9</v>
      </c>
      <c r="AS59" s="6">
        <v>3288</v>
      </c>
      <c r="AT59" s="6"/>
      <c r="AU59" s="6"/>
      <c r="AV59" s="6">
        <v>1</v>
      </c>
      <c r="AW59" s="6">
        <v>136</v>
      </c>
      <c r="AX59" s="6"/>
      <c r="AY59" s="6"/>
      <c r="AZ59" s="6"/>
      <c r="BA59" s="6"/>
      <c r="BB59" s="6"/>
      <c r="BC59" s="6"/>
      <c r="BD59" s="6">
        <v>1</v>
      </c>
      <c r="BE59" s="6">
        <v>45</v>
      </c>
      <c r="BF59" s="6"/>
      <c r="BG59" s="6"/>
      <c r="BH59" s="6">
        <v>2</v>
      </c>
      <c r="BI59" s="6">
        <v>164</v>
      </c>
      <c r="BJ59" s="6"/>
      <c r="BK59" s="6"/>
      <c r="BL59" s="6">
        <v>3</v>
      </c>
      <c r="BM59" s="6">
        <v>88</v>
      </c>
      <c r="BN59" s="6">
        <v>2</v>
      </c>
      <c r="BO59" s="6">
        <v>114</v>
      </c>
      <c r="BP59" s="6"/>
      <c r="BQ59" s="6"/>
      <c r="BR59" s="6"/>
      <c r="BS59" s="6"/>
      <c r="BT59" s="6">
        <v>1</v>
      </c>
      <c r="BU59" s="6">
        <v>10</v>
      </c>
      <c r="BV59" s="8">
        <f t="shared" si="0"/>
        <v>72</v>
      </c>
      <c r="BW59" s="8">
        <f t="shared" si="1"/>
        <v>11588</v>
      </c>
      <c r="BX59" s="52"/>
      <c r="BY59" s="52"/>
      <c r="BZ59" s="52"/>
    </row>
    <row r="60" spans="1:78" s="27" customFormat="1">
      <c r="A60" s="5" t="s">
        <v>94</v>
      </c>
      <c r="B60" s="6"/>
      <c r="C60" s="6"/>
      <c r="D60" s="6"/>
      <c r="E60" s="6"/>
      <c r="F60" s="6"/>
      <c r="G60" s="6"/>
      <c r="H60" s="6"/>
      <c r="I60" s="6"/>
      <c r="J60" s="6"/>
      <c r="K60" s="6"/>
      <c r="L60" s="6">
        <v>5</v>
      </c>
      <c r="M60" s="6">
        <v>87</v>
      </c>
      <c r="N60" s="6"/>
      <c r="O60" s="6"/>
      <c r="P60" s="6"/>
      <c r="Q60" s="6"/>
      <c r="R60" s="6"/>
      <c r="S60" s="6"/>
      <c r="T60" s="6"/>
      <c r="U60" s="6"/>
      <c r="V60" s="6"/>
      <c r="W60" s="6"/>
      <c r="X60" s="6"/>
      <c r="Y60" s="6"/>
      <c r="Z60" s="6"/>
      <c r="AA60" s="6"/>
      <c r="AB60" s="6">
        <v>1</v>
      </c>
      <c r="AC60" s="6">
        <v>116</v>
      </c>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v>1</v>
      </c>
      <c r="BE60" s="6">
        <v>32</v>
      </c>
      <c r="BF60" s="6"/>
      <c r="BG60" s="6"/>
      <c r="BH60" s="6"/>
      <c r="BI60" s="6"/>
      <c r="BJ60" s="6"/>
      <c r="BK60" s="6"/>
      <c r="BL60" s="6"/>
      <c r="BM60" s="6"/>
      <c r="BN60" s="6"/>
      <c r="BO60" s="6"/>
      <c r="BP60" s="6"/>
      <c r="BQ60" s="6"/>
      <c r="BR60" s="6"/>
      <c r="BS60" s="6"/>
      <c r="BT60" s="6">
        <v>7</v>
      </c>
      <c r="BU60" s="6">
        <v>99</v>
      </c>
      <c r="BV60" s="8">
        <f t="shared" si="0"/>
        <v>14</v>
      </c>
      <c r="BW60" s="8">
        <f t="shared" si="1"/>
        <v>334</v>
      </c>
      <c r="BX60" s="52"/>
      <c r="BY60" s="52"/>
      <c r="BZ60" s="52"/>
    </row>
    <row r="61" spans="1:78" s="27" customFormat="1">
      <c r="A61" s="5" t="s">
        <v>95</v>
      </c>
      <c r="B61" s="6"/>
      <c r="C61" s="6"/>
      <c r="D61" s="6"/>
      <c r="E61" s="6"/>
      <c r="F61" s="6"/>
      <c r="G61" s="6"/>
      <c r="H61" s="6"/>
      <c r="I61" s="6"/>
      <c r="J61" s="6"/>
      <c r="K61" s="6"/>
      <c r="L61" s="6">
        <v>1</v>
      </c>
      <c r="M61" s="6">
        <v>20</v>
      </c>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v>1</v>
      </c>
      <c r="BE61" s="6">
        <v>68</v>
      </c>
      <c r="BF61" s="6"/>
      <c r="BG61" s="6"/>
      <c r="BH61" s="6"/>
      <c r="BI61" s="6"/>
      <c r="BJ61" s="6"/>
      <c r="BK61" s="6"/>
      <c r="BL61" s="6"/>
      <c r="BM61" s="6"/>
      <c r="BN61" s="6"/>
      <c r="BO61" s="6"/>
      <c r="BP61" s="6"/>
      <c r="BQ61" s="6"/>
      <c r="BR61" s="6"/>
      <c r="BS61" s="6"/>
      <c r="BT61" s="6"/>
      <c r="BU61" s="6"/>
      <c r="BV61" s="8">
        <f t="shared" si="0"/>
        <v>2</v>
      </c>
      <c r="BW61" s="8">
        <f t="shared" si="1"/>
        <v>88</v>
      </c>
      <c r="BX61" s="52"/>
      <c r="BY61" s="52"/>
      <c r="BZ61" s="52"/>
    </row>
    <row r="62" spans="1:78" s="51" customFormat="1">
      <c r="A62" s="11" t="s">
        <v>96</v>
      </c>
      <c r="B62" s="12">
        <f>SUM(B9:B61)</f>
        <v>67</v>
      </c>
      <c r="C62" s="12">
        <f t="shared" ref="C62:BP62" si="2">SUM(C9:C61)</f>
        <v>3170</v>
      </c>
      <c r="D62" s="12">
        <f t="shared" si="2"/>
        <v>114</v>
      </c>
      <c r="E62" s="12">
        <f t="shared" si="2"/>
        <v>11093</v>
      </c>
      <c r="F62" s="12">
        <f t="shared" si="2"/>
        <v>94</v>
      </c>
      <c r="G62" s="12">
        <f t="shared" si="2"/>
        <v>15953</v>
      </c>
      <c r="H62" s="12">
        <f t="shared" si="2"/>
        <v>5</v>
      </c>
      <c r="I62" s="12">
        <f t="shared" si="2"/>
        <v>487</v>
      </c>
      <c r="J62" s="12">
        <f t="shared" si="2"/>
        <v>17</v>
      </c>
      <c r="K62" s="12">
        <f t="shared" si="2"/>
        <v>2427</v>
      </c>
      <c r="L62" s="12">
        <f t="shared" si="2"/>
        <v>284</v>
      </c>
      <c r="M62" s="12">
        <f t="shared" si="2"/>
        <v>5484</v>
      </c>
      <c r="N62" s="12">
        <f t="shared" si="2"/>
        <v>15</v>
      </c>
      <c r="O62" s="12">
        <f t="shared" si="2"/>
        <v>479</v>
      </c>
      <c r="P62" s="12">
        <f t="shared" si="2"/>
        <v>1</v>
      </c>
      <c r="Q62" s="12">
        <f t="shared" si="2"/>
        <v>500</v>
      </c>
      <c r="R62" s="12">
        <f t="shared" si="2"/>
        <v>8</v>
      </c>
      <c r="S62" s="12">
        <f t="shared" si="2"/>
        <v>236</v>
      </c>
      <c r="T62" s="12">
        <f t="shared" si="2"/>
        <v>16</v>
      </c>
      <c r="U62" s="12">
        <f t="shared" si="2"/>
        <v>1188</v>
      </c>
      <c r="V62" s="12">
        <f t="shared" si="2"/>
        <v>32</v>
      </c>
      <c r="W62" s="12">
        <f t="shared" si="2"/>
        <v>4690</v>
      </c>
      <c r="X62" s="12">
        <f t="shared" si="2"/>
        <v>191</v>
      </c>
      <c r="Y62" s="12">
        <f t="shared" si="2"/>
        <v>48316</v>
      </c>
      <c r="Z62" s="12">
        <f t="shared" si="2"/>
        <v>11</v>
      </c>
      <c r="AA62" s="12">
        <f t="shared" si="2"/>
        <v>2757</v>
      </c>
      <c r="AB62" s="12">
        <f t="shared" si="2"/>
        <v>302</v>
      </c>
      <c r="AC62" s="12">
        <f t="shared" si="2"/>
        <v>94269</v>
      </c>
      <c r="AD62" s="12">
        <f t="shared" si="2"/>
        <v>48</v>
      </c>
      <c r="AE62" s="12">
        <f t="shared" si="2"/>
        <v>11378</v>
      </c>
      <c r="AF62" s="12">
        <f t="shared" si="2"/>
        <v>48</v>
      </c>
      <c r="AG62" s="12">
        <f t="shared" si="2"/>
        <v>10156</v>
      </c>
      <c r="AH62" s="12">
        <f t="shared" si="2"/>
        <v>4</v>
      </c>
      <c r="AI62" s="12">
        <f t="shared" si="2"/>
        <v>920</v>
      </c>
      <c r="AJ62" s="12">
        <f t="shared" si="2"/>
        <v>3</v>
      </c>
      <c r="AK62" s="12">
        <f t="shared" si="2"/>
        <v>78</v>
      </c>
      <c r="AL62" s="12">
        <f t="shared" si="2"/>
        <v>11</v>
      </c>
      <c r="AM62" s="12">
        <f t="shared" si="2"/>
        <v>1647</v>
      </c>
      <c r="AN62" s="12">
        <f t="shared" si="2"/>
        <v>53</v>
      </c>
      <c r="AO62" s="12">
        <f t="shared" si="2"/>
        <v>17549</v>
      </c>
      <c r="AP62" s="12">
        <f t="shared" si="2"/>
        <v>7</v>
      </c>
      <c r="AQ62" s="12">
        <f t="shared" si="2"/>
        <v>3712</v>
      </c>
      <c r="AR62" s="12">
        <f t="shared" si="2"/>
        <v>122</v>
      </c>
      <c r="AS62" s="12">
        <f t="shared" si="2"/>
        <v>52926</v>
      </c>
      <c r="AT62" s="12">
        <f t="shared" si="2"/>
        <v>5</v>
      </c>
      <c r="AU62" s="12">
        <f t="shared" si="2"/>
        <v>2080</v>
      </c>
      <c r="AV62" s="12">
        <f t="shared" si="2"/>
        <v>6</v>
      </c>
      <c r="AW62" s="12">
        <f t="shared" si="2"/>
        <v>1622</v>
      </c>
      <c r="AX62" s="12">
        <f t="shared" si="2"/>
        <v>3</v>
      </c>
      <c r="AY62" s="12">
        <f t="shared" si="2"/>
        <v>134</v>
      </c>
      <c r="AZ62" s="12">
        <f t="shared" si="2"/>
        <v>1</v>
      </c>
      <c r="BA62" s="12">
        <f t="shared" si="2"/>
        <v>152</v>
      </c>
      <c r="BB62" s="12">
        <f t="shared" si="2"/>
        <v>1</v>
      </c>
      <c r="BC62" s="12">
        <f t="shared" si="2"/>
        <v>132</v>
      </c>
      <c r="BD62" s="12">
        <f t="shared" si="2"/>
        <v>37</v>
      </c>
      <c r="BE62" s="12">
        <f t="shared" si="2"/>
        <v>1785</v>
      </c>
      <c r="BF62" s="12">
        <f t="shared" si="2"/>
        <v>36</v>
      </c>
      <c r="BG62" s="12">
        <f t="shared" si="2"/>
        <v>1658</v>
      </c>
      <c r="BH62" s="12">
        <f t="shared" si="2"/>
        <v>23</v>
      </c>
      <c r="BI62" s="12">
        <f t="shared" si="2"/>
        <v>1271</v>
      </c>
      <c r="BJ62" s="12">
        <f t="shared" si="2"/>
        <v>2</v>
      </c>
      <c r="BK62" s="12">
        <f t="shared" si="2"/>
        <v>214</v>
      </c>
      <c r="BL62" s="12">
        <f t="shared" si="2"/>
        <v>46</v>
      </c>
      <c r="BM62" s="12">
        <f t="shared" si="2"/>
        <v>1784</v>
      </c>
      <c r="BN62" s="12">
        <f t="shared" si="2"/>
        <v>23</v>
      </c>
      <c r="BO62" s="12">
        <f t="shared" si="2"/>
        <v>877</v>
      </c>
      <c r="BP62" s="12">
        <f t="shared" si="2"/>
        <v>2</v>
      </c>
      <c r="BQ62" s="12">
        <f>SUM(BQ9:BQ61)</f>
        <v>86</v>
      </c>
      <c r="BR62" s="12">
        <f>SUM(BR9:BR61)</f>
        <v>1</v>
      </c>
      <c r="BS62" s="12">
        <f>SUM(BS9:BS61)</f>
        <v>23</v>
      </c>
      <c r="BT62" s="12">
        <f>SUM(BT9:BT61)</f>
        <v>156</v>
      </c>
      <c r="BU62" s="12">
        <f>SUM(BU9:BU61)</f>
        <v>2333</v>
      </c>
      <c r="BV62" s="12">
        <f>B62+D62+F62+H62+J62+L62+N62+P62+R62+T62+V62+X62+Z62+AB62+AD62+AF62+AH62+AJ62+AL62+AN62+AP62+AR62+AT62+AV62+AX62+AZ62+BB62+BD62+BF62+BH62+BJ62+BL62+BN62+BP62+BR62+BT62</f>
        <v>1795</v>
      </c>
      <c r="BW62" s="12">
        <f>C62+E62+G62+I62+K62+M62+O62+Q62+S62+U62+W62+Y62+AA62+AC62+AE62+AG62+AI62+AK62+AM62+AO62+AQ62+AS62+AU62+AW62+AY62+BA62+BC62+BE62+BG62+BI62+BK62+BM62+BO62+BQ62+BS62+BU62</f>
        <v>303566</v>
      </c>
      <c r="BX62" s="52"/>
      <c r="BY62" s="52"/>
      <c r="BZ62" s="52"/>
    </row>
    <row r="63" spans="1:78" s="27" customFormat="1" ht="12.75">
      <c r="A63" s="48" t="s">
        <v>189</v>
      </c>
      <c r="BV63" s="54"/>
      <c r="BW63" s="54"/>
    </row>
    <row r="64" spans="1:78" s="27" customFormat="1" ht="12.75">
      <c r="A64" s="50" t="s">
        <v>190</v>
      </c>
      <c r="BV64" s="54"/>
      <c r="BW64" s="54"/>
    </row>
    <row r="65" spans="1:75" s="55" customFormat="1" ht="12.75">
      <c r="A65" s="50" t="s">
        <v>191</v>
      </c>
      <c r="BV65" s="56"/>
      <c r="BW65" s="57"/>
    </row>
  </sheetData>
  <sheetProtection password="C668" sheet="1"/>
  <mergeCells count="38">
    <mergeCell ref="AX6:AY6"/>
    <mergeCell ref="BV6:BW6"/>
    <mergeCell ref="BJ6:BK6"/>
    <mergeCell ref="BL6:BM6"/>
    <mergeCell ref="BN6:BO6"/>
    <mergeCell ref="BP6:BQ6"/>
    <mergeCell ref="BR6:BS6"/>
    <mergeCell ref="BT6:BU6"/>
    <mergeCell ref="AZ6:BA6"/>
    <mergeCell ref="BB6:BC6"/>
    <mergeCell ref="BD6:BE6"/>
    <mergeCell ref="BF6:BG6"/>
    <mergeCell ref="BH6:BI6"/>
    <mergeCell ref="AN6:AO6"/>
    <mergeCell ref="AP6:AQ6"/>
    <mergeCell ref="AR6:AS6"/>
    <mergeCell ref="AT6:AU6"/>
    <mergeCell ref="AV6:AW6"/>
    <mergeCell ref="AD6:AE6"/>
    <mergeCell ref="AF6:AG6"/>
    <mergeCell ref="AH6:AI6"/>
    <mergeCell ref="AJ6:AK6"/>
    <mergeCell ref="AL6:AM6"/>
    <mergeCell ref="T6:U6"/>
    <mergeCell ref="V6:W6"/>
    <mergeCell ref="X6:Y6"/>
    <mergeCell ref="Z6:AA6"/>
    <mergeCell ref="AB6:AC6"/>
    <mergeCell ref="J6:K6"/>
    <mergeCell ref="L6:M6"/>
    <mergeCell ref="N6:O6"/>
    <mergeCell ref="P6:Q6"/>
    <mergeCell ref="R6:S6"/>
    <mergeCell ref="A6:A8"/>
    <mergeCell ref="B6:C6"/>
    <mergeCell ref="D6:E6"/>
    <mergeCell ref="F6:G6"/>
    <mergeCell ref="H6:I6"/>
  </mergeCells>
  <conditionalFormatting sqref="A9:BU61 BV9:BW62">
    <cfRule type="expression" dxfId="17" priority="1" stopIfTrue="1">
      <formula>MOD(ROW(),2)=0</formula>
    </cfRule>
  </conditionalFormatting>
  <conditionalFormatting sqref="A2:XFD65">
    <cfRule type="expression" priority="3">
      <formula>SI(0," ")</formula>
    </cfRule>
  </conditionalFormatting>
  <conditionalFormatting sqref="J2">
    <cfRule type="expression" priority="2">
      <formula>SI($C$42," ")</formula>
    </cfRule>
  </conditionalFormatting>
  <pageMargins left="0.70866141732283472" right="0.70866141732283472" top="0.74803149606299213" bottom="0.74803149606299213" header="0.31496062992125984" footer="0.31496062992125984"/>
  <pageSetup paperSize="8" scale="70" orientation="landscape" r:id="rId1"/>
  <colBreaks count="4" manualBreakCount="4">
    <brk id="17" max="1048575" man="1"/>
    <brk id="33" max="1048575" man="1"/>
    <brk id="49" max="1048575" man="1"/>
    <brk id="65"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3:N53"/>
  <sheetViews>
    <sheetView showGridLines="0" workbookViewId="0"/>
  </sheetViews>
  <sheetFormatPr baseColWidth="10" defaultRowHeight="15"/>
  <cols>
    <col min="1" max="1" width="25.140625" customWidth="1"/>
    <col min="2" max="2" width="5.7109375" customWidth="1"/>
    <col min="3" max="3" width="17" bestFit="1" customWidth="1"/>
    <col min="4" max="4" width="15.140625" bestFit="1" customWidth="1"/>
    <col min="5" max="5" width="14" bestFit="1" customWidth="1"/>
    <col min="8" max="8" width="25.140625" customWidth="1"/>
    <col min="9" max="9" width="5.7109375" customWidth="1"/>
    <col min="10" max="10" width="17" customWidth="1"/>
    <col min="11" max="11" width="15.140625" customWidth="1"/>
    <col min="12" max="12" width="14" customWidth="1"/>
  </cols>
  <sheetData>
    <row r="3" spans="1:13" s="60" customFormat="1" ht="16.5">
      <c r="A3" s="58" t="s">
        <v>265</v>
      </c>
      <c r="B3" s="59"/>
      <c r="H3" s="59"/>
      <c r="I3" s="59"/>
    </row>
    <row r="4" spans="1:13" s="63" customFormat="1" ht="16.5">
      <c r="A4" s="61" t="s">
        <v>266</v>
      </c>
      <c r="B4" s="62"/>
      <c r="H4" s="62"/>
      <c r="I4" s="62"/>
      <c r="L4" s="64"/>
    </row>
    <row r="5" spans="1:13" s="63" customFormat="1" ht="16.5">
      <c r="A5" s="61" t="s">
        <v>267</v>
      </c>
      <c r="B5" s="62"/>
      <c r="H5" s="62"/>
      <c r="I5" s="62"/>
    </row>
    <row r="6" spans="1:13" s="63" customFormat="1" ht="16.5">
      <c r="A6" s="61"/>
      <c r="B6" s="62"/>
      <c r="H6" s="62"/>
      <c r="I6" s="62"/>
    </row>
    <row r="7" spans="1:13" s="60" customFormat="1" ht="12.75">
      <c r="A7" s="59"/>
      <c r="B7" s="59"/>
      <c r="H7" s="59"/>
      <c r="I7" s="59"/>
    </row>
    <row r="8" spans="1:13" s="60" customFormat="1" ht="12.75">
      <c r="A8" s="130" t="s">
        <v>104</v>
      </c>
      <c r="B8" s="130"/>
      <c r="C8" s="103" t="s">
        <v>105</v>
      </c>
      <c r="D8" s="103" t="s">
        <v>106</v>
      </c>
      <c r="E8" s="103" t="s">
        <v>107</v>
      </c>
      <c r="F8" s="103" t="s">
        <v>108</v>
      </c>
      <c r="G8" s="104"/>
      <c r="H8" s="130" t="s">
        <v>104</v>
      </c>
      <c r="I8" s="130"/>
      <c r="J8" s="103" t="s">
        <v>105</v>
      </c>
      <c r="K8" s="103" t="s">
        <v>106</v>
      </c>
      <c r="L8" s="103" t="s">
        <v>107</v>
      </c>
      <c r="M8" s="103" t="s">
        <v>108</v>
      </c>
    </row>
    <row r="9" spans="1:13" s="63" customFormat="1" ht="12.75">
      <c r="A9" s="131" t="s">
        <v>109</v>
      </c>
      <c r="B9" s="131"/>
      <c r="C9" s="105" t="s">
        <v>110</v>
      </c>
      <c r="D9" s="105" t="s">
        <v>111</v>
      </c>
      <c r="E9" s="105" t="s">
        <v>112</v>
      </c>
      <c r="F9" s="105" t="s">
        <v>113</v>
      </c>
      <c r="G9" s="106"/>
      <c r="H9" s="131" t="s">
        <v>109</v>
      </c>
      <c r="I9" s="131"/>
      <c r="J9" s="105" t="s">
        <v>110</v>
      </c>
      <c r="K9" s="105" t="s">
        <v>111</v>
      </c>
      <c r="L9" s="105" t="s">
        <v>112</v>
      </c>
      <c r="M9" s="105" t="s">
        <v>113</v>
      </c>
    </row>
    <row r="10" spans="1:13" s="63" customFormat="1" ht="12.75">
      <c r="A10" s="131" t="s">
        <v>114</v>
      </c>
      <c r="B10" s="131"/>
      <c r="C10" s="105" t="s">
        <v>115</v>
      </c>
      <c r="D10" s="105" t="s">
        <v>116</v>
      </c>
      <c r="E10" s="105" t="s">
        <v>117</v>
      </c>
      <c r="F10" s="105" t="s">
        <v>118</v>
      </c>
      <c r="G10" s="106"/>
      <c r="H10" s="131" t="s">
        <v>114</v>
      </c>
      <c r="I10" s="131"/>
      <c r="J10" s="105" t="s">
        <v>115</v>
      </c>
      <c r="K10" s="105" t="s">
        <v>116</v>
      </c>
      <c r="L10" s="105" t="s">
        <v>117</v>
      </c>
      <c r="M10" s="105" t="s">
        <v>118</v>
      </c>
    </row>
    <row r="11" spans="1:13" s="60" customFormat="1">
      <c r="A11" s="132" t="s">
        <v>119</v>
      </c>
      <c r="B11" s="132"/>
      <c r="C11" s="66">
        <v>70</v>
      </c>
      <c r="D11" s="66">
        <v>1037</v>
      </c>
      <c r="E11" s="66">
        <v>3292</v>
      </c>
      <c r="F11" s="67">
        <f>E11/E$17</f>
        <v>9.7238221828385762E-2</v>
      </c>
      <c r="G11" s="68"/>
      <c r="H11" s="132" t="s">
        <v>25</v>
      </c>
      <c r="I11" s="132"/>
      <c r="J11" s="66">
        <v>3</v>
      </c>
      <c r="K11" s="66">
        <v>33</v>
      </c>
      <c r="L11" s="66">
        <v>78</v>
      </c>
      <c r="M11" s="67">
        <f>L11/L$19</f>
        <v>9.6147919876733441E-4</v>
      </c>
    </row>
    <row r="12" spans="1:13" s="60" customFormat="1">
      <c r="A12" s="132" t="s">
        <v>120</v>
      </c>
      <c r="B12" s="132"/>
      <c r="C12" s="66">
        <v>114</v>
      </c>
      <c r="D12" s="66">
        <v>3881</v>
      </c>
      <c r="E12" s="66">
        <v>11049</v>
      </c>
      <c r="F12" s="67">
        <f>E12/E$17</f>
        <v>0.32636242800177229</v>
      </c>
      <c r="G12" s="68"/>
      <c r="H12" s="132" t="s">
        <v>26</v>
      </c>
      <c r="I12" s="132"/>
      <c r="J12" s="66">
        <v>9</v>
      </c>
      <c r="K12" s="66">
        <v>666</v>
      </c>
      <c r="L12" s="66">
        <v>1452</v>
      </c>
      <c r="M12" s="67">
        <f t="shared" ref="M12:M17" si="0">L12/L$19</f>
        <v>1.7898305084745762E-2</v>
      </c>
    </row>
    <row r="13" spans="1:13" s="60" customFormat="1">
      <c r="A13" s="132" t="s">
        <v>121</v>
      </c>
      <c r="B13" s="132"/>
      <c r="C13" s="66">
        <v>94</v>
      </c>
      <c r="D13" s="66">
        <v>6412</v>
      </c>
      <c r="E13" s="66">
        <v>16492</v>
      </c>
      <c r="F13" s="67">
        <f>E13/E$17</f>
        <v>0.48713631664451335</v>
      </c>
      <c r="G13" s="68"/>
      <c r="H13" s="132" t="s">
        <v>27</v>
      </c>
      <c r="I13" s="132"/>
      <c r="J13" s="66">
        <v>61</v>
      </c>
      <c r="K13" s="66">
        <v>9680</v>
      </c>
      <c r="L13" s="66">
        <v>21667</v>
      </c>
      <c r="M13" s="67">
        <f t="shared" si="0"/>
        <v>0.26708166409861323</v>
      </c>
    </row>
    <row r="14" spans="1:13" s="60" customFormat="1">
      <c r="A14" s="132" t="s">
        <v>251</v>
      </c>
      <c r="B14" s="132"/>
      <c r="C14" s="66">
        <v>4</v>
      </c>
      <c r="D14" s="66">
        <v>159</v>
      </c>
      <c r="E14" s="66">
        <v>395</v>
      </c>
      <c r="F14" s="67">
        <f>E14/E$17</f>
        <v>1.166740511002806E-2</v>
      </c>
      <c r="G14" s="68"/>
      <c r="H14" s="132" t="s">
        <v>209</v>
      </c>
      <c r="I14" s="132"/>
      <c r="J14" s="66">
        <v>7</v>
      </c>
      <c r="K14" s="66">
        <v>1262</v>
      </c>
      <c r="L14" s="66">
        <v>3712</v>
      </c>
      <c r="M14" s="67">
        <f t="shared" si="0"/>
        <v>4.575654853620955E-2</v>
      </c>
    </row>
    <row r="15" spans="1:13" s="60" customFormat="1">
      <c r="A15" s="132" t="s">
        <v>122</v>
      </c>
      <c r="B15" s="132"/>
      <c r="C15" s="66">
        <v>17</v>
      </c>
      <c r="D15" s="66">
        <v>817</v>
      </c>
      <c r="E15" s="66">
        <v>2627</v>
      </c>
      <c r="F15" s="67">
        <f>E15/E$17</f>
        <v>7.7595628415300544E-2</v>
      </c>
      <c r="G15" s="68"/>
      <c r="H15" s="132" t="s">
        <v>28</v>
      </c>
      <c r="I15" s="132"/>
      <c r="J15" s="66">
        <v>116</v>
      </c>
      <c r="K15" s="66">
        <v>22278</v>
      </c>
      <c r="L15" s="66">
        <v>49546</v>
      </c>
      <c r="M15" s="67">
        <f t="shared" si="0"/>
        <v>0.61073651771956861</v>
      </c>
    </row>
    <row r="16" spans="1:13" s="60" customFormat="1">
      <c r="A16" s="132" t="s">
        <v>268</v>
      </c>
      <c r="B16" s="132"/>
      <c r="C16" s="66"/>
      <c r="D16" s="66"/>
      <c r="E16" s="66"/>
      <c r="F16" s="67"/>
      <c r="G16" s="68"/>
      <c r="H16" s="132" t="s">
        <v>210</v>
      </c>
      <c r="I16" s="132"/>
      <c r="J16" s="66">
        <v>6</v>
      </c>
      <c r="K16" s="66">
        <v>1508</v>
      </c>
      <c r="L16" s="66">
        <v>3048</v>
      </c>
      <c r="M16" s="67">
        <f t="shared" si="0"/>
        <v>3.757164869029276E-2</v>
      </c>
    </row>
    <row r="17" spans="1:14" s="60" customFormat="1">
      <c r="A17" s="133" t="s">
        <v>123</v>
      </c>
      <c r="B17" s="133"/>
      <c r="C17" s="69">
        <f>SUM(C11:C15)</f>
        <v>299</v>
      </c>
      <c r="D17" s="69">
        <f>SUM(D11:D15)</f>
        <v>12306</v>
      </c>
      <c r="E17" s="69">
        <f>SUM(E11:E15)</f>
        <v>33855</v>
      </c>
      <c r="F17" s="70">
        <f>SUM(F11:F15)</f>
        <v>1</v>
      </c>
      <c r="G17" s="68"/>
      <c r="H17" s="132" t="s">
        <v>29</v>
      </c>
      <c r="I17" s="132"/>
      <c r="J17" s="66">
        <v>6</v>
      </c>
      <c r="K17" s="66">
        <v>805</v>
      </c>
      <c r="L17" s="66">
        <v>1622</v>
      </c>
      <c r="M17" s="67">
        <f t="shared" si="0"/>
        <v>1.9993836671802774E-2</v>
      </c>
    </row>
    <row r="18" spans="1:14" s="60" customFormat="1">
      <c r="A18" s="132"/>
      <c r="B18" s="132"/>
      <c r="C18" s="66"/>
      <c r="D18" s="66"/>
      <c r="E18" s="66"/>
      <c r="F18" s="67"/>
      <c r="G18" s="68"/>
      <c r="H18" s="132" t="s">
        <v>211</v>
      </c>
      <c r="I18" s="132"/>
      <c r="J18" s="66"/>
      <c r="K18" s="66"/>
      <c r="L18" s="66"/>
      <c r="M18" s="67"/>
    </row>
    <row r="19" spans="1:14" s="60" customFormat="1">
      <c r="A19" s="133" t="s">
        <v>7</v>
      </c>
      <c r="B19" s="133"/>
      <c r="C19" s="69">
        <v>38</v>
      </c>
      <c r="D19" s="69">
        <v>859</v>
      </c>
      <c r="E19" s="69">
        <v>1697</v>
      </c>
      <c r="F19" s="70">
        <v>1</v>
      </c>
      <c r="G19" s="68"/>
      <c r="H19" s="133" t="s">
        <v>124</v>
      </c>
      <c r="I19" s="133"/>
      <c r="J19" s="69">
        <f>SUM(J11:J18)</f>
        <v>208</v>
      </c>
      <c r="K19" s="69">
        <f>SUM(K11:K18)</f>
        <v>36232</v>
      </c>
      <c r="L19" s="69">
        <f>SUM(L11:L18)</f>
        <v>81125</v>
      </c>
      <c r="M19" s="70">
        <f>SUM(M11:M18)</f>
        <v>1</v>
      </c>
    </row>
    <row r="20" spans="1:14" s="60" customFormat="1">
      <c r="A20" s="133" t="s">
        <v>167</v>
      </c>
      <c r="B20" s="133"/>
      <c r="C20" s="69">
        <v>286</v>
      </c>
      <c r="D20" s="69">
        <v>2515</v>
      </c>
      <c r="E20" s="69">
        <v>5503</v>
      </c>
      <c r="F20" s="70">
        <v>1</v>
      </c>
      <c r="G20" s="68"/>
      <c r="H20" s="66"/>
      <c r="I20" s="66"/>
      <c r="J20" s="66"/>
      <c r="K20" s="66"/>
      <c r="L20" s="66"/>
      <c r="M20" s="66"/>
    </row>
    <row r="21" spans="1:14" s="60" customFormat="1">
      <c r="A21" s="133" t="s">
        <v>8</v>
      </c>
      <c r="B21" s="133"/>
      <c r="C21" s="69">
        <v>161</v>
      </c>
      <c r="D21" s="69">
        <v>1110</v>
      </c>
      <c r="E21" s="69">
        <v>2339</v>
      </c>
      <c r="F21" s="70">
        <v>1</v>
      </c>
      <c r="G21" s="68"/>
      <c r="H21" s="132" t="s">
        <v>30</v>
      </c>
      <c r="I21" s="132"/>
      <c r="J21" s="66"/>
      <c r="K21" s="66"/>
      <c r="L21" s="66"/>
      <c r="M21" s="67"/>
      <c r="N21" s="79"/>
    </row>
    <row r="22" spans="1:14" s="60" customFormat="1">
      <c r="A22" s="133" t="s">
        <v>207</v>
      </c>
      <c r="B22" s="133"/>
      <c r="C22" s="69">
        <v>1</v>
      </c>
      <c r="D22" s="69"/>
      <c r="E22" s="69">
        <v>500</v>
      </c>
      <c r="F22" s="70">
        <v>1</v>
      </c>
      <c r="G22" s="68"/>
      <c r="H22" s="132" t="s">
        <v>31</v>
      </c>
      <c r="I22" s="132"/>
      <c r="J22" s="66"/>
      <c r="K22" s="66"/>
      <c r="L22" s="66"/>
      <c r="M22" s="67"/>
    </row>
    <row r="23" spans="1:14" s="60" customFormat="1">
      <c r="A23" s="132"/>
      <c r="B23" s="132"/>
      <c r="C23" s="66"/>
      <c r="D23" s="66"/>
      <c r="E23" s="66"/>
      <c r="F23" s="67"/>
      <c r="G23" s="68"/>
      <c r="H23" s="132" t="s">
        <v>32</v>
      </c>
      <c r="I23" s="132"/>
      <c r="J23" s="66"/>
      <c r="K23" s="66"/>
      <c r="L23" s="66"/>
      <c r="M23" s="67"/>
    </row>
    <row r="24" spans="1:14" s="60" customFormat="1">
      <c r="A24" s="132" t="s">
        <v>12</v>
      </c>
      <c r="B24" s="132"/>
      <c r="C24" s="66"/>
      <c r="D24" s="66"/>
      <c r="E24" s="66"/>
      <c r="F24" s="67"/>
      <c r="G24" s="68"/>
      <c r="H24" s="132" t="s">
        <v>33</v>
      </c>
      <c r="I24" s="132"/>
      <c r="J24" s="66"/>
      <c r="K24" s="66"/>
      <c r="L24" s="66"/>
      <c r="M24" s="67"/>
    </row>
    <row r="25" spans="1:14" s="60" customFormat="1">
      <c r="A25" s="132" t="s">
        <v>13</v>
      </c>
      <c r="B25" s="132"/>
      <c r="C25" s="66"/>
      <c r="D25" s="66"/>
      <c r="E25" s="66"/>
      <c r="F25" s="67"/>
      <c r="G25" s="68"/>
      <c r="H25" s="133" t="s">
        <v>125</v>
      </c>
      <c r="I25" s="133"/>
      <c r="J25" s="69"/>
      <c r="K25" s="69"/>
      <c r="L25" s="69"/>
      <c r="M25" s="70"/>
    </row>
    <row r="26" spans="1:14" s="60" customFormat="1">
      <c r="A26" s="132" t="s">
        <v>14</v>
      </c>
      <c r="B26" s="132"/>
      <c r="C26" s="66"/>
      <c r="D26" s="66"/>
      <c r="E26" s="66"/>
      <c r="F26" s="67"/>
      <c r="G26" s="68"/>
      <c r="H26" s="134"/>
      <c r="I26" s="134"/>
      <c r="J26" s="71"/>
      <c r="K26" s="71"/>
      <c r="L26" s="71"/>
      <c r="M26" s="72"/>
      <c r="N26" s="79"/>
    </row>
    <row r="27" spans="1:14" s="60" customFormat="1">
      <c r="A27" s="133" t="s">
        <v>129</v>
      </c>
      <c r="B27" s="133"/>
      <c r="C27" s="69"/>
      <c r="D27" s="69"/>
      <c r="E27" s="69"/>
      <c r="F27" s="70"/>
      <c r="G27" s="68"/>
      <c r="H27" s="132" t="s">
        <v>35</v>
      </c>
      <c r="I27" s="132"/>
      <c r="J27" s="66">
        <v>37</v>
      </c>
      <c r="K27" s="66">
        <v>912</v>
      </c>
      <c r="L27" s="66">
        <v>1707</v>
      </c>
      <c r="M27" s="67">
        <f>L27/L$30</f>
        <v>0.506979506979507</v>
      </c>
    </row>
    <row r="28" spans="1:14" s="60" customFormat="1">
      <c r="A28" s="132"/>
      <c r="B28" s="132"/>
      <c r="C28" s="66"/>
      <c r="D28" s="66"/>
      <c r="E28" s="66"/>
      <c r="F28" s="67"/>
      <c r="G28" s="68"/>
      <c r="H28" s="132" t="s">
        <v>36</v>
      </c>
      <c r="I28" s="132"/>
      <c r="J28" s="66">
        <v>25</v>
      </c>
      <c r="K28" s="66">
        <v>769</v>
      </c>
      <c r="L28" s="66">
        <v>1446</v>
      </c>
      <c r="M28" s="67">
        <f>L28/L$30</f>
        <v>0.42946242946242946</v>
      </c>
    </row>
    <row r="29" spans="1:14" s="60" customFormat="1">
      <c r="A29" s="132" t="s">
        <v>15</v>
      </c>
      <c r="B29" s="132"/>
      <c r="C29" s="66">
        <v>19</v>
      </c>
      <c r="D29" s="66">
        <v>837</v>
      </c>
      <c r="E29" s="66">
        <v>1573</v>
      </c>
      <c r="F29" s="67">
        <f>E29/E$37</f>
        <v>9.323967872914259E-3</v>
      </c>
      <c r="G29" s="68"/>
      <c r="H29" s="132" t="s">
        <v>37</v>
      </c>
      <c r="I29" s="132"/>
      <c r="J29" s="66">
        <v>2</v>
      </c>
      <c r="K29" s="66">
        <v>116</v>
      </c>
      <c r="L29" s="66">
        <v>214</v>
      </c>
      <c r="M29" s="67">
        <f>L29/L$30</f>
        <v>6.3558063558063552E-2</v>
      </c>
    </row>
    <row r="30" spans="1:14" s="60" customFormat="1">
      <c r="A30" s="132" t="s">
        <v>16</v>
      </c>
      <c r="B30" s="132"/>
      <c r="C30" s="66">
        <v>35</v>
      </c>
      <c r="D30" s="66">
        <v>2579</v>
      </c>
      <c r="E30" s="66">
        <v>4882</v>
      </c>
      <c r="F30" s="67">
        <f t="shared" ref="F30:F36" si="1">E30/E$37</f>
        <v>2.8938087193622002E-2</v>
      </c>
      <c r="G30" s="68"/>
      <c r="H30" s="133" t="s">
        <v>128</v>
      </c>
      <c r="I30" s="133"/>
      <c r="J30" s="69">
        <f>SUM(J27:J29)</f>
        <v>64</v>
      </c>
      <c r="K30" s="69">
        <f>SUM(K27:K29)</f>
        <v>1797</v>
      </c>
      <c r="L30" s="69">
        <f>SUM(L27:L29)</f>
        <v>3367</v>
      </c>
      <c r="M30" s="70">
        <f>SUM(M27:M29)</f>
        <v>1</v>
      </c>
    </row>
    <row r="31" spans="1:14" s="60" customFormat="1">
      <c r="A31" s="132" t="s">
        <v>17</v>
      </c>
      <c r="B31" s="132"/>
      <c r="C31" s="66">
        <v>200</v>
      </c>
      <c r="D31" s="66">
        <v>27973</v>
      </c>
      <c r="E31" s="66">
        <v>52989</v>
      </c>
      <c r="F31" s="67">
        <f t="shared" si="1"/>
        <v>0.31409264692806971</v>
      </c>
      <c r="G31" s="68"/>
      <c r="H31" s="134"/>
      <c r="I31" s="134"/>
      <c r="J31" s="71"/>
      <c r="K31" s="71"/>
      <c r="L31" s="71"/>
      <c r="M31" s="72"/>
    </row>
    <row r="32" spans="1:14" s="60" customFormat="1">
      <c r="A32" s="132" t="s">
        <v>208</v>
      </c>
      <c r="B32" s="132"/>
      <c r="C32" s="66">
        <v>9</v>
      </c>
      <c r="D32" s="66">
        <v>1212</v>
      </c>
      <c r="E32" s="66">
        <v>2317</v>
      </c>
      <c r="F32" s="67">
        <f t="shared" si="1"/>
        <v>1.3734032779111466E-2</v>
      </c>
      <c r="G32" s="68"/>
      <c r="H32" s="132" t="s">
        <v>38</v>
      </c>
      <c r="I32" s="132"/>
      <c r="J32" s="66">
        <v>46</v>
      </c>
      <c r="K32" s="66">
        <v>954</v>
      </c>
      <c r="L32" s="66">
        <v>1784</v>
      </c>
      <c r="M32" s="67">
        <f>L32/L$35</f>
        <v>0.62839027826699545</v>
      </c>
    </row>
    <row r="33" spans="1:13" s="60" customFormat="1">
      <c r="A33" s="132" t="s">
        <v>168</v>
      </c>
      <c r="B33" s="132"/>
      <c r="C33" s="66">
        <v>277</v>
      </c>
      <c r="D33" s="66">
        <v>44898</v>
      </c>
      <c r="E33" s="66">
        <v>86532</v>
      </c>
      <c r="F33" s="67">
        <f t="shared" si="1"/>
        <v>0.51291900062238815</v>
      </c>
      <c r="G33" s="68"/>
      <c r="H33" s="132" t="s">
        <v>39</v>
      </c>
      <c r="I33" s="132"/>
      <c r="J33" s="66">
        <v>25</v>
      </c>
      <c r="K33" s="66">
        <v>521</v>
      </c>
      <c r="L33" s="66">
        <v>969</v>
      </c>
      <c r="M33" s="67">
        <f>L33/L$35</f>
        <v>0.3413173652694611</v>
      </c>
    </row>
    <row r="34" spans="1:13" s="60" customFormat="1">
      <c r="A34" s="132" t="s">
        <v>200</v>
      </c>
      <c r="B34" s="132"/>
      <c r="C34" s="66">
        <v>44</v>
      </c>
      <c r="D34" s="66">
        <v>5230</v>
      </c>
      <c r="E34" s="66">
        <v>10337</v>
      </c>
      <c r="F34" s="67">
        <f t="shared" si="1"/>
        <v>6.1272635665807179E-2</v>
      </c>
      <c r="G34" s="68"/>
      <c r="H34" s="132" t="s">
        <v>40</v>
      </c>
      <c r="I34" s="132"/>
      <c r="J34" s="66">
        <v>2</v>
      </c>
      <c r="K34" s="66">
        <v>46</v>
      </c>
      <c r="L34" s="66">
        <v>86</v>
      </c>
      <c r="M34" s="67">
        <f>L34/L$35</f>
        <v>3.0292356463543502E-2</v>
      </c>
    </row>
    <row r="35" spans="1:13" s="60" customFormat="1">
      <c r="A35" s="132" t="s">
        <v>19</v>
      </c>
      <c r="B35" s="132"/>
      <c r="C35" s="66">
        <v>44</v>
      </c>
      <c r="D35" s="66">
        <v>4422</v>
      </c>
      <c r="E35" s="66">
        <v>9151</v>
      </c>
      <c r="F35" s="67">
        <f t="shared" si="1"/>
        <v>5.4242612844906793E-2</v>
      </c>
      <c r="G35" s="68"/>
      <c r="H35" s="133" t="s">
        <v>130</v>
      </c>
      <c r="I35" s="133"/>
      <c r="J35" s="69">
        <f>SUM(J32:J34)</f>
        <v>73</v>
      </c>
      <c r="K35" s="69">
        <f>SUM(K32:K34)</f>
        <v>1521</v>
      </c>
      <c r="L35" s="69">
        <f>SUM(L32:L34)</f>
        <v>2839</v>
      </c>
      <c r="M35" s="70">
        <f>SUM(M32:M34)</f>
        <v>1</v>
      </c>
    </row>
    <row r="36" spans="1:13" s="60" customFormat="1">
      <c r="A36" s="132" t="s">
        <v>169</v>
      </c>
      <c r="B36" s="135"/>
      <c r="C36" s="66">
        <v>4</v>
      </c>
      <c r="D36" s="66">
        <v>458</v>
      </c>
      <c r="E36" s="66">
        <v>924</v>
      </c>
      <c r="F36" s="67">
        <f t="shared" si="1"/>
        <v>5.4770160931804038E-3</v>
      </c>
      <c r="G36" s="68"/>
      <c r="H36" s="136"/>
      <c r="I36" s="136"/>
      <c r="J36" s="73"/>
      <c r="K36" s="73"/>
      <c r="L36" s="73"/>
      <c r="M36" s="74"/>
    </row>
    <row r="37" spans="1:13" s="60" customFormat="1">
      <c r="A37" s="133" t="s">
        <v>131</v>
      </c>
      <c r="B37" s="133"/>
      <c r="C37" s="69">
        <f>SUM(C29:C36)</f>
        <v>632</v>
      </c>
      <c r="D37" s="69">
        <f>SUM(D29:D36)</f>
        <v>87609</v>
      </c>
      <c r="E37" s="69">
        <f>SUM(E29:E36)</f>
        <v>168705</v>
      </c>
      <c r="F37" s="70">
        <f>SUM(F29:F36)</f>
        <v>1</v>
      </c>
      <c r="G37" s="68"/>
      <c r="H37" s="133" t="s">
        <v>42</v>
      </c>
      <c r="I37" s="133"/>
      <c r="J37" s="69">
        <v>16</v>
      </c>
      <c r="K37" s="69">
        <v>272</v>
      </c>
      <c r="L37" s="69">
        <v>527</v>
      </c>
      <c r="M37" s="70">
        <v>1</v>
      </c>
    </row>
    <row r="38" spans="1:13" s="60" customFormat="1">
      <c r="A38" s="134"/>
      <c r="B38" s="134"/>
      <c r="C38" s="71"/>
      <c r="D38" s="71"/>
      <c r="E38" s="71"/>
      <c r="F38" s="72"/>
      <c r="G38" s="68"/>
      <c r="H38" s="133" t="s">
        <v>43</v>
      </c>
      <c r="I38" s="133"/>
      <c r="J38" s="69">
        <v>8</v>
      </c>
      <c r="K38" s="69">
        <v>136</v>
      </c>
      <c r="L38" s="69">
        <v>236</v>
      </c>
      <c r="M38" s="70">
        <v>1</v>
      </c>
    </row>
    <row r="39" spans="1:13" s="60" customFormat="1">
      <c r="A39" s="132" t="s">
        <v>20</v>
      </c>
      <c r="B39" s="132"/>
      <c r="C39" s="66"/>
      <c r="D39" s="66"/>
      <c r="E39" s="66"/>
      <c r="F39" s="67"/>
      <c r="G39" s="68"/>
      <c r="H39" s="133" t="s">
        <v>44</v>
      </c>
      <c r="I39" s="133"/>
      <c r="J39" s="69">
        <v>1</v>
      </c>
      <c r="K39" s="69">
        <v>12</v>
      </c>
      <c r="L39" s="69">
        <v>23</v>
      </c>
      <c r="M39" s="70">
        <v>1</v>
      </c>
    </row>
    <row r="40" spans="1:13" s="60" customFormat="1">
      <c r="A40" s="132" t="s">
        <v>21</v>
      </c>
      <c r="B40" s="132"/>
      <c r="C40" s="66">
        <v>1</v>
      </c>
      <c r="D40" s="66">
        <v>80</v>
      </c>
      <c r="E40" s="66">
        <v>152</v>
      </c>
      <c r="F40" s="67">
        <f>E40/E$44</f>
        <v>0.53521126760563376</v>
      </c>
      <c r="G40" s="68"/>
      <c r="H40" s="133" t="s">
        <v>273</v>
      </c>
      <c r="I40" s="133"/>
      <c r="J40" s="69">
        <v>3</v>
      </c>
      <c r="K40" s="69">
        <v>68</v>
      </c>
      <c r="L40" s="69">
        <v>134</v>
      </c>
      <c r="M40" s="70">
        <v>1</v>
      </c>
    </row>
    <row r="41" spans="1:13" s="60" customFormat="1">
      <c r="A41" s="132" t="s">
        <v>22</v>
      </c>
      <c r="B41" s="132"/>
      <c r="C41" s="66"/>
      <c r="D41" s="66"/>
      <c r="E41" s="66"/>
      <c r="F41" s="67"/>
      <c r="G41" s="68"/>
      <c r="H41" s="66"/>
      <c r="I41" s="66"/>
      <c r="J41" s="65"/>
      <c r="K41" s="65"/>
      <c r="L41" s="65"/>
      <c r="M41" s="65"/>
    </row>
    <row r="42" spans="1:13" s="60" customFormat="1">
      <c r="A42" s="132" t="s">
        <v>172</v>
      </c>
      <c r="B42" s="132"/>
      <c r="C42" s="66"/>
      <c r="D42" s="66"/>
      <c r="E42" s="66"/>
      <c r="F42" s="67"/>
      <c r="G42" s="68"/>
      <c r="H42" s="133" t="s">
        <v>45</v>
      </c>
      <c r="I42" s="133"/>
      <c r="J42" s="69">
        <f>C17+C19+C20+C21+C22+C27+C37+C44+J25+J30+J35+J19+J37+J38+J39+J40</f>
        <v>1792</v>
      </c>
      <c r="K42" s="69">
        <f>D17+D19+D20+D21+D22+D27+D37+D44+K25+K30+K35+K19+K37+K38+K39+K40</f>
        <v>144584</v>
      </c>
      <c r="L42" s="69">
        <f>E17+E19+E20+E21+E22+E27+E37+E44+L25+L30+L35+L19+L37+L38+L39+L40</f>
        <v>301134</v>
      </c>
      <c r="M42" s="65"/>
    </row>
    <row r="43" spans="1:13" s="60" customFormat="1">
      <c r="A43" s="132" t="s">
        <v>24</v>
      </c>
      <c r="B43" s="132"/>
      <c r="C43" s="66">
        <v>1</v>
      </c>
      <c r="D43" s="66">
        <v>67</v>
      </c>
      <c r="E43" s="66">
        <v>132</v>
      </c>
      <c r="F43" s="67">
        <f>E43/E$44</f>
        <v>0.46478873239436619</v>
      </c>
      <c r="G43" s="68"/>
    </row>
    <row r="44" spans="1:13" s="60" customFormat="1">
      <c r="A44" s="133" t="s">
        <v>132</v>
      </c>
      <c r="B44" s="133"/>
      <c r="C44" s="69">
        <f>SUM(C39:C43)</f>
        <v>2</v>
      </c>
      <c r="D44" s="69">
        <f>SUM(D39:D43)</f>
        <v>147</v>
      </c>
      <c r="E44" s="69">
        <f>SUM(E39:E43)</f>
        <v>284</v>
      </c>
      <c r="F44" s="70">
        <f>SUM(F39:F43)</f>
        <v>1</v>
      </c>
      <c r="G44" s="68"/>
    </row>
    <row r="45" spans="1:13" s="60" customFormat="1" ht="12.75"/>
    <row r="46" spans="1:13" s="60" customFormat="1" ht="12.75"/>
    <row r="47" spans="1:13" s="60" customFormat="1" ht="12.75">
      <c r="C47" s="85"/>
      <c r="D47" s="85"/>
    </row>
    <row r="48" spans="1:13" s="60" customFormat="1" ht="12.75"/>
    <row r="49" spans="1:13" s="60" customFormat="1" ht="12.75"/>
    <row r="50" spans="1:13" s="60" customFormat="1" ht="12.75"/>
    <row r="51" spans="1:13" s="60" customFormat="1">
      <c r="H51"/>
      <c r="I51"/>
      <c r="J51"/>
      <c r="K51"/>
      <c r="L51"/>
      <c r="M51"/>
    </row>
    <row r="52" spans="1:13" s="60" customFormat="1">
      <c r="H52"/>
      <c r="I52"/>
      <c r="J52"/>
      <c r="K52"/>
      <c r="L52"/>
      <c r="M52"/>
    </row>
    <row r="53" spans="1:13">
      <c r="A53" s="60"/>
      <c r="B53" s="60"/>
      <c r="C53" s="60"/>
      <c r="D53" s="60"/>
      <c r="E53" s="60"/>
      <c r="F53" s="60"/>
    </row>
  </sheetData>
  <sheetProtection algorithmName="SHA-512" hashValue="qyKj+dCoCbvk2XNIc4R0l8OdQ0K9+UhfXCTbd2GmpZgXzpmkeEKjARDpDS/rFaayBiG7pmgARS6wUn0K38jzAA==" saltValue="dosFwaUVJ9Bo8NbHLXJ/lw==" spinCount="100000" sheet="1"/>
  <mergeCells count="70">
    <mergeCell ref="A8:B8"/>
    <mergeCell ref="H8:I8"/>
    <mergeCell ref="A9:B9"/>
    <mergeCell ref="H9:I9"/>
    <mergeCell ref="A10:B10"/>
    <mergeCell ref="H10:I10"/>
    <mergeCell ref="A11:B11"/>
    <mergeCell ref="H21:I21"/>
    <mergeCell ref="A12:B12"/>
    <mergeCell ref="H22:I22"/>
    <mergeCell ref="A13:B13"/>
    <mergeCell ref="A14:B14"/>
    <mergeCell ref="H11:I11"/>
    <mergeCell ref="H12:I12"/>
    <mergeCell ref="H13:I13"/>
    <mergeCell ref="A15:B15"/>
    <mergeCell ref="A17:B17"/>
    <mergeCell ref="H14:I14"/>
    <mergeCell ref="H15:I15"/>
    <mergeCell ref="A18:B18"/>
    <mergeCell ref="H17:I17"/>
    <mergeCell ref="A19:B19"/>
    <mergeCell ref="A16:B16"/>
    <mergeCell ref="A20:B20"/>
    <mergeCell ref="H18:I18"/>
    <mergeCell ref="H16:I16"/>
    <mergeCell ref="A31:B31"/>
    <mergeCell ref="H31:I31"/>
    <mergeCell ref="H19:I19"/>
    <mergeCell ref="H24:I24"/>
    <mergeCell ref="A22:B22"/>
    <mergeCell ref="A23:B23"/>
    <mergeCell ref="A24:B24"/>
    <mergeCell ref="A27:B27"/>
    <mergeCell ref="H26:I26"/>
    <mergeCell ref="H25:I25"/>
    <mergeCell ref="A21:B21"/>
    <mergeCell ref="H23:I23"/>
    <mergeCell ref="A32:B32"/>
    <mergeCell ref="A36:B36"/>
    <mergeCell ref="H32:I32"/>
    <mergeCell ref="A25:B25"/>
    <mergeCell ref="H33:I33"/>
    <mergeCell ref="A26:B26"/>
    <mergeCell ref="A28:B28"/>
    <mergeCell ref="H27:I27"/>
    <mergeCell ref="A29:B29"/>
    <mergeCell ref="H28:I28"/>
    <mergeCell ref="A33:B33"/>
    <mergeCell ref="H29:I29"/>
    <mergeCell ref="H30:I30"/>
    <mergeCell ref="H35:I35"/>
    <mergeCell ref="H36:I36"/>
    <mergeCell ref="A30:B30"/>
    <mergeCell ref="A34:B34"/>
    <mergeCell ref="H34:I34"/>
    <mergeCell ref="A35:B35"/>
    <mergeCell ref="A38:B38"/>
    <mergeCell ref="A37:B37"/>
    <mergeCell ref="A44:B44"/>
    <mergeCell ref="H42:I42"/>
    <mergeCell ref="A39:B39"/>
    <mergeCell ref="H37:I37"/>
    <mergeCell ref="A40:B40"/>
    <mergeCell ref="H39:I39"/>
    <mergeCell ref="H40:I40"/>
    <mergeCell ref="A42:B42"/>
    <mergeCell ref="H38:I38"/>
    <mergeCell ref="A41:B41"/>
    <mergeCell ref="A43:B43"/>
  </mergeCells>
  <pageMargins left="0.7" right="0.7" top="0.75" bottom="0.75" header="0.3" footer="0.3"/>
  <pageSetup paperSize="9" scale="6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CZ65"/>
  <sheetViews>
    <sheetView showGridLines="0" zoomScaleNormal="100" workbookViewId="0"/>
  </sheetViews>
  <sheetFormatPr baseColWidth="10" defaultRowHeight="15"/>
  <cols>
    <col min="1" max="1" width="79.85546875" customWidth="1"/>
    <col min="2" max="71" width="11.42578125" customWidth="1"/>
  </cols>
  <sheetData>
    <row r="2" spans="1:104" s="27" customFormat="1" ht="16.5">
      <c r="A2" s="1" t="s">
        <v>262</v>
      </c>
      <c r="BV2" s="51"/>
      <c r="BW2" s="51"/>
    </row>
    <row r="3" spans="1:104" s="27" customFormat="1" ht="16.5">
      <c r="A3" s="3" t="s">
        <v>263</v>
      </c>
      <c r="BV3" s="51"/>
      <c r="BW3" s="51"/>
    </row>
    <row r="4" spans="1:104" s="27" customFormat="1" ht="16.5">
      <c r="A4" s="3" t="s">
        <v>264</v>
      </c>
      <c r="BV4" s="51"/>
      <c r="BW4" s="51"/>
    </row>
    <row r="5" spans="1:104" s="27" customFormat="1" ht="12.75">
      <c r="BV5" s="51"/>
      <c r="BW5" s="51"/>
    </row>
    <row r="6" spans="1:104" s="51" customFormat="1">
      <c r="A6" s="138" t="s">
        <v>187</v>
      </c>
      <c r="B6" s="137" t="s">
        <v>119</v>
      </c>
      <c r="C6" s="137"/>
      <c r="D6" s="137" t="s">
        <v>120</v>
      </c>
      <c r="E6" s="137"/>
      <c r="F6" s="137" t="s">
        <v>121</v>
      </c>
      <c r="G6" s="137"/>
      <c r="H6" s="137" t="s">
        <v>251</v>
      </c>
      <c r="I6" s="137"/>
      <c r="J6" s="137" t="s">
        <v>122</v>
      </c>
      <c r="K6" s="137"/>
      <c r="L6" s="137" t="s">
        <v>167</v>
      </c>
      <c r="M6" s="137"/>
      <c r="N6" s="137" t="s">
        <v>42</v>
      </c>
      <c r="O6" s="137"/>
      <c r="P6" s="137" t="s">
        <v>198</v>
      </c>
      <c r="Q6" s="137"/>
      <c r="R6" s="137" t="s">
        <v>43</v>
      </c>
      <c r="S6" s="137"/>
      <c r="T6" s="137" t="s">
        <v>15</v>
      </c>
      <c r="U6" s="137"/>
      <c r="V6" s="137" t="s">
        <v>16</v>
      </c>
      <c r="W6" s="137"/>
      <c r="X6" s="137" t="s">
        <v>17</v>
      </c>
      <c r="Y6" s="137"/>
      <c r="Z6" s="137" t="s">
        <v>199</v>
      </c>
      <c r="AA6" s="137"/>
      <c r="AB6" s="137" t="s">
        <v>168</v>
      </c>
      <c r="AC6" s="137"/>
      <c r="AD6" s="137" t="s">
        <v>200</v>
      </c>
      <c r="AE6" s="137"/>
      <c r="AF6" s="137" t="s">
        <v>19</v>
      </c>
      <c r="AG6" s="137"/>
      <c r="AH6" s="137" t="s">
        <v>169</v>
      </c>
      <c r="AI6" s="137"/>
      <c r="AJ6" s="137" t="s">
        <v>25</v>
      </c>
      <c r="AK6" s="137"/>
      <c r="AL6" s="137" t="s">
        <v>26</v>
      </c>
      <c r="AM6" s="137"/>
      <c r="AN6" s="137" t="s">
        <v>27</v>
      </c>
      <c r="AO6" s="137"/>
      <c r="AP6" s="137" t="s">
        <v>209</v>
      </c>
      <c r="AQ6" s="137"/>
      <c r="AR6" s="137" t="s">
        <v>28</v>
      </c>
      <c r="AS6" s="137"/>
      <c r="AT6" s="137" t="s">
        <v>210</v>
      </c>
      <c r="AU6" s="137"/>
      <c r="AV6" s="137" t="s">
        <v>29</v>
      </c>
      <c r="AW6" s="137"/>
      <c r="AX6" s="137" t="s">
        <v>273</v>
      </c>
      <c r="AY6" s="137"/>
      <c r="AZ6" s="137" t="s">
        <v>21</v>
      </c>
      <c r="BA6" s="137"/>
      <c r="BB6" s="137" t="s">
        <v>24</v>
      </c>
      <c r="BC6" s="137"/>
      <c r="BD6" s="137" t="s">
        <v>7</v>
      </c>
      <c r="BE6" s="137"/>
      <c r="BF6" s="137" t="s">
        <v>35</v>
      </c>
      <c r="BG6" s="137"/>
      <c r="BH6" s="137" t="s">
        <v>36</v>
      </c>
      <c r="BI6" s="137"/>
      <c r="BJ6" s="137" t="s">
        <v>37</v>
      </c>
      <c r="BK6" s="137"/>
      <c r="BL6" s="137" t="s">
        <v>38</v>
      </c>
      <c r="BM6" s="137"/>
      <c r="BN6" s="137" t="s">
        <v>39</v>
      </c>
      <c r="BO6" s="137"/>
      <c r="BP6" s="137" t="s">
        <v>40</v>
      </c>
      <c r="BQ6" s="137"/>
      <c r="BR6" s="137" t="s">
        <v>44</v>
      </c>
      <c r="BS6" s="137"/>
      <c r="BT6" s="137" t="s">
        <v>8</v>
      </c>
      <c r="BU6" s="137"/>
      <c r="BV6" s="137" t="s">
        <v>45</v>
      </c>
      <c r="BW6" s="137"/>
    </row>
    <row r="7" spans="1:104" s="51" customFormat="1">
      <c r="A7" s="138"/>
      <c r="B7" s="4"/>
      <c r="C7" s="4" t="s">
        <v>176</v>
      </c>
      <c r="D7" s="4"/>
      <c r="E7" s="4"/>
      <c r="F7" s="4"/>
      <c r="G7" s="4"/>
      <c r="H7" s="4"/>
      <c r="I7" s="4"/>
      <c r="J7" s="4"/>
      <c r="K7" s="4" t="s">
        <v>176</v>
      </c>
      <c r="L7" s="4"/>
      <c r="M7" s="4" t="s">
        <v>176</v>
      </c>
      <c r="N7" s="4"/>
      <c r="O7" s="4" t="s">
        <v>176</v>
      </c>
      <c r="P7" s="4"/>
      <c r="Q7" s="4" t="s">
        <v>176</v>
      </c>
      <c r="R7" s="4"/>
      <c r="S7" s="4" t="s">
        <v>176</v>
      </c>
      <c r="T7" s="4"/>
      <c r="U7" s="4" t="s">
        <v>176</v>
      </c>
      <c r="V7" s="4"/>
      <c r="W7" s="4" t="s">
        <v>176</v>
      </c>
      <c r="X7" s="4"/>
      <c r="Y7" s="4" t="s">
        <v>176</v>
      </c>
      <c r="Z7" s="4"/>
      <c r="AA7" s="4" t="s">
        <v>176</v>
      </c>
      <c r="AB7" s="4"/>
      <c r="AC7" s="4" t="s">
        <v>176</v>
      </c>
      <c r="AD7" s="4"/>
      <c r="AE7" s="4" t="s">
        <v>176</v>
      </c>
      <c r="AF7" s="4"/>
      <c r="AG7" s="4" t="s">
        <v>176</v>
      </c>
      <c r="AH7" s="4"/>
      <c r="AI7" s="4" t="s">
        <v>176</v>
      </c>
      <c r="AJ7" s="4"/>
      <c r="AK7" s="4" t="s">
        <v>176</v>
      </c>
      <c r="AL7" s="4"/>
      <c r="AM7" s="4" t="s">
        <v>176</v>
      </c>
      <c r="AN7" s="4"/>
      <c r="AO7" s="4" t="s">
        <v>176</v>
      </c>
      <c r="AP7" s="4"/>
      <c r="AQ7" s="4" t="s">
        <v>176</v>
      </c>
      <c r="AR7" s="4"/>
      <c r="AS7" s="4" t="s">
        <v>176</v>
      </c>
      <c r="AT7" s="4"/>
      <c r="AU7" s="4" t="s">
        <v>176</v>
      </c>
      <c r="AV7" s="4"/>
      <c r="AW7" s="4" t="s">
        <v>176</v>
      </c>
      <c r="AX7" s="4"/>
      <c r="AY7" s="4" t="s">
        <v>176</v>
      </c>
      <c r="AZ7" s="4"/>
      <c r="BA7" s="4" t="s">
        <v>176</v>
      </c>
      <c r="BB7" s="4"/>
      <c r="BC7" s="4" t="s">
        <v>176</v>
      </c>
      <c r="BD7" s="4"/>
      <c r="BE7" s="4" t="s">
        <v>176</v>
      </c>
      <c r="BF7" s="4"/>
      <c r="BG7" s="4" t="s">
        <v>176</v>
      </c>
      <c r="BH7" s="4"/>
      <c r="BI7" s="4" t="s">
        <v>176</v>
      </c>
      <c r="BJ7" s="4"/>
      <c r="BK7" s="4" t="s">
        <v>176</v>
      </c>
      <c r="BL7" s="4"/>
      <c r="BM7" s="4" t="s">
        <v>176</v>
      </c>
      <c r="BN7" s="4"/>
      <c r="BO7" s="4" t="s">
        <v>176</v>
      </c>
      <c r="BP7" s="4"/>
      <c r="BQ7" s="4" t="s">
        <v>176</v>
      </c>
      <c r="BR7" s="4"/>
      <c r="BS7" s="4" t="s">
        <v>176</v>
      </c>
      <c r="BT7" s="4"/>
      <c r="BU7" s="4" t="s">
        <v>176</v>
      </c>
      <c r="BV7" s="4"/>
      <c r="BW7" s="4"/>
    </row>
    <row r="8" spans="1:104" s="51" customFormat="1">
      <c r="A8" s="138" t="s">
        <v>188</v>
      </c>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201</v>
      </c>
      <c r="BC8" s="4" t="s">
        <v>202</v>
      </c>
      <c r="BD8" s="4" t="s">
        <v>201</v>
      </c>
      <c r="BE8" s="4" t="s">
        <v>202</v>
      </c>
      <c r="BF8" s="4" t="s">
        <v>46</v>
      </c>
      <c r="BG8" s="4" t="s">
        <v>47</v>
      </c>
      <c r="BH8" s="4" t="s">
        <v>46</v>
      </c>
      <c r="BI8" s="4" t="s">
        <v>47</v>
      </c>
      <c r="BJ8" s="4" t="s">
        <v>46</v>
      </c>
      <c r="BK8" s="4" t="s">
        <v>47</v>
      </c>
      <c r="BL8" s="4" t="s">
        <v>46</v>
      </c>
      <c r="BM8" s="4" t="s">
        <v>47</v>
      </c>
      <c r="BN8" s="4" t="s">
        <v>46</v>
      </c>
      <c r="BO8" s="4" t="s">
        <v>47</v>
      </c>
      <c r="BP8" s="4" t="s">
        <v>46</v>
      </c>
      <c r="BQ8" s="4" t="s">
        <v>47</v>
      </c>
      <c r="BR8" s="4" t="s">
        <v>46</v>
      </c>
      <c r="BS8" s="4" t="s">
        <v>47</v>
      </c>
      <c r="BT8" s="4" t="s">
        <v>46</v>
      </c>
      <c r="BU8" s="4" t="s">
        <v>47</v>
      </c>
      <c r="BV8" s="4" t="s">
        <v>46</v>
      </c>
      <c r="BW8" s="4" t="s">
        <v>47</v>
      </c>
    </row>
    <row r="9" spans="1:104" s="27" customFormat="1">
      <c r="A9" s="5" t="s">
        <v>48</v>
      </c>
      <c r="B9" s="6"/>
      <c r="C9" s="6"/>
      <c r="D9" s="6"/>
      <c r="E9" s="6"/>
      <c r="F9" s="6"/>
      <c r="G9" s="6"/>
      <c r="H9" s="6"/>
      <c r="I9" s="6"/>
      <c r="J9" s="6"/>
      <c r="K9" s="6"/>
      <c r="L9" s="6">
        <v>3</v>
      </c>
      <c r="M9" s="6">
        <v>29</v>
      </c>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v>1</v>
      </c>
      <c r="BE9" s="6">
        <v>50</v>
      </c>
      <c r="BF9" s="6"/>
      <c r="BG9" s="6"/>
      <c r="BH9" s="6"/>
      <c r="BI9" s="6"/>
      <c r="BJ9" s="6"/>
      <c r="BK9" s="6"/>
      <c r="BL9" s="6"/>
      <c r="BM9" s="6"/>
      <c r="BN9" s="6">
        <v>1</v>
      </c>
      <c r="BO9" s="6">
        <v>21</v>
      </c>
      <c r="BP9" s="6"/>
      <c r="BQ9" s="6"/>
      <c r="BR9" s="6"/>
      <c r="BS9" s="6"/>
      <c r="BT9" s="6">
        <v>9</v>
      </c>
      <c r="BU9" s="6">
        <v>160</v>
      </c>
      <c r="BV9" s="8">
        <f t="shared" ref="BV9:BW12" si="0">B9+D9+F9+H9+J9+L9+N9+P9+R9+T9+V9+X9+Z9+AB9+AD9+AF9+AH9+AJ9+AL9+AN9+AP9+AR9+AT9+AV9+AX9+AZ9+BB9+BD9+BF9+BH9+BJ9+BL9+BN9+BP9+BR9+BT9</f>
        <v>14</v>
      </c>
      <c r="BW9" s="8">
        <f t="shared" si="0"/>
        <v>260</v>
      </c>
      <c r="BX9" s="52"/>
      <c r="BY9" s="52"/>
      <c r="BZ9" s="52"/>
      <c r="CZ9" s="53"/>
    </row>
    <row r="10" spans="1:104" s="27" customFormat="1">
      <c r="A10" s="10" t="s">
        <v>49</v>
      </c>
      <c r="B10" s="6">
        <v>5</v>
      </c>
      <c r="C10" s="6">
        <v>273</v>
      </c>
      <c r="D10" s="6">
        <v>17</v>
      </c>
      <c r="E10" s="6">
        <v>2437</v>
      </c>
      <c r="F10" s="6">
        <v>6</v>
      </c>
      <c r="G10" s="6">
        <v>4769</v>
      </c>
      <c r="H10" s="6"/>
      <c r="I10" s="6"/>
      <c r="J10" s="6"/>
      <c r="K10" s="6"/>
      <c r="L10" s="6">
        <v>4</v>
      </c>
      <c r="M10" s="6">
        <v>71</v>
      </c>
      <c r="N10" s="6"/>
      <c r="O10" s="6"/>
      <c r="P10" s="6"/>
      <c r="Q10" s="6"/>
      <c r="R10" s="6">
        <v>1</v>
      </c>
      <c r="S10" s="6">
        <v>32</v>
      </c>
      <c r="T10" s="6"/>
      <c r="U10" s="6"/>
      <c r="V10" s="6"/>
      <c r="W10" s="6"/>
      <c r="X10" s="6">
        <v>9</v>
      </c>
      <c r="Y10" s="6">
        <v>4644</v>
      </c>
      <c r="Z10" s="6"/>
      <c r="AA10" s="6"/>
      <c r="AB10" s="6">
        <v>14</v>
      </c>
      <c r="AC10" s="6">
        <v>5811</v>
      </c>
      <c r="AD10" s="6">
        <v>1</v>
      </c>
      <c r="AE10" s="6">
        <v>348</v>
      </c>
      <c r="AF10" s="6">
        <v>1</v>
      </c>
      <c r="AG10" s="6">
        <v>106</v>
      </c>
      <c r="AH10" s="6"/>
      <c r="AI10" s="6"/>
      <c r="AJ10" s="6"/>
      <c r="AK10" s="6"/>
      <c r="AL10" s="6"/>
      <c r="AM10" s="6"/>
      <c r="AN10" s="6">
        <v>5</v>
      </c>
      <c r="AO10" s="6">
        <v>2318</v>
      </c>
      <c r="AP10" s="6">
        <v>1</v>
      </c>
      <c r="AQ10" s="6">
        <v>336</v>
      </c>
      <c r="AR10" s="6">
        <v>13</v>
      </c>
      <c r="AS10" s="6">
        <v>4842</v>
      </c>
      <c r="AT10" s="6">
        <v>1</v>
      </c>
      <c r="AU10" s="6">
        <v>866</v>
      </c>
      <c r="AV10" s="6">
        <v>1</v>
      </c>
      <c r="AW10" s="6">
        <v>706</v>
      </c>
      <c r="AX10" s="6">
        <v>1</v>
      </c>
      <c r="AY10" s="6">
        <v>22</v>
      </c>
      <c r="AZ10" s="6"/>
      <c r="BA10" s="6"/>
      <c r="BB10" s="6"/>
      <c r="BC10" s="6"/>
      <c r="BD10" s="6"/>
      <c r="BE10" s="6"/>
      <c r="BF10" s="6">
        <v>2</v>
      </c>
      <c r="BG10" s="6">
        <v>76</v>
      </c>
      <c r="BH10" s="6"/>
      <c r="BI10" s="6"/>
      <c r="BJ10" s="6"/>
      <c r="BK10" s="6"/>
      <c r="BL10" s="6">
        <v>1</v>
      </c>
      <c r="BM10" s="6">
        <v>55</v>
      </c>
      <c r="BN10" s="6">
        <v>1</v>
      </c>
      <c r="BO10" s="6">
        <v>39</v>
      </c>
      <c r="BP10" s="6"/>
      <c r="BQ10" s="6"/>
      <c r="BR10" s="6"/>
      <c r="BS10" s="6"/>
      <c r="BT10" s="6">
        <v>7</v>
      </c>
      <c r="BU10" s="6">
        <v>86</v>
      </c>
      <c r="BV10" s="8">
        <f t="shared" si="0"/>
        <v>91</v>
      </c>
      <c r="BW10" s="8">
        <f t="shared" si="0"/>
        <v>27837</v>
      </c>
      <c r="BX10" s="52"/>
      <c r="BY10" s="52"/>
      <c r="BZ10" s="52"/>
    </row>
    <row r="11" spans="1:104" s="27" customFormat="1">
      <c r="A11" s="5" t="s">
        <v>50</v>
      </c>
      <c r="B11" s="6"/>
      <c r="C11" s="6"/>
      <c r="D11" s="6"/>
      <c r="E11" s="6"/>
      <c r="F11" s="6"/>
      <c r="G11" s="6"/>
      <c r="H11" s="6"/>
      <c r="I11" s="6"/>
      <c r="J11" s="6"/>
      <c r="K11" s="6"/>
      <c r="L11" s="6">
        <v>3</v>
      </c>
      <c r="M11" s="6">
        <v>34</v>
      </c>
      <c r="N11" s="6"/>
      <c r="O11" s="6"/>
      <c r="P11" s="6"/>
      <c r="Q11" s="6"/>
      <c r="R11" s="6"/>
      <c r="S11" s="6"/>
      <c r="T11" s="6"/>
      <c r="U11" s="6"/>
      <c r="V11" s="6"/>
      <c r="W11" s="6"/>
      <c r="X11" s="6"/>
      <c r="Y11" s="6"/>
      <c r="Z11" s="6"/>
      <c r="AA11" s="6"/>
      <c r="AB11" s="6">
        <v>1</v>
      </c>
      <c r="AC11" s="6">
        <v>50</v>
      </c>
      <c r="AD11" s="6"/>
      <c r="AE11" s="6"/>
      <c r="AF11" s="6"/>
      <c r="AG11" s="6"/>
      <c r="AH11" s="6"/>
      <c r="AI11" s="6"/>
      <c r="AJ11" s="6"/>
      <c r="AK11" s="6"/>
      <c r="AL11" s="6"/>
      <c r="AM11" s="6"/>
      <c r="AN11" s="6"/>
      <c r="AO11" s="6"/>
      <c r="AP11" s="6"/>
      <c r="AQ11" s="6"/>
      <c r="AR11" s="6"/>
      <c r="AS11" s="6"/>
      <c r="AT11" s="6"/>
      <c r="AU11" s="6"/>
      <c r="AV11" s="6"/>
      <c r="AW11" s="6"/>
      <c r="AX11" s="6">
        <v>1</v>
      </c>
      <c r="AY11" s="6">
        <v>64</v>
      </c>
      <c r="AZ11" s="6"/>
      <c r="BA11" s="6"/>
      <c r="BB11" s="6"/>
      <c r="BC11" s="6"/>
      <c r="BD11" s="6">
        <v>1</v>
      </c>
      <c r="BE11" s="6">
        <v>31</v>
      </c>
      <c r="BF11" s="6"/>
      <c r="BG11" s="6"/>
      <c r="BH11" s="6"/>
      <c r="BI11" s="6"/>
      <c r="BJ11" s="6"/>
      <c r="BK11" s="6"/>
      <c r="BL11" s="6"/>
      <c r="BM11" s="6"/>
      <c r="BN11" s="6"/>
      <c r="BO11" s="6"/>
      <c r="BP11" s="6"/>
      <c r="BQ11" s="6"/>
      <c r="BR11" s="6"/>
      <c r="BS11" s="6"/>
      <c r="BT11" s="6">
        <v>2</v>
      </c>
      <c r="BU11" s="6">
        <v>26</v>
      </c>
      <c r="BV11" s="8">
        <f t="shared" si="0"/>
        <v>8</v>
      </c>
      <c r="BW11" s="8">
        <f t="shared" si="0"/>
        <v>205</v>
      </c>
      <c r="BX11" s="52"/>
      <c r="BY11" s="52"/>
      <c r="BZ11" s="52"/>
    </row>
    <row r="12" spans="1:104" s="27" customFormat="1">
      <c r="A12" s="5" t="s">
        <v>51</v>
      </c>
      <c r="B12" s="6">
        <v>1</v>
      </c>
      <c r="C12" s="6">
        <v>54</v>
      </c>
      <c r="D12" s="6">
        <v>1</v>
      </c>
      <c r="E12" s="6">
        <v>98</v>
      </c>
      <c r="F12" s="6">
        <v>1</v>
      </c>
      <c r="G12" s="6">
        <v>414</v>
      </c>
      <c r="H12" s="6"/>
      <c r="I12" s="6"/>
      <c r="J12" s="6"/>
      <c r="K12" s="6"/>
      <c r="L12" s="6">
        <v>1</v>
      </c>
      <c r="M12" s="6">
        <v>14</v>
      </c>
      <c r="N12" s="6"/>
      <c r="O12" s="6"/>
      <c r="P12" s="6"/>
      <c r="Q12" s="6"/>
      <c r="R12" s="6"/>
      <c r="S12" s="6"/>
      <c r="T12" s="6"/>
      <c r="U12" s="6"/>
      <c r="V12" s="6"/>
      <c r="W12" s="6"/>
      <c r="X12" s="6">
        <v>2</v>
      </c>
      <c r="Y12" s="6">
        <v>309</v>
      </c>
      <c r="Z12" s="6"/>
      <c r="AA12" s="6"/>
      <c r="AB12" s="6">
        <v>3</v>
      </c>
      <c r="AC12" s="6">
        <v>1458</v>
      </c>
      <c r="AD12" s="6">
        <v>2</v>
      </c>
      <c r="AE12" s="6">
        <v>287</v>
      </c>
      <c r="AF12" s="6">
        <v>1</v>
      </c>
      <c r="AG12" s="6">
        <v>330</v>
      </c>
      <c r="AH12" s="6"/>
      <c r="AI12" s="6"/>
      <c r="AJ12" s="6"/>
      <c r="AK12" s="6"/>
      <c r="AL12" s="6"/>
      <c r="AM12" s="6"/>
      <c r="AN12" s="6"/>
      <c r="AO12" s="6"/>
      <c r="AP12" s="6"/>
      <c r="AQ12" s="6"/>
      <c r="AR12" s="6">
        <v>3</v>
      </c>
      <c r="AS12" s="6">
        <v>606</v>
      </c>
      <c r="AT12" s="6"/>
      <c r="AU12" s="6"/>
      <c r="AV12" s="6"/>
      <c r="AW12" s="6"/>
      <c r="AX12" s="6"/>
      <c r="AY12" s="6"/>
      <c r="AZ12" s="6"/>
      <c r="BA12" s="6"/>
      <c r="BB12" s="6"/>
      <c r="BC12" s="6"/>
      <c r="BD12" s="6"/>
      <c r="BE12" s="6"/>
      <c r="BF12" s="6">
        <v>1</v>
      </c>
      <c r="BG12" s="6">
        <v>40</v>
      </c>
      <c r="BH12" s="6"/>
      <c r="BI12" s="6"/>
      <c r="BJ12" s="6"/>
      <c r="BK12" s="6"/>
      <c r="BL12" s="6"/>
      <c r="BM12" s="6"/>
      <c r="BN12" s="6">
        <v>1</v>
      </c>
      <c r="BO12" s="6">
        <v>28</v>
      </c>
      <c r="BP12" s="6"/>
      <c r="BQ12" s="6"/>
      <c r="BR12" s="6"/>
      <c r="BS12" s="6"/>
      <c r="BT12" s="6">
        <v>1</v>
      </c>
      <c r="BU12" s="6">
        <v>8</v>
      </c>
      <c r="BV12" s="8">
        <f t="shared" si="0"/>
        <v>18</v>
      </c>
      <c r="BW12" s="8">
        <f t="shared" si="0"/>
        <v>3646</v>
      </c>
      <c r="BX12" s="52"/>
      <c r="BY12" s="52"/>
      <c r="BZ12" s="52"/>
    </row>
    <row r="13" spans="1:104" s="27" customFormat="1">
      <c r="A13" s="5" t="s">
        <v>203</v>
      </c>
      <c r="B13" s="6"/>
      <c r="C13" s="6"/>
      <c r="D13" s="6"/>
      <c r="E13" s="6"/>
      <c r="F13" s="6"/>
      <c r="G13" s="6"/>
      <c r="H13" s="6"/>
      <c r="I13" s="6"/>
      <c r="J13" s="6"/>
      <c r="K13" s="6"/>
      <c r="L13" s="6">
        <v>1</v>
      </c>
      <c r="M13" s="6">
        <v>22</v>
      </c>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v>1</v>
      </c>
      <c r="BU13" s="6">
        <v>32</v>
      </c>
      <c r="BV13" s="8">
        <f t="shared" ref="BV13:BV62" si="1">B13+D13+F13+H13+J13+L13+N13+P13+R13+T13+V13+X13+Z13+AB13+AD13+AF13+AH13+AJ13+AL13+AN13+AP13+AR13+AT13+AV13+AX13+AZ13+BB13+BD13+BF13+BH13+BJ13+BL13+BN13+BP13+BR13+BT13</f>
        <v>2</v>
      </c>
      <c r="BW13" s="8">
        <f t="shared" ref="BW13:BW62" si="2">C13+E13+G13+I13+K13+M13+O13+Q13+S13+U13+W13+Y13+AA13+AC13+AE13+AG13+AI13+AK13+AM13+AO13+AQ13+AS13+AU13+AW13+AY13+BA13+BC13+BE13+BG13+BI13+BK13+BM13+BO13+BQ13+BS13+BU13</f>
        <v>54</v>
      </c>
      <c r="BX13" s="52"/>
      <c r="BY13" s="52"/>
      <c r="BZ13" s="52"/>
    </row>
    <row r="14" spans="1:104" s="27" customFormat="1">
      <c r="A14" s="5" t="s">
        <v>52</v>
      </c>
      <c r="B14" s="6">
        <v>1</v>
      </c>
      <c r="C14" s="6">
        <v>38</v>
      </c>
      <c r="D14" s="6"/>
      <c r="E14" s="6"/>
      <c r="F14" s="6"/>
      <c r="G14" s="6"/>
      <c r="H14" s="6"/>
      <c r="I14" s="6"/>
      <c r="J14" s="6"/>
      <c r="K14" s="6"/>
      <c r="L14" s="6">
        <v>8</v>
      </c>
      <c r="M14" s="6">
        <v>137</v>
      </c>
      <c r="N14" s="6"/>
      <c r="O14" s="6"/>
      <c r="P14" s="89"/>
      <c r="Q14" s="89"/>
      <c r="R14" s="6"/>
      <c r="S14" s="6"/>
      <c r="T14" s="6"/>
      <c r="U14" s="6"/>
      <c r="V14" s="6"/>
      <c r="W14" s="6"/>
      <c r="X14" s="6"/>
      <c r="Y14" s="6"/>
      <c r="Z14" s="6"/>
      <c r="AA14" s="6"/>
      <c r="AB14" s="6">
        <v>2</v>
      </c>
      <c r="AC14" s="6">
        <v>105</v>
      </c>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v>1</v>
      </c>
      <c r="BE14" s="6">
        <v>50</v>
      </c>
      <c r="BF14" s="6">
        <v>1</v>
      </c>
      <c r="BG14" s="6">
        <v>15</v>
      </c>
      <c r="BH14" s="6">
        <v>1</v>
      </c>
      <c r="BI14" s="6">
        <v>12</v>
      </c>
      <c r="BJ14" s="6"/>
      <c r="BK14" s="6"/>
      <c r="BL14" s="6"/>
      <c r="BM14" s="6"/>
      <c r="BN14" s="6"/>
      <c r="BO14" s="6"/>
      <c r="BP14" s="6"/>
      <c r="BQ14" s="6"/>
      <c r="BR14" s="6"/>
      <c r="BS14" s="6"/>
      <c r="BT14" s="6">
        <v>6</v>
      </c>
      <c r="BU14" s="6">
        <v>85</v>
      </c>
      <c r="BV14" s="8">
        <f t="shared" si="1"/>
        <v>20</v>
      </c>
      <c r="BW14" s="8">
        <f t="shared" si="2"/>
        <v>442</v>
      </c>
      <c r="BX14" s="52"/>
      <c r="BY14" s="52"/>
      <c r="BZ14" s="52"/>
    </row>
    <row r="15" spans="1:104" s="27" customFormat="1">
      <c r="A15" s="5" t="s">
        <v>53</v>
      </c>
      <c r="B15" s="6"/>
      <c r="C15" s="6"/>
      <c r="D15" s="6"/>
      <c r="E15" s="6"/>
      <c r="F15" s="6"/>
      <c r="G15" s="6"/>
      <c r="H15" s="6"/>
      <c r="I15" s="6"/>
      <c r="J15" s="6"/>
      <c r="K15" s="6"/>
      <c r="L15" s="6"/>
      <c r="M15" s="6"/>
      <c r="N15" s="6"/>
      <c r="O15" s="6"/>
      <c r="P15" s="6"/>
      <c r="Q15" s="6"/>
      <c r="R15" s="6"/>
      <c r="S15" s="6"/>
      <c r="T15" s="6"/>
      <c r="U15" s="6"/>
      <c r="V15" s="6"/>
      <c r="W15" s="6"/>
      <c r="X15" s="6">
        <v>2</v>
      </c>
      <c r="Y15" s="6">
        <v>121</v>
      </c>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v>1</v>
      </c>
      <c r="BI15" s="6">
        <v>75</v>
      </c>
      <c r="BJ15" s="6"/>
      <c r="BK15" s="6"/>
      <c r="BL15" s="6"/>
      <c r="BM15" s="6"/>
      <c r="BN15" s="6"/>
      <c r="BO15" s="6"/>
      <c r="BP15" s="6"/>
      <c r="BQ15" s="6"/>
      <c r="BR15" s="6"/>
      <c r="BS15" s="6"/>
      <c r="BT15" s="6">
        <v>3</v>
      </c>
      <c r="BU15" s="6">
        <v>35</v>
      </c>
      <c r="BV15" s="8">
        <f t="shared" si="1"/>
        <v>6</v>
      </c>
      <c r="BW15" s="8">
        <f t="shared" si="2"/>
        <v>231</v>
      </c>
      <c r="BX15" s="52"/>
      <c r="BY15" s="52"/>
      <c r="BZ15" s="52"/>
    </row>
    <row r="16" spans="1:104" s="27" customFormat="1">
      <c r="A16" s="5" t="s">
        <v>54</v>
      </c>
      <c r="B16" s="6"/>
      <c r="C16" s="6"/>
      <c r="D16" s="6"/>
      <c r="E16" s="6"/>
      <c r="F16" s="6"/>
      <c r="G16" s="6"/>
      <c r="H16" s="6"/>
      <c r="I16" s="6"/>
      <c r="J16" s="6"/>
      <c r="K16" s="6"/>
      <c r="L16" s="6">
        <v>2</v>
      </c>
      <c r="M16" s="6">
        <v>78</v>
      </c>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8">
        <f t="shared" si="1"/>
        <v>2</v>
      </c>
      <c r="BW16" s="8">
        <f t="shared" si="2"/>
        <v>78</v>
      </c>
      <c r="BX16" s="52"/>
      <c r="BY16" s="52"/>
      <c r="BZ16" s="52"/>
    </row>
    <row r="17" spans="1:78" s="27" customFormat="1">
      <c r="A17" s="5" t="s">
        <v>55</v>
      </c>
      <c r="B17" s="6"/>
      <c r="C17" s="6"/>
      <c r="D17" s="6"/>
      <c r="E17" s="6"/>
      <c r="F17" s="6"/>
      <c r="G17" s="6"/>
      <c r="H17" s="6"/>
      <c r="I17" s="6"/>
      <c r="J17" s="6"/>
      <c r="K17" s="6"/>
      <c r="L17" s="6">
        <v>1</v>
      </c>
      <c r="M17" s="6">
        <v>22</v>
      </c>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8">
        <f t="shared" si="1"/>
        <v>1</v>
      </c>
      <c r="BW17" s="8">
        <f t="shared" si="2"/>
        <v>22</v>
      </c>
      <c r="BX17" s="52"/>
      <c r="BY17" s="52"/>
      <c r="BZ17" s="52"/>
    </row>
    <row r="18" spans="1:78" s="27" customFormat="1">
      <c r="A18" s="5" t="s">
        <v>56</v>
      </c>
      <c r="B18" s="6"/>
      <c r="C18" s="6"/>
      <c r="D18" s="6"/>
      <c r="E18" s="6"/>
      <c r="F18" s="6"/>
      <c r="G18" s="6"/>
      <c r="H18" s="6"/>
      <c r="I18" s="6"/>
      <c r="J18" s="6"/>
      <c r="K18" s="6"/>
      <c r="L18" s="6">
        <v>12</v>
      </c>
      <c r="M18" s="6">
        <v>180</v>
      </c>
      <c r="N18" s="6"/>
      <c r="O18" s="6"/>
      <c r="P18" s="6"/>
      <c r="Q18" s="6"/>
      <c r="R18" s="6"/>
      <c r="S18" s="6"/>
      <c r="T18" s="6"/>
      <c r="U18" s="6"/>
      <c r="V18" s="6"/>
      <c r="W18" s="6"/>
      <c r="X18" s="6">
        <v>1</v>
      </c>
      <c r="Y18" s="6">
        <v>30</v>
      </c>
      <c r="Z18" s="6"/>
      <c r="AA18" s="6"/>
      <c r="AB18" s="6">
        <v>1</v>
      </c>
      <c r="AC18" s="6">
        <v>38</v>
      </c>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v>1</v>
      </c>
      <c r="BU18" s="6">
        <v>20</v>
      </c>
      <c r="BV18" s="8">
        <f t="shared" si="1"/>
        <v>15</v>
      </c>
      <c r="BW18" s="8">
        <f t="shared" si="2"/>
        <v>268</v>
      </c>
      <c r="BX18" s="52"/>
      <c r="BY18" s="52"/>
      <c r="BZ18" s="52"/>
    </row>
    <row r="19" spans="1:78" s="27" customFormat="1">
      <c r="A19" s="5" t="s">
        <v>57</v>
      </c>
      <c r="B19" s="6">
        <v>11</v>
      </c>
      <c r="C19" s="6">
        <v>532</v>
      </c>
      <c r="D19" s="6">
        <v>21</v>
      </c>
      <c r="E19" s="6">
        <v>2427</v>
      </c>
      <c r="F19" s="6">
        <v>23</v>
      </c>
      <c r="G19" s="6">
        <v>4327</v>
      </c>
      <c r="H19" s="6"/>
      <c r="I19" s="6"/>
      <c r="J19" s="6">
        <v>5</v>
      </c>
      <c r="K19" s="6">
        <v>983</v>
      </c>
      <c r="L19" s="6">
        <v>7</v>
      </c>
      <c r="M19" s="6">
        <v>107</v>
      </c>
      <c r="N19" s="6">
        <v>1</v>
      </c>
      <c r="O19" s="6">
        <v>19</v>
      </c>
      <c r="P19" s="6"/>
      <c r="Q19" s="6"/>
      <c r="R19" s="6"/>
      <c r="S19" s="6"/>
      <c r="T19" s="6">
        <v>4</v>
      </c>
      <c r="U19" s="6">
        <v>278</v>
      </c>
      <c r="V19" s="6">
        <v>5</v>
      </c>
      <c r="W19" s="6">
        <v>808</v>
      </c>
      <c r="X19" s="6">
        <v>38</v>
      </c>
      <c r="Y19" s="6">
        <v>10055</v>
      </c>
      <c r="Z19" s="6"/>
      <c r="AA19" s="6"/>
      <c r="AB19" s="6">
        <v>67</v>
      </c>
      <c r="AC19" s="6">
        <v>23714</v>
      </c>
      <c r="AD19" s="6">
        <v>7</v>
      </c>
      <c r="AE19" s="6">
        <v>2284</v>
      </c>
      <c r="AF19" s="6">
        <v>6</v>
      </c>
      <c r="AG19" s="6">
        <v>1019</v>
      </c>
      <c r="AH19" s="6"/>
      <c r="AI19" s="6"/>
      <c r="AJ19" s="6"/>
      <c r="AK19" s="6"/>
      <c r="AL19" s="6">
        <v>3</v>
      </c>
      <c r="AM19" s="6">
        <v>725</v>
      </c>
      <c r="AN19" s="6">
        <v>14</v>
      </c>
      <c r="AO19" s="6">
        <v>5252</v>
      </c>
      <c r="AP19" s="6">
        <v>3</v>
      </c>
      <c r="AQ19" s="6">
        <v>944</v>
      </c>
      <c r="AR19" s="6">
        <v>14</v>
      </c>
      <c r="AS19" s="6">
        <v>5702</v>
      </c>
      <c r="AT19" s="6"/>
      <c r="AU19" s="6"/>
      <c r="AV19" s="6">
        <v>2</v>
      </c>
      <c r="AW19" s="6">
        <v>586</v>
      </c>
      <c r="AX19" s="6"/>
      <c r="AY19" s="6"/>
      <c r="AZ19" s="6"/>
      <c r="BA19" s="6"/>
      <c r="BB19" s="6"/>
      <c r="BC19" s="6"/>
      <c r="BD19" s="6">
        <v>1</v>
      </c>
      <c r="BE19" s="6">
        <v>82</v>
      </c>
      <c r="BF19" s="6">
        <v>3</v>
      </c>
      <c r="BG19" s="6">
        <v>95</v>
      </c>
      <c r="BH19" s="6">
        <v>2</v>
      </c>
      <c r="BI19" s="6">
        <v>119</v>
      </c>
      <c r="BJ19" s="6">
        <v>1</v>
      </c>
      <c r="BK19" s="6">
        <v>72</v>
      </c>
      <c r="BL19" s="6">
        <v>8</v>
      </c>
      <c r="BM19" s="6">
        <v>323</v>
      </c>
      <c r="BN19" s="6">
        <v>3</v>
      </c>
      <c r="BO19" s="6">
        <v>131</v>
      </c>
      <c r="BP19" s="6">
        <v>2</v>
      </c>
      <c r="BQ19" s="6">
        <v>86</v>
      </c>
      <c r="BR19" s="6"/>
      <c r="BS19" s="6"/>
      <c r="BT19" s="6">
        <v>1</v>
      </c>
      <c r="BU19" s="6">
        <v>4</v>
      </c>
      <c r="BV19" s="8">
        <f t="shared" si="1"/>
        <v>252</v>
      </c>
      <c r="BW19" s="8">
        <f t="shared" si="2"/>
        <v>60674</v>
      </c>
      <c r="BX19" s="52"/>
      <c r="BY19" s="52"/>
      <c r="BZ19" s="52"/>
    </row>
    <row r="20" spans="1:78" s="27" customFormat="1">
      <c r="A20" s="5" t="s">
        <v>58</v>
      </c>
      <c r="B20" s="6"/>
      <c r="C20" s="6"/>
      <c r="D20" s="6"/>
      <c r="E20" s="6"/>
      <c r="F20" s="6"/>
      <c r="G20" s="6"/>
      <c r="H20" s="6"/>
      <c r="I20" s="6"/>
      <c r="J20" s="6"/>
      <c r="K20" s="6"/>
      <c r="L20" s="6">
        <v>4</v>
      </c>
      <c r="M20" s="6">
        <v>142</v>
      </c>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v>1</v>
      </c>
      <c r="BE20" s="6">
        <v>64</v>
      </c>
      <c r="BF20" s="6"/>
      <c r="BG20" s="6"/>
      <c r="BH20" s="6"/>
      <c r="BI20" s="6"/>
      <c r="BJ20" s="6"/>
      <c r="BK20" s="6"/>
      <c r="BL20" s="6"/>
      <c r="BM20" s="6"/>
      <c r="BN20" s="6"/>
      <c r="BO20" s="6"/>
      <c r="BP20" s="6"/>
      <c r="BQ20" s="6"/>
      <c r="BR20" s="6"/>
      <c r="BS20" s="6"/>
      <c r="BT20" s="6">
        <v>2</v>
      </c>
      <c r="BU20" s="6">
        <v>22</v>
      </c>
      <c r="BV20" s="8">
        <f t="shared" si="1"/>
        <v>7</v>
      </c>
      <c r="BW20" s="8">
        <f t="shared" si="2"/>
        <v>228</v>
      </c>
      <c r="BX20" s="52"/>
      <c r="BY20" s="52"/>
      <c r="BZ20" s="52"/>
    </row>
    <row r="21" spans="1:78" s="27" customFormat="1">
      <c r="A21" s="5" t="s">
        <v>59</v>
      </c>
      <c r="B21" s="6"/>
      <c r="C21" s="6"/>
      <c r="D21" s="6"/>
      <c r="E21" s="6"/>
      <c r="F21" s="6"/>
      <c r="G21" s="6"/>
      <c r="H21" s="6"/>
      <c r="I21" s="6"/>
      <c r="J21" s="6"/>
      <c r="K21" s="6"/>
      <c r="L21" s="6">
        <v>29</v>
      </c>
      <c r="M21" s="6">
        <v>545</v>
      </c>
      <c r="N21" s="6"/>
      <c r="O21" s="6"/>
      <c r="P21" s="6"/>
      <c r="Q21" s="6"/>
      <c r="R21" s="6"/>
      <c r="S21" s="6"/>
      <c r="T21" s="6"/>
      <c r="U21" s="6"/>
      <c r="V21" s="6"/>
      <c r="W21" s="6"/>
      <c r="X21" s="6"/>
      <c r="Y21" s="6"/>
      <c r="Z21" s="6"/>
      <c r="AA21" s="6"/>
      <c r="AB21" s="6"/>
      <c r="AC21" s="6"/>
      <c r="AD21" s="6"/>
      <c r="AE21" s="6"/>
      <c r="AF21" s="6">
        <v>1</v>
      </c>
      <c r="AG21" s="6">
        <v>76</v>
      </c>
      <c r="AH21" s="6"/>
      <c r="AI21" s="6"/>
      <c r="AJ21" s="6"/>
      <c r="AK21" s="6"/>
      <c r="AL21" s="6"/>
      <c r="AM21" s="6"/>
      <c r="AN21" s="6"/>
      <c r="AO21" s="6"/>
      <c r="AP21" s="6"/>
      <c r="AQ21" s="6"/>
      <c r="AR21" s="6"/>
      <c r="AS21" s="6"/>
      <c r="AT21" s="6"/>
      <c r="AU21" s="6"/>
      <c r="AV21" s="6"/>
      <c r="AW21" s="6"/>
      <c r="AX21" s="6"/>
      <c r="AY21" s="6"/>
      <c r="AZ21" s="6"/>
      <c r="BA21" s="6"/>
      <c r="BB21" s="6"/>
      <c r="BC21" s="6"/>
      <c r="BD21" s="6">
        <v>3</v>
      </c>
      <c r="BE21" s="6">
        <v>74</v>
      </c>
      <c r="BF21" s="6"/>
      <c r="BG21" s="6"/>
      <c r="BH21" s="6"/>
      <c r="BI21" s="6"/>
      <c r="BJ21" s="6"/>
      <c r="BK21" s="6"/>
      <c r="BL21" s="6">
        <v>1</v>
      </c>
      <c r="BM21" s="6">
        <v>41</v>
      </c>
      <c r="BN21" s="6"/>
      <c r="BO21" s="6"/>
      <c r="BP21" s="6"/>
      <c r="BQ21" s="6"/>
      <c r="BR21" s="6"/>
      <c r="BS21" s="6"/>
      <c r="BT21" s="6">
        <v>2</v>
      </c>
      <c r="BU21" s="6">
        <v>58</v>
      </c>
      <c r="BV21" s="8">
        <f t="shared" si="1"/>
        <v>36</v>
      </c>
      <c r="BW21" s="8">
        <f t="shared" si="2"/>
        <v>794</v>
      </c>
      <c r="BX21" s="52"/>
      <c r="BY21" s="52"/>
      <c r="BZ21" s="52"/>
    </row>
    <row r="22" spans="1:78" s="27" customFormat="1">
      <c r="A22" s="5" t="s">
        <v>60</v>
      </c>
      <c r="B22" s="6">
        <v>9</v>
      </c>
      <c r="C22" s="6">
        <v>471</v>
      </c>
      <c r="D22" s="6">
        <v>9</v>
      </c>
      <c r="E22" s="6">
        <v>524</v>
      </c>
      <c r="F22" s="6">
        <v>6</v>
      </c>
      <c r="G22" s="6">
        <v>918</v>
      </c>
      <c r="H22" s="6"/>
      <c r="I22" s="6"/>
      <c r="J22" s="6"/>
      <c r="K22" s="6"/>
      <c r="L22" s="6">
        <v>3</v>
      </c>
      <c r="M22" s="6">
        <v>114</v>
      </c>
      <c r="N22" s="6"/>
      <c r="O22" s="6"/>
      <c r="P22" s="6"/>
      <c r="Q22" s="6"/>
      <c r="R22" s="6">
        <v>1</v>
      </c>
      <c r="S22" s="6">
        <v>68</v>
      </c>
      <c r="T22" s="6">
        <v>5</v>
      </c>
      <c r="U22" s="6">
        <v>268</v>
      </c>
      <c r="V22" s="6"/>
      <c r="W22" s="6"/>
      <c r="X22" s="6">
        <v>11</v>
      </c>
      <c r="Y22" s="6">
        <v>1779</v>
      </c>
      <c r="Z22" s="6">
        <v>2</v>
      </c>
      <c r="AA22" s="6">
        <v>310</v>
      </c>
      <c r="AB22" s="6">
        <v>24</v>
      </c>
      <c r="AC22" s="6">
        <v>6728</v>
      </c>
      <c r="AD22" s="6">
        <v>4</v>
      </c>
      <c r="AE22" s="6">
        <v>768</v>
      </c>
      <c r="AF22" s="6">
        <v>3</v>
      </c>
      <c r="AG22" s="6">
        <v>474</v>
      </c>
      <c r="AH22" s="6">
        <v>1</v>
      </c>
      <c r="AI22" s="6">
        <v>284</v>
      </c>
      <c r="AJ22" s="6">
        <v>3</v>
      </c>
      <c r="AK22" s="6">
        <v>78</v>
      </c>
      <c r="AL22" s="6"/>
      <c r="AM22" s="6"/>
      <c r="AN22" s="6">
        <v>4</v>
      </c>
      <c r="AO22" s="6">
        <v>1032</v>
      </c>
      <c r="AP22" s="6"/>
      <c r="AQ22" s="6"/>
      <c r="AR22" s="6">
        <v>9</v>
      </c>
      <c r="AS22" s="6">
        <v>3495</v>
      </c>
      <c r="AT22" s="6">
        <v>2</v>
      </c>
      <c r="AU22" s="6">
        <v>918</v>
      </c>
      <c r="AV22" s="6">
        <v>1</v>
      </c>
      <c r="AW22" s="6">
        <v>100</v>
      </c>
      <c r="AX22" s="6"/>
      <c r="AY22" s="6"/>
      <c r="AZ22" s="6"/>
      <c r="BA22" s="6"/>
      <c r="BB22" s="6"/>
      <c r="BC22" s="6"/>
      <c r="BD22" s="6">
        <v>3</v>
      </c>
      <c r="BE22" s="6">
        <v>120</v>
      </c>
      <c r="BF22" s="6">
        <v>6</v>
      </c>
      <c r="BG22" s="6">
        <v>497</v>
      </c>
      <c r="BH22" s="6">
        <v>4</v>
      </c>
      <c r="BI22" s="6">
        <v>279</v>
      </c>
      <c r="BJ22" s="6"/>
      <c r="BK22" s="6"/>
      <c r="BL22" s="6">
        <v>4</v>
      </c>
      <c r="BM22" s="6">
        <v>132</v>
      </c>
      <c r="BN22" s="6">
        <v>2</v>
      </c>
      <c r="BO22" s="6">
        <v>83</v>
      </c>
      <c r="BP22" s="6"/>
      <c r="BQ22" s="6"/>
      <c r="BR22" s="6"/>
      <c r="BS22" s="6"/>
      <c r="BT22" s="6">
        <v>1</v>
      </c>
      <c r="BU22" s="6">
        <v>20</v>
      </c>
      <c r="BV22" s="8">
        <f t="shared" si="1"/>
        <v>117</v>
      </c>
      <c r="BW22" s="8">
        <f t="shared" si="2"/>
        <v>19460</v>
      </c>
      <c r="BX22" s="52"/>
      <c r="BY22" s="52"/>
      <c r="BZ22" s="52"/>
    </row>
    <row r="23" spans="1:78" s="27" customFormat="1">
      <c r="A23" s="5" t="s">
        <v>218</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v>1</v>
      </c>
      <c r="BE23" s="6">
        <v>50</v>
      </c>
      <c r="BF23" s="6"/>
      <c r="BG23" s="6"/>
      <c r="BH23" s="6"/>
      <c r="BI23" s="6"/>
      <c r="BJ23" s="6"/>
      <c r="BK23" s="6"/>
      <c r="BL23" s="6"/>
      <c r="BM23" s="6"/>
      <c r="BN23" s="6"/>
      <c r="BO23" s="6"/>
      <c r="BP23" s="6"/>
      <c r="BQ23" s="6"/>
      <c r="BR23" s="6"/>
      <c r="BS23" s="6"/>
      <c r="BT23" s="6"/>
      <c r="BU23" s="6"/>
      <c r="BV23" s="8">
        <f t="shared" si="1"/>
        <v>1</v>
      </c>
      <c r="BW23" s="8">
        <f t="shared" si="2"/>
        <v>50</v>
      </c>
      <c r="BX23" s="52"/>
      <c r="BY23" s="52"/>
      <c r="BZ23" s="52"/>
    </row>
    <row r="24" spans="1:78" s="27" customFormat="1">
      <c r="A24" s="5" t="s">
        <v>61</v>
      </c>
      <c r="B24" s="6"/>
      <c r="C24" s="6"/>
      <c r="D24" s="6"/>
      <c r="E24" s="6"/>
      <c r="F24" s="6"/>
      <c r="G24" s="6"/>
      <c r="H24" s="6"/>
      <c r="I24" s="6"/>
      <c r="J24" s="6"/>
      <c r="K24" s="6"/>
      <c r="L24" s="6">
        <v>1</v>
      </c>
      <c r="M24" s="6">
        <v>17</v>
      </c>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v>2</v>
      </c>
      <c r="BU24" s="6">
        <v>24</v>
      </c>
      <c r="BV24" s="8">
        <f t="shared" si="1"/>
        <v>3</v>
      </c>
      <c r="BW24" s="8">
        <f t="shared" si="2"/>
        <v>41</v>
      </c>
      <c r="BX24" s="52"/>
      <c r="BY24" s="52"/>
      <c r="BZ24" s="52"/>
    </row>
    <row r="25" spans="1:78" s="27" customFormat="1">
      <c r="A25" s="5" t="s">
        <v>62</v>
      </c>
      <c r="B25" s="6"/>
      <c r="C25" s="6"/>
      <c r="D25" s="6"/>
      <c r="E25" s="6"/>
      <c r="F25" s="6"/>
      <c r="G25" s="6"/>
      <c r="H25" s="6"/>
      <c r="I25" s="6"/>
      <c r="J25" s="6"/>
      <c r="K25" s="6"/>
      <c r="L25" s="6">
        <v>1</v>
      </c>
      <c r="M25" s="6">
        <v>16</v>
      </c>
      <c r="N25" s="6"/>
      <c r="O25" s="6"/>
      <c r="P25" s="6"/>
      <c r="Q25" s="6"/>
      <c r="R25" s="6">
        <v>1</v>
      </c>
      <c r="S25" s="6">
        <v>17</v>
      </c>
      <c r="T25" s="6"/>
      <c r="U25" s="6"/>
      <c r="V25" s="6"/>
      <c r="W25" s="6"/>
      <c r="X25" s="6"/>
      <c r="Y25" s="6"/>
      <c r="Z25" s="6"/>
      <c r="AA25" s="6"/>
      <c r="AB25" s="6">
        <v>2</v>
      </c>
      <c r="AC25" s="6">
        <v>244</v>
      </c>
      <c r="AD25" s="6"/>
      <c r="AE25" s="6"/>
      <c r="AF25" s="6"/>
      <c r="AG25" s="6"/>
      <c r="AH25" s="6"/>
      <c r="AI25" s="6"/>
      <c r="AJ25" s="6"/>
      <c r="AK25" s="6"/>
      <c r="AL25" s="6"/>
      <c r="AM25" s="6"/>
      <c r="AN25" s="6"/>
      <c r="AO25" s="6"/>
      <c r="AP25" s="6"/>
      <c r="AQ25" s="6"/>
      <c r="AR25" s="6">
        <v>1</v>
      </c>
      <c r="AS25" s="6">
        <v>52</v>
      </c>
      <c r="AT25" s="6"/>
      <c r="AU25" s="6"/>
      <c r="AV25" s="6"/>
      <c r="AW25" s="6"/>
      <c r="AX25" s="6"/>
      <c r="AY25" s="6"/>
      <c r="AZ25" s="6"/>
      <c r="BA25" s="6"/>
      <c r="BB25" s="6">
        <v>1</v>
      </c>
      <c r="BC25" s="6">
        <v>132</v>
      </c>
      <c r="BD25" s="6"/>
      <c r="BE25" s="6"/>
      <c r="BF25" s="6">
        <v>1</v>
      </c>
      <c r="BG25" s="6">
        <v>14</v>
      </c>
      <c r="BH25" s="6"/>
      <c r="BI25" s="6"/>
      <c r="BJ25" s="6"/>
      <c r="BK25" s="6"/>
      <c r="BL25" s="6"/>
      <c r="BM25" s="6"/>
      <c r="BN25" s="6"/>
      <c r="BO25" s="6"/>
      <c r="BP25" s="6"/>
      <c r="BQ25" s="6"/>
      <c r="BR25" s="6"/>
      <c r="BS25" s="6"/>
      <c r="BT25" s="6"/>
      <c r="BU25" s="6"/>
      <c r="BV25" s="8">
        <f t="shared" si="1"/>
        <v>7</v>
      </c>
      <c r="BW25" s="8">
        <f t="shared" si="2"/>
        <v>475</v>
      </c>
      <c r="BX25" s="52"/>
      <c r="BY25" s="52"/>
      <c r="BZ25" s="52"/>
    </row>
    <row r="26" spans="1:78" s="27" customFormat="1">
      <c r="A26" s="5" t="s">
        <v>249</v>
      </c>
      <c r="B26" s="6"/>
      <c r="C26" s="6"/>
      <c r="D26" s="6"/>
      <c r="E26" s="6"/>
      <c r="F26" s="6"/>
      <c r="G26" s="6"/>
      <c r="H26" s="6"/>
      <c r="I26" s="6"/>
      <c r="J26" s="6"/>
      <c r="K26" s="6"/>
      <c r="L26" s="6">
        <v>2</v>
      </c>
      <c r="M26" s="6">
        <v>10</v>
      </c>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8">
        <f t="shared" si="1"/>
        <v>2</v>
      </c>
      <c r="BW26" s="8">
        <f t="shared" si="2"/>
        <v>10</v>
      </c>
      <c r="BX26" s="52"/>
      <c r="BY26" s="52"/>
      <c r="BZ26" s="52"/>
    </row>
    <row r="27" spans="1:78" s="27" customFormat="1">
      <c r="A27" s="5" t="s">
        <v>63</v>
      </c>
      <c r="B27" s="6"/>
      <c r="C27" s="6"/>
      <c r="D27" s="6"/>
      <c r="E27" s="6"/>
      <c r="F27" s="6"/>
      <c r="G27" s="6"/>
      <c r="H27" s="6"/>
      <c r="I27" s="6"/>
      <c r="J27" s="6"/>
      <c r="K27" s="6"/>
      <c r="L27" s="6">
        <v>9</v>
      </c>
      <c r="M27" s="6">
        <v>154</v>
      </c>
      <c r="N27" s="6"/>
      <c r="O27" s="6"/>
      <c r="P27" s="6"/>
      <c r="Q27" s="6"/>
      <c r="R27" s="6"/>
      <c r="S27" s="6"/>
      <c r="T27" s="6"/>
      <c r="U27" s="6"/>
      <c r="V27" s="6"/>
      <c r="W27" s="6"/>
      <c r="X27" s="6"/>
      <c r="Y27" s="6"/>
      <c r="Z27" s="6"/>
      <c r="AA27" s="6"/>
      <c r="AB27" s="6">
        <v>1</v>
      </c>
      <c r="AC27" s="6">
        <v>37</v>
      </c>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v>1</v>
      </c>
      <c r="BG27" s="6">
        <v>16</v>
      </c>
      <c r="BH27" s="6"/>
      <c r="BI27" s="6"/>
      <c r="BJ27" s="6"/>
      <c r="BK27" s="6"/>
      <c r="BL27" s="6"/>
      <c r="BM27" s="6"/>
      <c r="BN27" s="6"/>
      <c r="BO27" s="6"/>
      <c r="BP27" s="6"/>
      <c r="BQ27" s="6"/>
      <c r="BR27" s="6"/>
      <c r="BS27" s="6"/>
      <c r="BT27" s="6"/>
      <c r="BU27" s="6"/>
      <c r="BV27" s="8">
        <f t="shared" si="1"/>
        <v>11</v>
      </c>
      <c r="BW27" s="8">
        <f t="shared" si="2"/>
        <v>207</v>
      </c>
      <c r="BX27" s="52"/>
      <c r="BY27" s="52"/>
      <c r="BZ27" s="52"/>
    </row>
    <row r="28" spans="1:78" s="27" customFormat="1">
      <c r="A28" s="5" t="s">
        <v>64</v>
      </c>
      <c r="B28" s="6"/>
      <c r="C28" s="6"/>
      <c r="D28" s="6"/>
      <c r="E28" s="6"/>
      <c r="F28" s="6"/>
      <c r="G28" s="6"/>
      <c r="H28" s="6"/>
      <c r="I28" s="6"/>
      <c r="J28" s="6"/>
      <c r="K28" s="6"/>
      <c r="L28" s="6">
        <v>1</v>
      </c>
      <c r="M28" s="6">
        <v>10</v>
      </c>
      <c r="N28" s="6"/>
      <c r="O28" s="6"/>
      <c r="P28" s="6"/>
      <c r="Q28" s="6"/>
      <c r="R28" s="6"/>
      <c r="S28" s="6"/>
      <c r="T28" s="6"/>
      <c r="U28" s="6"/>
      <c r="V28" s="6"/>
      <c r="W28" s="6"/>
      <c r="X28" s="6"/>
      <c r="Y28" s="6"/>
      <c r="Z28" s="6"/>
      <c r="AA28" s="6"/>
      <c r="AB28" s="6">
        <v>1</v>
      </c>
      <c r="AC28" s="6">
        <v>111</v>
      </c>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v>3</v>
      </c>
      <c r="BU28" s="6">
        <v>32</v>
      </c>
      <c r="BV28" s="8">
        <f t="shared" si="1"/>
        <v>5</v>
      </c>
      <c r="BW28" s="8">
        <f t="shared" si="2"/>
        <v>153</v>
      </c>
      <c r="BX28" s="52"/>
      <c r="BY28" s="52"/>
      <c r="BZ28" s="52"/>
    </row>
    <row r="29" spans="1:78" s="27" customFormat="1">
      <c r="A29" s="5" t="s">
        <v>65</v>
      </c>
      <c r="B29" s="6">
        <v>7</v>
      </c>
      <c r="C29" s="6">
        <v>197</v>
      </c>
      <c r="D29" s="6">
        <v>11</v>
      </c>
      <c r="E29" s="6">
        <v>723</v>
      </c>
      <c r="F29" s="6">
        <v>3</v>
      </c>
      <c r="G29" s="6">
        <v>459</v>
      </c>
      <c r="H29" s="6"/>
      <c r="I29" s="6"/>
      <c r="J29" s="6"/>
      <c r="K29" s="6"/>
      <c r="L29" s="6">
        <v>17</v>
      </c>
      <c r="M29" s="6">
        <v>342</v>
      </c>
      <c r="N29" s="6"/>
      <c r="O29" s="6"/>
      <c r="P29" s="6"/>
      <c r="Q29" s="6"/>
      <c r="R29" s="6"/>
      <c r="S29" s="6"/>
      <c r="T29" s="6"/>
      <c r="U29" s="6"/>
      <c r="V29" s="6"/>
      <c r="W29" s="6"/>
      <c r="X29" s="6">
        <v>5</v>
      </c>
      <c r="Y29" s="6">
        <v>1816</v>
      </c>
      <c r="Z29" s="6"/>
      <c r="AA29" s="6"/>
      <c r="AB29" s="6">
        <v>3</v>
      </c>
      <c r="AC29" s="6">
        <v>1243</v>
      </c>
      <c r="AD29" s="6">
        <v>1</v>
      </c>
      <c r="AE29" s="6">
        <v>202</v>
      </c>
      <c r="AF29" s="6"/>
      <c r="AG29" s="6"/>
      <c r="AH29" s="6"/>
      <c r="AI29" s="6"/>
      <c r="AJ29" s="6"/>
      <c r="AK29" s="6"/>
      <c r="AL29" s="6"/>
      <c r="AM29" s="6"/>
      <c r="AN29" s="6"/>
      <c r="AO29" s="6"/>
      <c r="AP29" s="6"/>
      <c r="AQ29" s="6"/>
      <c r="AR29" s="6">
        <v>2</v>
      </c>
      <c r="AS29" s="6">
        <v>750</v>
      </c>
      <c r="AT29" s="6"/>
      <c r="AU29" s="6"/>
      <c r="AV29" s="6"/>
      <c r="AW29" s="6"/>
      <c r="AX29" s="6">
        <v>1</v>
      </c>
      <c r="AY29" s="6">
        <v>48</v>
      </c>
      <c r="AZ29" s="6"/>
      <c r="BA29" s="6"/>
      <c r="BB29" s="6"/>
      <c r="BC29" s="6"/>
      <c r="BD29" s="6">
        <v>3</v>
      </c>
      <c r="BE29" s="6">
        <v>108</v>
      </c>
      <c r="BF29" s="6">
        <v>1</v>
      </c>
      <c r="BG29" s="6">
        <v>35</v>
      </c>
      <c r="BH29" s="6"/>
      <c r="BI29" s="6"/>
      <c r="BJ29" s="6"/>
      <c r="BK29" s="6"/>
      <c r="BL29" s="6">
        <v>2</v>
      </c>
      <c r="BM29" s="6">
        <v>75</v>
      </c>
      <c r="BN29" s="6"/>
      <c r="BO29" s="6"/>
      <c r="BP29" s="6"/>
      <c r="BQ29" s="6"/>
      <c r="BR29" s="6"/>
      <c r="BS29" s="6"/>
      <c r="BT29" s="6">
        <v>2</v>
      </c>
      <c r="BU29" s="6">
        <v>18</v>
      </c>
      <c r="BV29" s="8">
        <f t="shared" si="1"/>
        <v>58</v>
      </c>
      <c r="BW29" s="8">
        <f t="shared" si="2"/>
        <v>6016</v>
      </c>
      <c r="BX29" s="52"/>
      <c r="BY29" s="52"/>
      <c r="BZ29" s="52"/>
    </row>
    <row r="30" spans="1:78" s="27" customFormat="1">
      <c r="A30" s="5" t="s">
        <v>66</v>
      </c>
      <c r="B30" s="6"/>
      <c r="C30" s="6"/>
      <c r="D30" s="6"/>
      <c r="E30" s="6"/>
      <c r="F30" s="6"/>
      <c r="G30" s="6"/>
      <c r="H30" s="6"/>
      <c r="I30" s="6"/>
      <c r="J30" s="6"/>
      <c r="K30" s="6"/>
      <c r="L30" s="6">
        <v>2</v>
      </c>
      <c r="M30" s="6">
        <v>25</v>
      </c>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v>2</v>
      </c>
      <c r="AS30" s="6">
        <v>62</v>
      </c>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v>3</v>
      </c>
      <c r="BU30" s="6">
        <v>60</v>
      </c>
      <c r="BV30" s="8">
        <f t="shared" si="1"/>
        <v>7</v>
      </c>
      <c r="BW30" s="8">
        <f t="shared" si="2"/>
        <v>147</v>
      </c>
      <c r="BX30" s="52"/>
      <c r="BY30" s="52"/>
      <c r="BZ30" s="52"/>
    </row>
    <row r="31" spans="1:78" s="27" customFormat="1">
      <c r="A31" s="5" t="s">
        <v>67</v>
      </c>
      <c r="B31" s="6"/>
      <c r="C31" s="6"/>
      <c r="D31" s="6"/>
      <c r="E31" s="6"/>
      <c r="F31" s="6"/>
      <c r="G31" s="6"/>
      <c r="H31" s="6"/>
      <c r="I31" s="6"/>
      <c r="J31" s="6"/>
      <c r="K31" s="6"/>
      <c r="L31" s="6">
        <v>6</v>
      </c>
      <c r="M31" s="6">
        <v>98</v>
      </c>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v>1</v>
      </c>
      <c r="BE31" s="6">
        <v>30</v>
      </c>
      <c r="BF31" s="6"/>
      <c r="BG31" s="6"/>
      <c r="BH31" s="6"/>
      <c r="BI31" s="6"/>
      <c r="BJ31" s="6"/>
      <c r="BK31" s="6"/>
      <c r="BL31" s="6"/>
      <c r="BM31" s="6"/>
      <c r="BN31" s="6"/>
      <c r="BO31" s="6"/>
      <c r="BP31" s="6"/>
      <c r="BQ31" s="6"/>
      <c r="BR31" s="6"/>
      <c r="BS31" s="6"/>
      <c r="BT31" s="6"/>
      <c r="BU31" s="6"/>
      <c r="BV31" s="8">
        <f t="shared" si="1"/>
        <v>7</v>
      </c>
      <c r="BW31" s="8">
        <f t="shared" si="2"/>
        <v>128</v>
      </c>
      <c r="BX31" s="52"/>
      <c r="BY31" s="52"/>
      <c r="BZ31" s="52"/>
    </row>
    <row r="32" spans="1:78" s="27" customFormat="1">
      <c r="A32" s="5" t="s">
        <v>68</v>
      </c>
      <c r="B32" s="6"/>
      <c r="C32" s="6"/>
      <c r="D32" s="6"/>
      <c r="E32" s="6"/>
      <c r="F32" s="6"/>
      <c r="G32" s="6"/>
      <c r="H32" s="6"/>
      <c r="I32" s="6"/>
      <c r="J32" s="6"/>
      <c r="K32" s="6"/>
      <c r="L32" s="6">
        <v>3</v>
      </c>
      <c r="M32" s="6">
        <v>52</v>
      </c>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8">
        <f t="shared" si="1"/>
        <v>3</v>
      </c>
      <c r="BW32" s="8">
        <f t="shared" si="2"/>
        <v>52</v>
      </c>
      <c r="BX32" s="52"/>
      <c r="BY32" s="52"/>
      <c r="BZ32" s="52"/>
    </row>
    <row r="33" spans="1:78" s="27" customFormat="1">
      <c r="A33" s="5" t="s">
        <v>69</v>
      </c>
      <c r="B33" s="6"/>
      <c r="C33" s="6"/>
      <c r="D33" s="6"/>
      <c r="E33" s="6"/>
      <c r="F33" s="6"/>
      <c r="G33" s="6"/>
      <c r="H33" s="6"/>
      <c r="I33" s="6"/>
      <c r="J33" s="6"/>
      <c r="K33" s="6"/>
      <c r="L33" s="6">
        <v>1</v>
      </c>
      <c r="M33" s="6">
        <v>17</v>
      </c>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v>2</v>
      </c>
      <c r="BU33" s="6">
        <v>46</v>
      </c>
      <c r="BV33" s="8">
        <f t="shared" si="1"/>
        <v>3</v>
      </c>
      <c r="BW33" s="8">
        <f t="shared" si="2"/>
        <v>63</v>
      </c>
      <c r="BX33" s="52"/>
      <c r="BY33" s="52"/>
      <c r="BZ33" s="52"/>
    </row>
    <row r="34" spans="1:78" s="27" customFormat="1">
      <c r="A34" s="5" t="s">
        <v>177</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v>5</v>
      </c>
      <c r="BU34" s="6">
        <v>38</v>
      </c>
      <c r="BV34" s="8">
        <f t="shared" si="1"/>
        <v>5</v>
      </c>
      <c r="BW34" s="8">
        <f t="shared" si="2"/>
        <v>38</v>
      </c>
      <c r="BX34" s="52"/>
      <c r="BY34" s="52"/>
      <c r="BZ34" s="52"/>
    </row>
    <row r="35" spans="1:78" s="27" customFormat="1">
      <c r="A35" s="5" t="s">
        <v>71</v>
      </c>
      <c r="B35" s="6"/>
      <c r="C35" s="6"/>
      <c r="D35" s="6"/>
      <c r="E35" s="6"/>
      <c r="F35" s="6">
        <v>1</v>
      </c>
      <c r="G35" s="6">
        <v>120</v>
      </c>
      <c r="H35" s="6"/>
      <c r="I35" s="6"/>
      <c r="J35" s="6">
        <v>1</v>
      </c>
      <c r="K35" s="6">
        <v>936</v>
      </c>
      <c r="L35" s="6">
        <v>24</v>
      </c>
      <c r="M35" s="6">
        <v>605</v>
      </c>
      <c r="N35" s="6"/>
      <c r="O35" s="6"/>
      <c r="P35" s="6"/>
      <c r="Q35" s="6"/>
      <c r="R35" s="6">
        <v>1</v>
      </c>
      <c r="S35" s="6">
        <v>26</v>
      </c>
      <c r="T35" s="6"/>
      <c r="U35" s="6"/>
      <c r="V35" s="6">
        <v>5</v>
      </c>
      <c r="W35" s="6">
        <v>1471</v>
      </c>
      <c r="X35" s="6">
        <v>24</v>
      </c>
      <c r="Y35" s="6">
        <v>7436</v>
      </c>
      <c r="Z35" s="6">
        <v>1</v>
      </c>
      <c r="AA35" s="6">
        <v>297</v>
      </c>
      <c r="AB35" s="6">
        <v>4</v>
      </c>
      <c r="AC35" s="6">
        <v>1698</v>
      </c>
      <c r="AD35" s="6"/>
      <c r="AE35" s="6"/>
      <c r="AF35" s="6">
        <v>2</v>
      </c>
      <c r="AG35" s="6">
        <v>493</v>
      </c>
      <c r="AH35" s="6"/>
      <c r="AI35" s="6"/>
      <c r="AJ35" s="6"/>
      <c r="AK35" s="6"/>
      <c r="AL35" s="6"/>
      <c r="AM35" s="6"/>
      <c r="AN35" s="6">
        <v>1</v>
      </c>
      <c r="AO35" s="6">
        <v>346</v>
      </c>
      <c r="AP35" s="6"/>
      <c r="AQ35" s="6"/>
      <c r="AR35" s="6"/>
      <c r="AS35" s="6"/>
      <c r="AT35" s="6"/>
      <c r="AU35" s="6"/>
      <c r="AV35" s="6"/>
      <c r="AW35" s="6"/>
      <c r="AX35" s="6"/>
      <c r="AY35" s="6"/>
      <c r="AZ35" s="6"/>
      <c r="BA35" s="6"/>
      <c r="BB35" s="6"/>
      <c r="BC35" s="6"/>
      <c r="BD35" s="6">
        <v>2</v>
      </c>
      <c r="BE35" s="6">
        <v>92</v>
      </c>
      <c r="BF35" s="6">
        <v>3</v>
      </c>
      <c r="BG35" s="6">
        <v>161</v>
      </c>
      <c r="BH35" s="6"/>
      <c r="BI35" s="6"/>
      <c r="BJ35" s="6"/>
      <c r="BK35" s="6"/>
      <c r="BL35" s="6">
        <v>1</v>
      </c>
      <c r="BM35" s="6">
        <v>48</v>
      </c>
      <c r="BN35" s="6">
        <v>2</v>
      </c>
      <c r="BO35" s="6">
        <v>80</v>
      </c>
      <c r="BP35" s="6"/>
      <c r="BQ35" s="6"/>
      <c r="BR35" s="6"/>
      <c r="BS35" s="6"/>
      <c r="BT35" s="6">
        <v>1</v>
      </c>
      <c r="BU35" s="6">
        <v>28</v>
      </c>
      <c r="BV35" s="8">
        <f t="shared" si="1"/>
        <v>73</v>
      </c>
      <c r="BW35" s="8">
        <f t="shared" si="2"/>
        <v>13837</v>
      </c>
      <c r="BX35" s="52"/>
      <c r="BY35" s="52"/>
      <c r="BZ35" s="52"/>
    </row>
    <row r="36" spans="1:78" s="27" customFormat="1">
      <c r="A36" s="5" t="s">
        <v>72</v>
      </c>
      <c r="B36" s="6">
        <v>2</v>
      </c>
      <c r="C36" s="6">
        <v>237</v>
      </c>
      <c r="D36" s="6">
        <v>5</v>
      </c>
      <c r="E36" s="6">
        <v>479</v>
      </c>
      <c r="F36" s="6">
        <v>3</v>
      </c>
      <c r="G36" s="6">
        <v>109</v>
      </c>
      <c r="H36" s="6"/>
      <c r="I36" s="6"/>
      <c r="J36" s="6">
        <v>2</v>
      </c>
      <c r="K36" s="6">
        <v>180</v>
      </c>
      <c r="L36" s="6">
        <v>25</v>
      </c>
      <c r="M36" s="6">
        <v>442</v>
      </c>
      <c r="N36" s="6">
        <v>3</v>
      </c>
      <c r="O36" s="6">
        <v>94</v>
      </c>
      <c r="P36" s="6"/>
      <c r="Q36" s="6"/>
      <c r="R36" s="6"/>
      <c r="S36" s="6"/>
      <c r="T36" s="6">
        <v>1</v>
      </c>
      <c r="U36" s="6">
        <v>222</v>
      </c>
      <c r="V36" s="6">
        <v>1</v>
      </c>
      <c r="W36" s="6">
        <v>41</v>
      </c>
      <c r="X36" s="6">
        <v>7</v>
      </c>
      <c r="Y36" s="6">
        <v>3024</v>
      </c>
      <c r="Z36" s="6">
        <v>1</v>
      </c>
      <c r="AA36" s="6">
        <v>454</v>
      </c>
      <c r="AB36" s="6">
        <v>8</v>
      </c>
      <c r="AC36" s="6">
        <v>3103</v>
      </c>
      <c r="AD36" s="6"/>
      <c r="AE36" s="6"/>
      <c r="AF36" s="6"/>
      <c r="AG36" s="6"/>
      <c r="AH36" s="6"/>
      <c r="AI36" s="6"/>
      <c r="AJ36" s="6"/>
      <c r="AK36" s="6"/>
      <c r="AL36" s="6"/>
      <c r="AM36" s="6"/>
      <c r="AN36" s="6">
        <v>5</v>
      </c>
      <c r="AO36" s="6">
        <v>2448</v>
      </c>
      <c r="AP36" s="6"/>
      <c r="AQ36" s="6"/>
      <c r="AR36" s="6">
        <v>3</v>
      </c>
      <c r="AS36" s="6">
        <v>3835</v>
      </c>
      <c r="AT36" s="6"/>
      <c r="AU36" s="6"/>
      <c r="AV36" s="6"/>
      <c r="AW36" s="6"/>
      <c r="AX36" s="6"/>
      <c r="AY36" s="6"/>
      <c r="AZ36" s="6"/>
      <c r="BA36" s="6"/>
      <c r="BB36" s="6"/>
      <c r="BC36" s="6"/>
      <c r="BD36" s="6">
        <v>3</v>
      </c>
      <c r="BE36" s="6">
        <v>108</v>
      </c>
      <c r="BF36" s="6">
        <v>1</v>
      </c>
      <c r="BG36" s="6">
        <v>111</v>
      </c>
      <c r="BH36" s="6">
        <v>1</v>
      </c>
      <c r="BI36" s="6">
        <v>46</v>
      </c>
      <c r="BJ36" s="6"/>
      <c r="BK36" s="6"/>
      <c r="BL36" s="6"/>
      <c r="BM36" s="6"/>
      <c r="BN36" s="6"/>
      <c r="BO36" s="6"/>
      <c r="BP36" s="6"/>
      <c r="BQ36" s="6"/>
      <c r="BR36" s="6"/>
      <c r="BS36" s="6"/>
      <c r="BT36" s="6"/>
      <c r="BU36" s="6"/>
      <c r="BV36" s="8">
        <f t="shared" si="1"/>
        <v>71</v>
      </c>
      <c r="BW36" s="8">
        <f t="shared" si="2"/>
        <v>14933</v>
      </c>
      <c r="BX36" s="52"/>
      <c r="BY36" s="52"/>
      <c r="BZ36" s="52"/>
    </row>
    <row r="37" spans="1:78" s="27" customFormat="1">
      <c r="A37" s="5" t="s">
        <v>250</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v>1</v>
      </c>
      <c r="BU37" s="6">
        <v>22</v>
      </c>
      <c r="BV37" s="8">
        <f t="shared" si="1"/>
        <v>1</v>
      </c>
      <c r="BW37" s="8">
        <f t="shared" si="2"/>
        <v>22</v>
      </c>
      <c r="BX37" s="52"/>
      <c r="BY37" s="52"/>
      <c r="BZ37" s="52"/>
    </row>
    <row r="38" spans="1:78" s="27" customFormat="1">
      <c r="A38" s="5" t="s">
        <v>73</v>
      </c>
      <c r="B38" s="6"/>
      <c r="C38" s="6"/>
      <c r="D38" s="6"/>
      <c r="E38" s="6"/>
      <c r="F38" s="6"/>
      <c r="G38" s="6"/>
      <c r="H38" s="6"/>
      <c r="I38" s="6"/>
      <c r="J38" s="6"/>
      <c r="K38" s="6"/>
      <c r="L38" s="6">
        <v>5</v>
      </c>
      <c r="M38" s="6">
        <v>66</v>
      </c>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v>2</v>
      </c>
      <c r="BU38" s="6">
        <v>34</v>
      </c>
      <c r="BV38" s="8">
        <f t="shared" si="1"/>
        <v>7</v>
      </c>
      <c r="BW38" s="8">
        <f t="shared" si="2"/>
        <v>100</v>
      </c>
      <c r="BX38" s="52"/>
      <c r="BY38" s="52"/>
      <c r="BZ38" s="52"/>
    </row>
    <row r="39" spans="1:78" s="27" customFormat="1">
      <c r="A39" s="5" t="s">
        <v>74</v>
      </c>
      <c r="B39" s="6"/>
      <c r="C39" s="6"/>
      <c r="D39" s="6"/>
      <c r="E39" s="6"/>
      <c r="F39" s="6"/>
      <c r="G39" s="6"/>
      <c r="H39" s="6"/>
      <c r="I39" s="6"/>
      <c r="J39" s="6"/>
      <c r="K39" s="6"/>
      <c r="L39" s="6">
        <v>1</v>
      </c>
      <c r="M39" s="6">
        <v>24</v>
      </c>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v>2</v>
      </c>
      <c r="BU39" s="6">
        <v>33</v>
      </c>
      <c r="BV39" s="8">
        <f t="shared" si="1"/>
        <v>3</v>
      </c>
      <c r="BW39" s="8">
        <f t="shared" si="2"/>
        <v>57</v>
      </c>
      <c r="BX39" s="52"/>
      <c r="BY39" s="52"/>
      <c r="BZ39" s="52"/>
    </row>
    <row r="40" spans="1:78" s="27" customFormat="1">
      <c r="A40" s="5" t="s">
        <v>75</v>
      </c>
      <c r="B40" s="6"/>
      <c r="C40" s="6"/>
      <c r="D40" s="6"/>
      <c r="E40" s="6"/>
      <c r="F40" s="6"/>
      <c r="G40" s="6"/>
      <c r="H40" s="6"/>
      <c r="I40" s="6"/>
      <c r="J40" s="6"/>
      <c r="K40" s="6"/>
      <c r="L40" s="6">
        <v>4</v>
      </c>
      <c r="M40" s="6">
        <v>95</v>
      </c>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v>2</v>
      </c>
      <c r="BE40" s="6">
        <v>95</v>
      </c>
      <c r="BF40" s="6"/>
      <c r="BG40" s="6"/>
      <c r="BH40" s="6"/>
      <c r="BI40" s="6"/>
      <c r="BJ40" s="6"/>
      <c r="BK40" s="6"/>
      <c r="BL40" s="6"/>
      <c r="BM40" s="6"/>
      <c r="BN40" s="6"/>
      <c r="BO40" s="6"/>
      <c r="BP40" s="6"/>
      <c r="BQ40" s="6"/>
      <c r="BR40" s="6"/>
      <c r="BS40" s="6"/>
      <c r="BT40" s="6">
        <v>1</v>
      </c>
      <c r="BU40" s="6">
        <v>12</v>
      </c>
      <c r="BV40" s="8">
        <f t="shared" si="1"/>
        <v>7</v>
      </c>
      <c r="BW40" s="8">
        <f t="shared" si="2"/>
        <v>202</v>
      </c>
      <c r="BX40" s="52"/>
      <c r="BY40" s="52"/>
      <c r="BZ40" s="52"/>
    </row>
    <row r="41" spans="1:78" s="27" customFormat="1">
      <c r="A41" s="5" t="s">
        <v>76</v>
      </c>
      <c r="B41" s="6"/>
      <c r="C41" s="6"/>
      <c r="D41" s="6">
        <v>1</v>
      </c>
      <c r="E41" s="6">
        <v>358</v>
      </c>
      <c r="F41" s="6">
        <v>6</v>
      </c>
      <c r="G41" s="6">
        <v>795</v>
      </c>
      <c r="H41" s="6"/>
      <c r="I41" s="6"/>
      <c r="J41" s="6"/>
      <c r="K41" s="6"/>
      <c r="L41" s="6">
        <v>2</v>
      </c>
      <c r="M41" s="6">
        <v>52</v>
      </c>
      <c r="N41" s="6"/>
      <c r="O41" s="6"/>
      <c r="P41" s="6">
        <v>1</v>
      </c>
      <c r="Q41" s="6">
        <v>500</v>
      </c>
      <c r="R41" s="6"/>
      <c r="S41" s="6"/>
      <c r="T41" s="6"/>
      <c r="U41" s="6"/>
      <c r="V41" s="6"/>
      <c r="W41" s="6"/>
      <c r="X41" s="6">
        <v>2</v>
      </c>
      <c r="Y41" s="6">
        <v>372</v>
      </c>
      <c r="Z41" s="6"/>
      <c r="AA41" s="6"/>
      <c r="AB41" s="6">
        <v>8</v>
      </c>
      <c r="AC41" s="6">
        <v>3250</v>
      </c>
      <c r="AD41" s="6">
        <v>2</v>
      </c>
      <c r="AE41" s="6">
        <v>1080</v>
      </c>
      <c r="AF41" s="6">
        <v>3</v>
      </c>
      <c r="AG41" s="6">
        <v>1186</v>
      </c>
      <c r="AH41" s="6"/>
      <c r="AI41" s="6"/>
      <c r="AJ41" s="6"/>
      <c r="AK41" s="6"/>
      <c r="AL41" s="6"/>
      <c r="AM41" s="6"/>
      <c r="AN41" s="6">
        <v>3</v>
      </c>
      <c r="AO41" s="6">
        <v>742</v>
      </c>
      <c r="AP41" s="6">
        <v>1</v>
      </c>
      <c r="AQ41" s="6">
        <v>2205</v>
      </c>
      <c r="AR41" s="6">
        <v>10</v>
      </c>
      <c r="AS41" s="6">
        <v>5815</v>
      </c>
      <c r="AT41" s="6">
        <v>1</v>
      </c>
      <c r="AU41" s="6">
        <v>544</v>
      </c>
      <c r="AV41" s="6"/>
      <c r="AW41" s="6"/>
      <c r="AX41" s="6"/>
      <c r="AY41" s="6"/>
      <c r="AZ41" s="6"/>
      <c r="BA41" s="6"/>
      <c r="BB41" s="6"/>
      <c r="BC41" s="6"/>
      <c r="BD41" s="6">
        <v>1</v>
      </c>
      <c r="BE41" s="6">
        <v>30</v>
      </c>
      <c r="BF41" s="6"/>
      <c r="BG41" s="6"/>
      <c r="BH41" s="6"/>
      <c r="BI41" s="6"/>
      <c r="BJ41" s="6"/>
      <c r="BK41" s="6"/>
      <c r="BL41" s="6"/>
      <c r="BM41" s="6"/>
      <c r="BN41" s="6"/>
      <c r="BO41" s="6"/>
      <c r="BP41" s="6"/>
      <c r="BQ41" s="6"/>
      <c r="BR41" s="6"/>
      <c r="BS41" s="6"/>
      <c r="BT41" s="6">
        <v>1</v>
      </c>
      <c r="BU41" s="6">
        <v>10</v>
      </c>
      <c r="BV41" s="8">
        <f t="shared" si="1"/>
        <v>42</v>
      </c>
      <c r="BW41" s="8">
        <f t="shared" si="2"/>
        <v>16939</v>
      </c>
      <c r="BX41" s="52"/>
      <c r="BY41" s="52"/>
      <c r="BZ41" s="52"/>
    </row>
    <row r="42" spans="1:78" s="27" customFormat="1">
      <c r="A42" s="5" t="s">
        <v>77</v>
      </c>
      <c r="B42" s="6">
        <v>4</v>
      </c>
      <c r="C42" s="6">
        <v>277</v>
      </c>
      <c r="D42" s="6">
        <v>5</v>
      </c>
      <c r="E42" s="6">
        <v>376</v>
      </c>
      <c r="F42" s="6">
        <v>6</v>
      </c>
      <c r="G42" s="6">
        <v>671</v>
      </c>
      <c r="H42" s="6"/>
      <c r="I42" s="6"/>
      <c r="J42" s="6">
        <v>4</v>
      </c>
      <c r="K42" s="6">
        <v>161</v>
      </c>
      <c r="L42" s="6">
        <v>4</v>
      </c>
      <c r="M42" s="6">
        <v>43</v>
      </c>
      <c r="N42" s="6">
        <v>5</v>
      </c>
      <c r="O42" s="6">
        <v>181</v>
      </c>
      <c r="P42" s="6"/>
      <c r="Q42" s="6"/>
      <c r="R42" s="6">
        <v>1</v>
      </c>
      <c r="S42" s="6">
        <v>12</v>
      </c>
      <c r="T42" s="6">
        <v>4</v>
      </c>
      <c r="U42" s="6">
        <v>216</v>
      </c>
      <c r="V42" s="6">
        <v>12</v>
      </c>
      <c r="W42" s="6">
        <v>1375</v>
      </c>
      <c r="X42" s="6">
        <v>44</v>
      </c>
      <c r="Y42" s="6">
        <v>11443</v>
      </c>
      <c r="Z42" s="6">
        <v>2</v>
      </c>
      <c r="AA42" s="6">
        <v>803</v>
      </c>
      <c r="AB42" s="6">
        <v>73</v>
      </c>
      <c r="AC42" s="6">
        <v>20543</v>
      </c>
      <c r="AD42" s="6">
        <v>14</v>
      </c>
      <c r="AE42" s="6">
        <v>2864</v>
      </c>
      <c r="AF42" s="6">
        <v>19</v>
      </c>
      <c r="AG42" s="6">
        <v>3253</v>
      </c>
      <c r="AH42" s="6">
        <v>2</v>
      </c>
      <c r="AI42" s="6">
        <v>394</v>
      </c>
      <c r="AJ42" s="6"/>
      <c r="AK42" s="6"/>
      <c r="AL42" s="6">
        <v>5</v>
      </c>
      <c r="AM42" s="6">
        <v>634</v>
      </c>
      <c r="AN42" s="6">
        <v>4</v>
      </c>
      <c r="AO42" s="6">
        <v>463</v>
      </c>
      <c r="AP42" s="6">
        <v>1</v>
      </c>
      <c r="AQ42" s="6">
        <v>146</v>
      </c>
      <c r="AR42" s="6">
        <v>8</v>
      </c>
      <c r="AS42" s="6">
        <v>2459</v>
      </c>
      <c r="AT42" s="6">
        <v>1</v>
      </c>
      <c r="AU42" s="6">
        <v>342</v>
      </c>
      <c r="AV42" s="6"/>
      <c r="AW42" s="6"/>
      <c r="AX42" s="6"/>
      <c r="AY42" s="6"/>
      <c r="AZ42" s="6"/>
      <c r="BA42" s="6"/>
      <c r="BB42" s="6"/>
      <c r="BC42" s="6"/>
      <c r="BD42" s="6">
        <v>1</v>
      </c>
      <c r="BE42" s="6">
        <v>41</v>
      </c>
      <c r="BF42" s="6">
        <v>4</v>
      </c>
      <c r="BG42" s="6">
        <v>122</v>
      </c>
      <c r="BH42" s="6">
        <v>3</v>
      </c>
      <c r="BI42" s="6">
        <v>223</v>
      </c>
      <c r="BJ42" s="6"/>
      <c r="BK42" s="6"/>
      <c r="BL42" s="6">
        <v>17</v>
      </c>
      <c r="BM42" s="6">
        <v>687</v>
      </c>
      <c r="BN42" s="6">
        <v>6</v>
      </c>
      <c r="BO42" s="6">
        <v>277</v>
      </c>
      <c r="BP42" s="6"/>
      <c r="BQ42" s="6"/>
      <c r="BR42" s="6"/>
      <c r="BS42" s="6"/>
      <c r="BT42" s="6">
        <v>45</v>
      </c>
      <c r="BU42" s="6">
        <v>686</v>
      </c>
      <c r="BV42" s="8">
        <f t="shared" si="1"/>
        <v>294</v>
      </c>
      <c r="BW42" s="8">
        <f t="shared" si="2"/>
        <v>48692</v>
      </c>
      <c r="BX42" s="52"/>
      <c r="BY42" s="52"/>
      <c r="BZ42" s="52"/>
    </row>
    <row r="43" spans="1:78" s="27" customFormat="1">
      <c r="A43" s="5" t="s">
        <v>78</v>
      </c>
      <c r="B43" s="6"/>
      <c r="C43" s="6"/>
      <c r="D43" s="6"/>
      <c r="E43" s="6"/>
      <c r="F43" s="6"/>
      <c r="G43" s="6"/>
      <c r="H43" s="6"/>
      <c r="I43" s="6"/>
      <c r="J43" s="6"/>
      <c r="K43" s="6"/>
      <c r="L43" s="6">
        <v>5</v>
      </c>
      <c r="M43" s="6">
        <v>96</v>
      </c>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v>1</v>
      </c>
      <c r="BU43" s="6">
        <v>6</v>
      </c>
      <c r="BV43" s="8">
        <f t="shared" si="1"/>
        <v>6</v>
      </c>
      <c r="BW43" s="8">
        <f t="shared" si="2"/>
        <v>102</v>
      </c>
      <c r="BX43" s="52"/>
      <c r="BY43" s="52"/>
      <c r="BZ43" s="52"/>
    </row>
    <row r="44" spans="1:78" s="27" customFormat="1">
      <c r="A44" s="5" t="s">
        <v>178</v>
      </c>
      <c r="B44" s="6"/>
      <c r="C44" s="6"/>
      <c r="D44" s="6"/>
      <c r="E44" s="6"/>
      <c r="F44" s="6"/>
      <c r="G44" s="6"/>
      <c r="H44" s="6"/>
      <c r="I44" s="6"/>
      <c r="J44" s="6"/>
      <c r="K44" s="6"/>
      <c r="L44" s="6">
        <v>2</v>
      </c>
      <c r="M44" s="6">
        <v>28</v>
      </c>
      <c r="N44" s="6"/>
      <c r="O44" s="6"/>
      <c r="P44" s="6"/>
      <c r="Q44" s="6"/>
      <c r="R44" s="6">
        <v>1</v>
      </c>
      <c r="S44" s="6">
        <v>11</v>
      </c>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v>1</v>
      </c>
      <c r="BU44" s="6">
        <v>10</v>
      </c>
      <c r="BV44" s="8">
        <f t="shared" si="1"/>
        <v>4</v>
      </c>
      <c r="BW44" s="8">
        <f t="shared" si="2"/>
        <v>49</v>
      </c>
      <c r="BX44" s="52"/>
      <c r="BY44" s="52"/>
      <c r="BZ44" s="52"/>
    </row>
    <row r="45" spans="1:78" s="27" customFormat="1">
      <c r="A45" s="5" t="s">
        <v>79</v>
      </c>
      <c r="B45" s="6">
        <v>6</v>
      </c>
      <c r="C45" s="6">
        <v>237</v>
      </c>
      <c r="D45" s="6">
        <v>7</v>
      </c>
      <c r="E45" s="6">
        <v>352</v>
      </c>
      <c r="F45" s="6">
        <v>13</v>
      </c>
      <c r="G45" s="6">
        <v>1138</v>
      </c>
      <c r="H45" s="6">
        <v>2</v>
      </c>
      <c r="I45" s="6">
        <v>177</v>
      </c>
      <c r="J45" s="6">
        <v>2</v>
      </c>
      <c r="K45" s="6">
        <v>286</v>
      </c>
      <c r="L45" s="6">
        <v>8</v>
      </c>
      <c r="M45" s="6">
        <v>109</v>
      </c>
      <c r="N45" s="6"/>
      <c r="O45" s="6"/>
      <c r="P45" s="6"/>
      <c r="Q45" s="6"/>
      <c r="R45" s="6"/>
      <c r="S45" s="6"/>
      <c r="T45" s="6"/>
      <c r="U45" s="6"/>
      <c r="V45" s="6"/>
      <c r="W45" s="6"/>
      <c r="X45" s="6">
        <v>8</v>
      </c>
      <c r="Y45" s="6">
        <v>1125</v>
      </c>
      <c r="Z45" s="6">
        <v>1</v>
      </c>
      <c r="AA45" s="6">
        <v>56</v>
      </c>
      <c r="AB45" s="6">
        <v>11</v>
      </c>
      <c r="AC45" s="6">
        <v>1822</v>
      </c>
      <c r="AD45" s="6">
        <v>1</v>
      </c>
      <c r="AE45" s="6">
        <v>229</v>
      </c>
      <c r="AF45" s="6">
        <v>3</v>
      </c>
      <c r="AG45" s="6">
        <v>339</v>
      </c>
      <c r="AH45" s="6"/>
      <c r="AI45" s="6"/>
      <c r="AJ45" s="6"/>
      <c r="AK45" s="6"/>
      <c r="AL45" s="6"/>
      <c r="AM45" s="6"/>
      <c r="AN45" s="6">
        <v>1</v>
      </c>
      <c r="AO45" s="6">
        <v>176</v>
      </c>
      <c r="AP45" s="6"/>
      <c r="AQ45" s="6"/>
      <c r="AR45" s="6">
        <v>5</v>
      </c>
      <c r="AS45" s="6">
        <v>1131</v>
      </c>
      <c r="AT45" s="6"/>
      <c r="AU45" s="6"/>
      <c r="AV45" s="6"/>
      <c r="AW45" s="6"/>
      <c r="AX45" s="6"/>
      <c r="AY45" s="6"/>
      <c r="AZ45" s="6"/>
      <c r="BA45" s="6"/>
      <c r="BB45" s="6"/>
      <c r="BC45" s="6"/>
      <c r="BD45" s="6"/>
      <c r="BE45" s="6"/>
      <c r="BF45" s="6"/>
      <c r="BG45" s="6"/>
      <c r="BH45" s="6">
        <v>2</v>
      </c>
      <c r="BI45" s="6">
        <v>78</v>
      </c>
      <c r="BJ45" s="6"/>
      <c r="BK45" s="6"/>
      <c r="BL45" s="6">
        <v>1</v>
      </c>
      <c r="BM45" s="6">
        <v>48</v>
      </c>
      <c r="BN45" s="6">
        <v>2</v>
      </c>
      <c r="BO45" s="6">
        <v>77</v>
      </c>
      <c r="BP45" s="6"/>
      <c r="BQ45" s="6"/>
      <c r="BR45" s="6">
        <v>1</v>
      </c>
      <c r="BS45" s="6">
        <v>23</v>
      </c>
      <c r="BT45" s="6">
        <v>5</v>
      </c>
      <c r="BU45" s="6">
        <v>73</v>
      </c>
      <c r="BV45" s="8">
        <f t="shared" si="1"/>
        <v>79</v>
      </c>
      <c r="BW45" s="8">
        <f t="shared" si="2"/>
        <v>7476</v>
      </c>
      <c r="BX45" s="52"/>
      <c r="BY45" s="52"/>
      <c r="BZ45" s="52"/>
    </row>
    <row r="46" spans="1:78" s="27" customFormat="1">
      <c r="A46" s="5" t="s">
        <v>80</v>
      </c>
      <c r="B46" s="6"/>
      <c r="C46" s="6"/>
      <c r="D46" s="6"/>
      <c r="E46" s="6"/>
      <c r="F46" s="6"/>
      <c r="G46" s="6"/>
      <c r="H46" s="6"/>
      <c r="I46" s="6"/>
      <c r="J46" s="6"/>
      <c r="K46" s="6"/>
      <c r="L46" s="6">
        <v>8</v>
      </c>
      <c r="M46" s="6">
        <v>120</v>
      </c>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v>2</v>
      </c>
      <c r="BE46" s="6">
        <v>116</v>
      </c>
      <c r="BF46" s="6"/>
      <c r="BG46" s="6"/>
      <c r="BH46" s="6"/>
      <c r="BI46" s="6"/>
      <c r="BJ46" s="6"/>
      <c r="BK46" s="6"/>
      <c r="BL46" s="6"/>
      <c r="BM46" s="6"/>
      <c r="BN46" s="6"/>
      <c r="BO46" s="6"/>
      <c r="BP46" s="6"/>
      <c r="BQ46" s="6"/>
      <c r="BR46" s="6"/>
      <c r="BS46" s="6"/>
      <c r="BT46" s="6">
        <v>1</v>
      </c>
      <c r="BU46" s="6">
        <v>18</v>
      </c>
      <c r="BV46" s="8">
        <f t="shared" si="1"/>
        <v>11</v>
      </c>
      <c r="BW46" s="8">
        <f t="shared" si="2"/>
        <v>254</v>
      </c>
      <c r="BX46" s="52"/>
      <c r="BY46" s="52"/>
      <c r="BZ46" s="52"/>
    </row>
    <row r="47" spans="1:78" s="27" customFormat="1">
      <c r="A47" s="5" t="s">
        <v>81</v>
      </c>
      <c r="B47" s="6"/>
      <c r="C47" s="6"/>
      <c r="D47" s="6"/>
      <c r="E47" s="6"/>
      <c r="F47" s="6">
        <v>1</v>
      </c>
      <c r="G47" s="6">
        <v>25</v>
      </c>
      <c r="H47" s="6"/>
      <c r="I47" s="6"/>
      <c r="J47" s="6"/>
      <c r="K47" s="6"/>
      <c r="L47" s="6">
        <v>3</v>
      </c>
      <c r="M47" s="6">
        <v>50</v>
      </c>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v>2</v>
      </c>
      <c r="BE47" s="6">
        <v>111</v>
      </c>
      <c r="BF47" s="6"/>
      <c r="BG47" s="6"/>
      <c r="BH47" s="6"/>
      <c r="BI47" s="6"/>
      <c r="BJ47" s="6"/>
      <c r="BK47" s="6"/>
      <c r="BL47" s="6"/>
      <c r="BM47" s="6"/>
      <c r="BN47" s="6"/>
      <c r="BO47" s="6"/>
      <c r="BP47" s="6"/>
      <c r="BQ47" s="6"/>
      <c r="BR47" s="6"/>
      <c r="BS47" s="6"/>
      <c r="BT47" s="6"/>
      <c r="BU47" s="6"/>
      <c r="BV47" s="8">
        <f t="shared" si="1"/>
        <v>6</v>
      </c>
      <c r="BW47" s="8">
        <f t="shared" si="2"/>
        <v>186</v>
      </c>
      <c r="BX47" s="52"/>
      <c r="BY47" s="52"/>
      <c r="BZ47" s="52"/>
    </row>
    <row r="48" spans="1:78" s="27" customFormat="1">
      <c r="A48" s="5" t="s">
        <v>179</v>
      </c>
      <c r="B48" s="6">
        <v>5</v>
      </c>
      <c r="C48" s="6">
        <v>204</v>
      </c>
      <c r="D48" s="6">
        <v>2</v>
      </c>
      <c r="E48" s="6">
        <v>75</v>
      </c>
      <c r="F48" s="6">
        <v>3</v>
      </c>
      <c r="G48" s="6">
        <v>109</v>
      </c>
      <c r="H48" s="6"/>
      <c r="I48" s="6"/>
      <c r="J48" s="6">
        <v>1</v>
      </c>
      <c r="K48" s="6">
        <v>24</v>
      </c>
      <c r="L48" s="6">
        <v>3</v>
      </c>
      <c r="M48" s="6">
        <v>50</v>
      </c>
      <c r="N48" s="6"/>
      <c r="O48" s="6"/>
      <c r="P48" s="6"/>
      <c r="Q48" s="6"/>
      <c r="R48" s="6"/>
      <c r="S48" s="6"/>
      <c r="T48" s="6"/>
      <c r="U48" s="6"/>
      <c r="V48" s="6"/>
      <c r="W48" s="6"/>
      <c r="X48" s="6">
        <v>5</v>
      </c>
      <c r="Y48" s="6">
        <v>1118</v>
      </c>
      <c r="Z48" s="6"/>
      <c r="AA48" s="6"/>
      <c r="AB48" s="6">
        <v>5</v>
      </c>
      <c r="AC48" s="6">
        <v>1583</v>
      </c>
      <c r="AD48" s="6">
        <v>4</v>
      </c>
      <c r="AE48" s="6">
        <v>595</v>
      </c>
      <c r="AF48" s="6"/>
      <c r="AG48" s="6"/>
      <c r="AH48" s="6"/>
      <c r="AI48" s="6"/>
      <c r="AJ48" s="6"/>
      <c r="AK48" s="6"/>
      <c r="AL48" s="6"/>
      <c r="AM48" s="6"/>
      <c r="AN48" s="6"/>
      <c r="AO48" s="6"/>
      <c r="AP48" s="6"/>
      <c r="AQ48" s="6"/>
      <c r="AR48" s="6">
        <v>1</v>
      </c>
      <c r="AS48" s="6">
        <v>156</v>
      </c>
      <c r="AT48" s="6"/>
      <c r="AU48" s="6"/>
      <c r="AV48" s="6"/>
      <c r="AW48" s="6"/>
      <c r="AX48" s="6"/>
      <c r="AY48" s="6"/>
      <c r="AZ48" s="6"/>
      <c r="BA48" s="6"/>
      <c r="BB48" s="6"/>
      <c r="BC48" s="6"/>
      <c r="BD48" s="6">
        <v>1</v>
      </c>
      <c r="BE48" s="6">
        <v>34</v>
      </c>
      <c r="BF48" s="6">
        <v>3</v>
      </c>
      <c r="BG48" s="6">
        <v>83</v>
      </c>
      <c r="BH48" s="6">
        <v>1</v>
      </c>
      <c r="BI48" s="6">
        <v>15</v>
      </c>
      <c r="BJ48" s="6"/>
      <c r="BK48" s="6"/>
      <c r="BL48" s="6"/>
      <c r="BM48" s="6"/>
      <c r="BN48" s="6"/>
      <c r="BO48" s="6"/>
      <c r="BP48" s="6"/>
      <c r="BQ48" s="6"/>
      <c r="BR48" s="6"/>
      <c r="BS48" s="6"/>
      <c r="BT48" s="6">
        <v>1</v>
      </c>
      <c r="BU48" s="6">
        <v>10</v>
      </c>
      <c r="BV48" s="8">
        <f t="shared" si="1"/>
        <v>35</v>
      </c>
      <c r="BW48" s="8">
        <f t="shared" si="2"/>
        <v>4056</v>
      </c>
      <c r="BX48" s="52"/>
      <c r="BY48" s="52"/>
      <c r="BZ48" s="52"/>
    </row>
    <row r="49" spans="1:78" s="27" customFormat="1">
      <c r="A49" s="5" t="s">
        <v>261</v>
      </c>
      <c r="B49" s="6"/>
      <c r="C49" s="6"/>
      <c r="D49" s="6"/>
      <c r="E49" s="6"/>
      <c r="F49" s="6"/>
      <c r="G49" s="6"/>
      <c r="H49" s="6"/>
      <c r="I49" s="6"/>
      <c r="J49" s="6"/>
      <c r="K49" s="6"/>
      <c r="L49" s="6">
        <v>2</v>
      </c>
      <c r="M49" s="6">
        <v>28</v>
      </c>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8">
        <f t="shared" si="1"/>
        <v>2</v>
      </c>
      <c r="BW49" s="8">
        <f t="shared" si="2"/>
        <v>28</v>
      </c>
      <c r="BX49" s="52"/>
      <c r="BY49" s="52"/>
      <c r="BZ49" s="52"/>
    </row>
    <row r="50" spans="1:78" s="27" customFormat="1">
      <c r="A50" s="5" t="s">
        <v>180</v>
      </c>
      <c r="B50" s="6">
        <v>2</v>
      </c>
      <c r="C50" s="6">
        <v>70</v>
      </c>
      <c r="D50" s="6">
        <v>6</v>
      </c>
      <c r="E50" s="6">
        <v>450</v>
      </c>
      <c r="F50" s="6">
        <v>6</v>
      </c>
      <c r="G50" s="6">
        <v>444</v>
      </c>
      <c r="H50" s="6"/>
      <c r="I50" s="6"/>
      <c r="J50" s="6"/>
      <c r="K50" s="6"/>
      <c r="L50" s="6">
        <v>10</v>
      </c>
      <c r="M50" s="6">
        <v>253</v>
      </c>
      <c r="N50" s="6">
        <v>3</v>
      </c>
      <c r="O50" s="6">
        <v>128</v>
      </c>
      <c r="P50" s="6"/>
      <c r="Q50" s="6"/>
      <c r="R50" s="6"/>
      <c r="S50" s="6"/>
      <c r="T50" s="6"/>
      <c r="U50" s="6"/>
      <c r="V50" s="6">
        <v>3</v>
      </c>
      <c r="W50" s="6">
        <v>544</v>
      </c>
      <c r="X50" s="6">
        <v>11</v>
      </c>
      <c r="Y50" s="6">
        <v>2364</v>
      </c>
      <c r="Z50" s="6"/>
      <c r="AA50" s="6"/>
      <c r="AB50" s="6">
        <v>19</v>
      </c>
      <c r="AC50" s="6">
        <v>7141</v>
      </c>
      <c r="AD50" s="6">
        <v>2</v>
      </c>
      <c r="AE50" s="6">
        <v>673</v>
      </c>
      <c r="AF50" s="6">
        <v>3</v>
      </c>
      <c r="AG50" s="6">
        <v>1042</v>
      </c>
      <c r="AH50" s="6"/>
      <c r="AI50" s="6"/>
      <c r="AJ50" s="6"/>
      <c r="AK50" s="6"/>
      <c r="AL50" s="6"/>
      <c r="AM50" s="6"/>
      <c r="AN50" s="6">
        <v>9</v>
      </c>
      <c r="AO50" s="6">
        <v>3980</v>
      </c>
      <c r="AP50" s="6"/>
      <c r="AQ50" s="6"/>
      <c r="AR50" s="6">
        <v>17</v>
      </c>
      <c r="AS50" s="6">
        <v>8512</v>
      </c>
      <c r="AT50" s="6"/>
      <c r="AU50" s="6"/>
      <c r="AV50" s="6"/>
      <c r="AW50" s="6"/>
      <c r="AX50" s="6"/>
      <c r="AY50" s="6"/>
      <c r="AZ50" s="6">
        <v>1</v>
      </c>
      <c r="BA50" s="6">
        <v>152</v>
      </c>
      <c r="BB50" s="6"/>
      <c r="BC50" s="6"/>
      <c r="BD50" s="6">
        <v>1</v>
      </c>
      <c r="BE50" s="6">
        <v>92</v>
      </c>
      <c r="BF50" s="6"/>
      <c r="BG50" s="6"/>
      <c r="BH50" s="6">
        <v>2</v>
      </c>
      <c r="BI50" s="6">
        <v>111</v>
      </c>
      <c r="BJ50" s="6"/>
      <c r="BK50" s="6"/>
      <c r="BL50" s="6"/>
      <c r="BM50" s="6"/>
      <c r="BN50" s="6"/>
      <c r="BO50" s="6"/>
      <c r="BP50" s="6"/>
      <c r="BQ50" s="6"/>
      <c r="BR50" s="6"/>
      <c r="BS50" s="6"/>
      <c r="BT50" s="6">
        <v>1</v>
      </c>
      <c r="BU50" s="6">
        <v>8</v>
      </c>
      <c r="BV50" s="8">
        <f t="shared" si="1"/>
        <v>96</v>
      </c>
      <c r="BW50" s="8">
        <f t="shared" si="2"/>
        <v>25964</v>
      </c>
      <c r="BX50" s="52"/>
      <c r="BY50" s="52"/>
      <c r="BZ50" s="52"/>
    </row>
    <row r="51" spans="1:78" s="27" customFormat="1">
      <c r="A51" s="5" t="s">
        <v>84</v>
      </c>
      <c r="B51" s="6"/>
      <c r="C51" s="6"/>
      <c r="D51" s="6"/>
      <c r="E51" s="6"/>
      <c r="F51" s="6"/>
      <c r="G51" s="6"/>
      <c r="H51" s="6"/>
      <c r="I51" s="6"/>
      <c r="J51" s="6"/>
      <c r="K51" s="6"/>
      <c r="L51" s="6">
        <v>1</v>
      </c>
      <c r="M51" s="6">
        <v>12</v>
      </c>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v>1</v>
      </c>
      <c r="BU51" s="6">
        <v>8</v>
      </c>
      <c r="BV51" s="8">
        <f t="shared" si="1"/>
        <v>2</v>
      </c>
      <c r="BW51" s="8">
        <f t="shared" si="2"/>
        <v>20</v>
      </c>
      <c r="BX51" s="52"/>
      <c r="BY51" s="52"/>
      <c r="BZ51" s="52"/>
    </row>
    <row r="52" spans="1:78" s="27" customFormat="1">
      <c r="A52" s="5" t="s">
        <v>85</v>
      </c>
      <c r="B52" s="6">
        <v>3</v>
      </c>
      <c r="C52" s="6">
        <v>178</v>
      </c>
      <c r="D52" s="6">
        <v>4</v>
      </c>
      <c r="E52" s="6">
        <v>211</v>
      </c>
      <c r="F52" s="6">
        <v>3</v>
      </c>
      <c r="G52" s="6">
        <v>140</v>
      </c>
      <c r="H52" s="6"/>
      <c r="I52" s="6"/>
      <c r="J52" s="6"/>
      <c r="K52" s="6"/>
      <c r="L52" s="6">
        <v>7</v>
      </c>
      <c r="M52" s="6">
        <v>165</v>
      </c>
      <c r="N52" s="6"/>
      <c r="O52" s="6"/>
      <c r="P52" s="6"/>
      <c r="Q52" s="6"/>
      <c r="R52" s="6"/>
      <c r="S52" s="6"/>
      <c r="T52" s="6">
        <v>1</v>
      </c>
      <c r="U52" s="6">
        <v>117</v>
      </c>
      <c r="V52" s="6">
        <v>3</v>
      </c>
      <c r="W52" s="6">
        <v>218</v>
      </c>
      <c r="X52" s="6">
        <v>13</v>
      </c>
      <c r="Y52" s="6">
        <v>3533</v>
      </c>
      <c r="Z52" s="6">
        <v>1</v>
      </c>
      <c r="AA52" s="6">
        <v>329</v>
      </c>
      <c r="AB52" s="6">
        <v>6</v>
      </c>
      <c r="AC52" s="6">
        <v>2284</v>
      </c>
      <c r="AD52" s="6"/>
      <c r="AE52" s="6"/>
      <c r="AF52" s="6"/>
      <c r="AG52" s="6"/>
      <c r="AH52" s="6"/>
      <c r="AI52" s="6"/>
      <c r="AJ52" s="6"/>
      <c r="AK52" s="6"/>
      <c r="AL52" s="6"/>
      <c r="AM52" s="6"/>
      <c r="AN52" s="6">
        <v>2</v>
      </c>
      <c r="AO52" s="6">
        <v>372</v>
      </c>
      <c r="AP52" s="6">
        <v>1</v>
      </c>
      <c r="AQ52" s="6">
        <v>81</v>
      </c>
      <c r="AR52" s="6">
        <v>13</v>
      </c>
      <c r="AS52" s="6">
        <v>5485</v>
      </c>
      <c r="AT52" s="6"/>
      <c r="AU52" s="6"/>
      <c r="AV52" s="6"/>
      <c r="AW52" s="6"/>
      <c r="AX52" s="6"/>
      <c r="AY52" s="6"/>
      <c r="AZ52" s="6"/>
      <c r="BA52" s="6"/>
      <c r="BB52" s="6"/>
      <c r="BC52" s="6"/>
      <c r="BD52" s="6">
        <v>1</v>
      </c>
      <c r="BE52" s="6">
        <v>50</v>
      </c>
      <c r="BF52" s="6">
        <v>1</v>
      </c>
      <c r="BG52" s="6">
        <v>69</v>
      </c>
      <c r="BH52" s="6"/>
      <c r="BI52" s="6"/>
      <c r="BJ52" s="6">
        <v>1</v>
      </c>
      <c r="BK52" s="6">
        <v>142</v>
      </c>
      <c r="BL52" s="6">
        <v>1</v>
      </c>
      <c r="BM52" s="6">
        <v>48</v>
      </c>
      <c r="BN52" s="6"/>
      <c r="BO52" s="6"/>
      <c r="BP52" s="6"/>
      <c r="BQ52" s="6"/>
      <c r="BR52" s="6"/>
      <c r="BS52" s="6"/>
      <c r="BT52" s="6">
        <v>1</v>
      </c>
      <c r="BU52" s="6">
        <v>16</v>
      </c>
      <c r="BV52" s="8">
        <f t="shared" si="1"/>
        <v>62</v>
      </c>
      <c r="BW52" s="8">
        <f t="shared" si="2"/>
        <v>13438</v>
      </c>
      <c r="BX52" s="52"/>
      <c r="BY52" s="52"/>
      <c r="BZ52" s="52"/>
    </row>
    <row r="53" spans="1:78" s="27" customFormat="1">
      <c r="A53" s="5" t="s">
        <v>86</v>
      </c>
      <c r="B53" s="6"/>
      <c r="C53" s="6"/>
      <c r="D53" s="6"/>
      <c r="E53" s="6"/>
      <c r="F53" s="6"/>
      <c r="G53" s="6"/>
      <c r="H53" s="6"/>
      <c r="I53" s="6"/>
      <c r="J53" s="6"/>
      <c r="K53" s="6"/>
      <c r="L53" s="6">
        <v>6</v>
      </c>
      <c r="M53" s="6">
        <v>80</v>
      </c>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v>1</v>
      </c>
      <c r="BE53" s="6">
        <v>41</v>
      </c>
      <c r="BF53" s="6"/>
      <c r="BG53" s="6"/>
      <c r="BH53" s="6"/>
      <c r="BI53" s="6"/>
      <c r="BJ53" s="6"/>
      <c r="BK53" s="6"/>
      <c r="BL53" s="6"/>
      <c r="BM53" s="6"/>
      <c r="BN53" s="6"/>
      <c r="BO53" s="6"/>
      <c r="BP53" s="6"/>
      <c r="BQ53" s="6"/>
      <c r="BR53" s="6"/>
      <c r="BS53" s="6"/>
      <c r="BT53" s="6"/>
      <c r="BU53" s="6"/>
      <c r="BV53" s="8">
        <f t="shared" si="1"/>
        <v>7</v>
      </c>
      <c r="BW53" s="8">
        <f t="shared" si="2"/>
        <v>121</v>
      </c>
      <c r="BX53" s="52"/>
      <c r="BY53" s="52"/>
      <c r="BZ53" s="52"/>
    </row>
    <row r="54" spans="1:78" s="27" customFormat="1">
      <c r="A54" s="5" t="s">
        <v>87</v>
      </c>
      <c r="B54" s="6">
        <v>5</v>
      </c>
      <c r="C54" s="6">
        <v>117</v>
      </c>
      <c r="D54" s="6">
        <v>16</v>
      </c>
      <c r="E54" s="6">
        <v>1766</v>
      </c>
      <c r="F54" s="6">
        <v>9</v>
      </c>
      <c r="G54" s="6">
        <v>1390</v>
      </c>
      <c r="H54" s="6">
        <v>1</v>
      </c>
      <c r="I54" s="6">
        <v>136</v>
      </c>
      <c r="J54" s="6"/>
      <c r="K54" s="6"/>
      <c r="L54" s="6">
        <v>6</v>
      </c>
      <c r="M54" s="6">
        <v>126</v>
      </c>
      <c r="N54" s="6">
        <v>2</v>
      </c>
      <c r="O54" s="6">
        <v>70</v>
      </c>
      <c r="P54" s="6"/>
      <c r="Q54" s="6"/>
      <c r="R54" s="6">
        <v>2</v>
      </c>
      <c r="S54" s="6">
        <v>70</v>
      </c>
      <c r="T54" s="6">
        <v>1</v>
      </c>
      <c r="U54" s="6">
        <v>76</v>
      </c>
      <c r="V54" s="6">
        <v>4</v>
      </c>
      <c r="W54" s="6">
        <v>311</v>
      </c>
      <c r="X54" s="6">
        <v>9</v>
      </c>
      <c r="Y54" s="6">
        <v>2191</v>
      </c>
      <c r="Z54" s="6">
        <v>1</v>
      </c>
      <c r="AA54" s="6">
        <v>68</v>
      </c>
      <c r="AB54" s="6">
        <v>6</v>
      </c>
      <c r="AC54" s="6">
        <v>1688</v>
      </c>
      <c r="AD54" s="6">
        <v>1</v>
      </c>
      <c r="AE54" s="6">
        <v>328</v>
      </c>
      <c r="AF54" s="6">
        <v>1</v>
      </c>
      <c r="AG54" s="6">
        <v>759</v>
      </c>
      <c r="AH54" s="6"/>
      <c r="AI54" s="6"/>
      <c r="AJ54" s="6"/>
      <c r="AK54" s="6"/>
      <c r="AL54" s="6">
        <v>1</v>
      </c>
      <c r="AM54" s="6">
        <v>93</v>
      </c>
      <c r="AN54" s="6">
        <v>9</v>
      </c>
      <c r="AO54" s="6">
        <v>3328</v>
      </c>
      <c r="AP54" s="6"/>
      <c r="AQ54" s="6"/>
      <c r="AR54" s="6">
        <v>4</v>
      </c>
      <c r="AS54" s="6">
        <v>2976</v>
      </c>
      <c r="AT54" s="6">
        <v>1</v>
      </c>
      <c r="AU54" s="6">
        <v>378</v>
      </c>
      <c r="AV54" s="6">
        <v>1</v>
      </c>
      <c r="AW54" s="6">
        <v>94</v>
      </c>
      <c r="AX54" s="6"/>
      <c r="AY54" s="6"/>
      <c r="AZ54" s="6"/>
      <c r="BA54" s="6"/>
      <c r="BB54" s="6"/>
      <c r="BC54" s="6"/>
      <c r="BD54" s="6"/>
      <c r="BE54" s="6"/>
      <c r="BF54" s="6">
        <v>6</v>
      </c>
      <c r="BG54" s="6">
        <v>238</v>
      </c>
      <c r="BH54" s="6">
        <v>5</v>
      </c>
      <c r="BI54" s="6">
        <v>274</v>
      </c>
      <c r="BJ54" s="6"/>
      <c r="BK54" s="6"/>
      <c r="BL54" s="6">
        <v>7</v>
      </c>
      <c r="BM54" s="6">
        <v>239</v>
      </c>
      <c r="BN54" s="6">
        <v>5</v>
      </c>
      <c r="BO54" s="6">
        <v>119</v>
      </c>
      <c r="BP54" s="6"/>
      <c r="BQ54" s="6"/>
      <c r="BR54" s="6"/>
      <c r="BS54" s="6"/>
      <c r="BT54" s="6">
        <v>3</v>
      </c>
      <c r="BU54" s="6">
        <v>43</v>
      </c>
      <c r="BV54" s="8">
        <f t="shared" si="1"/>
        <v>106</v>
      </c>
      <c r="BW54" s="8">
        <f t="shared" si="2"/>
        <v>16878</v>
      </c>
      <c r="BX54" s="52"/>
      <c r="BY54" s="52"/>
      <c r="BZ54" s="52"/>
    </row>
    <row r="55" spans="1:78" s="27" customFormat="1">
      <c r="A55" s="5" t="s">
        <v>88</v>
      </c>
      <c r="B55" s="6"/>
      <c r="C55" s="6"/>
      <c r="D55" s="6"/>
      <c r="E55" s="6"/>
      <c r="F55" s="6"/>
      <c r="G55" s="6"/>
      <c r="H55" s="6"/>
      <c r="I55" s="6"/>
      <c r="J55" s="6"/>
      <c r="K55" s="6"/>
      <c r="L55" s="6">
        <v>9</v>
      </c>
      <c r="M55" s="6">
        <v>189</v>
      </c>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v>11</v>
      </c>
      <c r="BU55" s="6">
        <v>153</v>
      </c>
      <c r="BV55" s="8">
        <f t="shared" si="1"/>
        <v>20</v>
      </c>
      <c r="BW55" s="8">
        <f t="shared" si="2"/>
        <v>342</v>
      </c>
      <c r="BX55" s="52"/>
      <c r="BY55" s="52"/>
      <c r="BZ55" s="52"/>
    </row>
    <row r="56" spans="1:78" s="27" customFormat="1">
      <c r="A56" s="5" t="s">
        <v>89</v>
      </c>
      <c r="B56" s="6"/>
      <c r="C56" s="6"/>
      <c r="D56" s="6"/>
      <c r="E56" s="6"/>
      <c r="F56" s="6"/>
      <c r="G56" s="6"/>
      <c r="H56" s="6"/>
      <c r="I56" s="6"/>
      <c r="J56" s="6"/>
      <c r="K56" s="6"/>
      <c r="L56" s="6">
        <v>6</v>
      </c>
      <c r="M56" s="6">
        <v>90</v>
      </c>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v>1</v>
      </c>
      <c r="BE56" s="6">
        <v>39</v>
      </c>
      <c r="BF56" s="6"/>
      <c r="BG56" s="6"/>
      <c r="BH56" s="6"/>
      <c r="BI56" s="6"/>
      <c r="BJ56" s="6"/>
      <c r="BK56" s="6"/>
      <c r="BL56" s="6"/>
      <c r="BM56" s="6"/>
      <c r="BN56" s="6"/>
      <c r="BO56" s="6"/>
      <c r="BP56" s="6"/>
      <c r="BQ56" s="6"/>
      <c r="BR56" s="6"/>
      <c r="BS56" s="6"/>
      <c r="BT56" s="6">
        <v>2</v>
      </c>
      <c r="BU56" s="6">
        <v>24</v>
      </c>
      <c r="BV56" s="8">
        <f t="shared" si="1"/>
        <v>9</v>
      </c>
      <c r="BW56" s="8">
        <f t="shared" si="2"/>
        <v>153</v>
      </c>
      <c r="BX56" s="52"/>
      <c r="BY56" s="52"/>
      <c r="BZ56" s="52"/>
    </row>
    <row r="57" spans="1:78" s="27" customFormat="1">
      <c r="A57" s="5" t="s">
        <v>91</v>
      </c>
      <c r="B57" s="6"/>
      <c r="C57" s="6"/>
      <c r="D57" s="6"/>
      <c r="E57" s="6"/>
      <c r="F57" s="6"/>
      <c r="G57" s="6"/>
      <c r="H57" s="6"/>
      <c r="I57" s="6"/>
      <c r="J57" s="6"/>
      <c r="K57" s="6"/>
      <c r="L57" s="6">
        <v>1</v>
      </c>
      <c r="M57" s="6">
        <v>24</v>
      </c>
      <c r="N57" s="6"/>
      <c r="O57" s="6"/>
      <c r="P57" s="6"/>
      <c r="Q57" s="6"/>
      <c r="R57" s="6"/>
      <c r="S57" s="6"/>
      <c r="T57" s="6"/>
      <c r="U57" s="6"/>
      <c r="V57" s="6"/>
      <c r="W57" s="6"/>
      <c r="X57" s="6"/>
      <c r="Y57" s="6"/>
      <c r="Z57" s="6"/>
      <c r="AA57" s="6"/>
      <c r="AB57" s="6">
        <v>1</v>
      </c>
      <c r="AC57" s="6">
        <v>16</v>
      </c>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v>7</v>
      </c>
      <c r="BU57" s="6">
        <v>91</v>
      </c>
      <c r="BV57" s="8">
        <f t="shared" si="1"/>
        <v>9</v>
      </c>
      <c r="BW57" s="8">
        <f t="shared" si="2"/>
        <v>131</v>
      </c>
      <c r="BX57" s="52"/>
      <c r="BY57" s="52"/>
      <c r="BZ57" s="52"/>
    </row>
    <row r="58" spans="1:78" s="27" customFormat="1">
      <c r="A58" s="5" t="s">
        <v>92</v>
      </c>
      <c r="B58" s="6"/>
      <c r="C58" s="6"/>
      <c r="D58" s="6"/>
      <c r="E58" s="6"/>
      <c r="F58" s="6"/>
      <c r="G58" s="6"/>
      <c r="H58" s="6">
        <v>1</v>
      </c>
      <c r="I58" s="6">
        <v>82</v>
      </c>
      <c r="J58" s="6">
        <v>1</v>
      </c>
      <c r="K58" s="6">
        <v>39</v>
      </c>
      <c r="L58" s="6">
        <v>13</v>
      </c>
      <c r="M58" s="6">
        <v>297</v>
      </c>
      <c r="N58" s="6">
        <v>1</v>
      </c>
      <c r="O58" s="6">
        <v>15</v>
      </c>
      <c r="P58" s="6"/>
      <c r="Q58" s="6"/>
      <c r="R58" s="6"/>
      <c r="S58" s="6"/>
      <c r="T58" s="6">
        <v>1</v>
      </c>
      <c r="U58" s="6">
        <v>85</v>
      </c>
      <c r="V58" s="6">
        <v>1</v>
      </c>
      <c r="W58" s="6">
        <v>72</v>
      </c>
      <c r="X58" s="6">
        <v>2</v>
      </c>
      <c r="Y58" s="6">
        <v>369</v>
      </c>
      <c r="Z58" s="6"/>
      <c r="AA58" s="6"/>
      <c r="AB58" s="6">
        <v>7</v>
      </c>
      <c r="AC58" s="6">
        <v>1106</v>
      </c>
      <c r="AD58" s="6">
        <v>3</v>
      </c>
      <c r="AE58" s="6">
        <v>349</v>
      </c>
      <c r="AF58" s="6">
        <v>1</v>
      </c>
      <c r="AG58" s="6">
        <v>74</v>
      </c>
      <c r="AH58" s="6">
        <v>1</v>
      </c>
      <c r="AI58" s="6">
        <v>246</v>
      </c>
      <c r="AJ58" s="6"/>
      <c r="AK58" s="6"/>
      <c r="AL58" s="6"/>
      <c r="AM58" s="6"/>
      <c r="AN58" s="6"/>
      <c r="AO58" s="6"/>
      <c r="AP58" s="6"/>
      <c r="AQ58" s="6"/>
      <c r="AR58" s="6">
        <v>1</v>
      </c>
      <c r="AS58" s="6">
        <v>208</v>
      </c>
      <c r="AT58" s="6"/>
      <c r="AU58" s="6"/>
      <c r="AV58" s="6"/>
      <c r="AW58" s="6"/>
      <c r="AX58" s="6"/>
      <c r="AY58" s="6"/>
      <c r="AZ58" s="6"/>
      <c r="BA58" s="6"/>
      <c r="BB58" s="6"/>
      <c r="BC58" s="6"/>
      <c r="BD58" s="6">
        <v>1</v>
      </c>
      <c r="BE58" s="6">
        <v>64</v>
      </c>
      <c r="BF58" s="6">
        <v>2</v>
      </c>
      <c r="BG58" s="6">
        <v>86</v>
      </c>
      <c r="BH58" s="6">
        <v>1</v>
      </c>
      <c r="BI58" s="6">
        <v>50</v>
      </c>
      <c r="BJ58" s="6"/>
      <c r="BK58" s="6"/>
      <c r="BL58" s="6"/>
      <c r="BM58" s="6"/>
      <c r="BN58" s="6"/>
      <c r="BO58" s="6"/>
      <c r="BP58" s="6"/>
      <c r="BQ58" s="6"/>
      <c r="BR58" s="6"/>
      <c r="BS58" s="6"/>
      <c r="BT58" s="6">
        <v>12</v>
      </c>
      <c r="BU58" s="6">
        <v>171</v>
      </c>
      <c r="BV58" s="8">
        <f t="shared" si="1"/>
        <v>49</v>
      </c>
      <c r="BW58" s="8">
        <f t="shared" si="2"/>
        <v>3313</v>
      </c>
      <c r="BX58" s="52"/>
      <c r="BY58" s="52"/>
      <c r="BZ58" s="52"/>
    </row>
    <row r="59" spans="1:78" s="27" customFormat="1">
      <c r="A59" s="5" t="s">
        <v>93</v>
      </c>
      <c r="B59" s="6">
        <v>9</v>
      </c>
      <c r="C59" s="6">
        <v>407</v>
      </c>
      <c r="D59" s="6">
        <v>9</v>
      </c>
      <c r="E59" s="6">
        <v>773</v>
      </c>
      <c r="F59" s="6">
        <v>4</v>
      </c>
      <c r="G59" s="6">
        <v>664</v>
      </c>
      <c r="H59" s="6"/>
      <c r="I59" s="6"/>
      <c r="J59" s="6">
        <v>1</v>
      </c>
      <c r="K59" s="6">
        <v>18</v>
      </c>
      <c r="L59" s="6">
        <v>4</v>
      </c>
      <c r="M59" s="6">
        <v>116</v>
      </c>
      <c r="N59" s="6">
        <v>1</v>
      </c>
      <c r="O59" s="6">
        <v>20</v>
      </c>
      <c r="P59" s="6"/>
      <c r="Q59" s="6"/>
      <c r="R59" s="6"/>
      <c r="S59" s="6"/>
      <c r="T59" s="6">
        <v>2</v>
      </c>
      <c r="U59" s="6">
        <v>311</v>
      </c>
      <c r="V59" s="6">
        <v>1</v>
      </c>
      <c r="W59" s="6">
        <v>42</v>
      </c>
      <c r="X59" s="6">
        <v>7</v>
      </c>
      <c r="Y59" s="6">
        <v>1260</v>
      </c>
      <c r="Z59" s="6"/>
      <c r="AA59" s="6"/>
      <c r="AB59" s="6">
        <v>10</v>
      </c>
      <c r="AC59" s="6">
        <v>2759</v>
      </c>
      <c r="AD59" s="6">
        <v>1</v>
      </c>
      <c r="AE59" s="6">
        <v>214</v>
      </c>
      <c r="AF59" s="6"/>
      <c r="AG59" s="6"/>
      <c r="AH59" s="6"/>
      <c r="AI59" s="6"/>
      <c r="AJ59" s="6"/>
      <c r="AK59" s="6"/>
      <c r="AL59" s="6"/>
      <c r="AM59" s="6"/>
      <c r="AN59" s="6">
        <v>4</v>
      </c>
      <c r="AO59" s="6">
        <v>1210</v>
      </c>
      <c r="AP59" s="6"/>
      <c r="AQ59" s="6"/>
      <c r="AR59" s="6">
        <v>10</v>
      </c>
      <c r="AS59" s="6">
        <v>3460</v>
      </c>
      <c r="AT59" s="6"/>
      <c r="AU59" s="6"/>
      <c r="AV59" s="6">
        <v>1</v>
      </c>
      <c r="AW59" s="6">
        <v>136</v>
      </c>
      <c r="AX59" s="6"/>
      <c r="AY59" s="6"/>
      <c r="AZ59" s="6"/>
      <c r="BA59" s="6"/>
      <c r="BB59" s="6"/>
      <c r="BC59" s="6"/>
      <c r="BD59" s="6">
        <v>1</v>
      </c>
      <c r="BE59" s="6">
        <v>45</v>
      </c>
      <c r="BF59" s="6">
        <v>1</v>
      </c>
      <c r="BG59" s="6">
        <v>49</v>
      </c>
      <c r="BH59" s="6">
        <v>2</v>
      </c>
      <c r="BI59" s="6">
        <v>164</v>
      </c>
      <c r="BJ59" s="6"/>
      <c r="BK59" s="6"/>
      <c r="BL59" s="6">
        <v>3</v>
      </c>
      <c r="BM59" s="6">
        <v>88</v>
      </c>
      <c r="BN59" s="6">
        <v>2</v>
      </c>
      <c r="BO59" s="6">
        <v>114</v>
      </c>
      <c r="BP59" s="6"/>
      <c r="BQ59" s="6"/>
      <c r="BR59" s="6"/>
      <c r="BS59" s="6"/>
      <c r="BT59" s="6">
        <v>1</v>
      </c>
      <c r="BU59" s="6">
        <v>10</v>
      </c>
      <c r="BV59" s="8">
        <f t="shared" si="1"/>
        <v>74</v>
      </c>
      <c r="BW59" s="8">
        <f t="shared" si="2"/>
        <v>11860</v>
      </c>
      <c r="BX59" s="52"/>
      <c r="BY59" s="52"/>
      <c r="BZ59" s="52"/>
    </row>
    <row r="60" spans="1:78" s="27" customFormat="1">
      <c r="A60" s="5" t="s">
        <v>94</v>
      </c>
      <c r="B60" s="6"/>
      <c r="C60" s="6"/>
      <c r="D60" s="6"/>
      <c r="E60" s="6"/>
      <c r="F60" s="6"/>
      <c r="G60" s="6"/>
      <c r="H60" s="6"/>
      <c r="I60" s="6"/>
      <c r="J60" s="6"/>
      <c r="K60" s="6"/>
      <c r="L60" s="6">
        <v>5</v>
      </c>
      <c r="M60" s="6">
        <v>87</v>
      </c>
      <c r="N60" s="6"/>
      <c r="O60" s="6"/>
      <c r="P60" s="6"/>
      <c r="Q60" s="6"/>
      <c r="R60" s="6"/>
      <c r="S60" s="6"/>
      <c r="T60" s="6"/>
      <c r="U60" s="6"/>
      <c r="V60" s="6"/>
      <c r="W60" s="6"/>
      <c r="X60" s="6"/>
      <c r="Y60" s="6"/>
      <c r="Z60" s="6"/>
      <c r="AA60" s="6"/>
      <c r="AB60" s="6"/>
      <c r="AC60" s="6"/>
      <c r="AD60" s="6">
        <v>1</v>
      </c>
      <c r="AE60" s="6">
        <v>116</v>
      </c>
      <c r="AF60" s="6"/>
      <c r="AG60" s="6"/>
      <c r="AH60" s="6"/>
      <c r="AI60" s="6"/>
      <c r="AJ60" s="6"/>
      <c r="AK60" s="6"/>
      <c r="AL60" s="6"/>
      <c r="AM60" s="6"/>
      <c r="AN60" s="6"/>
      <c r="AO60" s="6"/>
      <c r="AP60" s="6"/>
      <c r="AQ60" s="6"/>
      <c r="AR60" s="6"/>
      <c r="AS60" s="6"/>
      <c r="AT60" s="6"/>
      <c r="AU60" s="6"/>
      <c r="AV60" s="6"/>
      <c r="AW60" s="6"/>
      <c r="AX60" s="6"/>
      <c r="AY60" s="6"/>
      <c r="AZ60" s="6"/>
      <c r="BA60" s="6"/>
      <c r="BB60" s="6"/>
      <c r="BC60" s="6"/>
      <c r="BD60" s="6">
        <v>1</v>
      </c>
      <c r="BE60" s="6">
        <v>32</v>
      </c>
      <c r="BF60" s="6"/>
      <c r="BG60" s="6"/>
      <c r="BH60" s="6"/>
      <c r="BI60" s="6"/>
      <c r="BJ60" s="6"/>
      <c r="BK60" s="6"/>
      <c r="BL60" s="6"/>
      <c r="BM60" s="6"/>
      <c r="BN60" s="6"/>
      <c r="BO60" s="6"/>
      <c r="BP60" s="6"/>
      <c r="BQ60" s="6"/>
      <c r="BR60" s="6"/>
      <c r="BS60" s="6"/>
      <c r="BT60" s="6">
        <v>7</v>
      </c>
      <c r="BU60" s="6">
        <v>99</v>
      </c>
      <c r="BV60" s="8">
        <f t="shared" si="1"/>
        <v>14</v>
      </c>
      <c r="BW60" s="8">
        <f t="shared" si="2"/>
        <v>334</v>
      </c>
      <c r="BX60" s="52"/>
      <c r="BY60" s="52"/>
      <c r="BZ60" s="52"/>
    </row>
    <row r="61" spans="1:78" s="27" customFormat="1">
      <c r="A61" s="5" t="s">
        <v>95</v>
      </c>
      <c r="B61" s="6"/>
      <c r="C61" s="6"/>
      <c r="D61" s="6"/>
      <c r="E61" s="6"/>
      <c r="F61" s="6"/>
      <c r="G61" s="6"/>
      <c r="H61" s="6"/>
      <c r="I61" s="6"/>
      <c r="J61" s="6"/>
      <c r="K61" s="6"/>
      <c r="L61" s="6">
        <v>1</v>
      </c>
      <c r="M61" s="6">
        <v>20</v>
      </c>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v>1</v>
      </c>
      <c r="BE61" s="6">
        <v>48</v>
      </c>
      <c r="BF61" s="6"/>
      <c r="BG61" s="6"/>
      <c r="BH61" s="6"/>
      <c r="BI61" s="6"/>
      <c r="BJ61" s="6"/>
      <c r="BK61" s="6"/>
      <c r="BL61" s="6"/>
      <c r="BM61" s="6"/>
      <c r="BN61" s="6"/>
      <c r="BO61" s="6"/>
      <c r="BP61" s="6"/>
      <c r="BQ61" s="6"/>
      <c r="BR61" s="6"/>
      <c r="BS61" s="6"/>
      <c r="BT61" s="6"/>
      <c r="BU61" s="6"/>
      <c r="BV61" s="8">
        <f t="shared" si="1"/>
        <v>2</v>
      </c>
      <c r="BW61" s="8">
        <f t="shared" si="2"/>
        <v>68</v>
      </c>
      <c r="BX61" s="52"/>
      <c r="BY61" s="52"/>
      <c r="BZ61" s="52"/>
    </row>
    <row r="62" spans="1:78" s="51" customFormat="1">
      <c r="A62" s="11" t="s">
        <v>96</v>
      </c>
      <c r="B62" s="12">
        <f>SUM(B9:B61)</f>
        <v>70</v>
      </c>
      <c r="C62" s="12">
        <f t="shared" ref="C62:BJ62" si="3">SUM(C9:C61)</f>
        <v>3292</v>
      </c>
      <c r="D62" s="12">
        <f t="shared" si="3"/>
        <v>114</v>
      </c>
      <c r="E62" s="12">
        <f t="shared" si="3"/>
        <v>11049</v>
      </c>
      <c r="F62" s="12">
        <f t="shared" si="3"/>
        <v>94</v>
      </c>
      <c r="G62" s="12">
        <f t="shared" si="3"/>
        <v>16492</v>
      </c>
      <c r="H62" s="12">
        <f t="shared" si="3"/>
        <v>4</v>
      </c>
      <c r="I62" s="12">
        <f t="shared" si="3"/>
        <v>395</v>
      </c>
      <c r="J62" s="12">
        <f t="shared" si="3"/>
        <v>17</v>
      </c>
      <c r="K62" s="12">
        <f t="shared" si="3"/>
        <v>2627</v>
      </c>
      <c r="L62" s="12">
        <f t="shared" si="3"/>
        <v>286</v>
      </c>
      <c r="M62" s="12">
        <f t="shared" si="3"/>
        <v>5503</v>
      </c>
      <c r="N62" s="12">
        <f t="shared" si="3"/>
        <v>16</v>
      </c>
      <c r="O62" s="12">
        <f t="shared" si="3"/>
        <v>527</v>
      </c>
      <c r="P62" s="12">
        <f t="shared" si="3"/>
        <v>1</v>
      </c>
      <c r="Q62" s="12">
        <f t="shared" si="3"/>
        <v>500</v>
      </c>
      <c r="R62" s="12">
        <f t="shared" si="3"/>
        <v>8</v>
      </c>
      <c r="S62" s="12">
        <f t="shared" si="3"/>
        <v>236</v>
      </c>
      <c r="T62" s="12">
        <f t="shared" si="3"/>
        <v>19</v>
      </c>
      <c r="U62" s="12">
        <f t="shared" si="3"/>
        <v>1573</v>
      </c>
      <c r="V62" s="12">
        <f t="shared" si="3"/>
        <v>35</v>
      </c>
      <c r="W62" s="12">
        <f t="shared" si="3"/>
        <v>4882</v>
      </c>
      <c r="X62" s="12">
        <f t="shared" si="3"/>
        <v>200</v>
      </c>
      <c r="Y62" s="12">
        <f t="shared" si="3"/>
        <v>52989</v>
      </c>
      <c r="Z62" s="12">
        <f t="shared" si="3"/>
        <v>9</v>
      </c>
      <c r="AA62" s="12">
        <f t="shared" si="3"/>
        <v>2317</v>
      </c>
      <c r="AB62" s="12">
        <f t="shared" si="3"/>
        <v>277</v>
      </c>
      <c r="AC62" s="12">
        <f t="shared" si="3"/>
        <v>86532</v>
      </c>
      <c r="AD62" s="12">
        <f t="shared" si="3"/>
        <v>44</v>
      </c>
      <c r="AE62" s="12">
        <f t="shared" si="3"/>
        <v>10337</v>
      </c>
      <c r="AF62" s="12">
        <f t="shared" si="3"/>
        <v>44</v>
      </c>
      <c r="AG62" s="12">
        <f t="shared" si="3"/>
        <v>9151</v>
      </c>
      <c r="AH62" s="12">
        <f t="shared" si="3"/>
        <v>4</v>
      </c>
      <c r="AI62" s="12">
        <f t="shared" si="3"/>
        <v>924</v>
      </c>
      <c r="AJ62" s="12">
        <f t="shared" si="3"/>
        <v>3</v>
      </c>
      <c r="AK62" s="12">
        <f t="shared" si="3"/>
        <v>78</v>
      </c>
      <c r="AL62" s="12">
        <f t="shared" si="3"/>
        <v>9</v>
      </c>
      <c r="AM62" s="12">
        <f t="shared" si="3"/>
        <v>1452</v>
      </c>
      <c r="AN62" s="12">
        <f t="shared" si="3"/>
        <v>61</v>
      </c>
      <c r="AO62" s="12">
        <f t="shared" si="3"/>
        <v>21667</v>
      </c>
      <c r="AP62" s="12">
        <f t="shared" si="3"/>
        <v>7</v>
      </c>
      <c r="AQ62" s="12">
        <f t="shared" si="3"/>
        <v>3712</v>
      </c>
      <c r="AR62" s="12">
        <f t="shared" si="3"/>
        <v>116</v>
      </c>
      <c r="AS62" s="12">
        <f t="shared" si="3"/>
        <v>49546</v>
      </c>
      <c r="AT62" s="12">
        <f t="shared" si="3"/>
        <v>6</v>
      </c>
      <c r="AU62" s="12">
        <f t="shared" si="3"/>
        <v>3048</v>
      </c>
      <c r="AV62" s="12">
        <f t="shared" si="3"/>
        <v>6</v>
      </c>
      <c r="AW62" s="12">
        <f t="shared" si="3"/>
        <v>1622</v>
      </c>
      <c r="AX62" s="12">
        <f t="shared" si="3"/>
        <v>3</v>
      </c>
      <c r="AY62" s="12">
        <f t="shared" si="3"/>
        <v>134</v>
      </c>
      <c r="AZ62" s="12">
        <f t="shared" si="3"/>
        <v>1</v>
      </c>
      <c r="BA62" s="12">
        <f t="shared" si="3"/>
        <v>152</v>
      </c>
      <c r="BB62" s="12">
        <f t="shared" si="3"/>
        <v>1</v>
      </c>
      <c r="BC62" s="12">
        <f t="shared" si="3"/>
        <v>132</v>
      </c>
      <c r="BD62" s="12">
        <f t="shared" si="3"/>
        <v>38</v>
      </c>
      <c r="BE62" s="12">
        <f t="shared" si="3"/>
        <v>1697</v>
      </c>
      <c r="BF62" s="12">
        <f t="shared" si="3"/>
        <v>37</v>
      </c>
      <c r="BG62" s="12">
        <f t="shared" si="3"/>
        <v>1707</v>
      </c>
      <c r="BH62" s="12">
        <f t="shared" si="3"/>
        <v>25</v>
      </c>
      <c r="BI62" s="12">
        <f t="shared" si="3"/>
        <v>1446</v>
      </c>
      <c r="BJ62" s="12">
        <f t="shared" si="3"/>
        <v>2</v>
      </c>
      <c r="BK62" s="12">
        <f t="shared" ref="BK62:BU62" si="4">SUM(BK9:BK61)</f>
        <v>214</v>
      </c>
      <c r="BL62" s="12">
        <f t="shared" si="4"/>
        <v>46</v>
      </c>
      <c r="BM62" s="12">
        <f t="shared" si="4"/>
        <v>1784</v>
      </c>
      <c r="BN62" s="12">
        <f t="shared" si="4"/>
        <v>25</v>
      </c>
      <c r="BO62" s="12">
        <f t="shared" si="4"/>
        <v>969</v>
      </c>
      <c r="BP62" s="12">
        <f t="shared" si="4"/>
        <v>2</v>
      </c>
      <c r="BQ62" s="12">
        <f t="shared" si="4"/>
        <v>86</v>
      </c>
      <c r="BR62" s="12">
        <f t="shared" si="4"/>
        <v>1</v>
      </c>
      <c r="BS62" s="12">
        <f t="shared" si="4"/>
        <v>23</v>
      </c>
      <c r="BT62" s="12">
        <f t="shared" si="4"/>
        <v>161</v>
      </c>
      <c r="BU62" s="12">
        <f t="shared" si="4"/>
        <v>2339</v>
      </c>
      <c r="BV62" s="12">
        <f t="shared" si="1"/>
        <v>1792</v>
      </c>
      <c r="BW62" s="12">
        <f t="shared" si="2"/>
        <v>301134</v>
      </c>
      <c r="BX62" s="52"/>
      <c r="BY62" s="52"/>
      <c r="BZ62" s="52"/>
    </row>
    <row r="63" spans="1:78" s="27" customFormat="1" ht="12.75">
      <c r="A63" s="48" t="s">
        <v>189</v>
      </c>
      <c r="BV63" s="54"/>
      <c r="BW63" s="54"/>
    </row>
    <row r="64" spans="1:78" s="27" customFormat="1" ht="12.75">
      <c r="A64" s="50" t="s">
        <v>190</v>
      </c>
      <c r="BV64" s="54"/>
      <c r="BW64" s="54"/>
    </row>
    <row r="65" spans="1:75" s="55" customFormat="1" ht="12.75">
      <c r="A65" s="50" t="s">
        <v>191</v>
      </c>
      <c r="BV65" s="56"/>
      <c r="BW65" s="57"/>
    </row>
  </sheetData>
  <sheetProtection password="C668" sheet="1"/>
  <mergeCells count="38">
    <mergeCell ref="J6:K6"/>
    <mergeCell ref="A6:A8"/>
    <mergeCell ref="B6:C6"/>
    <mergeCell ref="D6:E6"/>
    <mergeCell ref="F6:G6"/>
    <mergeCell ref="H6:I6"/>
    <mergeCell ref="AH6:AI6"/>
    <mergeCell ref="L6:M6"/>
    <mergeCell ref="N6:O6"/>
    <mergeCell ref="P6:Q6"/>
    <mergeCell ref="R6:S6"/>
    <mergeCell ref="T6:U6"/>
    <mergeCell ref="V6:W6"/>
    <mergeCell ref="X6:Y6"/>
    <mergeCell ref="Z6:AA6"/>
    <mergeCell ref="AB6:AC6"/>
    <mergeCell ref="AD6:AE6"/>
    <mergeCell ref="AF6:AG6"/>
    <mergeCell ref="AV6:AW6"/>
    <mergeCell ref="AZ6:BA6"/>
    <mergeCell ref="BB6:BC6"/>
    <mergeCell ref="AJ6:AK6"/>
    <mergeCell ref="AL6:AM6"/>
    <mergeCell ref="AN6:AO6"/>
    <mergeCell ref="AP6:AQ6"/>
    <mergeCell ref="AR6:AS6"/>
    <mergeCell ref="AT6:AU6"/>
    <mergeCell ref="AX6:AY6"/>
    <mergeCell ref="BP6:BQ6"/>
    <mergeCell ref="BR6:BS6"/>
    <mergeCell ref="BT6:BU6"/>
    <mergeCell ref="BV6:BW6"/>
    <mergeCell ref="BD6:BE6"/>
    <mergeCell ref="BF6:BG6"/>
    <mergeCell ref="BH6:BI6"/>
    <mergeCell ref="BJ6:BK6"/>
    <mergeCell ref="BL6:BM6"/>
    <mergeCell ref="BN6:BO6"/>
  </mergeCells>
  <conditionalFormatting sqref="A9:AY62">
    <cfRule type="expression" priority="2">
      <formula>SI(0," ")</formula>
    </cfRule>
  </conditionalFormatting>
  <conditionalFormatting sqref="A9:BU61">
    <cfRule type="expression" dxfId="16" priority="1" stopIfTrue="1">
      <formula>MOD(ROW(),2)=0</formula>
    </cfRule>
  </conditionalFormatting>
  <conditionalFormatting sqref="J2">
    <cfRule type="expression" priority="16">
      <formula>SI($C$42," ")</formula>
    </cfRule>
  </conditionalFormatting>
  <conditionalFormatting sqref="AZ9:IV62 A2:XFD8 A63:XFD65">
    <cfRule type="expression" priority="17">
      <formula>SI(0," ")</formula>
    </cfRule>
  </conditionalFormatting>
  <conditionalFormatting sqref="BV9:BW62">
    <cfRule type="expression" dxfId="15" priority="13" stopIfTrue="1">
      <formula>MOD(ROW(),2)=0</formula>
    </cfRule>
  </conditionalFormatting>
  <pageMargins left="0.70866141732283472" right="0.70866141732283472" top="0.74803149606299213" bottom="0.74803149606299213" header="0.31496062992125984" footer="0.31496062992125984"/>
  <pageSetup paperSize="8" scale="70" orientation="landscape" r:id="rId1"/>
  <colBreaks count="4" manualBreakCount="4">
    <brk id="17" max="1048575" man="1"/>
    <brk id="33" max="1048575" man="1"/>
    <brk id="49" max="1048575" man="1"/>
    <brk id="65"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3:N54"/>
  <sheetViews>
    <sheetView showGridLines="0" workbookViewId="0"/>
  </sheetViews>
  <sheetFormatPr baseColWidth="10" defaultRowHeight="15"/>
  <cols>
    <col min="1" max="1" width="25.140625" customWidth="1"/>
    <col min="2" max="2" width="5.7109375" customWidth="1"/>
    <col min="3" max="3" width="17" bestFit="1" customWidth="1"/>
    <col min="4" max="4" width="15.140625" bestFit="1" customWidth="1"/>
    <col min="5" max="5" width="14" bestFit="1" customWidth="1"/>
    <col min="8" max="8" width="25.140625" customWidth="1"/>
    <col min="9" max="9" width="5.7109375" customWidth="1"/>
    <col min="10" max="10" width="17" customWidth="1"/>
    <col min="11" max="11" width="15.140625" customWidth="1"/>
    <col min="12" max="12" width="14" customWidth="1"/>
  </cols>
  <sheetData>
    <row r="3" spans="1:13" s="60" customFormat="1" ht="16.5">
      <c r="A3" s="58" t="s">
        <v>255</v>
      </c>
      <c r="B3" s="59"/>
      <c r="H3" s="59"/>
      <c r="I3" s="59"/>
    </row>
    <row r="4" spans="1:13" s="63" customFormat="1" ht="16.5">
      <c r="A4" s="61" t="s">
        <v>256</v>
      </c>
      <c r="B4" s="62"/>
      <c r="H4" s="62"/>
      <c r="I4" s="62"/>
      <c r="L4" s="64"/>
    </row>
    <row r="5" spans="1:13" s="63" customFormat="1" ht="16.5">
      <c r="A5" s="61" t="s">
        <v>257</v>
      </c>
      <c r="B5" s="62"/>
      <c r="H5" s="62"/>
      <c r="I5" s="62"/>
    </row>
    <row r="6" spans="1:13" s="63" customFormat="1" ht="16.5">
      <c r="A6" s="61"/>
      <c r="B6" s="62"/>
      <c r="H6" s="62"/>
      <c r="I6" s="62"/>
    </row>
    <row r="7" spans="1:13" s="60" customFormat="1" ht="12.75">
      <c r="A7" s="59"/>
      <c r="B7" s="59"/>
      <c r="H7" s="59"/>
      <c r="I7" s="59"/>
    </row>
    <row r="8" spans="1:13" s="60" customFormat="1" ht="12.75">
      <c r="A8" s="130" t="s">
        <v>104</v>
      </c>
      <c r="B8" s="130"/>
      <c r="C8" s="103" t="s">
        <v>105</v>
      </c>
      <c r="D8" s="103" t="s">
        <v>106</v>
      </c>
      <c r="E8" s="103" t="s">
        <v>107</v>
      </c>
      <c r="F8" s="103" t="s">
        <v>108</v>
      </c>
      <c r="G8" s="104"/>
      <c r="H8" s="130" t="s">
        <v>104</v>
      </c>
      <c r="I8" s="130"/>
      <c r="J8" s="103" t="s">
        <v>105</v>
      </c>
      <c r="K8" s="103" t="s">
        <v>106</v>
      </c>
      <c r="L8" s="103" t="s">
        <v>107</v>
      </c>
      <c r="M8" s="103" t="s">
        <v>108</v>
      </c>
    </row>
    <row r="9" spans="1:13" s="63" customFormat="1" ht="12.75">
      <c r="A9" s="131" t="s">
        <v>109</v>
      </c>
      <c r="B9" s="131"/>
      <c r="C9" s="105" t="s">
        <v>110</v>
      </c>
      <c r="D9" s="105" t="s">
        <v>111</v>
      </c>
      <c r="E9" s="105" t="s">
        <v>112</v>
      </c>
      <c r="F9" s="105" t="s">
        <v>113</v>
      </c>
      <c r="G9" s="106"/>
      <c r="H9" s="131" t="s">
        <v>109</v>
      </c>
      <c r="I9" s="131"/>
      <c r="J9" s="105" t="s">
        <v>110</v>
      </c>
      <c r="K9" s="105" t="s">
        <v>111</v>
      </c>
      <c r="L9" s="105" t="s">
        <v>112</v>
      </c>
      <c r="M9" s="105" t="s">
        <v>113</v>
      </c>
    </row>
    <row r="10" spans="1:13" s="63" customFormat="1" ht="12.75">
      <c r="A10" s="131" t="s">
        <v>114</v>
      </c>
      <c r="B10" s="131"/>
      <c r="C10" s="105" t="s">
        <v>115</v>
      </c>
      <c r="D10" s="105" t="s">
        <v>116</v>
      </c>
      <c r="E10" s="105" t="s">
        <v>117</v>
      </c>
      <c r="F10" s="105" t="s">
        <v>118</v>
      </c>
      <c r="G10" s="106"/>
      <c r="H10" s="131" t="s">
        <v>114</v>
      </c>
      <c r="I10" s="131"/>
      <c r="J10" s="105" t="s">
        <v>115</v>
      </c>
      <c r="K10" s="105" t="s">
        <v>116</v>
      </c>
      <c r="L10" s="105" t="s">
        <v>117</v>
      </c>
      <c r="M10" s="105" t="s">
        <v>118</v>
      </c>
    </row>
    <row r="11" spans="1:13" s="60" customFormat="1">
      <c r="A11" s="132" t="s">
        <v>119</v>
      </c>
      <c r="B11" s="132"/>
      <c r="C11" s="66">
        <v>69</v>
      </c>
      <c r="D11" s="66">
        <v>1068</v>
      </c>
      <c r="E11" s="66">
        <v>3384</v>
      </c>
      <c r="F11" s="67">
        <f>E11/E$17</f>
        <v>9.789683802470564E-2</v>
      </c>
      <c r="G11" s="68"/>
      <c r="H11" s="132" t="s">
        <v>25</v>
      </c>
      <c r="I11" s="132"/>
      <c r="J11" s="66">
        <v>3</v>
      </c>
      <c r="K11" s="66">
        <v>33</v>
      </c>
      <c r="L11" s="66">
        <v>78</v>
      </c>
      <c r="M11" s="67">
        <f>L11/L$19</f>
        <v>9.6036641672515052E-4</v>
      </c>
    </row>
    <row r="12" spans="1:13" s="60" customFormat="1">
      <c r="A12" s="132" t="s">
        <v>120</v>
      </c>
      <c r="B12" s="132"/>
      <c r="C12" s="66">
        <v>116</v>
      </c>
      <c r="D12" s="66">
        <v>3912</v>
      </c>
      <c r="E12" s="66">
        <v>11131</v>
      </c>
      <c r="F12" s="67">
        <f>E12/E$17</f>
        <v>0.32201232389273005</v>
      </c>
      <c r="G12" s="68"/>
      <c r="H12" s="132" t="s">
        <v>26</v>
      </c>
      <c r="I12" s="132"/>
      <c r="J12" s="66">
        <v>8</v>
      </c>
      <c r="K12" s="66">
        <v>381</v>
      </c>
      <c r="L12" s="66">
        <v>1007</v>
      </c>
      <c r="M12" s="67">
        <f t="shared" ref="M12:M17" si="0">L12/L$19</f>
        <v>1.2398576687720854E-2</v>
      </c>
    </row>
    <row r="13" spans="1:13" s="60" customFormat="1">
      <c r="A13" s="132" t="s">
        <v>121</v>
      </c>
      <c r="B13" s="132"/>
      <c r="C13" s="66">
        <v>97</v>
      </c>
      <c r="D13" s="66">
        <v>6634</v>
      </c>
      <c r="E13" s="66">
        <v>16995</v>
      </c>
      <c r="F13" s="67">
        <f>E13/E$17</f>
        <v>0.49165388954783462</v>
      </c>
      <c r="G13" s="68"/>
      <c r="H13" s="132" t="s">
        <v>27</v>
      </c>
      <c r="I13" s="132"/>
      <c r="J13" s="66">
        <v>62</v>
      </c>
      <c r="K13" s="66">
        <v>10627</v>
      </c>
      <c r="L13" s="66">
        <v>24040</v>
      </c>
      <c r="M13" s="67">
        <f t="shared" si="0"/>
        <v>0.29598985459067462</v>
      </c>
    </row>
    <row r="14" spans="1:13" s="60" customFormat="1">
      <c r="A14" s="132" t="s">
        <v>251</v>
      </c>
      <c r="B14" s="132"/>
      <c r="C14" s="66">
        <v>3</v>
      </c>
      <c r="D14" s="66">
        <v>111</v>
      </c>
      <c r="E14" s="66">
        <v>259</v>
      </c>
      <c r="F14" s="67">
        <f>E14/E$17</f>
        <v>7.4926953452715021E-3</v>
      </c>
      <c r="G14" s="68"/>
      <c r="H14" s="132" t="s">
        <v>209</v>
      </c>
      <c r="I14" s="132"/>
      <c r="J14" s="66">
        <v>8</v>
      </c>
      <c r="K14" s="66">
        <v>1327</v>
      </c>
      <c r="L14" s="66">
        <v>3598</v>
      </c>
      <c r="M14" s="67">
        <f t="shared" si="0"/>
        <v>4.4299979068937075E-2</v>
      </c>
    </row>
    <row r="15" spans="1:13" s="60" customFormat="1">
      <c r="A15" s="132" t="s">
        <v>122</v>
      </c>
      <c r="B15" s="132"/>
      <c r="C15" s="66">
        <v>16</v>
      </c>
      <c r="D15" s="66">
        <v>976</v>
      </c>
      <c r="E15" s="66">
        <v>2798</v>
      </c>
      <c r="F15" s="67">
        <f>E15/E$17</f>
        <v>8.0944253189458151E-2</v>
      </c>
      <c r="G15" s="68"/>
      <c r="H15" s="132" t="s">
        <v>28</v>
      </c>
      <c r="I15" s="132"/>
      <c r="J15" s="66">
        <v>112</v>
      </c>
      <c r="K15" s="66">
        <v>21185</v>
      </c>
      <c r="L15" s="66">
        <v>47174</v>
      </c>
      <c r="M15" s="67">
        <f t="shared" si="0"/>
        <v>0.58082468387938779</v>
      </c>
    </row>
    <row r="16" spans="1:13" s="60" customFormat="1">
      <c r="A16" s="65"/>
      <c r="B16" s="65"/>
      <c r="C16" s="66"/>
      <c r="D16" s="66"/>
      <c r="E16" s="66"/>
      <c r="F16" s="67"/>
      <c r="G16" s="68"/>
      <c r="H16" s="132" t="s">
        <v>210</v>
      </c>
      <c r="I16" s="132"/>
      <c r="J16" s="66">
        <v>7</v>
      </c>
      <c r="K16" s="66">
        <v>1893</v>
      </c>
      <c r="L16" s="66">
        <v>3881</v>
      </c>
      <c r="M16" s="67">
        <f t="shared" si="0"/>
        <v>4.7784385427055244E-2</v>
      </c>
    </row>
    <row r="17" spans="1:14" s="60" customFormat="1">
      <c r="A17" s="133" t="s">
        <v>123</v>
      </c>
      <c r="B17" s="133"/>
      <c r="C17" s="69">
        <f>SUM(C11:C15)</f>
        <v>301</v>
      </c>
      <c r="D17" s="69">
        <f>SUM(D11:D15)</f>
        <v>12701</v>
      </c>
      <c r="E17" s="69">
        <f>SUM(E11:E15)</f>
        <v>34567</v>
      </c>
      <c r="F17" s="70">
        <f>SUM(F11:F15)</f>
        <v>1</v>
      </c>
      <c r="G17" s="68"/>
      <c r="H17" s="132" t="s">
        <v>29</v>
      </c>
      <c r="I17" s="132"/>
      <c r="J17" s="66">
        <v>6</v>
      </c>
      <c r="K17" s="66">
        <v>709</v>
      </c>
      <c r="L17" s="66">
        <v>1441</v>
      </c>
      <c r="M17" s="67">
        <f t="shared" si="0"/>
        <v>1.7742153929499255E-2</v>
      </c>
    </row>
    <row r="18" spans="1:14" s="60" customFormat="1">
      <c r="A18" s="132"/>
      <c r="B18" s="132"/>
      <c r="C18" s="66"/>
      <c r="D18" s="66"/>
      <c r="E18" s="66"/>
      <c r="F18" s="67"/>
      <c r="G18" s="68"/>
      <c r="H18" s="132" t="s">
        <v>211</v>
      </c>
      <c r="I18" s="132"/>
      <c r="J18" s="66"/>
      <c r="K18" s="66"/>
      <c r="L18" s="66"/>
      <c r="M18" s="67"/>
    </row>
    <row r="19" spans="1:14" s="60" customFormat="1">
      <c r="A19" s="133" t="s">
        <v>7</v>
      </c>
      <c r="B19" s="133"/>
      <c r="C19" s="69">
        <v>37</v>
      </c>
      <c r="D19" s="69">
        <v>841</v>
      </c>
      <c r="E19" s="69">
        <v>1661</v>
      </c>
      <c r="F19" s="70">
        <f>E19/E19</f>
        <v>1</v>
      </c>
      <c r="G19" s="68"/>
      <c r="H19" s="133" t="s">
        <v>124</v>
      </c>
      <c r="I19" s="133"/>
      <c r="J19" s="69">
        <f>SUM(J11:J18)</f>
        <v>206</v>
      </c>
      <c r="K19" s="69">
        <f>SUM(K11:K18)</f>
        <v>36155</v>
      </c>
      <c r="L19" s="69">
        <f>SUM(L11:L18)</f>
        <v>81219</v>
      </c>
      <c r="M19" s="70">
        <f>SUM(M11:M18)</f>
        <v>1</v>
      </c>
    </row>
    <row r="20" spans="1:14" s="60" customFormat="1">
      <c r="A20" s="133" t="s">
        <v>167</v>
      </c>
      <c r="B20" s="133"/>
      <c r="C20" s="69">
        <v>287</v>
      </c>
      <c r="D20" s="69">
        <v>2479</v>
      </c>
      <c r="E20" s="69">
        <v>5410</v>
      </c>
      <c r="F20" s="70">
        <f>E20/E20</f>
        <v>1</v>
      </c>
      <c r="G20" s="68"/>
      <c r="H20" s="66"/>
      <c r="I20" s="66"/>
      <c r="J20" s="66"/>
      <c r="K20" s="66"/>
      <c r="L20" s="66"/>
      <c r="M20" s="66"/>
    </row>
    <row r="21" spans="1:14" s="60" customFormat="1">
      <c r="A21" s="133" t="s">
        <v>8</v>
      </c>
      <c r="B21" s="133"/>
      <c r="C21" s="69">
        <v>159</v>
      </c>
      <c r="D21" s="69">
        <v>1124</v>
      </c>
      <c r="E21" s="69">
        <v>2389</v>
      </c>
      <c r="F21" s="70">
        <f>E21/E21</f>
        <v>1</v>
      </c>
      <c r="G21" s="68"/>
      <c r="H21" s="132" t="s">
        <v>30</v>
      </c>
      <c r="I21" s="132"/>
      <c r="J21" s="66"/>
      <c r="K21" s="66"/>
      <c r="L21" s="66"/>
      <c r="M21" s="67"/>
      <c r="N21" s="79"/>
    </row>
    <row r="22" spans="1:14" s="60" customFormat="1">
      <c r="A22" s="133" t="s">
        <v>207</v>
      </c>
      <c r="B22" s="133"/>
      <c r="C22" s="69">
        <v>1</v>
      </c>
      <c r="D22" s="69"/>
      <c r="E22" s="69">
        <v>500</v>
      </c>
      <c r="F22" s="70">
        <f>E22/E22</f>
        <v>1</v>
      </c>
      <c r="G22" s="68"/>
      <c r="H22" s="132" t="s">
        <v>31</v>
      </c>
      <c r="I22" s="132"/>
      <c r="J22" s="66"/>
      <c r="K22" s="66"/>
      <c r="L22" s="66"/>
      <c r="M22" s="67"/>
    </row>
    <row r="23" spans="1:14" s="60" customFormat="1">
      <c r="A23" s="132"/>
      <c r="B23" s="132"/>
      <c r="C23" s="66"/>
      <c r="D23" s="66"/>
      <c r="E23" s="66"/>
      <c r="F23" s="67"/>
      <c r="G23" s="68"/>
      <c r="H23" s="132" t="s">
        <v>32</v>
      </c>
      <c r="I23" s="132"/>
      <c r="J23" s="66"/>
      <c r="K23" s="66"/>
      <c r="L23" s="66"/>
      <c r="M23" s="67"/>
    </row>
    <row r="24" spans="1:14" s="60" customFormat="1">
      <c r="A24" s="132" t="s">
        <v>12</v>
      </c>
      <c r="B24" s="132"/>
      <c r="C24" s="66"/>
      <c r="D24" s="66"/>
      <c r="E24" s="66"/>
      <c r="F24" s="67"/>
      <c r="G24" s="68"/>
      <c r="H24" s="132" t="s">
        <v>33</v>
      </c>
      <c r="I24" s="132"/>
      <c r="J24" s="66"/>
      <c r="K24" s="66"/>
      <c r="L24" s="66"/>
      <c r="M24" s="67"/>
    </row>
    <row r="25" spans="1:14" s="60" customFormat="1">
      <c r="A25" s="132" t="s">
        <v>13</v>
      </c>
      <c r="B25" s="132"/>
      <c r="C25" s="66"/>
      <c r="D25" s="66"/>
      <c r="E25" s="66"/>
      <c r="F25" s="67"/>
      <c r="G25" s="68"/>
      <c r="H25" s="133" t="s">
        <v>125</v>
      </c>
      <c r="I25" s="133"/>
      <c r="J25" s="69"/>
      <c r="K25" s="69"/>
      <c r="L25" s="69"/>
      <c r="M25" s="70"/>
    </row>
    <row r="26" spans="1:14" s="60" customFormat="1">
      <c r="A26" s="132" t="s">
        <v>14</v>
      </c>
      <c r="B26" s="132"/>
      <c r="C26" s="66"/>
      <c r="D26" s="66"/>
      <c r="E26" s="66"/>
      <c r="F26" s="67"/>
      <c r="G26" s="68"/>
      <c r="H26" s="134"/>
      <c r="I26" s="134"/>
      <c r="J26" s="71"/>
      <c r="K26" s="71"/>
      <c r="L26" s="71"/>
      <c r="M26" s="72"/>
      <c r="N26" s="79"/>
    </row>
    <row r="27" spans="1:14" s="60" customFormat="1">
      <c r="A27" s="133" t="s">
        <v>129</v>
      </c>
      <c r="B27" s="133"/>
      <c r="C27" s="69"/>
      <c r="D27" s="69"/>
      <c r="E27" s="69"/>
      <c r="F27" s="70"/>
      <c r="G27" s="68"/>
      <c r="H27" s="132" t="s">
        <v>35</v>
      </c>
      <c r="I27" s="132"/>
      <c r="J27" s="66">
        <v>38</v>
      </c>
      <c r="K27" s="66">
        <v>944</v>
      </c>
      <c r="L27" s="66">
        <v>1770</v>
      </c>
      <c r="M27" s="67">
        <f>L27/L$30</f>
        <v>0.51274623406720743</v>
      </c>
    </row>
    <row r="28" spans="1:14" s="60" customFormat="1">
      <c r="A28" s="132"/>
      <c r="B28" s="132"/>
      <c r="C28" s="66"/>
      <c r="D28" s="66"/>
      <c r="E28" s="66"/>
      <c r="F28" s="67"/>
      <c r="G28" s="68"/>
      <c r="H28" s="132" t="s">
        <v>36</v>
      </c>
      <c r="I28" s="132"/>
      <c r="J28" s="66">
        <v>25</v>
      </c>
      <c r="K28" s="66">
        <v>769</v>
      </c>
      <c r="L28" s="66">
        <v>1446</v>
      </c>
      <c r="M28" s="67">
        <f>L28/L$30</f>
        <v>0.41888760139049824</v>
      </c>
    </row>
    <row r="29" spans="1:14" s="60" customFormat="1">
      <c r="A29" s="132" t="s">
        <v>15</v>
      </c>
      <c r="B29" s="132"/>
      <c r="C29" s="66">
        <v>19</v>
      </c>
      <c r="D29" s="66">
        <v>935</v>
      </c>
      <c r="E29" s="66">
        <v>1734</v>
      </c>
      <c r="F29" s="67">
        <f>E29/E$37</f>
        <v>1.0508708774226392E-2</v>
      </c>
      <c r="G29" s="68"/>
      <c r="H29" s="132" t="s">
        <v>37</v>
      </c>
      <c r="I29" s="132"/>
      <c r="J29" s="66">
        <v>3</v>
      </c>
      <c r="K29" s="66">
        <v>128</v>
      </c>
      <c r="L29" s="66">
        <v>236</v>
      </c>
      <c r="M29" s="67">
        <f>L29/L$30</f>
        <v>6.8366164542294328E-2</v>
      </c>
    </row>
    <row r="30" spans="1:14" s="60" customFormat="1">
      <c r="A30" s="132" t="s">
        <v>16</v>
      </c>
      <c r="B30" s="132"/>
      <c r="C30" s="66">
        <v>40</v>
      </c>
      <c r="D30" s="66">
        <v>3058</v>
      </c>
      <c r="E30" s="66">
        <v>5797</v>
      </c>
      <c r="F30" s="67">
        <f t="shared" ref="F30:F36" si="1">E30/E$37</f>
        <v>3.5132055804031372E-2</v>
      </c>
      <c r="G30" s="68"/>
      <c r="H30" s="133" t="s">
        <v>128</v>
      </c>
      <c r="I30" s="133"/>
      <c r="J30" s="69">
        <f>SUM(J27:J29)</f>
        <v>66</v>
      </c>
      <c r="K30" s="69">
        <f>SUM(K27:K29)</f>
        <v>1841</v>
      </c>
      <c r="L30" s="69">
        <f>SUM(L27:L29)</f>
        <v>3452</v>
      </c>
      <c r="M30" s="70">
        <f>SUM(M27:M29)</f>
        <v>1</v>
      </c>
    </row>
    <row r="31" spans="1:14" s="60" customFormat="1">
      <c r="A31" s="132" t="s">
        <v>17</v>
      </c>
      <c r="B31" s="132"/>
      <c r="C31" s="66">
        <v>211</v>
      </c>
      <c r="D31" s="66">
        <v>30621</v>
      </c>
      <c r="E31" s="66">
        <v>57815</v>
      </c>
      <c r="F31" s="67">
        <f t="shared" si="1"/>
        <v>0.35038119825945724</v>
      </c>
      <c r="G31" s="68"/>
      <c r="H31" s="134"/>
      <c r="I31" s="134"/>
      <c r="J31" s="71"/>
      <c r="K31" s="71"/>
      <c r="L31" s="71"/>
      <c r="M31" s="72"/>
    </row>
    <row r="32" spans="1:14" s="60" customFormat="1">
      <c r="A32" s="132" t="s">
        <v>208</v>
      </c>
      <c r="B32" s="132"/>
      <c r="C32" s="66">
        <v>8</v>
      </c>
      <c r="D32" s="66">
        <v>906</v>
      </c>
      <c r="E32" s="66">
        <v>1770</v>
      </c>
      <c r="F32" s="67">
        <f t="shared" si="1"/>
        <v>1.0726882658812407E-2</v>
      </c>
      <c r="G32" s="68"/>
      <c r="H32" s="132" t="s">
        <v>38</v>
      </c>
      <c r="I32" s="132"/>
      <c r="J32" s="66">
        <v>49</v>
      </c>
      <c r="K32" s="66">
        <v>1031</v>
      </c>
      <c r="L32" s="66">
        <v>1942</v>
      </c>
      <c r="M32" s="67">
        <f>L32/L$35</f>
        <v>0.62970168612191957</v>
      </c>
    </row>
    <row r="33" spans="1:13" s="60" customFormat="1">
      <c r="A33" s="132" t="s">
        <v>168</v>
      </c>
      <c r="B33" s="132"/>
      <c r="C33" s="66">
        <v>259</v>
      </c>
      <c r="D33" s="66">
        <v>41611</v>
      </c>
      <c r="E33" s="66">
        <v>80158</v>
      </c>
      <c r="F33" s="67">
        <f t="shared" si="1"/>
        <v>0.48578839557349429</v>
      </c>
      <c r="G33" s="68"/>
      <c r="H33" s="132" t="s">
        <v>39</v>
      </c>
      <c r="I33" s="132"/>
      <c r="J33" s="66">
        <v>27</v>
      </c>
      <c r="K33" s="66">
        <v>567</v>
      </c>
      <c r="L33" s="66">
        <v>1056</v>
      </c>
      <c r="M33" s="67">
        <f>L33/L$35</f>
        <v>0.34241245136186771</v>
      </c>
    </row>
    <row r="34" spans="1:13" s="60" customFormat="1">
      <c r="A34" s="132" t="s">
        <v>200</v>
      </c>
      <c r="B34" s="132"/>
      <c r="C34" s="66">
        <v>33</v>
      </c>
      <c r="D34" s="66">
        <v>4149</v>
      </c>
      <c r="E34" s="66">
        <v>8277</v>
      </c>
      <c r="F34" s="67">
        <f t="shared" si="1"/>
        <v>5.0161812297734629E-2</v>
      </c>
      <c r="G34" s="68"/>
      <c r="H34" s="132" t="s">
        <v>40</v>
      </c>
      <c r="I34" s="132"/>
      <c r="J34" s="66">
        <v>2</v>
      </c>
      <c r="K34" s="66">
        <v>46</v>
      </c>
      <c r="L34" s="66">
        <v>86</v>
      </c>
      <c r="M34" s="67">
        <f>L34/L$35</f>
        <v>2.7885862516212712E-2</v>
      </c>
    </row>
    <row r="35" spans="1:13" s="60" customFormat="1">
      <c r="A35" s="132" t="s">
        <v>19</v>
      </c>
      <c r="B35" s="132"/>
      <c r="C35" s="66">
        <v>42</v>
      </c>
      <c r="D35" s="66">
        <v>4241</v>
      </c>
      <c r="E35" s="66">
        <v>8621</v>
      </c>
      <c r="F35" s="67">
        <f t="shared" si="1"/>
        <v>5.224658497266766E-2</v>
      </c>
      <c r="G35" s="68"/>
      <c r="H35" s="133" t="s">
        <v>130</v>
      </c>
      <c r="I35" s="133"/>
      <c r="J35" s="69">
        <f>SUM(J32:J34)</f>
        <v>78</v>
      </c>
      <c r="K35" s="69">
        <f>SUM(K32:K34)</f>
        <v>1644</v>
      </c>
      <c r="L35" s="69">
        <f>SUM(L32:L34)</f>
        <v>3084</v>
      </c>
      <c r="M35" s="70">
        <f>SUM(M32:M34)</f>
        <v>1</v>
      </c>
    </row>
    <row r="36" spans="1:13" s="60" customFormat="1">
      <c r="A36" s="132" t="s">
        <v>169</v>
      </c>
      <c r="B36" s="135"/>
      <c r="C36" s="66">
        <v>3</v>
      </c>
      <c r="D36" s="66">
        <v>434</v>
      </c>
      <c r="E36" s="66">
        <v>834</v>
      </c>
      <c r="F36" s="67">
        <f t="shared" si="1"/>
        <v>5.0543616595760156E-3</v>
      </c>
      <c r="G36" s="68"/>
      <c r="H36" s="136"/>
      <c r="I36" s="136"/>
      <c r="J36" s="73"/>
      <c r="K36" s="73"/>
      <c r="L36" s="73"/>
      <c r="M36" s="74"/>
    </row>
    <row r="37" spans="1:13" s="60" customFormat="1">
      <c r="A37" s="133" t="s">
        <v>131</v>
      </c>
      <c r="B37" s="133"/>
      <c r="C37" s="69">
        <f>SUM(C29:C36)</f>
        <v>615</v>
      </c>
      <c r="D37" s="69">
        <f>SUM(D29:D36)</f>
        <v>85955</v>
      </c>
      <c r="E37" s="69">
        <f>SUM(E29:E36)</f>
        <v>165006</v>
      </c>
      <c r="F37" s="70">
        <f>SUM(F29:F36)</f>
        <v>1</v>
      </c>
      <c r="G37" s="68"/>
      <c r="H37" s="133" t="s">
        <v>42</v>
      </c>
      <c r="I37" s="133"/>
      <c r="J37" s="69">
        <v>16</v>
      </c>
      <c r="K37" s="69">
        <v>278</v>
      </c>
      <c r="L37" s="69">
        <v>527</v>
      </c>
      <c r="M37" s="70">
        <f>L37/L37</f>
        <v>1</v>
      </c>
    </row>
    <row r="38" spans="1:13" s="60" customFormat="1">
      <c r="A38" s="134"/>
      <c r="B38" s="134"/>
      <c r="C38" s="71"/>
      <c r="D38" s="71"/>
      <c r="E38" s="71"/>
      <c r="F38" s="72"/>
      <c r="G38" s="68"/>
      <c r="H38" s="133" t="s">
        <v>43</v>
      </c>
      <c r="I38" s="133"/>
      <c r="J38" s="69">
        <v>8</v>
      </c>
      <c r="K38" s="69">
        <v>136</v>
      </c>
      <c r="L38" s="69">
        <v>236</v>
      </c>
      <c r="M38" s="70">
        <f>L38/L38</f>
        <v>1</v>
      </c>
    </row>
    <row r="39" spans="1:13" s="60" customFormat="1">
      <c r="A39" s="132" t="s">
        <v>20</v>
      </c>
      <c r="B39" s="132"/>
      <c r="C39" s="66"/>
      <c r="D39" s="66"/>
      <c r="E39" s="66"/>
      <c r="F39" s="67"/>
      <c r="G39" s="68"/>
      <c r="H39" s="133" t="s">
        <v>44</v>
      </c>
      <c r="I39" s="133"/>
      <c r="J39" s="69">
        <v>1</v>
      </c>
      <c r="K39" s="69">
        <v>12</v>
      </c>
      <c r="L39" s="69">
        <v>23</v>
      </c>
      <c r="M39" s="70">
        <f>L39/L39</f>
        <v>1</v>
      </c>
    </row>
    <row r="40" spans="1:13" s="60" customFormat="1">
      <c r="A40" s="132" t="s">
        <v>21</v>
      </c>
      <c r="B40" s="132"/>
      <c r="C40" s="66">
        <v>1</v>
      </c>
      <c r="D40" s="66">
        <v>80</v>
      </c>
      <c r="E40" s="66">
        <v>152</v>
      </c>
      <c r="F40" s="67">
        <f>E40/E$44</f>
        <v>0.53521126760563376</v>
      </c>
      <c r="G40" s="68"/>
      <c r="H40" s="133" t="s">
        <v>273</v>
      </c>
      <c r="I40" s="133"/>
      <c r="J40" s="69">
        <v>3</v>
      </c>
      <c r="K40" s="69">
        <v>68</v>
      </c>
      <c r="L40" s="69">
        <v>134</v>
      </c>
      <c r="M40" s="70">
        <v>1</v>
      </c>
    </row>
    <row r="41" spans="1:13" s="60" customFormat="1">
      <c r="A41" s="132" t="s">
        <v>22</v>
      </c>
      <c r="B41" s="132"/>
      <c r="C41" s="66"/>
      <c r="D41" s="66"/>
      <c r="E41" s="66"/>
      <c r="F41" s="67"/>
      <c r="G41" s="68"/>
      <c r="H41" s="65"/>
      <c r="I41" s="65"/>
      <c r="J41" s="65"/>
      <c r="K41" s="65"/>
      <c r="L41" s="65"/>
      <c r="M41" s="65"/>
    </row>
    <row r="42" spans="1:13" s="60" customFormat="1">
      <c r="A42" s="132" t="s">
        <v>172</v>
      </c>
      <c r="B42" s="132"/>
      <c r="C42" s="66"/>
      <c r="D42" s="66"/>
      <c r="E42" s="66"/>
      <c r="F42" s="67"/>
      <c r="G42" s="68"/>
      <c r="H42" s="133" t="s">
        <v>45</v>
      </c>
      <c r="I42" s="133"/>
      <c r="J42" s="69">
        <f>C17+C19+C20+C21+C22+C27+C37+C44+C54+J25+J30+J35+J19+J37+J38+J39+J40</f>
        <v>1780</v>
      </c>
      <c r="K42" s="69">
        <f>D17+D19+D20+D21+D22+D27+D37+D44+D54+K25+K30+K35+K19+K37+K38+K39+K40</f>
        <v>143381</v>
      </c>
      <c r="L42" s="69">
        <f>E17+E19+E20+E21+E22+E27+E37+E44+E54+L25+L30+L35+L19+L37+L38+L39+L40</f>
        <v>298492</v>
      </c>
      <c r="M42" s="65"/>
    </row>
    <row r="43" spans="1:13" s="60" customFormat="1">
      <c r="A43" s="132" t="s">
        <v>24</v>
      </c>
      <c r="B43" s="132"/>
      <c r="C43" s="66">
        <v>1</v>
      </c>
      <c r="D43" s="66">
        <v>67</v>
      </c>
      <c r="E43" s="66">
        <v>132</v>
      </c>
      <c r="F43" s="67">
        <f>E43/E$44</f>
        <v>0.46478873239436619</v>
      </c>
      <c r="G43" s="68"/>
    </row>
    <row r="44" spans="1:13" s="60" customFormat="1">
      <c r="A44" s="133" t="s">
        <v>132</v>
      </c>
      <c r="B44" s="133"/>
      <c r="C44" s="69">
        <f>SUM(C39:C43)</f>
        <v>2</v>
      </c>
      <c r="D44" s="69">
        <f>SUM(D39:D43)</f>
        <v>147</v>
      </c>
      <c r="E44" s="69">
        <f>SUM(E39:E43)</f>
        <v>284</v>
      </c>
      <c r="F44" s="70">
        <f>SUM(F39:F43)</f>
        <v>1</v>
      </c>
      <c r="G44" s="68"/>
      <c r="J44" s="85"/>
      <c r="K44" s="85"/>
    </row>
    <row r="45" spans="1:13" s="60" customFormat="1" ht="14.25">
      <c r="G45" s="68"/>
    </row>
    <row r="46" spans="1:13" s="60" customFormat="1">
      <c r="A46" s="132"/>
      <c r="B46" s="132"/>
      <c r="C46" s="66"/>
      <c r="D46" s="66"/>
      <c r="E46" s="66"/>
      <c r="F46" s="67"/>
      <c r="G46" s="68"/>
    </row>
    <row r="47" spans="1:13" s="60" customFormat="1">
      <c r="A47" s="132"/>
      <c r="B47" s="132"/>
      <c r="C47" s="66"/>
      <c r="D47" s="66"/>
      <c r="E47" s="66"/>
      <c r="F47" s="67"/>
      <c r="G47" s="68"/>
    </row>
    <row r="48" spans="1:13" s="60" customFormat="1">
      <c r="A48" s="132"/>
      <c r="B48" s="132"/>
      <c r="C48" s="66"/>
      <c r="D48" s="66"/>
      <c r="E48" s="66"/>
      <c r="F48" s="67"/>
    </row>
    <row r="49" spans="1:13" s="60" customFormat="1">
      <c r="A49" s="132"/>
      <c r="B49" s="132"/>
      <c r="C49" s="66"/>
      <c r="D49" s="66"/>
      <c r="E49" s="66"/>
      <c r="F49" s="67"/>
    </row>
    <row r="50" spans="1:13" s="60" customFormat="1">
      <c r="A50" s="132"/>
      <c r="B50" s="132"/>
      <c r="C50" s="66"/>
      <c r="D50" s="66"/>
      <c r="E50" s="66"/>
      <c r="F50" s="67"/>
    </row>
    <row r="51" spans="1:13" s="60" customFormat="1">
      <c r="A51" s="132"/>
      <c r="B51" s="132"/>
      <c r="C51" s="66"/>
      <c r="D51" s="66"/>
      <c r="E51" s="66"/>
      <c r="F51" s="67"/>
      <c r="H51"/>
      <c r="I51"/>
      <c r="J51"/>
      <c r="K51"/>
      <c r="L51"/>
      <c r="M51"/>
    </row>
    <row r="52" spans="1:13" s="60" customFormat="1">
      <c r="A52" s="132"/>
      <c r="B52" s="132"/>
      <c r="C52" s="66"/>
      <c r="D52" s="66"/>
      <c r="E52" s="66"/>
      <c r="F52" s="67"/>
      <c r="H52"/>
      <c r="I52"/>
      <c r="J52"/>
      <c r="K52"/>
      <c r="L52"/>
      <c r="M52"/>
    </row>
    <row r="53" spans="1:13">
      <c r="A53" s="132"/>
      <c r="B53" s="132"/>
      <c r="C53" s="66"/>
      <c r="D53" s="66"/>
      <c r="E53" s="66"/>
      <c r="F53" s="67"/>
    </row>
    <row r="54" spans="1:13">
      <c r="A54" s="67"/>
      <c r="B54" s="67"/>
      <c r="C54" s="67"/>
      <c r="D54" s="67"/>
      <c r="E54" s="67"/>
      <c r="F54" s="67"/>
    </row>
  </sheetData>
  <sheetProtection algorithmName="SHA-512" hashValue="QGhUg7id2ll947lhJtsEizmUHmlTzxbbMBYhgzMz3EKkH5a/FVS3K2ZNJyuNGrMS5wgT1qwzzaQeKOMmrHL6qg==" saltValue="3+gWWREhrWAybV3BkN/O0Q==" spinCount="100000" sheet="1"/>
  <mergeCells count="77">
    <mergeCell ref="A11:B11"/>
    <mergeCell ref="A12:B12"/>
    <mergeCell ref="A13:B13"/>
    <mergeCell ref="H10:I10"/>
    <mergeCell ref="H22:I22"/>
    <mergeCell ref="A14:B14"/>
    <mergeCell ref="H11:I11"/>
    <mergeCell ref="H12:I12"/>
    <mergeCell ref="H13:I13"/>
    <mergeCell ref="A21:B21"/>
    <mergeCell ref="H21:I21"/>
    <mergeCell ref="A15:B15"/>
    <mergeCell ref="A17:B17"/>
    <mergeCell ref="A18:B18"/>
    <mergeCell ref="H17:I17"/>
    <mergeCell ref="A19:B19"/>
    <mergeCell ref="A8:B8"/>
    <mergeCell ref="H8:I8"/>
    <mergeCell ref="A9:B9"/>
    <mergeCell ref="H9:I9"/>
    <mergeCell ref="A10:B10"/>
    <mergeCell ref="A20:B20"/>
    <mergeCell ref="H23:I23"/>
    <mergeCell ref="H19:I19"/>
    <mergeCell ref="H18:I18"/>
    <mergeCell ref="A22:B22"/>
    <mergeCell ref="H30:I30"/>
    <mergeCell ref="A23:B23"/>
    <mergeCell ref="A24:B24"/>
    <mergeCell ref="H26:I26"/>
    <mergeCell ref="H27:I27"/>
    <mergeCell ref="H28:I28"/>
    <mergeCell ref="A29:B29"/>
    <mergeCell ref="H24:I24"/>
    <mergeCell ref="H29:I29"/>
    <mergeCell ref="A27:B27"/>
    <mergeCell ref="H25:I25"/>
    <mergeCell ref="A52:B52"/>
    <mergeCell ref="A53:B53"/>
    <mergeCell ref="A42:B42"/>
    <mergeCell ref="A43:B43"/>
    <mergeCell ref="A44:B44"/>
    <mergeCell ref="A46:B46"/>
    <mergeCell ref="A47:B47"/>
    <mergeCell ref="A51:B51"/>
    <mergeCell ref="A50:B50"/>
    <mergeCell ref="A49:B49"/>
    <mergeCell ref="A33:B33"/>
    <mergeCell ref="H32:I32"/>
    <mergeCell ref="A39:B39"/>
    <mergeCell ref="A34:B34"/>
    <mergeCell ref="H36:I36"/>
    <mergeCell ref="H35:I35"/>
    <mergeCell ref="A35:B35"/>
    <mergeCell ref="A41:B41"/>
    <mergeCell ref="H39:I39"/>
    <mergeCell ref="A36:B36"/>
    <mergeCell ref="A37:B37"/>
    <mergeCell ref="H38:I38"/>
    <mergeCell ref="H37:I37"/>
    <mergeCell ref="A38:B38"/>
    <mergeCell ref="H42:I42"/>
    <mergeCell ref="A40:B40"/>
    <mergeCell ref="H40:I40"/>
    <mergeCell ref="A48:B48"/>
    <mergeCell ref="H14:I14"/>
    <mergeCell ref="H15:I15"/>
    <mergeCell ref="H16:I16"/>
    <mergeCell ref="H31:I31"/>
    <mergeCell ref="A28:B28"/>
    <mergeCell ref="A25:B25"/>
    <mergeCell ref="H33:I33"/>
    <mergeCell ref="A26:B26"/>
    <mergeCell ref="H34:I34"/>
    <mergeCell ref="A30:B30"/>
    <mergeCell ref="A31:B31"/>
    <mergeCell ref="A32:B32"/>
  </mergeCells>
  <pageMargins left="0.7" right="0.7" top="0.75" bottom="0.75" header="0.3" footer="0.3"/>
  <pageSetup paperSize="9" scale="62"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CZ65"/>
  <sheetViews>
    <sheetView showGridLines="0" zoomScaleNormal="100" workbookViewId="0"/>
  </sheetViews>
  <sheetFormatPr baseColWidth="10" defaultRowHeight="15"/>
  <cols>
    <col min="1" max="1" width="79.7109375" customWidth="1"/>
    <col min="2" max="71" width="11.42578125" customWidth="1"/>
  </cols>
  <sheetData>
    <row r="2" spans="1:104" s="27" customFormat="1" ht="16.5">
      <c r="A2" s="1" t="s">
        <v>258</v>
      </c>
      <c r="BV2" s="51"/>
      <c r="BW2" s="51"/>
    </row>
    <row r="3" spans="1:104" s="27" customFormat="1" ht="16.5">
      <c r="A3" s="3" t="s">
        <v>259</v>
      </c>
      <c r="BV3" s="51"/>
      <c r="BW3" s="51"/>
    </row>
    <row r="4" spans="1:104" s="27" customFormat="1" ht="16.5">
      <c r="A4" s="3" t="s">
        <v>260</v>
      </c>
      <c r="BV4" s="51"/>
      <c r="BW4" s="51"/>
    </row>
    <row r="5" spans="1:104" s="27" customFormat="1" ht="12.75">
      <c r="BV5" s="51"/>
      <c r="BW5" s="51"/>
    </row>
    <row r="6" spans="1:104" s="51" customFormat="1">
      <c r="A6" s="138" t="s">
        <v>187</v>
      </c>
      <c r="B6" s="137" t="s">
        <v>119</v>
      </c>
      <c r="C6" s="137"/>
      <c r="D6" s="137" t="s">
        <v>120</v>
      </c>
      <c r="E6" s="137"/>
      <c r="F6" s="137" t="s">
        <v>121</v>
      </c>
      <c r="G6" s="137"/>
      <c r="H6" s="137" t="s">
        <v>251</v>
      </c>
      <c r="I6" s="137"/>
      <c r="J6" s="137" t="s">
        <v>122</v>
      </c>
      <c r="K6" s="137"/>
      <c r="L6" s="137" t="s">
        <v>167</v>
      </c>
      <c r="M6" s="137"/>
      <c r="N6" s="137" t="s">
        <v>42</v>
      </c>
      <c r="O6" s="137"/>
      <c r="P6" s="137" t="s">
        <v>198</v>
      </c>
      <c r="Q6" s="137"/>
      <c r="R6" s="137" t="s">
        <v>43</v>
      </c>
      <c r="S6" s="137"/>
      <c r="T6" s="137" t="s">
        <v>15</v>
      </c>
      <c r="U6" s="137"/>
      <c r="V6" s="137" t="s">
        <v>16</v>
      </c>
      <c r="W6" s="137"/>
      <c r="X6" s="137" t="s">
        <v>17</v>
      </c>
      <c r="Y6" s="137"/>
      <c r="Z6" s="137" t="s">
        <v>199</v>
      </c>
      <c r="AA6" s="137"/>
      <c r="AB6" s="137" t="s">
        <v>168</v>
      </c>
      <c r="AC6" s="137"/>
      <c r="AD6" s="137" t="s">
        <v>200</v>
      </c>
      <c r="AE6" s="137"/>
      <c r="AF6" s="137" t="s">
        <v>19</v>
      </c>
      <c r="AG6" s="137"/>
      <c r="AH6" s="137" t="s">
        <v>169</v>
      </c>
      <c r="AI6" s="137"/>
      <c r="AJ6" s="137" t="s">
        <v>25</v>
      </c>
      <c r="AK6" s="137"/>
      <c r="AL6" s="137" t="s">
        <v>26</v>
      </c>
      <c r="AM6" s="137"/>
      <c r="AN6" s="137" t="s">
        <v>27</v>
      </c>
      <c r="AO6" s="137"/>
      <c r="AP6" s="137" t="s">
        <v>209</v>
      </c>
      <c r="AQ6" s="137"/>
      <c r="AR6" s="137" t="s">
        <v>28</v>
      </c>
      <c r="AS6" s="137"/>
      <c r="AT6" s="137" t="s">
        <v>210</v>
      </c>
      <c r="AU6" s="137"/>
      <c r="AV6" s="137" t="s">
        <v>29</v>
      </c>
      <c r="AW6" s="137"/>
      <c r="AX6" s="137" t="s">
        <v>273</v>
      </c>
      <c r="AY6" s="137"/>
      <c r="AZ6" s="137" t="s">
        <v>21</v>
      </c>
      <c r="BA6" s="137"/>
      <c r="BB6" s="137" t="s">
        <v>24</v>
      </c>
      <c r="BC6" s="137"/>
      <c r="BD6" s="137" t="s">
        <v>7</v>
      </c>
      <c r="BE6" s="137"/>
      <c r="BF6" s="137" t="s">
        <v>35</v>
      </c>
      <c r="BG6" s="137"/>
      <c r="BH6" s="137" t="s">
        <v>36</v>
      </c>
      <c r="BI6" s="137"/>
      <c r="BJ6" s="137" t="s">
        <v>37</v>
      </c>
      <c r="BK6" s="137"/>
      <c r="BL6" s="137" t="s">
        <v>38</v>
      </c>
      <c r="BM6" s="137"/>
      <c r="BN6" s="137" t="s">
        <v>39</v>
      </c>
      <c r="BO6" s="137"/>
      <c r="BP6" s="137" t="s">
        <v>40</v>
      </c>
      <c r="BQ6" s="137"/>
      <c r="BR6" s="137" t="s">
        <v>44</v>
      </c>
      <c r="BS6" s="137"/>
      <c r="BT6" s="137" t="s">
        <v>8</v>
      </c>
      <c r="BU6" s="137"/>
      <c r="BV6" s="137" t="s">
        <v>45</v>
      </c>
      <c r="BW6" s="137"/>
    </row>
    <row r="7" spans="1:104" s="51" customFormat="1">
      <c r="A7" s="138"/>
      <c r="B7" s="4"/>
      <c r="C7" s="4" t="s">
        <v>176</v>
      </c>
      <c r="D7" s="4"/>
      <c r="E7" s="4"/>
      <c r="F7" s="4"/>
      <c r="G7" s="4"/>
      <c r="H7" s="4"/>
      <c r="I7" s="4"/>
      <c r="J7" s="4"/>
      <c r="K7" s="4" t="s">
        <v>176</v>
      </c>
      <c r="L7" s="4"/>
      <c r="M7" s="4" t="s">
        <v>176</v>
      </c>
      <c r="N7" s="4"/>
      <c r="O7" s="4" t="s">
        <v>176</v>
      </c>
      <c r="P7" s="4"/>
      <c r="Q7" s="4" t="s">
        <v>176</v>
      </c>
      <c r="R7" s="4"/>
      <c r="S7" s="4" t="s">
        <v>176</v>
      </c>
      <c r="T7" s="4"/>
      <c r="U7" s="4" t="s">
        <v>176</v>
      </c>
      <c r="V7" s="4"/>
      <c r="W7" s="4" t="s">
        <v>176</v>
      </c>
      <c r="X7" s="4"/>
      <c r="Y7" s="4" t="s">
        <v>176</v>
      </c>
      <c r="Z7" s="4"/>
      <c r="AA7" s="4" t="s">
        <v>176</v>
      </c>
      <c r="AB7" s="4"/>
      <c r="AC7" s="4" t="s">
        <v>176</v>
      </c>
      <c r="AD7" s="4"/>
      <c r="AE7" s="4" t="s">
        <v>176</v>
      </c>
      <c r="AF7" s="4"/>
      <c r="AG7" s="4" t="s">
        <v>176</v>
      </c>
      <c r="AH7" s="4"/>
      <c r="AI7" s="4" t="s">
        <v>176</v>
      </c>
      <c r="AJ7" s="4"/>
      <c r="AK7" s="4" t="s">
        <v>176</v>
      </c>
      <c r="AL7" s="4"/>
      <c r="AM7" s="4" t="s">
        <v>176</v>
      </c>
      <c r="AN7" s="4"/>
      <c r="AO7" s="4" t="s">
        <v>176</v>
      </c>
      <c r="AP7" s="4"/>
      <c r="AQ7" s="4" t="s">
        <v>176</v>
      </c>
      <c r="AR7" s="4"/>
      <c r="AS7" s="4" t="s">
        <v>176</v>
      </c>
      <c r="AT7" s="4"/>
      <c r="AU7" s="4" t="s">
        <v>176</v>
      </c>
      <c r="AV7" s="4"/>
      <c r="AW7" s="4" t="s">
        <v>176</v>
      </c>
      <c r="AX7" s="4"/>
      <c r="AY7" s="4" t="s">
        <v>176</v>
      </c>
      <c r="AZ7" s="4"/>
      <c r="BA7" s="4" t="s">
        <v>176</v>
      </c>
      <c r="BB7" s="4"/>
      <c r="BC7" s="4" t="s">
        <v>176</v>
      </c>
      <c r="BD7" s="4"/>
      <c r="BE7" s="4" t="s">
        <v>176</v>
      </c>
      <c r="BF7" s="4"/>
      <c r="BG7" s="4" t="s">
        <v>176</v>
      </c>
      <c r="BH7" s="4"/>
      <c r="BI7" s="4" t="s">
        <v>176</v>
      </c>
      <c r="BJ7" s="4"/>
      <c r="BK7" s="4" t="s">
        <v>176</v>
      </c>
      <c r="BL7" s="4"/>
      <c r="BM7" s="4" t="s">
        <v>176</v>
      </c>
      <c r="BN7" s="4"/>
      <c r="BO7" s="4" t="s">
        <v>176</v>
      </c>
      <c r="BP7" s="4"/>
      <c r="BQ7" s="4" t="s">
        <v>176</v>
      </c>
      <c r="BR7" s="4"/>
      <c r="BS7" s="4" t="s">
        <v>176</v>
      </c>
      <c r="BT7" s="4"/>
      <c r="BU7" s="4" t="s">
        <v>176</v>
      </c>
      <c r="BV7" s="4"/>
      <c r="BW7" s="4"/>
    </row>
    <row r="8" spans="1:104" s="51" customFormat="1">
      <c r="A8" s="138" t="s">
        <v>188</v>
      </c>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201</v>
      </c>
      <c r="BC8" s="4" t="s">
        <v>202</v>
      </c>
      <c r="BD8" s="4" t="s">
        <v>201</v>
      </c>
      <c r="BE8" s="4" t="s">
        <v>202</v>
      </c>
      <c r="BF8" s="4" t="s">
        <v>46</v>
      </c>
      <c r="BG8" s="4" t="s">
        <v>47</v>
      </c>
      <c r="BH8" s="4" t="s">
        <v>46</v>
      </c>
      <c r="BI8" s="4" t="s">
        <v>47</v>
      </c>
      <c r="BJ8" s="4" t="s">
        <v>46</v>
      </c>
      <c r="BK8" s="4" t="s">
        <v>47</v>
      </c>
      <c r="BL8" s="4" t="s">
        <v>46</v>
      </c>
      <c r="BM8" s="4" t="s">
        <v>47</v>
      </c>
      <c r="BN8" s="4" t="s">
        <v>46</v>
      </c>
      <c r="BO8" s="4" t="s">
        <v>47</v>
      </c>
      <c r="BP8" s="4" t="s">
        <v>46</v>
      </c>
      <c r="BQ8" s="4" t="s">
        <v>47</v>
      </c>
      <c r="BR8" s="4" t="s">
        <v>46</v>
      </c>
      <c r="BS8" s="4" t="s">
        <v>47</v>
      </c>
      <c r="BT8" s="4" t="s">
        <v>46</v>
      </c>
      <c r="BU8" s="4" t="s">
        <v>47</v>
      </c>
      <c r="BV8" s="4" t="s">
        <v>46</v>
      </c>
      <c r="BW8" s="4" t="s">
        <v>47</v>
      </c>
    </row>
    <row r="9" spans="1:104" s="27" customFormat="1">
      <c r="A9" s="5" t="s">
        <v>48</v>
      </c>
      <c r="B9" s="6"/>
      <c r="C9" s="6"/>
      <c r="D9" s="6"/>
      <c r="E9" s="6"/>
      <c r="F9" s="6"/>
      <c r="G9" s="6"/>
      <c r="H9" s="6"/>
      <c r="I9" s="6"/>
      <c r="J9" s="6"/>
      <c r="K9" s="6"/>
      <c r="L9" s="6">
        <v>4</v>
      </c>
      <c r="M9" s="6">
        <v>58</v>
      </c>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v>1</v>
      </c>
      <c r="BE9" s="6">
        <v>50</v>
      </c>
      <c r="BF9" s="6"/>
      <c r="BG9" s="6"/>
      <c r="BH9" s="6"/>
      <c r="BI9" s="6"/>
      <c r="BJ9" s="6"/>
      <c r="BK9" s="6"/>
      <c r="BL9" s="6"/>
      <c r="BM9" s="6"/>
      <c r="BN9" s="6">
        <v>1</v>
      </c>
      <c r="BO9" s="6">
        <v>21</v>
      </c>
      <c r="BP9" s="6"/>
      <c r="BQ9" s="6"/>
      <c r="BR9" s="6"/>
      <c r="BS9" s="6"/>
      <c r="BT9" s="6">
        <v>8</v>
      </c>
      <c r="BU9" s="6">
        <v>142</v>
      </c>
      <c r="BV9" s="8">
        <f>B9+D9+F9+H9+J9+L9+N9+P9+R9+T9+V9+X9+Z9+AB9+AD9+AF9+AH9+AJ9+AL9+AN9+AP9+AR9+AT9+AV9+AX9+AZ9+BB9+BD9+BF9+BH9+BJ9+BL9+BN9+BP9+BR9+BT9</f>
        <v>14</v>
      </c>
      <c r="BW9" s="8">
        <f>C9+E9+G9+I9+K9+M9+O9+Q9+S9+U9+W9+Y9+AA9+AC9+AE9+AG9+AI9+AK9+AM9+AO9+AQ9+AS9+AU9+AW9+AY9+BA9+BC9+BE9+BG9+BI9+BK9+BM9+BO9+BQ9+BS9+BU9</f>
        <v>271</v>
      </c>
      <c r="BX9" s="52"/>
      <c r="BY9" s="52"/>
      <c r="BZ9" s="52"/>
      <c r="CZ9" s="53"/>
    </row>
    <row r="10" spans="1:104" s="27" customFormat="1">
      <c r="A10" s="10" t="s">
        <v>49</v>
      </c>
      <c r="B10" s="6">
        <v>4</v>
      </c>
      <c r="C10" s="6">
        <v>253</v>
      </c>
      <c r="D10" s="6">
        <v>17</v>
      </c>
      <c r="E10" s="6">
        <v>2437</v>
      </c>
      <c r="F10" s="6">
        <v>7</v>
      </c>
      <c r="G10" s="6">
        <v>4864</v>
      </c>
      <c r="H10" s="6"/>
      <c r="I10" s="6"/>
      <c r="J10" s="6"/>
      <c r="K10" s="6"/>
      <c r="L10" s="6">
        <v>4</v>
      </c>
      <c r="M10" s="6">
        <v>71</v>
      </c>
      <c r="N10" s="6"/>
      <c r="O10" s="6"/>
      <c r="P10" s="6"/>
      <c r="Q10" s="6"/>
      <c r="R10" s="6">
        <v>1</v>
      </c>
      <c r="S10" s="6">
        <v>32</v>
      </c>
      <c r="T10" s="6"/>
      <c r="U10" s="6"/>
      <c r="V10" s="6"/>
      <c r="W10" s="6"/>
      <c r="X10" s="6">
        <v>10</v>
      </c>
      <c r="Y10" s="6">
        <v>5577</v>
      </c>
      <c r="Z10" s="6"/>
      <c r="AA10" s="6"/>
      <c r="AB10" s="6">
        <v>13</v>
      </c>
      <c r="AC10" s="6">
        <v>4880</v>
      </c>
      <c r="AD10" s="6">
        <v>1</v>
      </c>
      <c r="AE10" s="6">
        <v>348</v>
      </c>
      <c r="AF10" s="6"/>
      <c r="AG10" s="6"/>
      <c r="AH10" s="6"/>
      <c r="AI10" s="6"/>
      <c r="AJ10" s="6"/>
      <c r="AK10" s="6"/>
      <c r="AL10" s="6"/>
      <c r="AM10" s="6"/>
      <c r="AN10" s="6">
        <v>5</v>
      </c>
      <c r="AO10" s="6">
        <v>2318</v>
      </c>
      <c r="AP10" s="6">
        <v>1</v>
      </c>
      <c r="AQ10" s="6">
        <v>336</v>
      </c>
      <c r="AR10" s="6">
        <v>13</v>
      </c>
      <c r="AS10" s="6">
        <v>4853</v>
      </c>
      <c r="AT10" s="6">
        <v>1</v>
      </c>
      <c r="AU10" s="6">
        <v>866</v>
      </c>
      <c r="AV10" s="6">
        <v>1</v>
      </c>
      <c r="AW10" s="6">
        <v>706</v>
      </c>
      <c r="AX10" s="6">
        <v>1</v>
      </c>
      <c r="AY10" s="6">
        <v>22</v>
      </c>
      <c r="AZ10" s="6"/>
      <c r="BA10" s="6"/>
      <c r="BB10" s="6"/>
      <c r="BC10" s="6"/>
      <c r="BD10" s="6"/>
      <c r="BE10" s="6"/>
      <c r="BF10" s="6">
        <v>2</v>
      </c>
      <c r="BG10" s="6">
        <v>76</v>
      </c>
      <c r="BH10" s="6"/>
      <c r="BI10" s="6"/>
      <c r="BJ10" s="6"/>
      <c r="BK10" s="6"/>
      <c r="BL10" s="6">
        <v>1</v>
      </c>
      <c r="BM10" s="6">
        <v>55</v>
      </c>
      <c r="BN10" s="6">
        <v>1</v>
      </c>
      <c r="BO10" s="6">
        <v>39</v>
      </c>
      <c r="BP10" s="6"/>
      <c r="BQ10" s="6"/>
      <c r="BR10" s="6"/>
      <c r="BS10" s="6"/>
      <c r="BT10" s="6">
        <v>8</v>
      </c>
      <c r="BU10" s="6">
        <v>118</v>
      </c>
      <c r="BV10" s="8">
        <f>B10+D10+F10+H10+J10+L10+N10+P10+R10+T10+V10+X10+Z10+AB10+AD10+AF10+AH10+AJ10+AL10+AN10+AP10+AR10+AT10+AV10+AX10+AZ10+BB10+BD10+BF10+BH10+BJ10+BL10+BN10+BP10+BR10+BT10</f>
        <v>91</v>
      </c>
      <c r="BW10" s="8">
        <f>C10+E10+G10+I10+K10+M10+O10+Q10+S10+U10+W10+Y10+AA10+AC10+AE10+AG10+AI10+AK10+AM10+AO10+AQ10+AS10+AU10+AW10+AY10+BA10+BC10+BE10+BG10+BI10+BK10+BM10+BO10+BQ10+BS10+BU10</f>
        <v>27851</v>
      </c>
      <c r="BX10" s="52"/>
      <c r="BY10" s="52"/>
      <c r="BZ10" s="52"/>
    </row>
    <row r="11" spans="1:104" s="27" customFormat="1">
      <c r="A11" s="5" t="s">
        <v>50</v>
      </c>
      <c r="B11" s="6"/>
      <c r="C11" s="6"/>
      <c r="D11" s="6"/>
      <c r="E11" s="6"/>
      <c r="F11" s="6"/>
      <c r="G11" s="6"/>
      <c r="H11" s="6"/>
      <c r="I11" s="6"/>
      <c r="J11" s="6"/>
      <c r="K11" s="6"/>
      <c r="L11" s="6">
        <v>3</v>
      </c>
      <c r="M11" s="6">
        <v>34</v>
      </c>
      <c r="N11" s="6"/>
      <c r="O11" s="6"/>
      <c r="P11" s="6"/>
      <c r="Q11" s="6"/>
      <c r="R11" s="6"/>
      <c r="S11" s="6"/>
      <c r="T11" s="6"/>
      <c r="U11" s="6"/>
      <c r="V11" s="6"/>
      <c r="W11" s="6"/>
      <c r="X11" s="6"/>
      <c r="Y11" s="6"/>
      <c r="Z11" s="6"/>
      <c r="AA11" s="6"/>
      <c r="AB11" s="6">
        <v>1</v>
      </c>
      <c r="AC11" s="6">
        <v>50</v>
      </c>
      <c r="AD11" s="6"/>
      <c r="AE11" s="6"/>
      <c r="AF11" s="6"/>
      <c r="AG11" s="6"/>
      <c r="AH11" s="6"/>
      <c r="AI11" s="6"/>
      <c r="AJ11" s="6"/>
      <c r="AK11" s="6"/>
      <c r="AL11" s="6"/>
      <c r="AM11" s="6"/>
      <c r="AN11" s="6"/>
      <c r="AO11" s="6"/>
      <c r="AP11" s="6"/>
      <c r="AQ11" s="6"/>
      <c r="AR11" s="6"/>
      <c r="AS11" s="6"/>
      <c r="AT11" s="6"/>
      <c r="AU11" s="6"/>
      <c r="AV11" s="6"/>
      <c r="AW11" s="6"/>
      <c r="AX11" s="6">
        <v>1</v>
      </c>
      <c r="AY11" s="6">
        <v>64</v>
      </c>
      <c r="AZ11" s="6"/>
      <c r="BA11" s="6"/>
      <c r="BB11" s="6"/>
      <c r="BC11" s="6"/>
      <c r="BD11" s="6">
        <v>1</v>
      </c>
      <c r="BE11" s="6">
        <v>31</v>
      </c>
      <c r="BF11" s="6"/>
      <c r="BG11" s="6"/>
      <c r="BH11" s="6"/>
      <c r="BI11" s="6"/>
      <c r="BJ11" s="6"/>
      <c r="BK11" s="6"/>
      <c r="BL11" s="6"/>
      <c r="BM11" s="6"/>
      <c r="BN11" s="6"/>
      <c r="BO11" s="6"/>
      <c r="BP11" s="6"/>
      <c r="BQ11" s="6"/>
      <c r="BR11" s="6"/>
      <c r="BS11" s="6"/>
      <c r="BT11" s="6">
        <v>2</v>
      </c>
      <c r="BU11" s="6">
        <v>26</v>
      </c>
      <c r="BV11" s="8">
        <f t="shared" ref="BV11:BV62" si="0">B11+D11+F11+H11+J11+L11+N11+P11+R11+T11+V11+X11+Z11+AB11+AD11+AF11+AH11+AJ11+AL11+AN11+AP11+AR11+AT11+AV11+AX11+AZ11+BB11+BD11+BF11+BH11+BJ11+BL11+BN11+BP11+BR11+BT11</f>
        <v>8</v>
      </c>
      <c r="BW11" s="8">
        <f t="shared" ref="BW11:BW62" si="1">C11+E11+G11+I11+K11+M11+O11+Q11+S11+U11+W11+Y11+AA11+AC11+AE11+AG11+AI11+AK11+AM11+AO11+AQ11+AS11+AU11+AW11+AY11+BA11+BC11+BE11+BG11+BI11+BK11+BM11+BO11+BQ11+BS11+BU11</f>
        <v>205</v>
      </c>
      <c r="BX11" s="52"/>
      <c r="BY11" s="52"/>
      <c r="BZ11" s="52"/>
    </row>
    <row r="12" spans="1:104" s="27" customFormat="1">
      <c r="A12" s="5" t="s">
        <v>51</v>
      </c>
      <c r="B12" s="6">
        <v>1</v>
      </c>
      <c r="C12" s="6">
        <v>54</v>
      </c>
      <c r="D12" s="6">
        <v>1</v>
      </c>
      <c r="E12" s="6">
        <v>98</v>
      </c>
      <c r="F12" s="6">
        <v>1</v>
      </c>
      <c r="G12" s="6">
        <v>414</v>
      </c>
      <c r="H12" s="6"/>
      <c r="I12" s="6"/>
      <c r="J12" s="6"/>
      <c r="K12" s="6"/>
      <c r="L12" s="6">
        <v>1</v>
      </c>
      <c r="M12" s="6">
        <v>14</v>
      </c>
      <c r="N12" s="6"/>
      <c r="O12" s="6"/>
      <c r="P12" s="6"/>
      <c r="Q12" s="6"/>
      <c r="R12" s="6"/>
      <c r="S12" s="6"/>
      <c r="T12" s="6"/>
      <c r="U12" s="6"/>
      <c r="V12" s="6"/>
      <c r="W12" s="6"/>
      <c r="X12" s="6">
        <v>2</v>
      </c>
      <c r="Y12" s="6">
        <v>309</v>
      </c>
      <c r="Z12" s="6"/>
      <c r="AA12" s="6"/>
      <c r="AB12" s="6">
        <v>3</v>
      </c>
      <c r="AC12" s="6">
        <v>1458</v>
      </c>
      <c r="AD12" s="6">
        <v>2</v>
      </c>
      <c r="AE12" s="6">
        <v>287</v>
      </c>
      <c r="AF12" s="6">
        <v>1</v>
      </c>
      <c r="AG12" s="6">
        <v>330</v>
      </c>
      <c r="AH12" s="6"/>
      <c r="AI12" s="6"/>
      <c r="AJ12" s="6"/>
      <c r="AK12" s="6"/>
      <c r="AL12" s="6"/>
      <c r="AM12" s="6"/>
      <c r="AN12" s="6"/>
      <c r="AO12" s="6"/>
      <c r="AP12" s="6"/>
      <c r="AQ12" s="6"/>
      <c r="AR12" s="6">
        <v>3</v>
      </c>
      <c r="AS12" s="6">
        <v>606</v>
      </c>
      <c r="AT12" s="6"/>
      <c r="AU12" s="6"/>
      <c r="AV12" s="6"/>
      <c r="AW12" s="6"/>
      <c r="AX12" s="6"/>
      <c r="AY12" s="6"/>
      <c r="AZ12" s="6"/>
      <c r="BA12" s="6"/>
      <c r="BB12" s="6"/>
      <c r="BC12" s="6"/>
      <c r="BD12" s="6"/>
      <c r="BE12" s="6"/>
      <c r="BF12" s="6">
        <v>1</v>
      </c>
      <c r="BG12" s="6">
        <v>40</v>
      </c>
      <c r="BH12" s="6"/>
      <c r="BI12" s="6"/>
      <c r="BJ12" s="6"/>
      <c r="BK12" s="6"/>
      <c r="BL12" s="6"/>
      <c r="BM12" s="6"/>
      <c r="BN12" s="6">
        <v>1</v>
      </c>
      <c r="BO12" s="6">
        <v>28</v>
      </c>
      <c r="BP12" s="6"/>
      <c r="BQ12" s="6"/>
      <c r="BR12" s="6"/>
      <c r="BS12" s="6"/>
      <c r="BT12" s="6">
        <v>1</v>
      </c>
      <c r="BU12" s="6">
        <v>8</v>
      </c>
      <c r="BV12" s="8">
        <f t="shared" si="0"/>
        <v>18</v>
      </c>
      <c r="BW12" s="8">
        <f t="shared" si="1"/>
        <v>3646</v>
      </c>
      <c r="BX12" s="52"/>
      <c r="BY12" s="52"/>
      <c r="BZ12" s="52"/>
    </row>
    <row r="13" spans="1:104" s="27" customFormat="1">
      <c r="A13" s="5" t="s">
        <v>203</v>
      </c>
      <c r="B13" s="6"/>
      <c r="C13" s="6"/>
      <c r="D13" s="6"/>
      <c r="E13" s="6"/>
      <c r="F13" s="6"/>
      <c r="G13" s="6"/>
      <c r="H13" s="6"/>
      <c r="I13" s="6"/>
      <c r="J13" s="6"/>
      <c r="K13" s="6"/>
      <c r="L13" s="6">
        <v>1</v>
      </c>
      <c r="M13" s="6">
        <v>22</v>
      </c>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v>1</v>
      </c>
      <c r="BU13" s="6">
        <v>32</v>
      </c>
      <c r="BV13" s="8">
        <f t="shared" si="0"/>
        <v>2</v>
      </c>
      <c r="BW13" s="8">
        <f t="shared" si="1"/>
        <v>54</v>
      </c>
      <c r="BX13" s="52"/>
      <c r="BY13" s="52"/>
      <c r="BZ13" s="52"/>
    </row>
    <row r="14" spans="1:104" s="27" customFormat="1">
      <c r="A14" s="5" t="s">
        <v>52</v>
      </c>
      <c r="B14" s="6">
        <v>1</v>
      </c>
      <c r="C14" s="6">
        <v>38</v>
      </c>
      <c r="D14" s="6"/>
      <c r="E14" s="6"/>
      <c r="F14" s="6"/>
      <c r="G14" s="6"/>
      <c r="H14" s="6"/>
      <c r="I14" s="6"/>
      <c r="J14" s="6"/>
      <c r="K14" s="6"/>
      <c r="L14" s="6">
        <v>8</v>
      </c>
      <c r="M14" s="6">
        <v>148</v>
      </c>
      <c r="N14" s="6"/>
      <c r="O14" s="6"/>
      <c r="P14" s="89"/>
      <c r="Q14" s="89"/>
      <c r="R14" s="6"/>
      <c r="S14" s="6"/>
      <c r="T14" s="6"/>
      <c r="U14" s="6"/>
      <c r="V14" s="6"/>
      <c r="W14" s="6"/>
      <c r="X14" s="6"/>
      <c r="Y14" s="6"/>
      <c r="Z14" s="6"/>
      <c r="AA14" s="6"/>
      <c r="AB14" s="6">
        <v>1</v>
      </c>
      <c r="AC14" s="6">
        <v>16</v>
      </c>
      <c r="AD14" s="6"/>
      <c r="AE14" s="6"/>
      <c r="AF14" s="6"/>
      <c r="AG14" s="6"/>
      <c r="AH14" s="6"/>
      <c r="AI14" s="6"/>
      <c r="AJ14" s="6"/>
      <c r="AK14" s="6"/>
      <c r="AL14" s="6"/>
      <c r="AM14" s="6"/>
      <c r="AN14" s="6"/>
      <c r="AO14" s="6"/>
      <c r="AP14" s="6"/>
      <c r="AQ14" s="6"/>
      <c r="AR14" s="6">
        <v>1</v>
      </c>
      <c r="AS14" s="6">
        <v>89</v>
      </c>
      <c r="AT14" s="6"/>
      <c r="AU14" s="6"/>
      <c r="AV14" s="6"/>
      <c r="AW14" s="6"/>
      <c r="AX14" s="6"/>
      <c r="AY14" s="6"/>
      <c r="AZ14" s="6"/>
      <c r="BA14" s="6"/>
      <c r="BB14" s="6"/>
      <c r="BC14" s="6"/>
      <c r="BD14" s="6">
        <v>1</v>
      </c>
      <c r="BE14" s="6">
        <v>50</v>
      </c>
      <c r="BF14" s="6">
        <v>1</v>
      </c>
      <c r="BG14" s="6">
        <v>15</v>
      </c>
      <c r="BH14" s="6">
        <v>1</v>
      </c>
      <c r="BI14" s="6">
        <v>12</v>
      </c>
      <c r="BJ14" s="6"/>
      <c r="BK14" s="6"/>
      <c r="BL14" s="6"/>
      <c r="BM14" s="6"/>
      <c r="BN14" s="6"/>
      <c r="BO14" s="6"/>
      <c r="BP14" s="6"/>
      <c r="BQ14" s="6"/>
      <c r="BR14" s="6"/>
      <c r="BS14" s="6"/>
      <c r="BT14" s="6">
        <v>6</v>
      </c>
      <c r="BU14" s="6">
        <v>85</v>
      </c>
      <c r="BV14" s="8">
        <f t="shared" si="0"/>
        <v>20</v>
      </c>
      <c r="BW14" s="8">
        <f t="shared" si="1"/>
        <v>453</v>
      </c>
      <c r="BX14" s="52"/>
      <c r="BY14" s="52"/>
      <c r="BZ14" s="52"/>
    </row>
    <row r="15" spans="1:104" s="27" customFormat="1">
      <c r="A15" s="5" t="s">
        <v>53</v>
      </c>
      <c r="B15" s="6"/>
      <c r="C15" s="6"/>
      <c r="D15" s="6"/>
      <c r="E15" s="6"/>
      <c r="F15" s="6"/>
      <c r="G15" s="6"/>
      <c r="H15" s="6"/>
      <c r="I15" s="6"/>
      <c r="J15" s="6"/>
      <c r="K15" s="6"/>
      <c r="L15" s="6"/>
      <c r="M15" s="6"/>
      <c r="N15" s="6"/>
      <c r="O15" s="6"/>
      <c r="P15" s="6"/>
      <c r="Q15" s="6"/>
      <c r="R15" s="6"/>
      <c r="S15" s="6"/>
      <c r="T15" s="6"/>
      <c r="U15" s="6"/>
      <c r="V15" s="6"/>
      <c r="W15" s="6"/>
      <c r="X15" s="6">
        <v>2</v>
      </c>
      <c r="Y15" s="6">
        <v>121</v>
      </c>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v>1</v>
      </c>
      <c r="BI15" s="6">
        <v>75</v>
      </c>
      <c r="BJ15" s="6"/>
      <c r="BK15" s="6"/>
      <c r="BL15" s="6"/>
      <c r="BM15" s="6"/>
      <c r="BN15" s="6"/>
      <c r="BO15" s="6"/>
      <c r="BP15" s="6"/>
      <c r="BQ15" s="6"/>
      <c r="BR15" s="6"/>
      <c r="BS15" s="6"/>
      <c r="BT15" s="6">
        <v>3</v>
      </c>
      <c r="BU15" s="6">
        <v>35</v>
      </c>
      <c r="BV15" s="8">
        <f t="shared" si="0"/>
        <v>6</v>
      </c>
      <c r="BW15" s="8">
        <f t="shared" si="1"/>
        <v>231</v>
      </c>
      <c r="BX15" s="52"/>
      <c r="BY15" s="52"/>
      <c r="BZ15" s="52"/>
    </row>
    <row r="16" spans="1:104" s="27" customFormat="1">
      <c r="A16" s="5" t="s">
        <v>54</v>
      </c>
      <c r="B16" s="6"/>
      <c r="C16" s="6"/>
      <c r="D16" s="6"/>
      <c r="E16" s="6"/>
      <c r="F16" s="6"/>
      <c r="G16" s="6"/>
      <c r="H16" s="6"/>
      <c r="I16" s="6"/>
      <c r="J16" s="6"/>
      <c r="K16" s="6"/>
      <c r="L16" s="6">
        <v>2</v>
      </c>
      <c r="M16" s="6">
        <v>78</v>
      </c>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8">
        <f t="shared" si="0"/>
        <v>2</v>
      </c>
      <c r="BW16" s="8">
        <f t="shared" si="1"/>
        <v>78</v>
      </c>
      <c r="BX16" s="52"/>
      <c r="BY16" s="52"/>
      <c r="BZ16" s="52"/>
    </row>
    <row r="17" spans="1:78" s="27" customFormat="1">
      <c r="A17" s="5" t="s">
        <v>55</v>
      </c>
      <c r="B17" s="6"/>
      <c r="C17" s="6"/>
      <c r="D17" s="6"/>
      <c r="E17" s="6"/>
      <c r="F17" s="6"/>
      <c r="G17" s="6"/>
      <c r="H17" s="6"/>
      <c r="I17" s="6"/>
      <c r="J17" s="6"/>
      <c r="K17" s="6"/>
      <c r="L17" s="6">
        <v>1</v>
      </c>
      <c r="M17" s="6">
        <v>22</v>
      </c>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8">
        <f t="shared" si="0"/>
        <v>1</v>
      </c>
      <c r="BW17" s="8">
        <f t="shared" si="1"/>
        <v>22</v>
      </c>
      <c r="BX17" s="52"/>
      <c r="BY17" s="52"/>
      <c r="BZ17" s="52"/>
    </row>
    <row r="18" spans="1:78" s="27" customFormat="1">
      <c r="A18" s="5" t="s">
        <v>56</v>
      </c>
      <c r="B18" s="6"/>
      <c r="C18" s="6"/>
      <c r="D18" s="6"/>
      <c r="E18" s="6"/>
      <c r="F18" s="6"/>
      <c r="G18" s="6"/>
      <c r="H18" s="6"/>
      <c r="I18" s="6"/>
      <c r="J18" s="6"/>
      <c r="K18" s="6"/>
      <c r="L18" s="6">
        <v>12</v>
      </c>
      <c r="M18" s="6">
        <v>180</v>
      </c>
      <c r="N18" s="6"/>
      <c r="O18" s="6"/>
      <c r="P18" s="6"/>
      <c r="Q18" s="6"/>
      <c r="R18" s="6"/>
      <c r="S18" s="6"/>
      <c r="T18" s="6"/>
      <c r="U18" s="6"/>
      <c r="V18" s="6"/>
      <c r="W18" s="6"/>
      <c r="X18" s="6"/>
      <c r="Y18" s="6"/>
      <c r="Z18" s="6"/>
      <c r="AA18" s="6"/>
      <c r="AB18" s="6">
        <v>1</v>
      </c>
      <c r="AC18" s="6">
        <v>38</v>
      </c>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v>1</v>
      </c>
      <c r="BO18" s="6">
        <v>30</v>
      </c>
      <c r="BP18" s="6"/>
      <c r="BQ18" s="6"/>
      <c r="BR18" s="6"/>
      <c r="BS18" s="6"/>
      <c r="BT18" s="6">
        <v>1</v>
      </c>
      <c r="BU18" s="6">
        <v>20</v>
      </c>
      <c r="BV18" s="8">
        <f t="shared" si="0"/>
        <v>15</v>
      </c>
      <c r="BW18" s="8">
        <f t="shared" si="1"/>
        <v>268</v>
      </c>
      <c r="BX18" s="52"/>
      <c r="BY18" s="52"/>
      <c r="BZ18" s="52"/>
    </row>
    <row r="19" spans="1:78" s="27" customFormat="1">
      <c r="A19" s="5" t="s">
        <v>57</v>
      </c>
      <c r="B19" s="6">
        <v>10</v>
      </c>
      <c r="C19" s="6">
        <v>487</v>
      </c>
      <c r="D19" s="6">
        <v>20</v>
      </c>
      <c r="E19" s="6">
        <v>2403</v>
      </c>
      <c r="F19" s="6">
        <v>25</v>
      </c>
      <c r="G19" s="6">
        <v>4451</v>
      </c>
      <c r="H19" s="6"/>
      <c r="I19" s="6"/>
      <c r="J19" s="6">
        <v>5</v>
      </c>
      <c r="K19" s="6">
        <v>983</v>
      </c>
      <c r="L19" s="6">
        <v>6</v>
      </c>
      <c r="M19" s="6">
        <v>81</v>
      </c>
      <c r="N19" s="6">
        <v>1</v>
      </c>
      <c r="O19" s="6">
        <v>19</v>
      </c>
      <c r="P19" s="6"/>
      <c r="Q19" s="6"/>
      <c r="R19" s="6"/>
      <c r="S19" s="6"/>
      <c r="T19" s="6">
        <v>4</v>
      </c>
      <c r="U19" s="6">
        <v>278</v>
      </c>
      <c r="V19" s="6">
        <v>7</v>
      </c>
      <c r="W19" s="6">
        <v>1379</v>
      </c>
      <c r="X19" s="6">
        <v>38</v>
      </c>
      <c r="Y19" s="6">
        <v>10622</v>
      </c>
      <c r="Z19" s="6"/>
      <c r="AA19" s="6"/>
      <c r="AB19" s="6">
        <v>66</v>
      </c>
      <c r="AC19" s="6">
        <v>23348</v>
      </c>
      <c r="AD19" s="6">
        <v>5</v>
      </c>
      <c r="AE19" s="6">
        <v>1244</v>
      </c>
      <c r="AF19" s="6">
        <v>7</v>
      </c>
      <c r="AG19" s="6">
        <v>1340</v>
      </c>
      <c r="AH19" s="6"/>
      <c r="AI19" s="6"/>
      <c r="AJ19" s="6"/>
      <c r="AK19" s="6"/>
      <c r="AL19" s="6">
        <v>2</v>
      </c>
      <c r="AM19" s="6">
        <v>159</v>
      </c>
      <c r="AN19" s="6">
        <v>14</v>
      </c>
      <c r="AO19" s="6">
        <v>5601</v>
      </c>
      <c r="AP19" s="6">
        <v>3</v>
      </c>
      <c r="AQ19" s="6">
        <v>752</v>
      </c>
      <c r="AR19" s="6">
        <v>13</v>
      </c>
      <c r="AS19" s="6">
        <v>5437</v>
      </c>
      <c r="AT19" s="6"/>
      <c r="AU19" s="6"/>
      <c r="AV19" s="6">
        <v>1</v>
      </c>
      <c r="AW19" s="6">
        <v>104</v>
      </c>
      <c r="AX19" s="6"/>
      <c r="AY19" s="6"/>
      <c r="AZ19" s="6"/>
      <c r="BA19" s="6"/>
      <c r="BB19" s="6"/>
      <c r="BC19" s="6"/>
      <c r="BD19" s="6">
        <v>1</v>
      </c>
      <c r="BE19" s="6">
        <v>82</v>
      </c>
      <c r="BF19" s="6">
        <v>3</v>
      </c>
      <c r="BG19" s="6">
        <v>95</v>
      </c>
      <c r="BH19" s="6">
        <v>2</v>
      </c>
      <c r="BI19" s="6">
        <v>119</v>
      </c>
      <c r="BJ19" s="6">
        <v>1</v>
      </c>
      <c r="BK19" s="6">
        <v>72</v>
      </c>
      <c r="BL19" s="6">
        <v>8</v>
      </c>
      <c r="BM19" s="6">
        <v>323</v>
      </c>
      <c r="BN19" s="6">
        <v>3</v>
      </c>
      <c r="BO19" s="6">
        <v>131</v>
      </c>
      <c r="BP19" s="6">
        <v>2</v>
      </c>
      <c r="BQ19" s="6">
        <v>86</v>
      </c>
      <c r="BR19" s="6"/>
      <c r="BS19" s="6"/>
      <c r="BT19" s="6">
        <v>1</v>
      </c>
      <c r="BU19" s="6">
        <v>4</v>
      </c>
      <c r="BV19" s="8">
        <f t="shared" si="0"/>
        <v>248</v>
      </c>
      <c r="BW19" s="8">
        <f t="shared" si="1"/>
        <v>59600</v>
      </c>
      <c r="BX19" s="52"/>
      <c r="BY19" s="52"/>
      <c r="BZ19" s="52"/>
    </row>
    <row r="20" spans="1:78" s="27" customFormat="1">
      <c r="A20" s="5" t="s">
        <v>58</v>
      </c>
      <c r="B20" s="6"/>
      <c r="C20" s="6"/>
      <c r="D20" s="6"/>
      <c r="E20" s="6"/>
      <c r="F20" s="6"/>
      <c r="G20" s="6"/>
      <c r="H20" s="6"/>
      <c r="I20" s="6"/>
      <c r="J20" s="6"/>
      <c r="K20" s="6"/>
      <c r="L20" s="6">
        <v>4</v>
      </c>
      <c r="M20" s="6">
        <v>142</v>
      </c>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v>1</v>
      </c>
      <c r="BE20" s="6">
        <v>64</v>
      </c>
      <c r="BF20" s="6"/>
      <c r="BG20" s="6"/>
      <c r="BH20" s="6"/>
      <c r="BI20" s="6"/>
      <c r="BJ20" s="6"/>
      <c r="BK20" s="6"/>
      <c r="BL20" s="6"/>
      <c r="BM20" s="6"/>
      <c r="BN20" s="6"/>
      <c r="BO20" s="6"/>
      <c r="BP20" s="6"/>
      <c r="BQ20" s="6"/>
      <c r="BR20" s="6"/>
      <c r="BS20" s="6"/>
      <c r="BT20" s="6">
        <v>2</v>
      </c>
      <c r="BU20" s="6">
        <v>20</v>
      </c>
      <c r="BV20" s="8">
        <f t="shared" si="0"/>
        <v>7</v>
      </c>
      <c r="BW20" s="8">
        <f t="shared" si="1"/>
        <v>226</v>
      </c>
      <c r="BX20" s="52"/>
      <c r="BY20" s="52"/>
      <c r="BZ20" s="52"/>
    </row>
    <row r="21" spans="1:78" s="27" customFormat="1">
      <c r="A21" s="5" t="s">
        <v>59</v>
      </c>
      <c r="B21" s="6"/>
      <c r="C21" s="6"/>
      <c r="D21" s="6"/>
      <c r="E21" s="6"/>
      <c r="F21" s="6"/>
      <c r="G21" s="6"/>
      <c r="H21" s="6"/>
      <c r="I21" s="6"/>
      <c r="J21" s="6"/>
      <c r="K21" s="6"/>
      <c r="L21" s="6">
        <v>30</v>
      </c>
      <c r="M21" s="6">
        <v>559</v>
      </c>
      <c r="N21" s="6"/>
      <c r="O21" s="6"/>
      <c r="P21" s="6"/>
      <c r="Q21" s="6"/>
      <c r="R21" s="6"/>
      <c r="S21" s="6"/>
      <c r="T21" s="6"/>
      <c r="U21" s="6"/>
      <c r="V21" s="6"/>
      <c r="W21" s="6"/>
      <c r="X21" s="6"/>
      <c r="Y21" s="6"/>
      <c r="Z21" s="6"/>
      <c r="AA21" s="6"/>
      <c r="AB21" s="6"/>
      <c r="AC21" s="6"/>
      <c r="AD21" s="6"/>
      <c r="AE21" s="6"/>
      <c r="AF21" s="6">
        <v>1</v>
      </c>
      <c r="AG21" s="6">
        <v>50</v>
      </c>
      <c r="AH21" s="6"/>
      <c r="AI21" s="6"/>
      <c r="AJ21" s="6"/>
      <c r="AK21" s="6"/>
      <c r="AL21" s="6"/>
      <c r="AM21" s="6"/>
      <c r="AN21" s="6"/>
      <c r="AO21" s="6"/>
      <c r="AP21" s="6"/>
      <c r="AQ21" s="6"/>
      <c r="AR21" s="6"/>
      <c r="AS21" s="6"/>
      <c r="AT21" s="6"/>
      <c r="AU21" s="6"/>
      <c r="AV21" s="6"/>
      <c r="AW21" s="6"/>
      <c r="AX21" s="6"/>
      <c r="AY21" s="6"/>
      <c r="AZ21" s="6"/>
      <c r="BA21" s="6"/>
      <c r="BB21" s="6"/>
      <c r="BC21" s="6"/>
      <c r="BD21" s="6">
        <v>3</v>
      </c>
      <c r="BE21" s="6">
        <v>74</v>
      </c>
      <c r="BF21" s="6"/>
      <c r="BG21" s="6"/>
      <c r="BH21" s="6"/>
      <c r="BI21" s="6"/>
      <c r="BJ21" s="6"/>
      <c r="BK21" s="6"/>
      <c r="BL21" s="6">
        <v>1</v>
      </c>
      <c r="BM21" s="6">
        <v>41</v>
      </c>
      <c r="BN21" s="6"/>
      <c r="BO21" s="6"/>
      <c r="BP21" s="6"/>
      <c r="BQ21" s="6"/>
      <c r="BR21" s="6"/>
      <c r="BS21" s="6"/>
      <c r="BT21" s="6">
        <v>2</v>
      </c>
      <c r="BU21" s="6">
        <v>58</v>
      </c>
      <c r="BV21" s="8">
        <f t="shared" si="0"/>
        <v>37</v>
      </c>
      <c r="BW21" s="8">
        <f t="shared" si="1"/>
        <v>782</v>
      </c>
      <c r="BX21" s="52"/>
      <c r="BY21" s="52"/>
      <c r="BZ21" s="52"/>
    </row>
    <row r="22" spans="1:78" s="27" customFormat="1">
      <c r="A22" s="5" t="s">
        <v>60</v>
      </c>
      <c r="B22" s="6">
        <v>10</v>
      </c>
      <c r="C22" s="6">
        <v>594</v>
      </c>
      <c r="D22" s="6">
        <v>9</v>
      </c>
      <c r="E22" s="6">
        <v>462</v>
      </c>
      <c r="F22" s="6">
        <v>7</v>
      </c>
      <c r="G22" s="6">
        <v>1042</v>
      </c>
      <c r="H22" s="6"/>
      <c r="I22" s="6"/>
      <c r="J22" s="6"/>
      <c r="K22" s="6"/>
      <c r="L22" s="6">
        <v>3</v>
      </c>
      <c r="M22" s="6">
        <v>114</v>
      </c>
      <c r="N22" s="6"/>
      <c r="O22" s="6"/>
      <c r="P22" s="6"/>
      <c r="Q22" s="6"/>
      <c r="R22" s="6">
        <v>1</v>
      </c>
      <c r="S22" s="6">
        <v>68</v>
      </c>
      <c r="T22" s="6">
        <v>5</v>
      </c>
      <c r="U22" s="6">
        <v>268</v>
      </c>
      <c r="V22" s="6">
        <v>1</v>
      </c>
      <c r="W22" s="6">
        <v>44</v>
      </c>
      <c r="X22" s="6">
        <v>12</v>
      </c>
      <c r="Y22" s="6">
        <v>2457</v>
      </c>
      <c r="Z22" s="6">
        <v>2</v>
      </c>
      <c r="AA22" s="6">
        <v>310</v>
      </c>
      <c r="AB22" s="6">
        <v>20</v>
      </c>
      <c r="AC22" s="6">
        <v>5751</v>
      </c>
      <c r="AD22" s="6">
        <v>2</v>
      </c>
      <c r="AE22" s="6">
        <v>644</v>
      </c>
      <c r="AF22" s="6">
        <v>3</v>
      </c>
      <c r="AG22" s="6">
        <v>474</v>
      </c>
      <c r="AH22" s="6">
        <v>1</v>
      </c>
      <c r="AI22" s="6">
        <v>284</v>
      </c>
      <c r="AJ22" s="6">
        <v>3</v>
      </c>
      <c r="AK22" s="6">
        <v>78</v>
      </c>
      <c r="AL22" s="6"/>
      <c r="AM22" s="6"/>
      <c r="AN22" s="6">
        <v>4</v>
      </c>
      <c r="AO22" s="6">
        <v>1029</v>
      </c>
      <c r="AP22" s="6">
        <v>1</v>
      </c>
      <c r="AQ22" s="6">
        <v>78</v>
      </c>
      <c r="AR22" s="6">
        <v>8</v>
      </c>
      <c r="AS22" s="6">
        <v>3186</v>
      </c>
      <c r="AT22" s="6">
        <v>1</v>
      </c>
      <c r="AU22" s="6">
        <v>840</v>
      </c>
      <c r="AV22" s="6">
        <v>2</v>
      </c>
      <c r="AW22" s="6">
        <v>401</v>
      </c>
      <c r="AX22" s="6"/>
      <c r="AY22" s="6"/>
      <c r="AZ22" s="6"/>
      <c r="BA22" s="6"/>
      <c r="BB22" s="6"/>
      <c r="BC22" s="6"/>
      <c r="BD22" s="6">
        <v>2</v>
      </c>
      <c r="BE22" s="6">
        <v>84</v>
      </c>
      <c r="BF22" s="6">
        <v>6</v>
      </c>
      <c r="BG22" s="6">
        <v>497</v>
      </c>
      <c r="BH22" s="6">
        <v>4</v>
      </c>
      <c r="BI22" s="6">
        <v>279</v>
      </c>
      <c r="BJ22" s="6">
        <v>1</v>
      </c>
      <c r="BK22" s="6">
        <v>22</v>
      </c>
      <c r="BL22" s="6">
        <v>4</v>
      </c>
      <c r="BM22" s="6">
        <v>132</v>
      </c>
      <c r="BN22" s="6">
        <v>2</v>
      </c>
      <c r="BO22" s="6">
        <v>83</v>
      </c>
      <c r="BP22" s="6"/>
      <c r="BQ22" s="6"/>
      <c r="BR22" s="6"/>
      <c r="BS22" s="6"/>
      <c r="BT22" s="6">
        <v>2</v>
      </c>
      <c r="BU22" s="6">
        <v>50</v>
      </c>
      <c r="BV22" s="8">
        <f t="shared" si="0"/>
        <v>116</v>
      </c>
      <c r="BW22" s="8">
        <f t="shared" si="1"/>
        <v>19271</v>
      </c>
      <c r="BX22" s="52"/>
      <c r="BY22" s="52"/>
      <c r="BZ22" s="52"/>
    </row>
    <row r="23" spans="1:78" s="27" customFormat="1">
      <c r="A23" s="5" t="s">
        <v>218</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v>1</v>
      </c>
      <c r="BE23" s="6">
        <v>50</v>
      </c>
      <c r="BF23" s="6"/>
      <c r="BG23" s="6"/>
      <c r="BH23" s="6"/>
      <c r="BI23" s="6"/>
      <c r="BJ23" s="6"/>
      <c r="BK23" s="6"/>
      <c r="BL23" s="6"/>
      <c r="BM23" s="6"/>
      <c r="BN23" s="6"/>
      <c r="BO23" s="6"/>
      <c r="BP23" s="6"/>
      <c r="BQ23" s="6"/>
      <c r="BR23" s="6"/>
      <c r="BS23" s="6"/>
      <c r="BT23" s="6"/>
      <c r="BU23" s="6"/>
      <c r="BV23" s="8">
        <f t="shared" si="0"/>
        <v>1</v>
      </c>
      <c r="BW23" s="8">
        <f t="shared" si="1"/>
        <v>50</v>
      </c>
      <c r="BX23" s="52"/>
      <c r="BY23" s="52"/>
      <c r="BZ23" s="52"/>
    </row>
    <row r="24" spans="1:78" s="27" customFormat="1">
      <c r="A24" s="5" t="s">
        <v>61</v>
      </c>
      <c r="B24" s="6"/>
      <c r="C24" s="6"/>
      <c r="D24" s="6"/>
      <c r="E24" s="6"/>
      <c r="F24" s="6"/>
      <c r="G24" s="6"/>
      <c r="H24" s="6"/>
      <c r="I24" s="6"/>
      <c r="J24" s="6"/>
      <c r="K24" s="6"/>
      <c r="L24" s="6">
        <v>1</v>
      </c>
      <c r="M24" s="6">
        <v>17</v>
      </c>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v>2</v>
      </c>
      <c r="BU24" s="6">
        <v>24</v>
      </c>
      <c r="BV24" s="8">
        <f t="shared" si="0"/>
        <v>3</v>
      </c>
      <c r="BW24" s="8">
        <f t="shared" si="1"/>
        <v>41</v>
      </c>
      <c r="BX24" s="52"/>
      <c r="BY24" s="52"/>
      <c r="BZ24" s="52"/>
    </row>
    <row r="25" spans="1:78" s="27" customFormat="1">
      <c r="A25" s="5" t="s">
        <v>62</v>
      </c>
      <c r="B25" s="6"/>
      <c r="C25" s="6"/>
      <c r="D25" s="6"/>
      <c r="E25" s="6"/>
      <c r="F25" s="6"/>
      <c r="G25" s="6"/>
      <c r="H25" s="6"/>
      <c r="I25" s="6"/>
      <c r="J25" s="6"/>
      <c r="K25" s="6"/>
      <c r="L25" s="6">
        <v>1</v>
      </c>
      <c r="M25" s="6">
        <v>16</v>
      </c>
      <c r="N25" s="6"/>
      <c r="O25" s="6"/>
      <c r="P25" s="6"/>
      <c r="Q25" s="6"/>
      <c r="R25" s="6">
        <v>1</v>
      </c>
      <c r="S25" s="6">
        <v>17</v>
      </c>
      <c r="T25" s="6"/>
      <c r="U25" s="6"/>
      <c r="V25" s="6"/>
      <c r="W25" s="6"/>
      <c r="X25" s="6"/>
      <c r="Y25" s="6"/>
      <c r="Z25" s="6"/>
      <c r="AA25" s="6"/>
      <c r="AB25" s="6">
        <v>2</v>
      </c>
      <c r="AC25" s="6">
        <v>244</v>
      </c>
      <c r="AD25" s="6"/>
      <c r="AE25" s="6"/>
      <c r="AF25" s="6"/>
      <c r="AG25" s="6"/>
      <c r="AH25" s="6"/>
      <c r="AI25" s="6"/>
      <c r="AJ25" s="6"/>
      <c r="AK25" s="6"/>
      <c r="AL25" s="6"/>
      <c r="AM25" s="6"/>
      <c r="AN25" s="6"/>
      <c r="AO25" s="6"/>
      <c r="AP25" s="6"/>
      <c r="AQ25" s="6"/>
      <c r="AR25" s="6">
        <v>1</v>
      </c>
      <c r="AS25" s="6">
        <v>52</v>
      </c>
      <c r="AT25" s="6"/>
      <c r="AU25" s="6"/>
      <c r="AV25" s="6"/>
      <c r="AW25" s="6"/>
      <c r="AX25" s="6"/>
      <c r="AY25" s="6"/>
      <c r="AZ25" s="6"/>
      <c r="BA25" s="6"/>
      <c r="BB25" s="6">
        <v>1</v>
      </c>
      <c r="BC25" s="6">
        <v>132</v>
      </c>
      <c r="BD25" s="6"/>
      <c r="BE25" s="6"/>
      <c r="BF25" s="6">
        <v>1</v>
      </c>
      <c r="BG25" s="6">
        <v>14</v>
      </c>
      <c r="BH25" s="6"/>
      <c r="BI25" s="6"/>
      <c r="BJ25" s="6"/>
      <c r="BK25" s="6"/>
      <c r="BL25" s="6"/>
      <c r="BM25" s="6"/>
      <c r="BN25" s="6"/>
      <c r="BO25" s="6"/>
      <c r="BP25" s="6"/>
      <c r="BQ25" s="6"/>
      <c r="BR25" s="6"/>
      <c r="BS25" s="6"/>
      <c r="BT25" s="6"/>
      <c r="BU25" s="6"/>
      <c r="BV25" s="8">
        <f t="shared" si="0"/>
        <v>7</v>
      </c>
      <c r="BW25" s="8">
        <f t="shared" si="1"/>
        <v>475</v>
      </c>
      <c r="BX25" s="52"/>
      <c r="BY25" s="52"/>
      <c r="BZ25" s="52"/>
    </row>
    <row r="26" spans="1:78" s="27" customFormat="1">
      <c r="A26" s="5" t="s">
        <v>249</v>
      </c>
      <c r="B26" s="6"/>
      <c r="C26" s="6"/>
      <c r="D26" s="6"/>
      <c r="E26" s="6"/>
      <c r="F26" s="6"/>
      <c r="G26" s="6"/>
      <c r="H26" s="6"/>
      <c r="I26" s="6"/>
      <c r="J26" s="6"/>
      <c r="K26" s="6"/>
      <c r="L26" s="6">
        <v>2</v>
      </c>
      <c r="M26" s="6">
        <v>10</v>
      </c>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8">
        <f t="shared" si="0"/>
        <v>2</v>
      </c>
      <c r="BW26" s="8">
        <f t="shared" si="1"/>
        <v>10</v>
      </c>
      <c r="BX26" s="52"/>
      <c r="BY26" s="52"/>
      <c r="BZ26" s="52"/>
    </row>
    <row r="27" spans="1:78" s="27" customFormat="1">
      <c r="A27" s="5" t="s">
        <v>63</v>
      </c>
      <c r="B27" s="6"/>
      <c r="C27" s="6"/>
      <c r="D27" s="6"/>
      <c r="E27" s="6"/>
      <c r="F27" s="6"/>
      <c r="G27" s="6"/>
      <c r="H27" s="6"/>
      <c r="I27" s="6"/>
      <c r="J27" s="6"/>
      <c r="K27" s="6"/>
      <c r="L27" s="6">
        <v>9</v>
      </c>
      <c r="M27" s="6">
        <v>139</v>
      </c>
      <c r="N27" s="6"/>
      <c r="O27" s="6"/>
      <c r="P27" s="6"/>
      <c r="Q27" s="6"/>
      <c r="R27" s="6"/>
      <c r="S27" s="6"/>
      <c r="T27" s="6"/>
      <c r="U27" s="6"/>
      <c r="V27" s="6"/>
      <c r="W27" s="6"/>
      <c r="X27" s="6"/>
      <c r="Y27" s="6"/>
      <c r="Z27" s="6"/>
      <c r="AA27" s="6"/>
      <c r="AB27" s="6">
        <v>1</v>
      </c>
      <c r="AC27" s="6">
        <v>37</v>
      </c>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v>1</v>
      </c>
      <c r="BG27" s="6">
        <v>16</v>
      </c>
      <c r="BH27" s="6"/>
      <c r="BI27" s="6"/>
      <c r="BJ27" s="6"/>
      <c r="BK27" s="6"/>
      <c r="BL27" s="6"/>
      <c r="BM27" s="6"/>
      <c r="BN27" s="6"/>
      <c r="BO27" s="6"/>
      <c r="BP27" s="6"/>
      <c r="BQ27" s="6"/>
      <c r="BR27" s="6"/>
      <c r="BS27" s="6"/>
      <c r="BT27" s="6"/>
      <c r="BU27" s="6"/>
      <c r="BV27" s="8">
        <f t="shared" si="0"/>
        <v>11</v>
      </c>
      <c r="BW27" s="8">
        <f t="shared" si="1"/>
        <v>192</v>
      </c>
      <c r="BX27" s="52"/>
      <c r="BY27" s="52"/>
      <c r="BZ27" s="52"/>
    </row>
    <row r="28" spans="1:78" s="27" customFormat="1">
      <c r="A28" s="5" t="s">
        <v>64</v>
      </c>
      <c r="B28" s="6"/>
      <c r="C28" s="6"/>
      <c r="D28" s="6"/>
      <c r="E28" s="6"/>
      <c r="F28" s="6"/>
      <c r="G28" s="6"/>
      <c r="H28" s="6"/>
      <c r="I28" s="6"/>
      <c r="J28" s="6"/>
      <c r="K28" s="6"/>
      <c r="L28" s="6">
        <v>1</v>
      </c>
      <c r="M28" s="6">
        <v>10</v>
      </c>
      <c r="N28" s="6"/>
      <c r="O28" s="6"/>
      <c r="P28" s="6"/>
      <c r="Q28" s="6"/>
      <c r="R28" s="6"/>
      <c r="S28" s="6"/>
      <c r="T28" s="6"/>
      <c r="U28" s="6"/>
      <c r="V28" s="6"/>
      <c r="W28" s="6"/>
      <c r="X28" s="6"/>
      <c r="Y28" s="6"/>
      <c r="Z28" s="6"/>
      <c r="AA28" s="6"/>
      <c r="AB28" s="6">
        <v>1</v>
      </c>
      <c r="AC28" s="6">
        <v>111</v>
      </c>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v>3</v>
      </c>
      <c r="BU28" s="6">
        <v>32</v>
      </c>
      <c r="BV28" s="8">
        <f t="shared" si="0"/>
        <v>5</v>
      </c>
      <c r="BW28" s="8">
        <f t="shared" si="1"/>
        <v>153</v>
      </c>
      <c r="BX28" s="52"/>
      <c r="BY28" s="52"/>
      <c r="BZ28" s="52"/>
    </row>
    <row r="29" spans="1:78" s="27" customFormat="1">
      <c r="A29" s="5" t="s">
        <v>65</v>
      </c>
      <c r="B29" s="6">
        <v>7</v>
      </c>
      <c r="C29" s="6">
        <v>197</v>
      </c>
      <c r="D29" s="6">
        <v>12</v>
      </c>
      <c r="E29" s="6">
        <v>905</v>
      </c>
      <c r="F29" s="6">
        <v>3</v>
      </c>
      <c r="G29" s="6">
        <v>459</v>
      </c>
      <c r="H29" s="6"/>
      <c r="I29" s="6"/>
      <c r="J29" s="6"/>
      <c r="K29" s="6"/>
      <c r="L29" s="6">
        <v>17</v>
      </c>
      <c r="M29" s="6">
        <v>308</v>
      </c>
      <c r="N29" s="6"/>
      <c r="O29" s="6"/>
      <c r="P29" s="6"/>
      <c r="Q29" s="6"/>
      <c r="R29" s="6"/>
      <c r="S29" s="6"/>
      <c r="T29" s="6"/>
      <c r="U29" s="6"/>
      <c r="V29" s="6"/>
      <c r="W29" s="6"/>
      <c r="X29" s="6">
        <v>4</v>
      </c>
      <c r="Y29" s="6">
        <v>1476</v>
      </c>
      <c r="Z29" s="6"/>
      <c r="AA29" s="6"/>
      <c r="AB29" s="6">
        <v>3</v>
      </c>
      <c r="AC29" s="6">
        <v>1243</v>
      </c>
      <c r="AD29" s="6">
        <v>1</v>
      </c>
      <c r="AE29" s="6">
        <v>202</v>
      </c>
      <c r="AF29" s="6">
        <v>1</v>
      </c>
      <c r="AG29" s="6">
        <v>20</v>
      </c>
      <c r="AH29" s="6"/>
      <c r="AI29" s="6"/>
      <c r="AJ29" s="6"/>
      <c r="AK29" s="6"/>
      <c r="AL29" s="6">
        <v>1</v>
      </c>
      <c r="AM29" s="6">
        <v>336</v>
      </c>
      <c r="AN29" s="6"/>
      <c r="AO29" s="6"/>
      <c r="AP29" s="6"/>
      <c r="AQ29" s="6"/>
      <c r="AR29" s="6">
        <v>2</v>
      </c>
      <c r="AS29" s="6">
        <v>750</v>
      </c>
      <c r="AT29" s="6"/>
      <c r="AU29" s="6"/>
      <c r="AV29" s="6"/>
      <c r="AW29" s="6"/>
      <c r="AX29" s="6">
        <v>1</v>
      </c>
      <c r="AY29" s="6">
        <v>48</v>
      </c>
      <c r="AZ29" s="6"/>
      <c r="BA29" s="6"/>
      <c r="BB29" s="6"/>
      <c r="BC29" s="6"/>
      <c r="BD29" s="6">
        <v>3</v>
      </c>
      <c r="BE29" s="6">
        <v>108</v>
      </c>
      <c r="BF29" s="6">
        <v>1</v>
      </c>
      <c r="BG29" s="6">
        <v>35</v>
      </c>
      <c r="BH29" s="6"/>
      <c r="BI29" s="6"/>
      <c r="BJ29" s="6"/>
      <c r="BK29" s="6"/>
      <c r="BL29" s="6">
        <v>2</v>
      </c>
      <c r="BM29" s="6">
        <v>75</v>
      </c>
      <c r="BN29" s="6"/>
      <c r="BO29" s="6"/>
      <c r="BP29" s="6"/>
      <c r="BQ29" s="6"/>
      <c r="BR29" s="6"/>
      <c r="BS29" s="6"/>
      <c r="BT29" s="6">
        <v>2</v>
      </c>
      <c r="BU29" s="6">
        <v>18</v>
      </c>
      <c r="BV29" s="8">
        <f t="shared" si="0"/>
        <v>60</v>
      </c>
      <c r="BW29" s="8">
        <f t="shared" si="1"/>
        <v>6180</v>
      </c>
      <c r="BX29" s="52"/>
      <c r="BY29" s="52"/>
      <c r="BZ29" s="52"/>
    </row>
    <row r="30" spans="1:78" s="27" customFormat="1">
      <c r="A30" s="5" t="s">
        <v>66</v>
      </c>
      <c r="B30" s="6"/>
      <c r="C30" s="6"/>
      <c r="D30" s="6"/>
      <c r="E30" s="6"/>
      <c r="F30" s="6"/>
      <c r="G30" s="6"/>
      <c r="H30" s="6"/>
      <c r="I30" s="6"/>
      <c r="J30" s="6"/>
      <c r="K30" s="6"/>
      <c r="L30" s="6">
        <v>2</v>
      </c>
      <c r="M30" s="6">
        <v>25</v>
      </c>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v>2</v>
      </c>
      <c r="AS30" s="6">
        <v>62</v>
      </c>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v>2</v>
      </c>
      <c r="BU30" s="6">
        <v>50</v>
      </c>
      <c r="BV30" s="8">
        <f t="shared" si="0"/>
        <v>6</v>
      </c>
      <c r="BW30" s="8">
        <f t="shared" si="1"/>
        <v>137</v>
      </c>
      <c r="BX30" s="52"/>
      <c r="BY30" s="52"/>
      <c r="BZ30" s="52"/>
    </row>
    <row r="31" spans="1:78" s="27" customFormat="1">
      <c r="A31" s="5" t="s">
        <v>67</v>
      </c>
      <c r="B31" s="6"/>
      <c r="C31" s="6"/>
      <c r="D31" s="6"/>
      <c r="E31" s="6"/>
      <c r="F31" s="6"/>
      <c r="G31" s="6"/>
      <c r="H31" s="6"/>
      <c r="I31" s="6"/>
      <c r="J31" s="6"/>
      <c r="K31" s="6"/>
      <c r="L31" s="6">
        <v>6</v>
      </c>
      <c r="M31" s="6">
        <v>98</v>
      </c>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v>1</v>
      </c>
      <c r="BE31" s="6">
        <v>30</v>
      </c>
      <c r="BF31" s="6"/>
      <c r="BG31" s="6"/>
      <c r="BH31" s="6"/>
      <c r="BI31" s="6"/>
      <c r="BJ31" s="6"/>
      <c r="BK31" s="6"/>
      <c r="BL31" s="6"/>
      <c r="BM31" s="6"/>
      <c r="BN31" s="6"/>
      <c r="BO31" s="6"/>
      <c r="BP31" s="6"/>
      <c r="BQ31" s="6"/>
      <c r="BR31" s="6"/>
      <c r="BS31" s="6"/>
      <c r="BT31" s="6"/>
      <c r="BU31" s="6"/>
      <c r="BV31" s="8">
        <f t="shared" si="0"/>
        <v>7</v>
      </c>
      <c r="BW31" s="8">
        <f t="shared" si="1"/>
        <v>128</v>
      </c>
      <c r="BX31" s="52"/>
      <c r="BY31" s="52"/>
      <c r="BZ31" s="52"/>
    </row>
    <row r="32" spans="1:78" s="27" customFormat="1">
      <c r="A32" s="5" t="s">
        <v>68</v>
      </c>
      <c r="B32" s="6"/>
      <c r="C32" s="6"/>
      <c r="D32" s="6"/>
      <c r="E32" s="6"/>
      <c r="F32" s="6"/>
      <c r="G32" s="6"/>
      <c r="H32" s="6"/>
      <c r="I32" s="6"/>
      <c r="J32" s="6"/>
      <c r="K32" s="6"/>
      <c r="L32" s="6">
        <v>3</v>
      </c>
      <c r="M32" s="6">
        <v>52</v>
      </c>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8">
        <f t="shared" si="0"/>
        <v>3</v>
      </c>
      <c r="BW32" s="8">
        <f t="shared" si="1"/>
        <v>52</v>
      </c>
      <c r="BX32" s="52"/>
      <c r="BY32" s="52"/>
      <c r="BZ32" s="52"/>
    </row>
    <row r="33" spans="1:78" s="27" customFormat="1">
      <c r="A33" s="5" t="s">
        <v>69</v>
      </c>
      <c r="B33" s="6"/>
      <c r="C33" s="6"/>
      <c r="D33" s="6"/>
      <c r="E33" s="6"/>
      <c r="F33" s="6"/>
      <c r="G33" s="6"/>
      <c r="H33" s="6"/>
      <c r="I33" s="6"/>
      <c r="J33" s="6"/>
      <c r="K33" s="6"/>
      <c r="L33" s="6">
        <v>1</v>
      </c>
      <c r="M33" s="6">
        <v>9</v>
      </c>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v>2</v>
      </c>
      <c r="BU33" s="6">
        <v>46</v>
      </c>
      <c r="BV33" s="8">
        <f t="shared" si="0"/>
        <v>3</v>
      </c>
      <c r="BW33" s="8">
        <f t="shared" si="1"/>
        <v>55</v>
      </c>
      <c r="BX33" s="52"/>
      <c r="BY33" s="52"/>
      <c r="BZ33" s="52"/>
    </row>
    <row r="34" spans="1:78" s="27" customFormat="1">
      <c r="A34" s="5" t="s">
        <v>177</v>
      </c>
      <c r="B34" s="6"/>
      <c r="C34" s="6"/>
      <c r="D34" s="6"/>
      <c r="E34" s="6"/>
      <c r="F34" s="6"/>
      <c r="G34" s="6"/>
      <c r="H34" s="6"/>
      <c r="I34" s="6"/>
      <c r="J34" s="6"/>
      <c r="K34" s="6"/>
      <c r="L34" s="6">
        <v>1</v>
      </c>
      <c r="M34" s="6">
        <v>22</v>
      </c>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v>5</v>
      </c>
      <c r="BU34" s="6">
        <v>38</v>
      </c>
      <c r="BV34" s="8">
        <f t="shared" si="0"/>
        <v>6</v>
      </c>
      <c r="BW34" s="8">
        <f t="shared" si="1"/>
        <v>60</v>
      </c>
      <c r="BX34" s="52"/>
      <c r="BY34" s="52"/>
      <c r="BZ34" s="52"/>
    </row>
    <row r="35" spans="1:78" s="27" customFormat="1">
      <c r="A35" s="5" t="s">
        <v>71</v>
      </c>
      <c r="B35" s="6"/>
      <c r="C35" s="6"/>
      <c r="D35" s="6"/>
      <c r="E35" s="6"/>
      <c r="F35" s="6">
        <v>1</v>
      </c>
      <c r="G35" s="6">
        <v>120</v>
      </c>
      <c r="H35" s="6"/>
      <c r="I35" s="6"/>
      <c r="J35" s="6">
        <v>1</v>
      </c>
      <c r="K35" s="6">
        <v>936</v>
      </c>
      <c r="L35" s="6">
        <v>24</v>
      </c>
      <c r="M35" s="6">
        <v>599</v>
      </c>
      <c r="N35" s="6"/>
      <c r="O35" s="6"/>
      <c r="P35" s="6"/>
      <c r="Q35" s="6"/>
      <c r="R35" s="6">
        <v>1</v>
      </c>
      <c r="S35" s="6">
        <v>26</v>
      </c>
      <c r="T35" s="6">
        <v>1</v>
      </c>
      <c r="U35" s="6">
        <v>48</v>
      </c>
      <c r="V35" s="6">
        <v>6</v>
      </c>
      <c r="W35" s="6">
        <v>1733</v>
      </c>
      <c r="X35" s="6">
        <v>24</v>
      </c>
      <c r="Y35" s="6">
        <v>7436</v>
      </c>
      <c r="Z35" s="6">
        <v>1</v>
      </c>
      <c r="AA35" s="6">
        <v>297</v>
      </c>
      <c r="AB35" s="6">
        <v>4</v>
      </c>
      <c r="AC35" s="6">
        <v>1436</v>
      </c>
      <c r="AD35" s="6"/>
      <c r="AE35" s="6"/>
      <c r="AF35" s="6">
        <v>2</v>
      </c>
      <c r="AG35" s="6">
        <v>493</v>
      </c>
      <c r="AH35" s="6"/>
      <c r="AI35" s="6"/>
      <c r="AJ35" s="6"/>
      <c r="AK35" s="6"/>
      <c r="AL35" s="6"/>
      <c r="AM35" s="6"/>
      <c r="AN35" s="6">
        <v>1</v>
      </c>
      <c r="AO35" s="6">
        <v>346</v>
      </c>
      <c r="AP35" s="6"/>
      <c r="AQ35" s="6"/>
      <c r="AR35" s="6"/>
      <c r="AS35" s="6"/>
      <c r="AT35" s="6"/>
      <c r="AU35" s="6"/>
      <c r="AV35" s="6"/>
      <c r="AW35" s="6"/>
      <c r="AX35" s="6"/>
      <c r="AY35" s="6"/>
      <c r="AZ35" s="6"/>
      <c r="BA35" s="6"/>
      <c r="BB35" s="6"/>
      <c r="BC35" s="6"/>
      <c r="BD35" s="6">
        <v>2</v>
      </c>
      <c r="BE35" s="6">
        <v>92</v>
      </c>
      <c r="BF35" s="6">
        <v>3</v>
      </c>
      <c r="BG35" s="6">
        <v>161</v>
      </c>
      <c r="BH35" s="6"/>
      <c r="BI35" s="6"/>
      <c r="BJ35" s="6"/>
      <c r="BK35" s="6"/>
      <c r="BL35" s="6">
        <v>1</v>
      </c>
      <c r="BM35" s="6">
        <v>48</v>
      </c>
      <c r="BN35" s="6">
        <v>2</v>
      </c>
      <c r="BO35" s="6">
        <v>80</v>
      </c>
      <c r="BP35" s="6"/>
      <c r="BQ35" s="6"/>
      <c r="BR35" s="6"/>
      <c r="BS35" s="6"/>
      <c r="BT35" s="6">
        <v>1</v>
      </c>
      <c r="BU35" s="6">
        <v>28</v>
      </c>
      <c r="BV35" s="8">
        <f t="shared" si="0"/>
        <v>75</v>
      </c>
      <c r="BW35" s="8">
        <f t="shared" si="1"/>
        <v>13879</v>
      </c>
      <c r="BX35" s="52"/>
      <c r="BY35" s="52"/>
      <c r="BZ35" s="52"/>
    </row>
    <row r="36" spans="1:78" s="27" customFormat="1">
      <c r="A36" s="5" t="s">
        <v>72</v>
      </c>
      <c r="B36" s="6">
        <v>2</v>
      </c>
      <c r="C36" s="6">
        <v>237</v>
      </c>
      <c r="D36" s="6">
        <v>5</v>
      </c>
      <c r="E36" s="6">
        <v>479</v>
      </c>
      <c r="F36" s="6">
        <v>3</v>
      </c>
      <c r="G36" s="6">
        <v>109</v>
      </c>
      <c r="H36" s="6"/>
      <c r="I36" s="6"/>
      <c r="J36" s="6">
        <v>2</v>
      </c>
      <c r="K36" s="6">
        <v>180</v>
      </c>
      <c r="L36" s="6">
        <v>25</v>
      </c>
      <c r="M36" s="6">
        <v>442</v>
      </c>
      <c r="N36" s="6">
        <v>3</v>
      </c>
      <c r="O36" s="6">
        <v>94</v>
      </c>
      <c r="P36" s="6"/>
      <c r="Q36" s="6"/>
      <c r="R36" s="6"/>
      <c r="S36" s="6"/>
      <c r="T36" s="6">
        <v>1</v>
      </c>
      <c r="U36" s="6">
        <v>222</v>
      </c>
      <c r="V36" s="6">
        <v>1</v>
      </c>
      <c r="W36" s="6">
        <v>41</v>
      </c>
      <c r="X36" s="6">
        <v>7</v>
      </c>
      <c r="Y36" s="6">
        <v>2754</v>
      </c>
      <c r="Z36" s="6">
        <v>1</v>
      </c>
      <c r="AA36" s="6">
        <v>400</v>
      </c>
      <c r="AB36" s="6">
        <v>8</v>
      </c>
      <c r="AC36" s="6">
        <v>3373</v>
      </c>
      <c r="AD36" s="6"/>
      <c r="AE36" s="6"/>
      <c r="AF36" s="6"/>
      <c r="AG36" s="6"/>
      <c r="AH36" s="6"/>
      <c r="AI36" s="6"/>
      <c r="AJ36" s="6"/>
      <c r="AK36" s="6"/>
      <c r="AL36" s="6"/>
      <c r="AM36" s="6"/>
      <c r="AN36" s="6">
        <v>6</v>
      </c>
      <c r="AO36" s="6">
        <v>3326</v>
      </c>
      <c r="AP36" s="6"/>
      <c r="AQ36" s="6"/>
      <c r="AR36" s="6">
        <v>2</v>
      </c>
      <c r="AS36" s="6">
        <v>2957</v>
      </c>
      <c r="AT36" s="6"/>
      <c r="AU36" s="6"/>
      <c r="AV36" s="6"/>
      <c r="AW36" s="6"/>
      <c r="AX36" s="6"/>
      <c r="AY36" s="6"/>
      <c r="AZ36" s="6"/>
      <c r="BA36" s="6"/>
      <c r="BB36" s="6"/>
      <c r="BC36" s="6"/>
      <c r="BD36" s="6">
        <v>3</v>
      </c>
      <c r="BE36" s="6">
        <v>108</v>
      </c>
      <c r="BF36" s="6">
        <v>1</v>
      </c>
      <c r="BG36" s="6">
        <v>111</v>
      </c>
      <c r="BH36" s="6">
        <v>1</v>
      </c>
      <c r="BI36" s="6">
        <v>46</v>
      </c>
      <c r="BJ36" s="6"/>
      <c r="BK36" s="6"/>
      <c r="BL36" s="6"/>
      <c r="BM36" s="6"/>
      <c r="BN36" s="6"/>
      <c r="BO36" s="6"/>
      <c r="BP36" s="6"/>
      <c r="BQ36" s="6"/>
      <c r="BR36" s="6"/>
      <c r="BS36" s="6"/>
      <c r="BT36" s="6"/>
      <c r="BU36" s="6"/>
      <c r="BV36" s="8">
        <f t="shared" si="0"/>
        <v>71</v>
      </c>
      <c r="BW36" s="8">
        <f t="shared" si="1"/>
        <v>14879</v>
      </c>
      <c r="BX36" s="52"/>
      <c r="BY36" s="52"/>
      <c r="BZ36" s="52"/>
    </row>
    <row r="37" spans="1:78" s="27" customFormat="1">
      <c r="A37" s="5" t="s">
        <v>250</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v>1</v>
      </c>
      <c r="BU37" s="6">
        <v>22</v>
      </c>
      <c r="BV37" s="8">
        <f t="shared" si="0"/>
        <v>1</v>
      </c>
      <c r="BW37" s="8">
        <f t="shared" si="1"/>
        <v>22</v>
      </c>
      <c r="BX37" s="52"/>
      <c r="BY37" s="52"/>
      <c r="BZ37" s="52"/>
    </row>
    <row r="38" spans="1:78" s="27" customFormat="1">
      <c r="A38" s="5" t="s">
        <v>73</v>
      </c>
      <c r="B38" s="6"/>
      <c r="C38" s="6"/>
      <c r="D38" s="6"/>
      <c r="E38" s="6"/>
      <c r="F38" s="6"/>
      <c r="G38" s="6"/>
      <c r="H38" s="6"/>
      <c r="I38" s="6"/>
      <c r="J38" s="6"/>
      <c r="K38" s="6"/>
      <c r="L38" s="6">
        <v>5</v>
      </c>
      <c r="M38" s="6">
        <v>66</v>
      </c>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v>2</v>
      </c>
      <c r="BU38" s="6">
        <v>34</v>
      </c>
      <c r="BV38" s="8">
        <f t="shared" si="0"/>
        <v>7</v>
      </c>
      <c r="BW38" s="8">
        <f t="shared" si="1"/>
        <v>100</v>
      </c>
      <c r="BX38" s="52"/>
      <c r="BY38" s="52"/>
      <c r="BZ38" s="52"/>
    </row>
    <row r="39" spans="1:78" s="27" customFormat="1">
      <c r="A39" s="5" t="s">
        <v>74</v>
      </c>
      <c r="B39" s="6"/>
      <c r="C39" s="6"/>
      <c r="D39" s="6"/>
      <c r="E39" s="6"/>
      <c r="F39" s="6"/>
      <c r="G39" s="6"/>
      <c r="H39" s="6"/>
      <c r="I39" s="6"/>
      <c r="J39" s="6"/>
      <c r="K39" s="6"/>
      <c r="L39" s="6">
        <v>1</v>
      </c>
      <c r="M39" s="6">
        <v>24</v>
      </c>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v>3</v>
      </c>
      <c r="BU39" s="6">
        <v>42</v>
      </c>
      <c r="BV39" s="8">
        <f t="shared" si="0"/>
        <v>4</v>
      </c>
      <c r="BW39" s="8">
        <f t="shared" si="1"/>
        <v>66</v>
      </c>
      <c r="BX39" s="52"/>
      <c r="BY39" s="52"/>
      <c r="BZ39" s="52"/>
    </row>
    <row r="40" spans="1:78" s="27" customFormat="1">
      <c r="A40" s="5" t="s">
        <v>75</v>
      </c>
      <c r="B40" s="6"/>
      <c r="C40" s="6"/>
      <c r="D40" s="6"/>
      <c r="E40" s="6"/>
      <c r="F40" s="6"/>
      <c r="G40" s="6"/>
      <c r="H40" s="6"/>
      <c r="I40" s="6"/>
      <c r="J40" s="6"/>
      <c r="K40" s="6"/>
      <c r="L40" s="6">
        <v>4</v>
      </c>
      <c r="M40" s="6">
        <v>95</v>
      </c>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v>2</v>
      </c>
      <c r="BE40" s="6">
        <v>95</v>
      </c>
      <c r="BF40" s="6"/>
      <c r="BG40" s="6"/>
      <c r="BH40" s="6"/>
      <c r="BI40" s="6"/>
      <c r="BJ40" s="6"/>
      <c r="BK40" s="6"/>
      <c r="BL40" s="6"/>
      <c r="BM40" s="6"/>
      <c r="BN40" s="6"/>
      <c r="BO40" s="6"/>
      <c r="BP40" s="6"/>
      <c r="BQ40" s="6"/>
      <c r="BR40" s="6"/>
      <c r="BS40" s="6"/>
      <c r="BT40" s="6">
        <v>1</v>
      </c>
      <c r="BU40" s="6">
        <v>12</v>
      </c>
      <c r="BV40" s="8">
        <f t="shared" si="0"/>
        <v>7</v>
      </c>
      <c r="BW40" s="8">
        <f t="shared" si="1"/>
        <v>202</v>
      </c>
      <c r="BX40" s="52"/>
      <c r="BY40" s="52"/>
      <c r="BZ40" s="52"/>
    </row>
    <row r="41" spans="1:78" s="27" customFormat="1">
      <c r="A41" s="5" t="s">
        <v>76</v>
      </c>
      <c r="B41" s="6"/>
      <c r="C41" s="6"/>
      <c r="D41" s="6">
        <v>2</v>
      </c>
      <c r="E41" s="6">
        <v>442</v>
      </c>
      <c r="F41" s="6">
        <v>5</v>
      </c>
      <c r="G41" s="6">
        <v>711</v>
      </c>
      <c r="H41" s="6"/>
      <c r="I41" s="6"/>
      <c r="J41" s="6"/>
      <c r="K41" s="6"/>
      <c r="L41" s="6">
        <v>2</v>
      </c>
      <c r="M41" s="6">
        <v>52</v>
      </c>
      <c r="N41" s="6"/>
      <c r="O41" s="6"/>
      <c r="P41" s="6">
        <v>1</v>
      </c>
      <c r="Q41" s="6">
        <v>500</v>
      </c>
      <c r="R41" s="6"/>
      <c r="S41" s="6"/>
      <c r="T41" s="6"/>
      <c r="U41" s="6"/>
      <c r="V41" s="6"/>
      <c r="W41" s="6"/>
      <c r="X41" s="6">
        <v>3</v>
      </c>
      <c r="Y41" s="6">
        <v>667</v>
      </c>
      <c r="Z41" s="6"/>
      <c r="AA41" s="6"/>
      <c r="AB41" s="6">
        <v>7</v>
      </c>
      <c r="AC41" s="6">
        <v>3048</v>
      </c>
      <c r="AD41" s="6">
        <v>1</v>
      </c>
      <c r="AE41" s="6">
        <v>547</v>
      </c>
      <c r="AF41" s="6">
        <v>2</v>
      </c>
      <c r="AG41" s="6">
        <v>639</v>
      </c>
      <c r="AH41" s="6"/>
      <c r="AI41" s="6"/>
      <c r="AJ41" s="6"/>
      <c r="AK41" s="6"/>
      <c r="AL41" s="6"/>
      <c r="AM41" s="6"/>
      <c r="AN41" s="6">
        <v>4</v>
      </c>
      <c r="AO41" s="6">
        <v>1300</v>
      </c>
      <c r="AP41" s="6">
        <v>1</v>
      </c>
      <c r="AQ41" s="6">
        <v>2205</v>
      </c>
      <c r="AR41" s="6">
        <v>9</v>
      </c>
      <c r="AS41" s="6">
        <v>5257</v>
      </c>
      <c r="AT41" s="6">
        <v>3</v>
      </c>
      <c r="AU41" s="6">
        <v>1531</v>
      </c>
      <c r="AV41" s="6"/>
      <c r="AW41" s="6"/>
      <c r="AX41" s="6"/>
      <c r="AY41" s="6"/>
      <c r="AZ41" s="6"/>
      <c r="BA41" s="6"/>
      <c r="BB41" s="6"/>
      <c r="BC41" s="6"/>
      <c r="BD41" s="6">
        <v>1</v>
      </c>
      <c r="BE41" s="6">
        <v>30</v>
      </c>
      <c r="BF41" s="6"/>
      <c r="BG41" s="6"/>
      <c r="BH41" s="6"/>
      <c r="BI41" s="6"/>
      <c r="BJ41" s="6"/>
      <c r="BK41" s="6"/>
      <c r="BL41" s="6"/>
      <c r="BM41" s="6"/>
      <c r="BN41" s="6"/>
      <c r="BO41" s="6"/>
      <c r="BP41" s="6"/>
      <c r="BQ41" s="6"/>
      <c r="BR41" s="6"/>
      <c r="BS41" s="6"/>
      <c r="BT41" s="6">
        <v>1</v>
      </c>
      <c r="BU41" s="6">
        <v>10</v>
      </c>
      <c r="BV41" s="8">
        <f t="shared" si="0"/>
        <v>42</v>
      </c>
      <c r="BW41" s="8">
        <f t="shared" si="1"/>
        <v>16939</v>
      </c>
      <c r="BX41" s="52"/>
      <c r="BY41" s="52"/>
      <c r="BZ41" s="52"/>
    </row>
    <row r="42" spans="1:78" s="27" customFormat="1">
      <c r="A42" s="5" t="s">
        <v>77</v>
      </c>
      <c r="B42" s="6">
        <v>5</v>
      </c>
      <c r="C42" s="6">
        <v>356</v>
      </c>
      <c r="D42" s="6">
        <v>3</v>
      </c>
      <c r="E42" s="6">
        <v>214</v>
      </c>
      <c r="F42" s="6">
        <v>6</v>
      </c>
      <c r="G42" s="6">
        <v>671</v>
      </c>
      <c r="H42" s="6"/>
      <c r="I42" s="6"/>
      <c r="J42" s="6">
        <v>2</v>
      </c>
      <c r="K42" s="6">
        <v>66</v>
      </c>
      <c r="L42" s="6">
        <v>5</v>
      </c>
      <c r="M42" s="6">
        <v>45</v>
      </c>
      <c r="N42" s="6">
        <v>5</v>
      </c>
      <c r="O42" s="6">
        <v>181</v>
      </c>
      <c r="P42" s="6"/>
      <c r="Q42" s="6"/>
      <c r="R42" s="6">
        <v>1</v>
      </c>
      <c r="S42" s="6">
        <v>12</v>
      </c>
      <c r="T42" s="6">
        <v>3</v>
      </c>
      <c r="U42" s="6">
        <v>329</v>
      </c>
      <c r="V42" s="6">
        <v>12</v>
      </c>
      <c r="W42" s="6">
        <v>1375</v>
      </c>
      <c r="X42" s="6">
        <v>50</v>
      </c>
      <c r="Y42" s="6">
        <v>13357</v>
      </c>
      <c r="Z42" s="6">
        <v>1</v>
      </c>
      <c r="AA42" s="6">
        <v>203</v>
      </c>
      <c r="AB42" s="6">
        <v>69</v>
      </c>
      <c r="AC42" s="6">
        <v>18764</v>
      </c>
      <c r="AD42" s="6">
        <v>10</v>
      </c>
      <c r="AE42" s="6">
        <v>2868</v>
      </c>
      <c r="AF42" s="6">
        <v>17</v>
      </c>
      <c r="AG42" s="6">
        <v>3061</v>
      </c>
      <c r="AH42" s="6">
        <v>1</v>
      </c>
      <c r="AI42" s="6">
        <v>304</v>
      </c>
      <c r="AJ42" s="6"/>
      <c r="AK42" s="6"/>
      <c r="AL42" s="6">
        <v>4</v>
      </c>
      <c r="AM42" s="6">
        <v>419</v>
      </c>
      <c r="AN42" s="6">
        <v>3</v>
      </c>
      <c r="AO42" s="6">
        <v>455</v>
      </c>
      <c r="AP42" s="6">
        <v>1</v>
      </c>
      <c r="AQ42" s="6">
        <v>146</v>
      </c>
      <c r="AR42" s="6">
        <v>7</v>
      </c>
      <c r="AS42" s="6">
        <v>2414</v>
      </c>
      <c r="AT42" s="6">
        <v>1</v>
      </c>
      <c r="AU42" s="6">
        <v>266</v>
      </c>
      <c r="AV42" s="6"/>
      <c r="AW42" s="6"/>
      <c r="AX42" s="6"/>
      <c r="AY42" s="6"/>
      <c r="AZ42" s="6"/>
      <c r="BA42" s="6"/>
      <c r="BB42" s="6"/>
      <c r="BC42" s="6"/>
      <c r="BD42" s="6">
        <v>1</v>
      </c>
      <c r="BE42" s="6">
        <v>41</v>
      </c>
      <c r="BF42" s="6">
        <v>4</v>
      </c>
      <c r="BG42" s="6">
        <v>122</v>
      </c>
      <c r="BH42" s="6">
        <v>3</v>
      </c>
      <c r="BI42" s="6">
        <v>223</v>
      </c>
      <c r="BJ42" s="6"/>
      <c r="BK42" s="6"/>
      <c r="BL42" s="6">
        <v>18</v>
      </c>
      <c r="BM42" s="6">
        <v>754</v>
      </c>
      <c r="BN42" s="6">
        <v>7</v>
      </c>
      <c r="BO42" s="6">
        <v>334</v>
      </c>
      <c r="BP42" s="6"/>
      <c r="BQ42" s="6"/>
      <c r="BR42" s="6"/>
      <c r="BS42" s="6"/>
      <c r="BT42" s="6">
        <v>47</v>
      </c>
      <c r="BU42" s="6">
        <v>753</v>
      </c>
      <c r="BV42" s="8">
        <f t="shared" si="0"/>
        <v>286</v>
      </c>
      <c r="BW42" s="8">
        <f t="shared" si="1"/>
        <v>47733</v>
      </c>
      <c r="BX42" s="52"/>
      <c r="BY42" s="52"/>
      <c r="BZ42" s="52"/>
    </row>
    <row r="43" spans="1:78" s="27" customFormat="1">
      <c r="A43" s="5" t="s">
        <v>78</v>
      </c>
      <c r="B43" s="6"/>
      <c r="C43" s="6"/>
      <c r="D43" s="6"/>
      <c r="E43" s="6"/>
      <c r="F43" s="6"/>
      <c r="G43" s="6"/>
      <c r="H43" s="6"/>
      <c r="I43" s="6"/>
      <c r="J43" s="6"/>
      <c r="K43" s="6"/>
      <c r="L43" s="6">
        <v>5</v>
      </c>
      <c r="M43" s="6">
        <v>96</v>
      </c>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v>1</v>
      </c>
      <c r="BU43" s="6">
        <v>6</v>
      </c>
      <c r="BV43" s="8">
        <f t="shared" si="0"/>
        <v>6</v>
      </c>
      <c r="BW43" s="8">
        <f t="shared" si="1"/>
        <v>102</v>
      </c>
      <c r="BX43" s="52"/>
      <c r="BY43" s="52"/>
      <c r="BZ43" s="52"/>
    </row>
    <row r="44" spans="1:78" s="27" customFormat="1">
      <c r="A44" s="5" t="s">
        <v>178</v>
      </c>
      <c r="B44" s="6"/>
      <c r="C44" s="6"/>
      <c r="D44" s="6"/>
      <c r="E44" s="6"/>
      <c r="F44" s="6"/>
      <c r="G44" s="6"/>
      <c r="H44" s="6"/>
      <c r="I44" s="6"/>
      <c r="J44" s="6"/>
      <c r="K44" s="6"/>
      <c r="L44" s="6">
        <v>2</v>
      </c>
      <c r="M44" s="6">
        <v>28</v>
      </c>
      <c r="N44" s="6"/>
      <c r="O44" s="6"/>
      <c r="P44" s="6"/>
      <c r="Q44" s="6"/>
      <c r="R44" s="6">
        <v>1</v>
      </c>
      <c r="S44" s="6">
        <v>11</v>
      </c>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v>1</v>
      </c>
      <c r="BU44" s="6">
        <v>10</v>
      </c>
      <c r="BV44" s="8">
        <f t="shared" si="0"/>
        <v>4</v>
      </c>
      <c r="BW44" s="8">
        <f t="shared" si="1"/>
        <v>49</v>
      </c>
      <c r="BX44" s="52"/>
      <c r="BY44" s="52"/>
      <c r="BZ44" s="52"/>
    </row>
    <row r="45" spans="1:78" s="27" customFormat="1">
      <c r="A45" s="5" t="s">
        <v>79</v>
      </c>
      <c r="B45" s="6">
        <v>5</v>
      </c>
      <c r="C45" s="6">
        <v>192</v>
      </c>
      <c r="D45" s="6">
        <v>11</v>
      </c>
      <c r="E45" s="6">
        <v>505</v>
      </c>
      <c r="F45" s="6">
        <v>10</v>
      </c>
      <c r="G45" s="6">
        <v>1030</v>
      </c>
      <c r="H45" s="6">
        <v>2</v>
      </c>
      <c r="I45" s="6">
        <v>177</v>
      </c>
      <c r="J45" s="6">
        <v>2</v>
      </c>
      <c r="K45" s="6">
        <v>286</v>
      </c>
      <c r="L45" s="6">
        <v>8</v>
      </c>
      <c r="M45" s="6">
        <v>109</v>
      </c>
      <c r="N45" s="6"/>
      <c r="O45" s="6"/>
      <c r="P45" s="6"/>
      <c r="Q45" s="6"/>
      <c r="R45" s="6"/>
      <c r="S45" s="6"/>
      <c r="T45" s="6"/>
      <c r="U45" s="6"/>
      <c r="V45" s="6">
        <v>1</v>
      </c>
      <c r="W45" s="6">
        <v>38</v>
      </c>
      <c r="X45" s="6">
        <v>8</v>
      </c>
      <c r="Y45" s="6">
        <v>1216</v>
      </c>
      <c r="Z45" s="6">
        <v>1</v>
      </c>
      <c r="AA45" s="6">
        <v>56</v>
      </c>
      <c r="AB45" s="6">
        <v>10</v>
      </c>
      <c r="AC45" s="6">
        <v>1693</v>
      </c>
      <c r="AD45" s="6">
        <v>1</v>
      </c>
      <c r="AE45" s="6">
        <v>229</v>
      </c>
      <c r="AF45" s="6">
        <v>3</v>
      </c>
      <c r="AG45" s="6">
        <v>339</v>
      </c>
      <c r="AH45" s="6"/>
      <c r="AI45" s="6"/>
      <c r="AJ45" s="6"/>
      <c r="AK45" s="6"/>
      <c r="AL45" s="6"/>
      <c r="AM45" s="6"/>
      <c r="AN45" s="6">
        <v>1</v>
      </c>
      <c r="AO45" s="6">
        <v>176</v>
      </c>
      <c r="AP45" s="6"/>
      <c r="AQ45" s="6"/>
      <c r="AR45" s="6">
        <v>5</v>
      </c>
      <c r="AS45" s="6">
        <v>1131</v>
      </c>
      <c r="AT45" s="6"/>
      <c r="AU45" s="6"/>
      <c r="AV45" s="6"/>
      <c r="AW45" s="6"/>
      <c r="AX45" s="6"/>
      <c r="AY45" s="6"/>
      <c r="AZ45" s="6"/>
      <c r="BA45" s="6"/>
      <c r="BB45" s="6"/>
      <c r="BC45" s="6"/>
      <c r="BD45" s="6"/>
      <c r="BE45" s="6"/>
      <c r="BF45" s="6"/>
      <c r="BG45" s="6"/>
      <c r="BH45" s="6">
        <v>2</v>
      </c>
      <c r="BI45" s="6">
        <v>78</v>
      </c>
      <c r="BJ45" s="6"/>
      <c r="BK45" s="6"/>
      <c r="BL45" s="6">
        <v>1</v>
      </c>
      <c r="BM45" s="6">
        <v>48</v>
      </c>
      <c r="BN45" s="6">
        <v>2</v>
      </c>
      <c r="BO45" s="6">
        <v>77</v>
      </c>
      <c r="BP45" s="6"/>
      <c r="BQ45" s="6"/>
      <c r="BR45" s="6">
        <v>1</v>
      </c>
      <c r="BS45" s="6">
        <v>23</v>
      </c>
      <c r="BT45" s="6">
        <v>6</v>
      </c>
      <c r="BU45" s="6">
        <v>77</v>
      </c>
      <c r="BV45" s="8">
        <f t="shared" si="0"/>
        <v>80</v>
      </c>
      <c r="BW45" s="8">
        <f t="shared" si="1"/>
        <v>7480</v>
      </c>
      <c r="BX45" s="52"/>
      <c r="BY45" s="52"/>
      <c r="BZ45" s="52"/>
    </row>
    <row r="46" spans="1:78" s="27" customFormat="1">
      <c r="A46" s="5" t="s">
        <v>80</v>
      </c>
      <c r="B46" s="6"/>
      <c r="C46" s="6"/>
      <c r="D46" s="6"/>
      <c r="E46" s="6"/>
      <c r="F46" s="6"/>
      <c r="G46" s="6"/>
      <c r="H46" s="6"/>
      <c r="I46" s="6"/>
      <c r="J46" s="6"/>
      <c r="K46" s="6"/>
      <c r="L46" s="6">
        <v>8</v>
      </c>
      <c r="M46" s="6">
        <v>120</v>
      </c>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v>2</v>
      </c>
      <c r="BE46" s="6">
        <v>116</v>
      </c>
      <c r="BF46" s="6"/>
      <c r="BG46" s="6"/>
      <c r="BH46" s="6"/>
      <c r="BI46" s="6"/>
      <c r="BJ46" s="6"/>
      <c r="BK46" s="6"/>
      <c r="BL46" s="6"/>
      <c r="BM46" s="6"/>
      <c r="BN46" s="6"/>
      <c r="BO46" s="6"/>
      <c r="BP46" s="6"/>
      <c r="BQ46" s="6"/>
      <c r="BR46" s="6"/>
      <c r="BS46" s="6"/>
      <c r="BT46" s="6"/>
      <c r="BU46" s="6"/>
      <c r="BV46" s="8">
        <f t="shared" si="0"/>
        <v>10</v>
      </c>
      <c r="BW46" s="8">
        <f t="shared" si="1"/>
        <v>236</v>
      </c>
      <c r="BX46" s="52"/>
      <c r="BY46" s="52"/>
      <c r="BZ46" s="52"/>
    </row>
    <row r="47" spans="1:78" s="27" customFormat="1">
      <c r="A47" s="5" t="s">
        <v>81</v>
      </c>
      <c r="B47" s="6"/>
      <c r="C47" s="6"/>
      <c r="D47" s="6"/>
      <c r="E47" s="6"/>
      <c r="F47" s="6">
        <v>1</v>
      </c>
      <c r="G47" s="6">
        <v>25</v>
      </c>
      <c r="H47" s="6"/>
      <c r="I47" s="6"/>
      <c r="J47" s="6"/>
      <c r="K47" s="6"/>
      <c r="L47" s="6">
        <v>3</v>
      </c>
      <c r="M47" s="6">
        <v>50</v>
      </c>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v>2</v>
      </c>
      <c r="BE47" s="6">
        <v>111</v>
      </c>
      <c r="BF47" s="6"/>
      <c r="BG47" s="6"/>
      <c r="BH47" s="6"/>
      <c r="BI47" s="6"/>
      <c r="BJ47" s="6"/>
      <c r="BK47" s="6"/>
      <c r="BL47" s="6"/>
      <c r="BM47" s="6"/>
      <c r="BN47" s="6"/>
      <c r="BO47" s="6"/>
      <c r="BP47" s="6"/>
      <c r="BQ47" s="6"/>
      <c r="BR47" s="6"/>
      <c r="BS47" s="6"/>
      <c r="BT47" s="6"/>
      <c r="BU47" s="6"/>
      <c r="BV47" s="8">
        <f t="shared" si="0"/>
        <v>6</v>
      </c>
      <c r="BW47" s="8">
        <f t="shared" si="1"/>
        <v>186</v>
      </c>
      <c r="BX47" s="52"/>
      <c r="BY47" s="52"/>
      <c r="BZ47" s="52"/>
    </row>
    <row r="48" spans="1:78" s="27" customFormat="1">
      <c r="A48" s="5" t="s">
        <v>179</v>
      </c>
      <c r="B48" s="6">
        <v>5</v>
      </c>
      <c r="C48" s="6">
        <v>204</v>
      </c>
      <c r="D48" s="6">
        <v>2</v>
      </c>
      <c r="E48" s="6">
        <v>75</v>
      </c>
      <c r="F48" s="6">
        <v>3</v>
      </c>
      <c r="G48" s="6">
        <v>109</v>
      </c>
      <c r="H48" s="6"/>
      <c r="I48" s="6"/>
      <c r="J48" s="6">
        <v>1</v>
      </c>
      <c r="K48" s="6">
        <v>24</v>
      </c>
      <c r="L48" s="6">
        <v>3</v>
      </c>
      <c r="M48" s="6">
        <v>50</v>
      </c>
      <c r="N48" s="6"/>
      <c r="O48" s="6"/>
      <c r="P48" s="6"/>
      <c r="Q48" s="6"/>
      <c r="R48" s="6"/>
      <c r="S48" s="6"/>
      <c r="T48" s="6"/>
      <c r="U48" s="6"/>
      <c r="V48" s="6"/>
      <c r="W48" s="6"/>
      <c r="X48" s="6">
        <v>5</v>
      </c>
      <c r="Y48" s="6">
        <v>1118</v>
      </c>
      <c r="Z48" s="6">
        <v>1</v>
      </c>
      <c r="AA48" s="6">
        <v>175</v>
      </c>
      <c r="AB48" s="6">
        <v>5</v>
      </c>
      <c r="AC48" s="6">
        <v>1583</v>
      </c>
      <c r="AD48" s="6">
        <v>3</v>
      </c>
      <c r="AE48" s="6">
        <v>420</v>
      </c>
      <c r="AF48" s="6"/>
      <c r="AG48" s="6"/>
      <c r="AH48" s="6"/>
      <c r="AI48" s="6"/>
      <c r="AJ48" s="6"/>
      <c r="AK48" s="6"/>
      <c r="AL48" s="6"/>
      <c r="AM48" s="6"/>
      <c r="AN48" s="6"/>
      <c r="AO48" s="6"/>
      <c r="AP48" s="6"/>
      <c r="AQ48" s="6"/>
      <c r="AR48" s="6">
        <v>1</v>
      </c>
      <c r="AS48" s="6">
        <v>156</v>
      </c>
      <c r="AT48" s="6"/>
      <c r="AU48" s="6"/>
      <c r="AV48" s="6"/>
      <c r="AW48" s="6"/>
      <c r="AX48" s="6"/>
      <c r="AY48" s="6"/>
      <c r="AZ48" s="6"/>
      <c r="BA48" s="6"/>
      <c r="BB48" s="6"/>
      <c r="BC48" s="6"/>
      <c r="BD48" s="6">
        <v>1</v>
      </c>
      <c r="BE48" s="6">
        <v>34</v>
      </c>
      <c r="BF48" s="6">
        <v>3</v>
      </c>
      <c r="BG48" s="6">
        <v>83</v>
      </c>
      <c r="BH48" s="6">
        <v>1</v>
      </c>
      <c r="BI48" s="6">
        <v>15</v>
      </c>
      <c r="BJ48" s="6"/>
      <c r="BK48" s="6"/>
      <c r="BL48" s="6"/>
      <c r="BM48" s="6"/>
      <c r="BN48" s="6"/>
      <c r="BO48" s="6"/>
      <c r="BP48" s="6"/>
      <c r="BQ48" s="6"/>
      <c r="BR48" s="6"/>
      <c r="BS48" s="6"/>
      <c r="BT48" s="6">
        <v>1</v>
      </c>
      <c r="BU48" s="6">
        <v>10</v>
      </c>
      <c r="BV48" s="8">
        <f t="shared" si="0"/>
        <v>35</v>
      </c>
      <c r="BW48" s="8">
        <f t="shared" si="1"/>
        <v>4056</v>
      </c>
      <c r="BX48" s="52"/>
      <c r="BY48" s="52"/>
      <c r="BZ48" s="52"/>
    </row>
    <row r="49" spans="1:78" s="27" customFormat="1">
      <c r="A49" s="5" t="s">
        <v>261</v>
      </c>
      <c r="B49" s="6"/>
      <c r="C49" s="6"/>
      <c r="D49" s="6"/>
      <c r="E49" s="6"/>
      <c r="F49" s="6"/>
      <c r="G49" s="6"/>
      <c r="H49" s="6"/>
      <c r="I49" s="6"/>
      <c r="J49" s="6"/>
      <c r="K49" s="6"/>
      <c r="L49" s="6">
        <v>2</v>
      </c>
      <c r="M49" s="6">
        <v>28</v>
      </c>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8">
        <f t="shared" si="0"/>
        <v>2</v>
      </c>
      <c r="BW49" s="8">
        <f t="shared" si="1"/>
        <v>28</v>
      </c>
      <c r="BX49" s="52"/>
      <c r="BY49" s="52"/>
      <c r="BZ49" s="52"/>
    </row>
    <row r="50" spans="1:78" s="27" customFormat="1">
      <c r="A50" s="5" t="s">
        <v>180</v>
      </c>
      <c r="B50" s="6">
        <v>2</v>
      </c>
      <c r="C50" s="6">
        <v>70</v>
      </c>
      <c r="D50" s="6">
        <v>6</v>
      </c>
      <c r="E50" s="6">
        <v>450</v>
      </c>
      <c r="F50" s="6">
        <v>7</v>
      </c>
      <c r="G50" s="6">
        <v>588</v>
      </c>
      <c r="H50" s="6"/>
      <c r="I50" s="6"/>
      <c r="J50" s="6">
        <v>1</v>
      </c>
      <c r="K50" s="6">
        <v>266</v>
      </c>
      <c r="L50" s="6">
        <v>9</v>
      </c>
      <c r="M50" s="6">
        <v>220</v>
      </c>
      <c r="N50" s="6">
        <v>3</v>
      </c>
      <c r="O50" s="6">
        <v>128</v>
      </c>
      <c r="P50" s="6"/>
      <c r="Q50" s="6"/>
      <c r="R50" s="6"/>
      <c r="S50" s="6"/>
      <c r="T50" s="6"/>
      <c r="U50" s="6"/>
      <c r="V50" s="6">
        <v>3</v>
      </c>
      <c r="W50" s="6">
        <v>544</v>
      </c>
      <c r="X50" s="6">
        <v>10</v>
      </c>
      <c r="Y50" s="6">
        <v>2156</v>
      </c>
      <c r="Z50" s="6"/>
      <c r="AA50" s="6"/>
      <c r="AB50" s="6">
        <v>19</v>
      </c>
      <c r="AC50" s="6">
        <v>6905</v>
      </c>
      <c r="AD50" s="6">
        <v>1</v>
      </c>
      <c r="AE50" s="6">
        <v>347</v>
      </c>
      <c r="AF50" s="6">
        <v>3</v>
      </c>
      <c r="AG50" s="6">
        <v>1042</v>
      </c>
      <c r="AH50" s="6"/>
      <c r="AI50" s="6"/>
      <c r="AJ50" s="6"/>
      <c r="AK50" s="6"/>
      <c r="AL50" s="6"/>
      <c r="AM50" s="6"/>
      <c r="AN50" s="6">
        <v>9</v>
      </c>
      <c r="AO50" s="6">
        <v>4579</v>
      </c>
      <c r="AP50" s="6"/>
      <c r="AQ50" s="6"/>
      <c r="AR50" s="6">
        <v>16</v>
      </c>
      <c r="AS50" s="6">
        <v>7842</v>
      </c>
      <c r="AT50" s="6"/>
      <c r="AU50" s="6"/>
      <c r="AV50" s="6"/>
      <c r="AW50" s="6"/>
      <c r="AX50" s="6"/>
      <c r="AY50" s="6"/>
      <c r="AZ50" s="6">
        <v>1</v>
      </c>
      <c r="BA50" s="6">
        <v>152</v>
      </c>
      <c r="BB50" s="6"/>
      <c r="BC50" s="6"/>
      <c r="BD50" s="6">
        <v>1</v>
      </c>
      <c r="BE50" s="6">
        <v>92</v>
      </c>
      <c r="BF50" s="6"/>
      <c r="BG50" s="6"/>
      <c r="BH50" s="6">
        <v>2</v>
      </c>
      <c r="BI50" s="6">
        <v>111</v>
      </c>
      <c r="BJ50" s="6"/>
      <c r="BK50" s="6"/>
      <c r="BL50" s="6">
        <v>2</v>
      </c>
      <c r="BM50" s="6">
        <v>91</v>
      </c>
      <c r="BN50" s="6"/>
      <c r="BO50" s="6"/>
      <c r="BP50" s="6"/>
      <c r="BQ50" s="6"/>
      <c r="BR50" s="6"/>
      <c r="BS50" s="6"/>
      <c r="BT50" s="6">
        <v>1</v>
      </c>
      <c r="BU50" s="6">
        <v>8</v>
      </c>
      <c r="BV50" s="8">
        <f t="shared" si="0"/>
        <v>96</v>
      </c>
      <c r="BW50" s="8">
        <f t="shared" si="1"/>
        <v>25591</v>
      </c>
      <c r="BX50" s="52"/>
      <c r="BY50" s="52"/>
      <c r="BZ50" s="52"/>
    </row>
    <row r="51" spans="1:78" s="27" customFormat="1">
      <c r="A51" s="5" t="s">
        <v>84</v>
      </c>
      <c r="B51" s="6"/>
      <c r="C51" s="6"/>
      <c r="D51" s="6"/>
      <c r="E51" s="6"/>
      <c r="F51" s="6"/>
      <c r="G51" s="6"/>
      <c r="H51" s="6"/>
      <c r="I51" s="6"/>
      <c r="J51" s="6"/>
      <c r="K51" s="6"/>
      <c r="L51" s="6">
        <v>1</v>
      </c>
      <c r="M51" s="6">
        <v>12</v>
      </c>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8">
        <f t="shared" si="0"/>
        <v>1</v>
      </c>
      <c r="BW51" s="8">
        <f t="shared" si="1"/>
        <v>12</v>
      </c>
      <c r="BX51" s="52"/>
      <c r="BY51" s="52"/>
      <c r="BZ51" s="52"/>
    </row>
    <row r="52" spans="1:78" s="27" customFormat="1">
      <c r="A52" s="5" t="s">
        <v>85</v>
      </c>
      <c r="B52" s="6">
        <v>3</v>
      </c>
      <c r="C52" s="6">
        <v>178</v>
      </c>
      <c r="D52" s="6">
        <v>4</v>
      </c>
      <c r="E52" s="6">
        <v>211</v>
      </c>
      <c r="F52" s="6">
        <v>3</v>
      </c>
      <c r="G52" s="6">
        <v>140</v>
      </c>
      <c r="H52" s="6"/>
      <c r="I52" s="6"/>
      <c r="J52" s="6"/>
      <c r="K52" s="6"/>
      <c r="L52" s="6">
        <v>7</v>
      </c>
      <c r="M52" s="6">
        <v>166</v>
      </c>
      <c r="N52" s="6"/>
      <c r="O52" s="6"/>
      <c r="P52" s="6"/>
      <c r="Q52" s="6"/>
      <c r="R52" s="6"/>
      <c r="S52" s="6"/>
      <c r="T52" s="6">
        <v>1</v>
      </c>
      <c r="U52" s="6">
        <v>117</v>
      </c>
      <c r="V52" s="6">
        <v>3</v>
      </c>
      <c r="W52" s="6">
        <v>218</v>
      </c>
      <c r="X52" s="6">
        <v>14</v>
      </c>
      <c r="Y52" s="6">
        <v>3963</v>
      </c>
      <c r="Z52" s="6">
        <v>1</v>
      </c>
      <c r="AA52" s="6">
        <v>329</v>
      </c>
      <c r="AB52" s="6">
        <v>4</v>
      </c>
      <c r="AC52" s="6">
        <v>1601</v>
      </c>
      <c r="AD52" s="6"/>
      <c r="AE52" s="6"/>
      <c r="AF52" s="6"/>
      <c r="AG52" s="6"/>
      <c r="AH52" s="6"/>
      <c r="AI52" s="6"/>
      <c r="AJ52" s="6"/>
      <c r="AK52" s="6"/>
      <c r="AL52" s="6"/>
      <c r="AM52" s="6"/>
      <c r="AN52" s="6">
        <v>2</v>
      </c>
      <c r="AO52" s="6">
        <v>372</v>
      </c>
      <c r="AP52" s="6">
        <v>1</v>
      </c>
      <c r="AQ52" s="6">
        <v>81</v>
      </c>
      <c r="AR52" s="6">
        <v>14</v>
      </c>
      <c r="AS52" s="6">
        <v>5738</v>
      </c>
      <c r="AT52" s="6"/>
      <c r="AU52" s="6"/>
      <c r="AV52" s="6"/>
      <c r="AW52" s="6"/>
      <c r="AX52" s="6"/>
      <c r="AY52" s="6"/>
      <c r="AZ52" s="6"/>
      <c r="BA52" s="6"/>
      <c r="BB52" s="6"/>
      <c r="BC52" s="6"/>
      <c r="BD52" s="6">
        <v>1</v>
      </c>
      <c r="BE52" s="6">
        <v>50</v>
      </c>
      <c r="BF52" s="6">
        <v>1</v>
      </c>
      <c r="BG52" s="6">
        <v>69</v>
      </c>
      <c r="BH52" s="6"/>
      <c r="BI52" s="6"/>
      <c r="BJ52" s="6">
        <v>1</v>
      </c>
      <c r="BK52" s="6">
        <v>142</v>
      </c>
      <c r="BL52" s="6">
        <v>1</v>
      </c>
      <c r="BM52" s="6">
        <v>48</v>
      </c>
      <c r="BN52" s="6"/>
      <c r="BO52" s="6"/>
      <c r="BP52" s="6"/>
      <c r="BQ52" s="6"/>
      <c r="BR52" s="6"/>
      <c r="BS52" s="6"/>
      <c r="BT52" s="6">
        <v>1</v>
      </c>
      <c r="BU52" s="6">
        <v>16</v>
      </c>
      <c r="BV52" s="8">
        <f t="shared" si="0"/>
        <v>62</v>
      </c>
      <c r="BW52" s="8">
        <f t="shared" si="1"/>
        <v>13439</v>
      </c>
      <c r="BX52" s="52"/>
      <c r="BY52" s="52"/>
      <c r="BZ52" s="52"/>
    </row>
    <row r="53" spans="1:78" s="27" customFormat="1">
      <c r="A53" s="5" t="s">
        <v>86</v>
      </c>
      <c r="B53" s="6"/>
      <c r="C53" s="6"/>
      <c r="D53" s="6"/>
      <c r="E53" s="6"/>
      <c r="F53" s="6"/>
      <c r="G53" s="6"/>
      <c r="H53" s="6"/>
      <c r="I53" s="6"/>
      <c r="J53" s="6"/>
      <c r="K53" s="6"/>
      <c r="L53" s="6">
        <v>6</v>
      </c>
      <c r="M53" s="6">
        <v>80</v>
      </c>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v>1</v>
      </c>
      <c r="BE53" s="6">
        <v>41</v>
      </c>
      <c r="BF53" s="6"/>
      <c r="BG53" s="6"/>
      <c r="BH53" s="6"/>
      <c r="BI53" s="6"/>
      <c r="BJ53" s="6"/>
      <c r="BK53" s="6"/>
      <c r="BL53" s="6"/>
      <c r="BM53" s="6"/>
      <c r="BN53" s="6"/>
      <c r="BO53" s="6"/>
      <c r="BP53" s="6"/>
      <c r="BQ53" s="6"/>
      <c r="BR53" s="6"/>
      <c r="BS53" s="6"/>
      <c r="BT53" s="6"/>
      <c r="BU53" s="6"/>
      <c r="BV53" s="8">
        <f t="shared" si="0"/>
        <v>7</v>
      </c>
      <c r="BW53" s="8">
        <f t="shared" si="1"/>
        <v>121</v>
      </c>
      <c r="BX53" s="52"/>
      <c r="BY53" s="52"/>
      <c r="BZ53" s="52"/>
    </row>
    <row r="54" spans="1:78" s="27" customFormat="1">
      <c r="A54" s="5" t="s">
        <v>87</v>
      </c>
      <c r="B54" s="6">
        <v>5</v>
      </c>
      <c r="C54" s="6">
        <v>117</v>
      </c>
      <c r="D54" s="6">
        <v>15</v>
      </c>
      <c r="E54" s="6">
        <v>1677</v>
      </c>
      <c r="F54" s="6">
        <v>11</v>
      </c>
      <c r="G54" s="6">
        <v>1598</v>
      </c>
      <c r="H54" s="6"/>
      <c r="I54" s="6"/>
      <c r="J54" s="6"/>
      <c r="K54" s="6"/>
      <c r="L54" s="6">
        <v>6</v>
      </c>
      <c r="M54" s="6">
        <v>132</v>
      </c>
      <c r="N54" s="6">
        <v>2</v>
      </c>
      <c r="O54" s="6">
        <v>70</v>
      </c>
      <c r="P54" s="6"/>
      <c r="Q54" s="6"/>
      <c r="R54" s="6">
        <v>2</v>
      </c>
      <c r="S54" s="6">
        <v>70</v>
      </c>
      <c r="T54" s="6">
        <v>1</v>
      </c>
      <c r="U54" s="6">
        <v>76</v>
      </c>
      <c r="V54" s="6">
        <v>4</v>
      </c>
      <c r="W54" s="6">
        <v>311</v>
      </c>
      <c r="X54" s="6">
        <v>9</v>
      </c>
      <c r="Y54" s="6">
        <v>2191</v>
      </c>
      <c r="Z54" s="6"/>
      <c r="AA54" s="6"/>
      <c r="AB54" s="6">
        <v>7</v>
      </c>
      <c r="AC54" s="6">
        <v>1688</v>
      </c>
      <c r="AD54" s="6">
        <v>1</v>
      </c>
      <c r="AE54" s="6">
        <v>328</v>
      </c>
      <c r="AF54" s="6">
        <v>1</v>
      </c>
      <c r="AG54" s="6">
        <v>759</v>
      </c>
      <c r="AH54" s="6"/>
      <c r="AI54" s="6"/>
      <c r="AJ54" s="6"/>
      <c r="AK54" s="6"/>
      <c r="AL54" s="6">
        <v>1</v>
      </c>
      <c r="AM54" s="6">
        <v>93</v>
      </c>
      <c r="AN54" s="6">
        <v>9</v>
      </c>
      <c r="AO54" s="6">
        <v>3328</v>
      </c>
      <c r="AP54" s="6"/>
      <c r="AQ54" s="6"/>
      <c r="AR54" s="6">
        <v>4</v>
      </c>
      <c r="AS54" s="6">
        <v>2976</v>
      </c>
      <c r="AT54" s="6">
        <v>1</v>
      </c>
      <c r="AU54" s="6">
        <v>378</v>
      </c>
      <c r="AV54" s="6">
        <v>1</v>
      </c>
      <c r="AW54" s="6">
        <v>94</v>
      </c>
      <c r="AX54" s="6"/>
      <c r="AY54" s="6"/>
      <c r="AZ54" s="6"/>
      <c r="BA54" s="6"/>
      <c r="BB54" s="6"/>
      <c r="BC54" s="6"/>
      <c r="BD54" s="6"/>
      <c r="BE54" s="6"/>
      <c r="BF54" s="6">
        <v>7</v>
      </c>
      <c r="BG54" s="6">
        <v>301</v>
      </c>
      <c r="BH54" s="6">
        <v>5</v>
      </c>
      <c r="BI54" s="6">
        <v>274</v>
      </c>
      <c r="BJ54" s="6"/>
      <c r="BK54" s="6"/>
      <c r="BL54" s="6">
        <v>7</v>
      </c>
      <c r="BM54" s="6">
        <v>239</v>
      </c>
      <c r="BN54" s="6">
        <v>5</v>
      </c>
      <c r="BO54" s="6">
        <v>119</v>
      </c>
      <c r="BP54" s="6"/>
      <c r="BQ54" s="6"/>
      <c r="BR54" s="6"/>
      <c r="BS54" s="6"/>
      <c r="BT54" s="6">
        <v>2</v>
      </c>
      <c r="BU54" s="6">
        <v>25</v>
      </c>
      <c r="BV54" s="8">
        <f t="shared" si="0"/>
        <v>106</v>
      </c>
      <c r="BW54" s="8">
        <f t="shared" si="1"/>
        <v>16844</v>
      </c>
      <c r="BX54" s="52"/>
      <c r="BY54" s="52"/>
      <c r="BZ54" s="52"/>
    </row>
    <row r="55" spans="1:78" s="27" customFormat="1">
      <c r="A55" s="5" t="s">
        <v>88</v>
      </c>
      <c r="B55" s="6"/>
      <c r="C55" s="6"/>
      <c r="D55" s="6"/>
      <c r="E55" s="6"/>
      <c r="F55" s="6"/>
      <c r="G55" s="6"/>
      <c r="H55" s="6"/>
      <c r="I55" s="6"/>
      <c r="J55" s="6"/>
      <c r="K55" s="6"/>
      <c r="L55" s="6">
        <v>8</v>
      </c>
      <c r="M55" s="6">
        <v>175</v>
      </c>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v>9</v>
      </c>
      <c r="BU55" s="6">
        <v>111</v>
      </c>
      <c r="BV55" s="8">
        <f t="shared" si="0"/>
        <v>17</v>
      </c>
      <c r="BW55" s="8">
        <f t="shared" si="1"/>
        <v>286</v>
      </c>
      <c r="BX55" s="52"/>
      <c r="BY55" s="52"/>
      <c r="BZ55" s="52"/>
    </row>
    <row r="56" spans="1:78" s="27" customFormat="1">
      <c r="A56" s="5" t="s">
        <v>89</v>
      </c>
      <c r="B56" s="6"/>
      <c r="C56" s="6"/>
      <c r="D56" s="6"/>
      <c r="E56" s="6"/>
      <c r="F56" s="6"/>
      <c r="G56" s="6"/>
      <c r="H56" s="6"/>
      <c r="I56" s="6"/>
      <c r="J56" s="6"/>
      <c r="K56" s="6"/>
      <c r="L56" s="6">
        <v>6</v>
      </c>
      <c r="M56" s="6">
        <v>90</v>
      </c>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v>1</v>
      </c>
      <c r="BE56" s="6">
        <v>39</v>
      </c>
      <c r="BF56" s="6"/>
      <c r="BG56" s="6"/>
      <c r="BH56" s="6"/>
      <c r="BI56" s="6"/>
      <c r="BJ56" s="6"/>
      <c r="BK56" s="6"/>
      <c r="BL56" s="6"/>
      <c r="BM56" s="6"/>
      <c r="BN56" s="6"/>
      <c r="BO56" s="6"/>
      <c r="BP56" s="6"/>
      <c r="BQ56" s="6"/>
      <c r="BR56" s="6"/>
      <c r="BS56" s="6"/>
      <c r="BT56" s="6">
        <v>2</v>
      </c>
      <c r="BU56" s="6">
        <v>24</v>
      </c>
      <c r="BV56" s="8">
        <f t="shared" si="0"/>
        <v>9</v>
      </c>
      <c r="BW56" s="8">
        <f t="shared" si="1"/>
        <v>153</v>
      </c>
      <c r="BX56" s="52"/>
      <c r="BY56" s="52"/>
      <c r="BZ56" s="52"/>
    </row>
    <row r="57" spans="1:78" s="27" customFormat="1">
      <c r="A57" s="5" t="s">
        <v>91</v>
      </c>
      <c r="B57" s="6"/>
      <c r="C57" s="6"/>
      <c r="D57" s="6"/>
      <c r="E57" s="6"/>
      <c r="F57" s="6"/>
      <c r="G57" s="6"/>
      <c r="H57" s="6"/>
      <c r="I57" s="6"/>
      <c r="J57" s="6"/>
      <c r="K57" s="6"/>
      <c r="L57" s="6">
        <v>1</v>
      </c>
      <c r="M57" s="6">
        <v>24</v>
      </c>
      <c r="N57" s="6"/>
      <c r="O57" s="6"/>
      <c r="P57" s="6"/>
      <c r="Q57" s="6"/>
      <c r="R57" s="6"/>
      <c r="S57" s="6"/>
      <c r="T57" s="6"/>
      <c r="U57" s="6"/>
      <c r="V57" s="6"/>
      <c r="W57" s="6"/>
      <c r="X57" s="6"/>
      <c r="Y57" s="6"/>
      <c r="Z57" s="6"/>
      <c r="AA57" s="6"/>
      <c r="AB57" s="6">
        <v>1</v>
      </c>
      <c r="AC57" s="6">
        <v>16</v>
      </c>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v>6</v>
      </c>
      <c r="BU57" s="6">
        <v>81</v>
      </c>
      <c r="BV57" s="8">
        <f t="shared" si="0"/>
        <v>8</v>
      </c>
      <c r="BW57" s="8">
        <f t="shared" si="1"/>
        <v>121</v>
      </c>
      <c r="BX57" s="52"/>
      <c r="BY57" s="52"/>
      <c r="BZ57" s="52"/>
    </row>
    <row r="58" spans="1:78" s="27" customFormat="1">
      <c r="A58" s="5" t="s">
        <v>92</v>
      </c>
      <c r="B58" s="6"/>
      <c r="C58" s="6"/>
      <c r="D58" s="6"/>
      <c r="E58" s="6"/>
      <c r="F58" s="6"/>
      <c r="G58" s="6"/>
      <c r="H58" s="6">
        <v>1</v>
      </c>
      <c r="I58" s="6">
        <v>82</v>
      </c>
      <c r="J58" s="6">
        <v>1</v>
      </c>
      <c r="K58" s="6">
        <v>39</v>
      </c>
      <c r="L58" s="6">
        <v>13</v>
      </c>
      <c r="M58" s="6">
        <v>283</v>
      </c>
      <c r="N58" s="6">
        <v>1</v>
      </c>
      <c r="O58" s="6">
        <v>15</v>
      </c>
      <c r="P58" s="6"/>
      <c r="Q58" s="6"/>
      <c r="R58" s="6"/>
      <c r="S58" s="6"/>
      <c r="T58" s="6">
        <v>1</v>
      </c>
      <c r="U58" s="6">
        <v>85</v>
      </c>
      <c r="V58" s="6">
        <v>1</v>
      </c>
      <c r="W58" s="6">
        <v>72</v>
      </c>
      <c r="X58" s="6">
        <v>3</v>
      </c>
      <c r="Y58" s="6">
        <v>523</v>
      </c>
      <c r="Z58" s="6"/>
      <c r="AA58" s="6"/>
      <c r="AB58" s="6">
        <v>6</v>
      </c>
      <c r="AC58" s="6">
        <v>941</v>
      </c>
      <c r="AD58" s="6">
        <v>3</v>
      </c>
      <c r="AE58" s="6">
        <v>349</v>
      </c>
      <c r="AF58" s="6">
        <v>1</v>
      </c>
      <c r="AG58" s="6">
        <v>74</v>
      </c>
      <c r="AH58" s="6">
        <v>1</v>
      </c>
      <c r="AI58" s="6">
        <v>246</v>
      </c>
      <c r="AJ58" s="6"/>
      <c r="AK58" s="6"/>
      <c r="AL58" s="6"/>
      <c r="AM58" s="6"/>
      <c r="AN58" s="6"/>
      <c r="AO58" s="6"/>
      <c r="AP58" s="6"/>
      <c r="AQ58" s="6"/>
      <c r="AR58" s="6">
        <v>1</v>
      </c>
      <c r="AS58" s="6">
        <v>208</v>
      </c>
      <c r="AT58" s="6"/>
      <c r="AU58" s="6"/>
      <c r="AV58" s="6"/>
      <c r="AW58" s="6"/>
      <c r="AX58" s="6"/>
      <c r="AY58" s="6"/>
      <c r="AZ58" s="6"/>
      <c r="BA58" s="6"/>
      <c r="BB58" s="6"/>
      <c r="BC58" s="6"/>
      <c r="BD58" s="6">
        <v>1</v>
      </c>
      <c r="BE58" s="6">
        <v>64</v>
      </c>
      <c r="BF58" s="6">
        <v>2</v>
      </c>
      <c r="BG58" s="6">
        <v>86</v>
      </c>
      <c r="BH58" s="6">
        <v>1</v>
      </c>
      <c r="BI58" s="6">
        <v>50</v>
      </c>
      <c r="BJ58" s="6"/>
      <c r="BK58" s="6"/>
      <c r="BL58" s="6"/>
      <c r="BM58" s="6"/>
      <c r="BN58" s="6"/>
      <c r="BO58" s="6"/>
      <c r="BP58" s="6"/>
      <c r="BQ58" s="6"/>
      <c r="BR58" s="6"/>
      <c r="BS58" s="6"/>
      <c r="BT58" s="6">
        <v>12</v>
      </c>
      <c r="BU58" s="6">
        <v>199</v>
      </c>
      <c r="BV58" s="8">
        <f t="shared" si="0"/>
        <v>49</v>
      </c>
      <c r="BW58" s="8">
        <f t="shared" si="1"/>
        <v>3316</v>
      </c>
      <c r="BX58" s="52"/>
      <c r="BY58" s="52"/>
      <c r="BZ58" s="52"/>
    </row>
    <row r="59" spans="1:78" s="27" customFormat="1">
      <c r="A59" s="5" t="s">
        <v>93</v>
      </c>
      <c r="B59" s="6">
        <v>9</v>
      </c>
      <c r="C59" s="6">
        <v>407</v>
      </c>
      <c r="D59" s="6">
        <v>9</v>
      </c>
      <c r="E59" s="6">
        <v>773</v>
      </c>
      <c r="F59" s="6">
        <v>4</v>
      </c>
      <c r="G59" s="6">
        <v>664</v>
      </c>
      <c r="H59" s="6"/>
      <c r="I59" s="6"/>
      <c r="J59" s="6">
        <v>1</v>
      </c>
      <c r="K59" s="6">
        <v>18</v>
      </c>
      <c r="L59" s="6">
        <v>4</v>
      </c>
      <c r="M59" s="6">
        <v>88</v>
      </c>
      <c r="N59" s="6">
        <v>1</v>
      </c>
      <c r="O59" s="6">
        <v>20</v>
      </c>
      <c r="P59" s="6"/>
      <c r="Q59" s="6"/>
      <c r="R59" s="6"/>
      <c r="S59" s="6"/>
      <c r="T59" s="6">
        <v>2</v>
      </c>
      <c r="U59" s="6">
        <v>311</v>
      </c>
      <c r="V59" s="6">
        <v>1</v>
      </c>
      <c r="W59" s="6">
        <v>42</v>
      </c>
      <c r="X59" s="6">
        <v>10</v>
      </c>
      <c r="Y59" s="6">
        <v>1872</v>
      </c>
      <c r="Z59" s="6"/>
      <c r="AA59" s="6"/>
      <c r="AB59" s="6">
        <v>7</v>
      </c>
      <c r="AC59" s="6">
        <v>1934</v>
      </c>
      <c r="AD59" s="6">
        <v>1</v>
      </c>
      <c r="AE59" s="6">
        <v>354</v>
      </c>
      <c r="AF59" s="6"/>
      <c r="AG59" s="6"/>
      <c r="AH59" s="6"/>
      <c r="AI59" s="6"/>
      <c r="AJ59" s="6"/>
      <c r="AK59" s="6"/>
      <c r="AL59" s="6"/>
      <c r="AM59" s="6"/>
      <c r="AN59" s="6">
        <v>4</v>
      </c>
      <c r="AO59" s="6">
        <v>1210</v>
      </c>
      <c r="AP59" s="6"/>
      <c r="AQ59" s="6"/>
      <c r="AR59" s="6">
        <v>10</v>
      </c>
      <c r="AS59" s="6">
        <v>3460</v>
      </c>
      <c r="AT59" s="6"/>
      <c r="AU59" s="6"/>
      <c r="AV59" s="6">
        <v>1</v>
      </c>
      <c r="AW59" s="6">
        <v>136</v>
      </c>
      <c r="AX59" s="6"/>
      <c r="AY59" s="6"/>
      <c r="AZ59" s="6"/>
      <c r="BA59" s="6"/>
      <c r="BB59" s="6"/>
      <c r="BC59" s="6"/>
      <c r="BD59" s="6">
        <v>1</v>
      </c>
      <c r="BE59" s="6">
        <v>45</v>
      </c>
      <c r="BF59" s="6">
        <v>1</v>
      </c>
      <c r="BG59" s="6">
        <v>49</v>
      </c>
      <c r="BH59" s="6">
        <v>2</v>
      </c>
      <c r="BI59" s="6">
        <v>164</v>
      </c>
      <c r="BJ59" s="6"/>
      <c r="BK59" s="6"/>
      <c r="BL59" s="6">
        <v>3</v>
      </c>
      <c r="BM59" s="6">
        <v>88</v>
      </c>
      <c r="BN59" s="6">
        <v>2</v>
      </c>
      <c r="BO59" s="6">
        <v>114</v>
      </c>
      <c r="BP59" s="6"/>
      <c r="BQ59" s="6"/>
      <c r="BR59" s="6"/>
      <c r="BS59" s="6"/>
      <c r="BT59" s="6">
        <v>1</v>
      </c>
      <c r="BU59" s="6">
        <v>10</v>
      </c>
      <c r="BV59" s="8">
        <f t="shared" si="0"/>
        <v>74</v>
      </c>
      <c r="BW59" s="8">
        <f t="shared" si="1"/>
        <v>11759</v>
      </c>
      <c r="BX59" s="52"/>
      <c r="BY59" s="52"/>
      <c r="BZ59" s="52"/>
    </row>
    <row r="60" spans="1:78" s="27" customFormat="1">
      <c r="A60" s="5" t="s">
        <v>94</v>
      </c>
      <c r="B60" s="6"/>
      <c r="C60" s="6"/>
      <c r="D60" s="6"/>
      <c r="E60" s="6"/>
      <c r="F60" s="6"/>
      <c r="G60" s="6"/>
      <c r="H60" s="6"/>
      <c r="I60" s="6"/>
      <c r="J60" s="6"/>
      <c r="K60" s="6"/>
      <c r="L60" s="6">
        <v>5</v>
      </c>
      <c r="M60" s="6">
        <v>87</v>
      </c>
      <c r="N60" s="6"/>
      <c r="O60" s="6"/>
      <c r="P60" s="6"/>
      <c r="Q60" s="6"/>
      <c r="R60" s="6"/>
      <c r="S60" s="6"/>
      <c r="T60" s="6"/>
      <c r="U60" s="6"/>
      <c r="V60" s="6"/>
      <c r="W60" s="6"/>
      <c r="X60" s="6"/>
      <c r="Y60" s="6"/>
      <c r="Z60" s="6"/>
      <c r="AA60" s="6"/>
      <c r="AB60" s="6"/>
      <c r="AC60" s="6"/>
      <c r="AD60" s="6">
        <v>1</v>
      </c>
      <c r="AE60" s="6">
        <v>110</v>
      </c>
      <c r="AF60" s="6"/>
      <c r="AG60" s="6"/>
      <c r="AH60" s="6"/>
      <c r="AI60" s="6"/>
      <c r="AJ60" s="6"/>
      <c r="AK60" s="6"/>
      <c r="AL60" s="6"/>
      <c r="AM60" s="6"/>
      <c r="AN60" s="6"/>
      <c r="AO60" s="6"/>
      <c r="AP60" s="6"/>
      <c r="AQ60" s="6"/>
      <c r="AR60" s="6"/>
      <c r="AS60" s="6"/>
      <c r="AT60" s="6"/>
      <c r="AU60" s="6"/>
      <c r="AV60" s="6"/>
      <c r="AW60" s="6"/>
      <c r="AX60" s="6"/>
      <c r="AY60" s="6"/>
      <c r="AZ60" s="6"/>
      <c r="BA60" s="6"/>
      <c r="BB60" s="6"/>
      <c r="BC60" s="6"/>
      <c r="BD60" s="6">
        <v>1</v>
      </c>
      <c r="BE60" s="6">
        <v>32</v>
      </c>
      <c r="BF60" s="6"/>
      <c r="BG60" s="6"/>
      <c r="BH60" s="6"/>
      <c r="BI60" s="6"/>
      <c r="BJ60" s="6"/>
      <c r="BK60" s="6"/>
      <c r="BL60" s="6"/>
      <c r="BM60" s="6"/>
      <c r="BN60" s="6"/>
      <c r="BO60" s="6"/>
      <c r="BP60" s="6"/>
      <c r="BQ60" s="6"/>
      <c r="BR60" s="6"/>
      <c r="BS60" s="6"/>
      <c r="BT60" s="6">
        <v>7</v>
      </c>
      <c r="BU60" s="6">
        <v>105</v>
      </c>
      <c r="BV60" s="8">
        <f t="shared" si="0"/>
        <v>14</v>
      </c>
      <c r="BW60" s="8">
        <f t="shared" si="1"/>
        <v>334</v>
      </c>
      <c r="BX60" s="52"/>
      <c r="BY60" s="52"/>
      <c r="BZ60" s="52"/>
    </row>
    <row r="61" spans="1:78" s="27" customFormat="1">
      <c r="A61" s="5" t="s">
        <v>95</v>
      </c>
      <c r="B61" s="6"/>
      <c r="C61" s="6"/>
      <c r="D61" s="6"/>
      <c r="E61" s="6"/>
      <c r="F61" s="6"/>
      <c r="G61" s="6"/>
      <c r="H61" s="6"/>
      <c r="I61" s="6"/>
      <c r="J61" s="6"/>
      <c r="K61" s="6"/>
      <c r="L61" s="6">
        <v>1</v>
      </c>
      <c r="M61" s="6">
        <v>20</v>
      </c>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v>1</v>
      </c>
      <c r="BE61" s="6">
        <v>48</v>
      </c>
      <c r="BF61" s="6"/>
      <c r="BG61" s="6"/>
      <c r="BH61" s="6"/>
      <c r="BI61" s="6"/>
      <c r="BJ61" s="6"/>
      <c r="BK61" s="6"/>
      <c r="BL61" s="6"/>
      <c r="BM61" s="6"/>
      <c r="BN61" s="6"/>
      <c r="BO61" s="6"/>
      <c r="BP61" s="6"/>
      <c r="BQ61" s="6"/>
      <c r="BR61" s="6"/>
      <c r="BS61" s="6"/>
      <c r="BT61" s="6"/>
      <c r="BU61" s="6"/>
      <c r="BV61" s="8">
        <f t="shared" si="0"/>
        <v>2</v>
      </c>
      <c r="BW61" s="8">
        <f t="shared" si="1"/>
        <v>68</v>
      </c>
      <c r="BX61" s="52"/>
      <c r="BY61" s="52"/>
      <c r="BZ61" s="52"/>
    </row>
    <row r="62" spans="1:78" s="51" customFormat="1">
      <c r="A62" s="11" t="s">
        <v>96</v>
      </c>
      <c r="B62" s="12">
        <f>SUM(B9:B61)</f>
        <v>69</v>
      </c>
      <c r="C62" s="12">
        <f t="shared" ref="C62:BD62" si="2">SUM(C9:C61)</f>
        <v>3384</v>
      </c>
      <c r="D62" s="12">
        <f t="shared" si="2"/>
        <v>116</v>
      </c>
      <c r="E62" s="12">
        <f t="shared" si="2"/>
        <v>11131</v>
      </c>
      <c r="F62" s="12">
        <f t="shared" si="2"/>
        <v>97</v>
      </c>
      <c r="G62" s="12">
        <f t="shared" si="2"/>
        <v>16995</v>
      </c>
      <c r="H62" s="12">
        <f t="shared" si="2"/>
        <v>3</v>
      </c>
      <c r="I62" s="12">
        <f t="shared" si="2"/>
        <v>259</v>
      </c>
      <c r="J62" s="12">
        <f t="shared" si="2"/>
        <v>16</v>
      </c>
      <c r="K62" s="12">
        <f t="shared" si="2"/>
        <v>2798</v>
      </c>
      <c r="L62" s="12">
        <f t="shared" si="2"/>
        <v>287</v>
      </c>
      <c r="M62" s="12">
        <f t="shared" si="2"/>
        <v>5410</v>
      </c>
      <c r="N62" s="12">
        <f t="shared" si="2"/>
        <v>16</v>
      </c>
      <c r="O62" s="12">
        <f t="shared" si="2"/>
        <v>527</v>
      </c>
      <c r="P62" s="12">
        <f t="shared" si="2"/>
        <v>1</v>
      </c>
      <c r="Q62" s="12">
        <f t="shared" si="2"/>
        <v>500</v>
      </c>
      <c r="R62" s="12">
        <f t="shared" si="2"/>
        <v>8</v>
      </c>
      <c r="S62" s="12">
        <f t="shared" si="2"/>
        <v>236</v>
      </c>
      <c r="T62" s="12">
        <f t="shared" si="2"/>
        <v>19</v>
      </c>
      <c r="U62" s="12">
        <f t="shared" si="2"/>
        <v>1734</v>
      </c>
      <c r="V62" s="12">
        <f t="shared" si="2"/>
        <v>40</v>
      </c>
      <c r="W62" s="12">
        <f t="shared" si="2"/>
        <v>5797</v>
      </c>
      <c r="X62" s="12">
        <f t="shared" si="2"/>
        <v>211</v>
      </c>
      <c r="Y62" s="12">
        <f t="shared" si="2"/>
        <v>57815</v>
      </c>
      <c r="Z62" s="12">
        <f t="shared" si="2"/>
        <v>8</v>
      </c>
      <c r="AA62" s="12">
        <f t="shared" si="2"/>
        <v>1770</v>
      </c>
      <c r="AB62" s="12">
        <f t="shared" si="2"/>
        <v>259</v>
      </c>
      <c r="AC62" s="12">
        <f t="shared" si="2"/>
        <v>80158</v>
      </c>
      <c r="AD62" s="12">
        <f t="shared" si="2"/>
        <v>33</v>
      </c>
      <c r="AE62" s="12">
        <f t="shared" si="2"/>
        <v>8277</v>
      </c>
      <c r="AF62" s="12">
        <f t="shared" si="2"/>
        <v>42</v>
      </c>
      <c r="AG62" s="12">
        <f t="shared" si="2"/>
        <v>8621</v>
      </c>
      <c r="AH62" s="12">
        <f t="shared" si="2"/>
        <v>3</v>
      </c>
      <c r="AI62" s="12">
        <f t="shared" si="2"/>
        <v>834</v>
      </c>
      <c r="AJ62" s="12">
        <f t="shared" si="2"/>
        <v>3</v>
      </c>
      <c r="AK62" s="12">
        <f t="shared" si="2"/>
        <v>78</v>
      </c>
      <c r="AL62" s="12">
        <f t="shared" si="2"/>
        <v>8</v>
      </c>
      <c r="AM62" s="12">
        <f t="shared" si="2"/>
        <v>1007</v>
      </c>
      <c r="AN62" s="12">
        <f t="shared" si="2"/>
        <v>62</v>
      </c>
      <c r="AO62" s="12">
        <f t="shared" si="2"/>
        <v>24040</v>
      </c>
      <c r="AP62" s="12">
        <f t="shared" si="2"/>
        <v>8</v>
      </c>
      <c r="AQ62" s="12">
        <f t="shared" si="2"/>
        <v>3598</v>
      </c>
      <c r="AR62" s="12">
        <f t="shared" si="2"/>
        <v>112</v>
      </c>
      <c r="AS62" s="12">
        <f t="shared" si="2"/>
        <v>47174</v>
      </c>
      <c r="AT62" s="12">
        <f t="shared" si="2"/>
        <v>7</v>
      </c>
      <c r="AU62" s="12">
        <f t="shared" si="2"/>
        <v>3881</v>
      </c>
      <c r="AV62" s="12">
        <f t="shared" si="2"/>
        <v>6</v>
      </c>
      <c r="AW62" s="12">
        <f t="shared" si="2"/>
        <v>1441</v>
      </c>
      <c r="AX62" s="12">
        <f t="shared" si="2"/>
        <v>3</v>
      </c>
      <c r="AY62" s="12">
        <f t="shared" si="2"/>
        <v>134</v>
      </c>
      <c r="AZ62" s="12">
        <f t="shared" si="2"/>
        <v>1</v>
      </c>
      <c r="BA62" s="12">
        <f t="shared" si="2"/>
        <v>152</v>
      </c>
      <c r="BB62" s="12">
        <f t="shared" si="2"/>
        <v>1</v>
      </c>
      <c r="BC62" s="12">
        <f t="shared" si="2"/>
        <v>132</v>
      </c>
      <c r="BD62" s="12">
        <f t="shared" si="2"/>
        <v>37</v>
      </c>
      <c r="BE62" s="12">
        <f t="shared" ref="BE62:BU62" si="3">SUM(BE9:BE61)</f>
        <v>1661</v>
      </c>
      <c r="BF62" s="12">
        <f t="shared" si="3"/>
        <v>38</v>
      </c>
      <c r="BG62" s="12">
        <f t="shared" si="3"/>
        <v>1770</v>
      </c>
      <c r="BH62" s="12">
        <f t="shared" si="3"/>
        <v>25</v>
      </c>
      <c r="BI62" s="12">
        <f t="shared" si="3"/>
        <v>1446</v>
      </c>
      <c r="BJ62" s="12">
        <f t="shared" si="3"/>
        <v>3</v>
      </c>
      <c r="BK62" s="12">
        <f t="shared" si="3"/>
        <v>236</v>
      </c>
      <c r="BL62" s="12">
        <f t="shared" si="3"/>
        <v>49</v>
      </c>
      <c r="BM62" s="12">
        <f t="shared" si="3"/>
        <v>1942</v>
      </c>
      <c r="BN62" s="12">
        <f t="shared" si="3"/>
        <v>27</v>
      </c>
      <c r="BO62" s="12">
        <f t="shared" si="3"/>
        <v>1056</v>
      </c>
      <c r="BP62" s="12">
        <f t="shared" si="3"/>
        <v>2</v>
      </c>
      <c r="BQ62" s="12">
        <f t="shared" si="3"/>
        <v>86</v>
      </c>
      <c r="BR62" s="12">
        <f t="shared" si="3"/>
        <v>1</v>
      </c>
      <c r="BS62" s="12">
        <f t="shared" si="3"/>
        <v>23</v>
      </c>
      <c r="BT62" s="12">
        <f t="shared" si="3"/>
        <v>159</v>
      </c>
      <c r="BU62" s="12">
        <f t="shared" si="3"/>
        <v>2389</v>
      </c>
      <c r="BV62" s="12">
        <f t="shared" si="0"/>
        <v>1780</v>
      </c>
      <c r="BW62" s="12">
        <f t="shared" si="1"/>
        <v>298492</v>
      </c>
      <c r="BX62" s="52"/>
      <c r="BY62" s="52"/>
      <c r="BZ62" s="52"/>
    </row>
    <row r="63" spans="1:78" s="27" customFormat="1" ht="12.75">
      <c r="A63" s="48" t="s">
        <v>189</v>
      </c>
      <c r="BV63" s="54"/>
      <c r="BW63" s="54"/>
    </row>
    <row r="64" spans="1:78" s="27" customFormat="1" ht="12.75">
      <c r="A64" s="50" t="s">
        <v>190</v>
      </c>
      <c r="BV64" s="54"/>
      <c r="BW64" s="54"/>
    </row>
    <row r="65" spans="1:75" s="55" customFormat="1" ht="12.75">
      <c r="A65" s="50" t="s">
        <v>191</v>
      </c>
      <c r="BV65" s="56"/>
      <c r="BW65" s="57"/>
    </row>
  </sheetData>
  <sheetProtection password="C668" sheet="1"/>
  <mergeCells count="38">
    <mergeCell ref="J6:K6"/>
    <mergeCell ref="A6:A8"/>
    <mergeCell ref="B6:C6"/>
    <mergeCell ref="D6:E6"/>
    <mergeCell ref="F6:G6"/>
    <mergeCell ref="H6:I6"/>
    <mergeCell ref="AH6:AI6"/>
    <mergeCell ref="L6:M6"/>
    <mergeCell ref="N6:O6"/>
    <mergeCell ref="P6:Q6"/>
    <mergeCell ref="R6:S6"/>
    <mergeCell ref="T6:U6"/>
    <mergeCell ref="V6:W6"/>
    <mergeCell ref="X6:Y6"/>
    <mergeCell ref="Z6:AA6"/>
    <mergeCell ref="AB6:AC6"/>
    <mergeCell ref="AD6:AE6"/>
    <mergeCell ref="AF6:AG6"/>
    <mergeCell ref="AV6:AW6"/>
    <mergeCell ref="AZ6:BA6"/>
    <mergeCell ref="BB6:BC6"/>
    <mergeCell ref="AJ6:AK6"/>
    <mergeCell ref="AL6:AM6"/>
    <mergeCell ref="AN6:AO6"/>
    <mergeCell ref="AP6:AQ6"/>
    <mergeCell ref="AR6:AS6"/>
    <mergeCell ref="AT6:AU6"/>
    <mergeCell ref="AX6:AY6"/>
    <mergeCell ref="BR6:BS6"/>
    <mergeCell ref="BD6:BE6"/>
    <mergeCell ref="BF6:BG6"/>
    <mergeCell ref="BT6:BU6"/>
    <mergeCell ref="BV6:BW6"/>
    <mergeCell ref="BH6:BI6"/>
    <mergeCell ref="BJ6:BK6"/>
    <mergeCell ref="BL6:BM6"/>
    <mergeCell ref="BN6:BO6"/>
    <mergeCell ref="BP6:BQ6"/>
  </mergeCells>
  <conditionalFormatting sqref="A9:AY62">
    <cfRule type="expression" priority="2">
      <formula>SI(0," ")</formula>
    </cfRule>
  </conditionalFormatting>
  <conditionalFormatting sqref="A9:BU61">
    <cfRule type="expression" dxfId="14" priority="1" stopIfTrue="1">
      <formula>MOD(ROW(),2)=0</formula>
    </cfRule>
  </conditionalFormatting>
  <conditionalFormatting sqref="J2">
    <cfRule type="expression" priority="16">
      <formula>SI($C$42," ")</formula>
    </cfRule>
  </conditionalFormatting>
  <conditionalFormatting sqref="AZ9:IV62 A2:XFD8 A63:XFD65">
    <cfRule type="expression" priority="17">
      <formula>SI(0," ")</formula>
    </cfRule>
  </conditionalFormatting>
  <conditionalFormatting sqref="BV9:BW62">
    <cfRule type="expression" dxfId="13" priority="13" stopIfTrue="1">
      <formula>MOD(ROW(),2)=0</formula>
    </cfRule>
  </conditionalFormatting>
  <pageMargins left="0.70866141732283472" right="0.70866141732283472" top="0.74803149606299213" bottom="0.74803149606299213" header="0.31496062992125984" footer="0.31496062992125984"/>
  <pageSetup paperSize="8" scale="70" orientation="landscape" r:id="rId1"/>
  <colBreaks count="4" manualBreakCount="4">
    <brk id="17" max="1048575" man="1"/>
    <brk id="33" max="1048575" man="1"/>
    <brk id="49" max="1048575" man="1"/>
    <brk id="65"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3:N58"/>
  <sheetViews>
    <sheetView showGridLines="0" workbookViewId="0"/>
  </sheetViews>
  <sheetFormatPr baseColWidth="10" defaultRowHeight="15"/>
  <cols>
    <col min="1" max="1" width="25.140625" customWidth="1"/>
    <col min="2" max="2" width="5.7109375" customWidth="1"/>
    <col min="3" max="3" width="17" bestFit="1" customWidth="1"/>
    <col min="4" max="4" width="15.140625" bestFit="1" customWidth="1"/>
    <col min="5" max="5" width="14" bestFit="1" customWidth="1"/>
    <col min="8" max="8" width="25.140625" customWidth="1"/>
    <col min="9" max="9" width="5.7109375" customWidth="1"/>
    <col min="10" max="10" width="17" customWidth="1"/>
    <col min="11" max="11" width="15.140625" customWidth="1"/>
    <col min="12" max="12" width="14" customWidth="1"/>
  </cols>
  <sheetData>
    <row r="3" spans="1:13" s="60" customFormat="1" ht="16.5">
      <c r="A3" s="58" t="s">
        <v>246</v>
      </c>
      <c r="B3" s="59"/>
      <c r="H3" s="59"/>
      <c r="I3" s="59"/>
    </row>
    <row r="4" spans="1:13" s="63" customFormat="1" ht="16.5">
      <c r="A4" s="61" t="s">
        <v>247</v>
      </c>
      <c r="B4" s="62"/>
      <c r="H4" s="62"/>
      <c r="I4" s="62"/>
      <c r="L4" s="64"/>
    </row>
    <row r="5" spans="1:13" s="63" customFormat="1" ht="16.5">
      <c r="A5" s="61" t="s">
        <v>248</v>
      </c>
      <c r="B5" s="62"/>
      <c r="H5" s="62"/>
      <c r="I5" s="62"/>
    </row>
    <row r="6" spans="1:13" s="63" customFormat="1" ht="16.5">
      <c r="A6" s="61"/>
      <c r="B6" s="62"/>
      <c r="H6" s="62"/>
      <c r="I6" s="62"/>
    </row>
    <row r="7" spans="1:13" s="60" customFormat="1" ht="12.75">
      <c r="A7" s="59"/>
      <c r="B7" s="59"/>
      <c r="H7" s="59"/>
      <c r="I7" s="59"/>
    </row>
    <row r="8" spans="1:13" s="60" customFormat="1" ht="12.75">
      <c r="A8" s="130" t="s">
        <v>104</v>
      </c>
      <c r="B8" s="130"/>
      <c r="C8" s="103" t="s">
        <v>105</v>
      </c>
      <c r="D8" s="103" t="s">
        <v>106</v>
      </c>
      <c r="E8" s="103" t="s">
        <v>107</v>
      </c>
      <c r="F8" s="103" t="s">
        <v>108</v>
      </c>
      <c r="G8" s="104"/>
      <c r="H8" s="130" t="s">
        <v>104</v>
      </c>
      <c r="I8" s="130"/>
      <c r="J8" s="103" t="s">
        <v>105</v>
      </c>
      <c r="K8" s="103" t="s">
        <v>106</v>
      </c>
      <c r="L8" s="103" t="s">
        <v>107</v>
      </c>
      <c r="M8" s="103" t="s">
        <v>108</v>
      </c>
    </row>
    <row r="9" spans="1:13" s="63" customFormat="1" ht="12.75">
      <c r="A9" s="131" t="s">
        <v>109</v>
      </c>
      <c r="B9" s="131"/>
      <c r="C9" s="105" t="s">
        <v>110</v>
      </c>
      <c r="D9" s="105" t="s">
        <v>111</v>
      </c>
      <c r="E9" s="105" t="s">
        <v>112</v>
      </c>
      <c r="F9" s="105" t="s">
        <v>113</v>
      </c>
      <c r="G9" s="106"/>
      <c r="H9" s="131" t="s">
        <v>109</v>
      </c>
      <c r="I9" s="131"/>
      <c r="J9" s="105" t="s">
        <v>110</v>
      </c>
      <c r="K9" s="105" t="s">
        <v>111</v>
      </c>
      <c r="L9" s="105" t="s">
        <v>112</v>
      </c>
      <c r="M9" s="105" t="s">
        <v>113</v>
      </c>
    </row>
    <row r="10" spans="1:13" s="63" customFormat="1" ht="12.75">
      <c r="A10" s="131" t="s">
        <v>114</v>
      </c>
      <c r="B10" s="131"/>
      <c r="C10" s="105" t="s">
        <v>115</v>
      </c>
      <c r="D10" s="105" t="s">
        <v>116</v>
      </c>
      <c r="E10" s="105" t="s">
        <v>117</v>
      </c>
      <c r="F10" s="105" t="s">
        <v>118</v>
      </c>
      <c r="G10" s="106"/>
      <c r="H10" s="131" t="s">
        <v>114</v>
      </c>
      <c r="I10" s="131"/>
      <c r="J10" s="105" t="s">
        <v>115</v>
      </c>
      <c r="K10" s="105" t="s">
        <v>116</v>
      </c>
      <c r="L10" s="105" t="s">
        <v>117</v>
      </c>
      <c r="M10" s="105" t="s">
        <v>118</v>
      </c>
    </row>
    <row r="11" spans="1:13" s="60" customFormat="1">
      <c r="A11" s="132" t="s">
        <v>119</v>
      </c>
      <c r="B11" s="132"/>
      <c r="C11" s="66">
        <v>79</v>
      </c>
      <c r="D11" s="66">
        <v>1527</v>
      </c>
      <c r="E11" s="66">
        <v>4898</v>
      </c>
      <c r="F11" s="67">
        <f>E11/E$17</f>
        <v>0.12674999353052299</v>
      </c>
      <c r="G11" s="68"/>
      <c r="H11" s="132" t="s">
        <v>25</v>
      </c>
      <c r="I11" s="132"/>
      <c r="J11" s="66">
        <v>3</v>
      </c>
      <c r="K11" s="66">
        <v>33</v>
      </c>
      <c r="L11" s="66">
        <v>78</v>
      </c>
      <c r="M11" s="67">
        <f>L11/L$19</f>
        <v>9.7655027355927535E-4</v>
      </c>
    </row>
    <row r="12" spans="1:13" s="60" customFormat="1">
      <c r="A12" s="132" t="s">
        <v>120</v>
      </c>
      <c r="B12" s="132"/>
      <c r="C12" s="66">
        <v>121</v>
      </c>
      <c r="D12" s="66">
        <v>4806</v>
      </c>
      <c r="E12" s="66">
        <v>13019</v>
      </c>
      <c r="F12" s="67">
        <f>E12/E$17</f>
        <v>0.33690448464146161</v>
      </c>
      <c r="G12" s="68"/>
      <c r="H12" s="132" t="s">
        <v>26</v>
      </c>
      <c r="I12" s="132"/>
      <c r="J12" s="66">
        <v>9</v>
      </c>
      <c r="K12" s="66">
        <v>429</v>
      </c>
      <c r="L12" s="66">
        <v>1117</v>
      </c>
      <c r="M12" s="67">
        <f t="shared" ref="M12:M17" si="0">L12/L$19</f>
        <v>1.3984700712380905E-2</v>
      </c>
    </row>
    <row r="13" spans="1:13" s="60" customFormat="1">
      <c r="A13" s="132" t="s">
        <v>121</v>
      </c>
      <c r="B13" s="132"/>
      <c r="C13" s="66">
        <v>104</v>
      </c>
      <c r="D13" s="66">
        <v>7284</v>
      </c>
      <c r="E13" s="66">
        <v>18557</v>
      </c>
      <c r="F13" s="67">
        <f>E13/E$17</f>
        <v>0.48021633931113011</v>
      </c>
      <c r="G13" s="68"/>
      <c r="H13" s="132" t="s">
        <v>27</v>
      </c>
      <c r="I13" s="132"/>
      <c r="J13" s="66">
        <v>76</v>
      </c>
      <c r="K13" s="66">
        <v>12874</v>
      </c>
      <c r="L13" s="66">
        <v>29019</v>
      </c>
      <c r="M13" s="67">
        <f t="shared" si="0"/>
        <v>0.36331426138995654</v>
      </c>
    </row>
    <row r="14" spans="1:13" s="60" customFormat="1">
      <c r="A14" s="132" t="s">
        <v>251</v>
      </c>
      <c r="B14" s="132"/>
      <c r="C14" s="66">
        <v>1</v>
      </c>
      <c r="D14" s="66">
        <v>24</v>
      </c>
      <c r="E14" s="66">
        <v>69</v>
      </c>
      <c r="F14" s="67">
        <f>E14/E$17</f>
        <v>1.7855756540641255E-3</v>
      </c>
      <c r="G14" s="68"/>
      <c r="H14" s="132" t="s">
        <v>209</v>
      </c>
      <c r="I14" s="132"/>
      <c r="J14" s="66">
        <v>6</v>
      </c>
      <c r="K14" s="66">
        <v>1051</v>
      </c>
      <c r="L14" s="66">
        <v>3287</v>
      </c>
      <c r="M14" s="67">
        <f t="shared" si="0"/>
        <v>4.1152830117812025E-2</v>
      </c>
    </row>
    <row r="15" spans="1:13" s="60" customFormat="1">
      <c r="A15" s="132" t="s">
        <v>122</v>
      </c>
      <c r="B15" s="132"/>
      <c r="C15" s="66">
        <v>10</v>
      </c>
      <c r="D15" s="66">
        <v>649</v>
      </c>
      <c r="E15" s="66">
        <v>2100</v>
      </c>
      <c r="F15" s="67">
        <f>E15/E$17</f>
        <v>5.4343606862821213E-2</v>
      </c>
      <c r="G15" s="68"/>
      <c r="H15" s="132" t="s">
        <v>28</v>
      </c>
      <c r="I15" s="132"/>
      <c r="J15" s="66">
        <v>99</v>
      </c>
      <c r="K15" s="66">
        <v>19497</v>
      </c>
      <c r="L15" s="66">
        <v>43240</v>
      </c>
      <c r="M15" s="67">
        <f t="shared" si="0"/>
        <v>0.5413594080602957</v>
      </c>
    </row>
    <row r="16" spans="1:13" s="60" customFormat="1">
      <c r="A16" s="65"/>
      <c r="B16" s="65"/>
      <c r="C16" s="66"/>
      <c r="D16" s="66"/>
      <c r="E16" s="66"/>
      <c r="F16" s="67"/>
      <c r="G16" s="68"/>
      <c r="H16" s="132" t="s">
        <v>210</v>
      </c>
      <c r="I16" s="132"/>
      <c r="J16" s="66">
        <v>4</v>
      </c>
      <c r="K16" s="66">
        <v>991</v>
      </c>
      <c r="L16" s="66">
        <v>2028</v>
      </c>
      <c r="M16" s="67">
        <f t="shared" si="0"/>
        <v>2.5390307112541158E-2</v>
      </c>
    </row>
    <row r="17" spans="1:14" s="60" customFormat="1">
      <c r="A17" s="133" t="s">
        <v>123</v>
      </c>
      <c r="B17" s="133"/>
      <c r="C17" s="69">
        <f>SUM(C11:C15)</f>
        <v>315</v>
      </c>
      <c r="D17" s="69">
        <f>SUM(D11:D15)</f>
        <v>14290</v>
      </c>
      <c r="E17" s="69">
        <f>SUM(E11:E15)</f>
        <v>38643</v>
      </c>
      <c r="F17" s="70">
        <f>SUM(F11:F15)</f>
        <v>1</v>
      </c>
      <c r="G17" s="68"/>
      <c r="H17" s="132" t="s">
        <v>29</v>
      </c>
      <c r="I17" s="132"/>
      <c r="J17" s="66">
        <v>5</v>
      </c>
      <c r="K17" s="66">
        <v>549</v>
      </c>
      <c r="L17" s="66">
        <v>1104</v>
      </c>
      <c r="M17" s="67">
        <f t="shared" si="0"/>
        <v>1.3821942333454358E-2</v>
      </c>
    </row>
    <row r="18" spans="1:14" s="60" customFormat="1">
      <c r="A18" s="132"/>
      <c r="B18" s="132"/>
      <c r="C18" s="66"/>
      <c r="D18" s="66"/>
      <c r="E18" s="66"/>
      <c r="F18" s="67"/>
      <c r="G18" s="68"/>
      <c r="H18" s="132" t="s">
        <v>211</v>
      </c>
      <c r="I18" s="132"/>
      <c r="J18" s="66"/>
      <c r="K18" s="66"/>
      <c r="L18" s="66"/>
      <c r="M18" s="67"/>
    </row>
    <row r="19" spans="1:14" s="60" customFormat="1">
      <c r="A19" s="133" t="s">
        <v>7</v>
      </c>
      <c r="B19" s="133"/>
      <c r="C19" s="69">
        <v>37</v>
      </c>
      <c r="D19" s="69">
        <v>787</v>
      </c>
      <c r="E19" s="69">
        <v>1553</v>
      </c>
      <c r="F19" s="70">
        <f>E19/E19</f>
        <v>1</v>
      </c>
      <c r="G19" s="68"/>
      <c r="H19" s="133" t="s">
        <v>124</v>
      </c>
      <c r="I19" s="133"/>
      <c r="J19" s="69">
        <f>SUM(J11:J18)</f>
        <v>202</v>
      </c>
      <c r="K19" s="69">
        <f>SUM(K11:K18)</f>
        <v>35424</v>
      </c>
      <c r="L19" s="69">
        <f>SUM(L11:L18)</f>
        <v>79873</v>
      </c>
      <c r="M19" s="70">
        <f>SUM(M11:M18)</f>
        <v>1</v>
      </c>
    </row>
    <row r="20" spans="1:14" s="60" customFormat="1">
      <c r="A20" s="133" t="s">
        <v>167</v>
      </c>
      <c r="B20" s="133"/>
      <c r="C20" s="69">
        <v>245</v>
      </c>
      <c r="D20" s="69">
        <v>1956</v>
      </c>
      <c r="E20" s="69">
        <v>4108</v>
      </c>
      <c r="F20" s="70">
        <f>E20/E20</f>
        <v>1</v>
      </c>
      <c r="G20" s="68"/>
      <c r="H20" s="66"/>
      <c r="I20" s="66"/>
      <c r="J20" s="66"/>
      <c r="K20" s="66"/>
      <c r="L20" s="66"/>
      <c r="M20" s="66"/>
    </row>
    <row r="21" spans="1:14" s="60" customFormat="1">
      <c r="A21" s="133" t="s">
        <v>8</v>
      </c>
      <c r="B21" s="133"/>
      <c r="C21" s="69">
        <v>103</v>
      </c>
      <c r="D21" s="69">
        <v>675</v>
      </c>
      <c r="E21" s="69">
        <v>1373</v>
      </c>
      <c r="F21" s="70">
        <f>E21/E21</f>
        <v>1</v>
      </c>
      <c r="G21" s="68"/>
      <c r="H21" s="132" t="s">
        <v>30</v>
      </c>
      <c r="I21" s="132"/>
      <c r="J21" s="66"/>
      <c r="K21" s="66"/>
      <c r="L21" s="66"/>
      <c r="M21" s="67"/>
      <c r="N21" s="79"/>
    </row>
    <row r="22" spans="1:14" s="60" customFormat="1">
      <c r="A22" s="133" t="s">
        <v>207</v>
      </c>
      <c r="B22" s="133"/>
      <c r="C22" s="69">
        <v>1</v>
      </c>
      <c r="D22" s="69"/>
      <c r="E22" s="69">
        <v>500</v>
      </c>
      <c r="F22" s="70">
        <f>E22/E22</f>
        <v>1</v>
      </c>
      <c r="G22" s="68"/>
      <c r="H22" s="132" t="s">
        <v>31</v>
      </c>
      <c r="I22" s="132"/>
      <c r="J22" s="66"/>
      <c r="K22" s="66"/>
      <c r="L22" s="66"/>
      <c r="M22" s="67"/>
    </row>
    <row r="23" spans="1:14" s="60" customFormat="1">
      <c r="A23" s="132"/>
      <c r="B23" s="132"/>
      <c r="C23" s="66"/>
      <c r="D23" s="66"/>
      <c r="E23" s="66"/>
      <c r="F23" s="67"/>
      <c r="G23" s="68"/>
      <c r="H23" s="132" t="s">
        <v>32</v>
      </c>
      <c r="I23" s="132"/>
      <c r="J23" s="66"/>
      <c r="K23" s="66"/>
      <c r="L23" s="66"/>
      <c r="M23" s="67"/>
    </row>
    <row r="24" spans="1:14" s="60" customFormat="1">
      <c r="A24" s="132" t="s">
        <v>12</v>
      </c>
      <c r="B24" s="132"/>
      <c r="C24" s="66"/>
      <c r="D24" s="66"/>
      <c r="E24" s="66"/>
      <c r="F24" s="67"/>
      <c r="G24" s="68"/>
      <c r="H24" s="132" t="s">
        <v>33</v>
      </c>
      <c r="I24" s="132"/>
      <c r="J24" s="66"/>
      <c r="K24" s="66"/>
      <c r="L24" s="66"/>
      <c r="M24" s="67"/>
    </row>
    <row r="25" spans="1:14" s="60" customFormat="1">
      <c r="A25" s="132" t="s">
        <v>13</v>
      </c>
      <c r="B25" s="132"/>
      <c r="C25" s="66">
        <v>1</v>
      </c>
      <c r="D25" s="66">
        <v>324</v>
      </c>
      <c r="E25" s="66">
        <v>660</v>
      </c>
      <c r="F25" s="67">
        <f>E25/E$27</f>
        <v>0.37120359955005622</v>
      </c>
      <c r="G25" s="68"/>
      <c r="H25" s="133" t="s">
        <v>125</v>
      </c>
      <c r="I25" s="133"/>
      <c r="J25" s="69"/>
      <c r="K25" s="69"/>
      <c r="L25" s="69"/>
      <c r="M25" s="70"/>
    </row>
    <row r="26" spans="1:14" s="60" customFormat="1">
      <c r="A26" s="132" t="s">
        <v>14</v>
      </c>
      <c r="B26" s="132"/>
      <c r="C26" s="66">
        <v>1</v>
      </c>
      <c r="D26" s="66">
        <v>413</v>
      </c>
      <c r="E26" s="66">
        <v>1118</v>
      </c>
      <c r="F26" s="67">
        <f>E26/E$27</f>
        <v>0.62879640044994378</v>
      </c>
      <c r="G26" s="68"/>
      <c r="H26" s="134"/>
      <c r="I26" s="134"/>
      <c r="J26" s="71"/>
      <c r="K26" s="71"/>
      <c r="L26" s="71"/>
      <c r="M26" s="72"/>
      <c r="N26" s="79"/>
    </row>
    <row r="27" spans="1:14" s="60" customFormat="1">
      <c r="A27" s="133" t="s">
        <v>129</v>
      </c>
      <c r="B27" s="133"/>
      <c r="C27" s="69">
        <f>SUM(C24:C26)</f>
        <v>2</v>
      </c>
      <c r="D27" s="69">
        <f>SUM(D24:D26)</f>
        <v>737</v>
      </c>
      <c r="E27" s="69">
        <f>SUM(E24:E26)</f>
        <v>1778</v>
      </c>
      <c r="F27" s="70">
        <f>SUM(F25:F26)</f>
        <v>1</v>
      </c>
      <c r="G27" s="68"/>
      <c r="H27" s="132" t="s">
        <v>35</v>
      </c>
      <c r="I27" s="132"/>
      <c r="J27" s="66">
        <v>40</v>
      </c>
      <c r="K27" s="66">
        <v>1031</v>
      </c>
      <c r="L27" s="66">
        <v>1925</v>
      </c>
      <c r="M27" s="67">
        <f>L27/L$30</f>
        <v>0.53546592489568845</v>
      </c>
    </row>
    <row r="28" spans="1:14" s="60" customFormat="1">
      <c r="A28" s="132"/>
      <c r="B28" s="132"/>
      <c r="C28" s="66"/>
      <c r="D28" s="66"/>
      <c r="E28" s="66"/>
      <c r="F28" s="67"/>
      <c r="G28" s="68"/>
      <c r="H28" s="132" t="s">
        <v>36</v>
      </c>
      <c r="I28" s="132"/>
      <c r="J28" s="66">
        <v>25</v>
      </c>
      <c r="K28" s="66">
        <v>765</v>
      </c>
      <c r="L28" s="66">
        <v>1434</v>
      </c>
      <c r="M28" s="67">
        <f>L28/L$30</f>
        <v>0.39888734353268429</v>
      </c>
    </row>
    <row r="29" spans="1:14" s="60" customFormat="1">
      <c r="A29" s="132" t="s">
        <v>15</v>
      </c>
      <c r="B29" s="132"/>
      <c r="C29" s="66">
        <v>21</v>
      </c>
      <c r="D29" s="66">
        <v>1046</v>
      </c>
      <c r="E29" s="66">
        <v>1903</v>
      </c>
      <c r="F29" s="67">
        <f>E29/E$37</f>
        <v>1.2187858254503999E-2</v>
      </c>
      <c r="G29" s="68"/>
      <c r="H29" s="132" t="s">
        <v>37</v>
      </c>
      <c r="I29" s="132"/>
      <c r="J29" s="66">
        <v>3</v>
      </c>
      <c r="K29" s="66">
        <v>128</v>
      </c>
      <c r="L29" s="66">
        <v>236</v>
      </c>
      <c r="M29" s="67">
        <f>L29/L$30</f>
        <v>6.5646731571627259E-2</v>
      </c>
    </row>
    <row r="30" spans="1:14" s="60" customFormat="1">
      <c r="A30" s="132" t="s">
        <v>16</v>
      </c>
      <c r="B30" s="132"/>
      <c r="C30" s="66">
        <v>45</v>
      </c>
      <c r="D30" s="66">
        <v>3464</v>
      </c>
      <c r="E30" s="66">
        <v>6506</v>
      </c>
      <c r="F30" s="67">
        <f t="shared" ref="F30:F36" si="1">E30/E$37</f>
        <v>4.1668000947873367E-2</v>
      </c>
      <c r="G30" s="68"/>
      <c r="H30" s="133" t="s">
        <v>128</v>
      </c>
      <c r="I30" s="133"/>
      <c r="J30" s="69">
        <f>SUM(J27:J29)</f>
        <v>68</v>
      </c>
      <c r="K30" s="69">
        <f>SUM(K27:K29)</f>
        <v>1924</v>
      </c>
      <c r="L30" s="69">
        <f>SUM(L27:L29)</f>
        <v>3595</v>
      </c>
      <c r="M30" s="70">
        <f>SUM(M27:M29)</f>
        <v>1</v>
      </c>
    </row>
    <row r="31" spans="1:14" s="60" customFormat="1">
      <c r="A31" s="132" t="s">
        <v>17</v>
      </c>
      <c r="B31" s="132"/>
      <c r="C31" s="66">
        <v>240</v>
      </c>
      <c r="D31" s="66">
        <v>37373</v>
      </c>
      <c r="E31" s="66">
        <v>70450</v>
      </c>
      <c r="F31" s="67">
        <f t="shared" si="1"/>
        <v>0.45120053285854272</v>
      </c>
      <c r="G31" s="68"/>
      <c r="H31" s="134"/>
      <c r="I31" s="134"/>
      <c r="J31" s="71"/>
      <c r="K31" s="71"/>
      <c r="L31" s="71"/>
      <c r="M31" s="72"/>
    </row>
    <row r="32" spans="1:14" s="60" customFormat="1">
      <c r="A32" s="132" t="s">
        <v>208</v>
      </c>
      <c r="B32" s="132"/>
      <c r="C32" s="66">
        <v>9</v>
      </c>
      <c r="D32" s="66">
        <v>920</v>
      </c>
      <c r="E32" s="66">
        <v>1768</v>
      </c>
      <c r="F32" s="67">
        <f t="shared" si="1"/>
        <v>1.1323244032560732E-2</v>
      </c>
      <c r="G32" s="68"/>
      <c r="H32" s="132" t="s">
        <v>38</v>
      </c>
      <c r="I32" s="132"/>
      <c r="J32" s="66">
        <v>53</v>
      </c>
      <c r="K32" s="66">
        <v>1185</v>
      </c>
      <c r="L32" s="66">
        <v>2203</v>
      </c>
      <c r="M32" s="67">
        <f>L32/L$35</f>
        <v>0.61364902506963792</v>
      </c>
    </row>
    <row r="33" spans="1:13" s="60" customFormat="1">
      <c r="A33" s="132" t="s">
        <v>168</v>
      </c>
      <c r="B33" s="132"/>
      <c r="C33" s="66">
        <v>207</v>
      </c>
      <c r="D33" s="66">
        <v>32797</v>
      </c>
      <c r="E33" s="66">
        <v>63110</v>
      </c>
      <c r="F33" s="67">
        <f t="shared" si="1"/>
        <v>0.40419113738399759</v>
      </c>
      <c r="G33" s="68"/>
      <c r="H33" s="132" t="s">
        <v>39</v>
      </c>
      <c r="I33" s="132"/>
      <c r="J33" s="66">
        <v>31</v>
      </c>
      <c r="K33" s="66">
        <v>705</v>
      </c>
      <c r="L33" s="66">
        <v>1301</v>
      </c>
      <c r="M33" s="67">
        <f>L33/L$35</f>
        <v>0.36239554317548744</v>
      </c>
    </row>
    <row r="34" spans="1:13" s="60" customFormat="1">
      <c r="A34" s="132" t="s">
        <v>200</v>
      </c>
      <c r="B34" s="132"/>
      <c r="C34" s="66">
        <v>25</v>
      </c>
      <c r="D34" s="66">
        <v>2649</v>
      </c>
      <c r="E34" s="66">
        <v>5282</v>
      </c>
      <c r="F34" s="67">
        <f t="shared" si="1"/>
        <v>3.3828832002254401E-2</v>
      </c>
      <c r="G34" s="68"/>
      <c r="H34" s="132" t="s">
        <v>40</v>
      </c>
      <c r="I34" s="132"/>
      <c r="J34" s="66">
        <v>2</v>
      </c>
      <c r="K34" s="66">
        <v>46</v>
      </c>
      <c r="L34" s="66">
        <v>86</v>
      </c>
      <c r="M34" s="67">
        <f>L34/L$35</f>
        <v>2.3955431754874652E-2</v>
      </c>
    </row>
    <row r="35" spans="1:13" s="60" customFormat="1">
      <c r="A35" s="132" t="s">
        <v>19</v>
      </c>
      <c r="B35" s="132"/>
      <c r="C35" s="66">
        <v>29</v>
      </c>
      <c r="D35" s="66">
        <v>3105</v>
      </c>
      <c r="E35" s="66">
        <v>6286</v>
      </c>
      <c r="F35" s="67">
        <f t="shared" si="1"/>
        <v>4.0258999993595453E-2</v>
      </c>
      <c r="G35" s="68"/>
      <c r="H35" s="133" t="s">
        <v>130</v>
      </c>
      <c r="I35" s="133"/>
      <c r="J35" s="69">
        <f>SUM(J32:J34)</f>
        <v>86</v>
      </c>
      <c r="K35" s="69">
        <f>SUM(K32:K34)</f>
        <v>1936</v>
      </c>
      <c r="L35" s="69">
        <f>SUM(L32:L34)</f>
        <v>3590</v>
      </c>
      <c r="M35" s="70">
        <f>SUM(M32:M34)</f>
        <v>1</v>
      </c>
    </row>
    <row r="36" spans="1:13" s="60" customFormat="1">
      <c r="A36" s="132" t="s">
        <v>169</v>
      </c>
      <c r="B36" s="135"/>
      <c r="C36" s="66">
        <v>3</v>
      </c>
      <c r="D36" s="66">
        <v>434</v>
      </c>
      <c r="E36" s="66">
        <v>834</v>
      </c>
      <c r="F36" s="67">
        <f t="shared" si="1"/>
        <v>5.3413945266717472E-3</v>
      </c>
      <c r="G36" s="68"/>
      <c r="H36" s="136"/>
      <c r="I36" s="136"/>
      <c r="J36" s="73"/>
      <c r="K36" s="73"/>
      <c r="L36" s="73"/>
      <c r="M36" s="74"/>
    </row>
    <row r="37" spans="1:13" s="60" customFormat="1">
      <c r="A37" s="133" t="s">
        <v>131</v>
      </c>
      <c r="B37" s="133"/>
      <c r="C37" s="69">
        <f>SUM(C29:C36)</f>
        <v>579</v>
      </c>
      <c r="D37" s="69">
        <f>SUM(D29:D36)</f>
        <v>81788</v>
      </c>
      <c r="E37" s="69">
        <f>SUM(E29:E36)</f>
        <v>156139</v>
      </c>
      <c r="F37" s="70">
        <f>SUM(F29:F36)</f>
        <v>1</v>
      </c>
      <c r="G37" s="68"/>
      <c r="H37" s="133" t="s">
        <v>42</v>
      </c>
      <c r="I37" s="133"/>
      <c r="J37" s="69">
        <v>16</v>
      </c>
      <c r="K37" s="69">
        <v>278</v>
      </c>
      <c r="L37" s="69">
        <v>527</v>
      </c>
      <c r="M37" s="70">
        <f>L37/L37</f>
        <v>1</v>
      </c>
    </row>
    <row r="38" spans="1:13" s="60" customFormat="1">
      <c r="A38" s="134"/>
      <c r="B38" s="134"/>
      <c r="C38" s="71"/>
      <c r="D38" s="71"/>
      <c r="E38" s="71"/>
      <c r="F38" s="72"/>
      <c r="G38" s="68"/>
      <c r="H38" s="133" t="s">
        <v>43</v>
      </c>
      <c r="I38" s="133"/>
      <c r="J38" s="69">
        <v>8</v>
      </c>
      <c r="K38" s="69">
        <v>136</v>
      </c>
      <c r="L38" s="69">
        <v>236</v>
      </c>
      <c r="M38" s="70">
        <f>L38/L38</f>
        <v>1</v>
      </c>
    </row>
    <row r="39" spans="1:13" s="60" customFormat="1">
      <c r="A39" s="132" t="s">
        <v>20</v>
      </c>
      <c r="B39" s="132"/>
      <c r="C39" s="66">
        <v>1</v>
      </c>
      <c r="D39" s="66">
        <v>21</v>
      </c>
      <c r="E39" s="66">
        <v>39</v>
      </c>
      <c r="F39" s="67">
        <f>E39/E$44</f>
        <v>7.847082494969819E-2</v>
      </c>
      <c r="G39" s="68"/>
      <c r="H39" s="133" t="s">
        <v>44</v>
      </c>
      <c r="I39" s="133"/>
      <c r="J39" s="69">
        <v>1</v>
      </c>
      <c r="K39" s="69">
        <v>12</v>
      </c>
      <c r="L39" s="69">
        <v>23</v>
      </c>
      <c r="M39" s="70">
        <f>L39/L39</f>
        <v>1</v>
      </c>
    </row>
    <row r="40" spans="1:13" s="60" customFormat="1">
      <c r="A40" s="132" t="s">
        <v>21</v>
      </c>
      <c r="B40" s="132"/>
      <c r="C40" s="66">
        <v>1</v>
      </c>
      <c r="D40" s="66">
        <v>80</v>
      </c>
      <c r="E40" s="66">
        <v>152</v>
      </c>
      <c r="F40" s="67">
        <f>E40/E$44</f>
        <v>0.30583501006036218</v>
      </c>
      <c r="G40" s="68"/>
      <c r="H40" s="133" t="s">
        <v>274</v>
      </c>
      <c r="I40" s="133"/>
      <c r="J40" s="69">
        <v>3</v>
      </c>
      <c r="K40" s="69">
        <v>68</v>
      </c>
      <c r="L40" s="69">
        <v>134</v>
      </c>
      <c r="M40" s="70">
        <v>1</v>
      </c>
    </row>
    <row r="41" spans="1:13" s="60" customFormat="1">
      <c r="A41" s="132" t="s">
        <v>22</v>
      </c>
      <c r="B41" s="132"/>
      <c r="C41" s="66">
        <v>3</v>
      </c>
      <c r="D41" s="66">
        <v>96</v>
      </c>
      <c r="E41" s="66">
        <v>174</v>
      </c>
      <c r="F41" s="67">
        <f>E41/E$44</f>
        <v>0.3501006036217304</v>
      </c>
      <c r="G41" s="68"/>
      <c r="H41" s="66"/>
      <c r="I41" s="66"/>
      <c r="J41" s="65"/>
      <c r="K41" s="65"/>
      <c r="L41" s="65"/>
      <c r="M41" s="65"/>
    </row>
    <row r="42" spans="1:13" s="60" customFormat="1">
      <c r="A42" s="132" t="s">
        <v>370</v>
      </c>
      <c r="B42" s="132"/>
      <c r="C42" s="66"/>
      <c r="D42" s="66"/>
      <c r="E42" s="66"/>
      <c r="F42" s="67"/>
      <c r="G42" s="68"/>
      <c r="H42" s="133" t="s">
        <v>45</v>
      </c>
      <c r="I42" s="133"/>
      <c r="J42" s="69">
        <f>C17+C19+C20+C21+C22+C27+C37+C44+J19+J25+J30+J35+J37+J38+J39+J40</f>
        <v>1672</v>
      </c>
      <c r="K42" s="69">
        <f>D17+D19+D20+D21+D22+D27+D37+D44+K19+K25+K30+K35+K37+K38+K39+K40</f>
        <v>140275</v>
      </c>
      <c r="L42" s="69">
        <f>E17+E19+E20+E21+E22+E27+E37+E44+L19+L25+L30+L35+L37+L38+L39+L40</f>
        <v>292569</v>
      </c>
      <c r="M42" s="65"/>
    </row>
    <row r="43" spans="1:13" s="60" customFormat="1">
      <c r="A43" s="132" t="s">
        <v>24</v>
      </c>
      <c r="B43" s="132"/>
      <c r="C43" s="66">
        <v>1</v>
      </c>
      <c r="D43" s="66">
        <v>67</v>
      </c>
      <c r="E43" s="66">
        <v>132</v>
      </c>
      <c r="F43" s="67">
        <f>E43/E$44</f>
        <v>0.26559356136820927</v>
      </c>
      <c r="G43" s="68"/>
    </row>
    <row r="44" spans="1:13" s="60" customFormat="1">
      <c r="A44" s="133" t="s">
        <v>132</v>
      </c>
      <c r="B44" s="133"/>
      <c r="C44" s="69">
        <f>SUM(C39:C43)</f>
        <v>6</v>
      </c>
      <c r="D44" s="69">
        <f>SUM(D39:D43)</f>
        <v>264</v>
      </c>
      <c r="E44" s="69">
        <f>SUM(E39:E43)</f>
        <v>497</v>
      </c>
      <c r="F44" s="70">
        <f>SUM(F39:F43)</f>
        <v>1</v>
      </c>
      <c r="G44" s="68"/>
      <c r="J44" s="85"/>
      <c r="K44" s="85"/>
    </row>
    <row r="45" spans="1:13" s="60" customFormat="1" ht="14.25">
      <c r="G45" s="68"/>
    </row>
    <row r="46" spans="1:13" s="60" customFormat="1" ht="14.25">
      <c r="G46" s="68"/>
    </row>
    <row r="47" spans="1:13" s="60" customFormat="1" ht="14.25">
      <c r="G47" s="68"/>
    </row>
    <row r="48" spans="1:13" s="60" customFormat="1" ht="12.75"/>
    <row r="49" spans="1:13" s="60" customFormat="1" ht="12.75"/>
    <row r="50" spans="1:13" s="60" customFormat="1" ht="12.75"/>
    <row r="51" spans="1:13" s="60" customFormat="1">
      <c r="H51"/>
      <c r="I51"/>
      <c r="J51"/>
      <c r="K51"/>
      <c r="L51"/>
      <c r="M51"/>
    </row>
    <row r="52" spans="1:13" s="60" customFormat="1">
      <c r="H52"/>
      <c r="I52"/>
      <c r="J52"/>
      <c r="K52"/>
      <c r="L52"/>
      <c r="M52"/>
    </row>
    <row r="53" spans="1:13">
      <c r="A53" s="60"/>
      <c r="B53" s="60"/>
      <c r="C53" s="60"/>
      <c r="D53" s="60"/>
      <c r="E53" s="60"/>
      <c r="F53" s="60"/>
    </row>
    <row r="54" spans="1:13">
      <c r="A54" s="60"/>
      <c r="B54" s="60"/>
      <c r="C54" s="60"/>
      <c r="D54" s="60"/>
      <c r="E54" s="60"/>
      <c r="F54" s="60"/>
    </row>
    <row r="55" spans="1:13">
      <c r="A55" s="60"/>
      <c r="B55" s="60"/>
      <c r="C55" s="60"/>
      <c r="D55" s="60"/>
      <c r="E55" s="60"/>
      <c r="F55" s="60"/>
    </row>
    <row r="56" spans="1:13">
      <c r="A56" s="60"/>
      <c r="B56" s="60"/>
      <c r="C56" s="60"/>
      <c r="D56" s="60"/>
      <c r="E56" s="60"/>
      <c r="F56" s="60"/>
    </row>
    <row r="57" spans="1:13">
      <c r="A57" s="60"/>
      <c r="B57" s="60"/>
      <c r="C57" s="60"/>
      <c r="D57" s="60"/>
      <c r="E57" s="60"/>
      <c r="F57" s="60"/>
    </row>
    <row r="58" spans="1:13">
      <c r="A58" s="60"/>
      <c r="B58" s="60"/>
      <c r="C58" s="60"/>
      <c r="D58" s="60"/>
      <c r="E58" s="60"/>
      <c r="F58" s="60"/>
    </row>
  </sheetData>
  <sheetProtection algorithmName="SHA-512" hashValue="1y7+PiEd7acLjjcl5cHftaVfMEbHzU6aA4QjYHiipl0JzJF8iLqADEscQ8I1tqwabDIGSGlqsrjt2H6fFCYMTw==" saltValue="UCcr+r2q0kyS6cSAR9Co1g==" spinCount="100000" sheet="1"/>
  <mergeCells count="69">
    <mergeCell ref="H38:I38"/>
    <mergeCell ref="A37:B37"/>
    <mergeCell ref="A38:B38"/>
    <mergeCell ref="A39:B39"/>
    <mergeCell ref="A40:B40"/>
    <mergeCell ref="H37:I37"/>
    <mergeCell ref="H39:I39"/>
    <mergeCell ref="A43:B43"/>
    <mergeCell ref="H40:I40"/>
    <mergeCell ref="A44:B44"/>
    <mergeCell ref="H42:I42"/>
    <mergeCell ref="A41:B41"/>
    <mergeCell ref="A42:B42"/>
    <mergeCell ref="H35:I35"/>
    <mergeCell ref="A29:B29"/>
    <mergeCell ref="H36:I36"/>
    <mergeCell ref="A30:B30"/>
    <mergeCell ref="A31:B31"/>
    <mergeCell ref="A32:B32"/>
    <mergeCell ref="A33:B33"/>
    <mergeCell ref="A34:B34"/>
    <mergeCell ref="A35:B35"/>
    <mergeCell ref="A36:B36"/>
    <mergeCell ref="H33:I33"/>
    <mergeCell ref="H34:I34"/>
    <mergeCell ref="H24:I24"/>
    <mergeCell ref="A24:B24"/>
    <mergeCell ref="A23:B23"/>
    <mergeCell ref="H32:I32"/>
    <mergeCell ref="A26:B26"/>
    <mergeCell ref="A25:B25"/>
    <mergeCell ref="H27:I27"/>
    <mergeCell ref="H26:I26"/>
    <mergeCell ref="H25:I25"/>
    <mergeCell ref="H23:I23"/>
    <mergeCell ref="A27:B27"/>
    <mergeCell ref="A28:B28"/>
    <mergeCell ref="H29:I29"/>
    <mergeCell ref="H30:I30"/>
    <mergeCell ref="H31:I31"/>
    <mergeCell ref="H28:I28"/>
    <mergeCell ref="H15:I15"/>
    <mergeCell ref="A22:B22"/>
    <mergeCell ref="A17:B17"/>
    <mergeCell ref="A18:B18"/>
    <mergeCell ref="A21:B21"/>
    <mergeCell ref="H18:I18"/>
    <mergeCell ref="H22:I22"/>
    <mergeCell ref="A19:B19"/>
    <mergeCell ref="H21:I21"/>
    <mergeCell ref="A20:B20"/>
    <mergeCell ref="H16:I16"/>
    <mergeCell ref="H17:I17"/>
    <mergeCell ref="A11:B11"/>
    <mergeCell ref="H19:I19"/>
    <mergeCell ref="A8:B8"/>
    <mergeCell ref="H8:I8"/>
    <mergeCell ref="A9:B9"/>
    <mergeCell ref="H9:I9"/>
    <mergeCell ref="A10:B10"/>
    <mergeCell ref="H10:I10"/>
    <mergeCell ref="H11:I11"/>
    <mergeCell ref="A13:B13"/>
    <mergeCell ref="A12:B12"/>
    <mergeCell ref="A15:B15"/>
    <mergeCell ref="H12:I12"/>
    <mergeCell ref="H13:I13"/>
    <mergeCell ref="H14:I14"/>
    <mergeCell ref="A14:B14"/>
  </mergeCells>
  <pageMargins left="0.7" right="0.7" top="0.75" bottom="0.75" header="0.3" footer="0.3"/>
  <pageSetup paperSize="9" scale="6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DH64"/>
  <sheetViews>
    <sheetView showGridLines="0" zoomScaleNormal="100" workbookViewId="0"/>
  </sheetViews>
  <sheetFormatPr baseColWidth="10" defaultRowHeight="15"/>
  <cols>
    <col min="1" max="1" width="79.7109375" customWidth="1"/>
    <col min="40" max="53" width="11.42578125" customWidth="1"/>
  </cols>
  <sheetData>
    <row r="2" spans="1:112" s="27" customFormat="1" ht="16.5">
      <c r="A2" s="1" t="s">
        <v>252</v>
      </c>
      <c r="CD2" s="51"/>
      <c r="CE2" s="51"/>
    </row>
    <row r="3" spans="1:112" s="27" customFormat="1" ht="16.5">
      <c r="A3" s="3" t="s">
        <v>253</v>
      </c>
      <c r="CD3" s="51"/>
      <c r="CE3" s="51"/>
    </row>
    <row r="4" spans="1:112" s="27" customFormat="1" ht="16.5">
      <c r="A4" s="3" t="s">
        <v>254</v>
      </c>
      <c r="CD4" s="51"/>
      <c r="CE4" s="51"/>
    </row>
    <row r="5" spans="1:112" s="27" customFormat="1" ht="12.75">
      <c r="CD5" s="51"/>
      <c r="CE5" s="51"/>
    </row>
    <row r="6" spans="1:112" s="51" customFormat="1">
      <c r="A6" s="138" t="s">
        <v>187</v>
      </c>
      <c r="B6" s="137" t="s">
        <v>119</v>
      </c>
      <c r="C6" s="137"/>
      <c r="D6" s="137" t="s">
        <v>120</v>
      </c>
      <c r="E6" s="137"/>
      <c r="F6" s="137" t="s">
        <v>121</v>
      </c>
      <c r="G6" s="137"/>
      <c r="H6" s="137" t="s">
        <v>251</v>
      </c>
      <c r="I6" s="137"/>
      <c r="J6" s="137" t="s">
        <v>122</v>
      </c>
      <c r="K6" s="137"/>
      <c r="L6" s="137" t="s">
        <v>167</v>
      </c>
      <c r="M6" s="137"/>
      <c r="N6" s="137" t="s">
        <v>42</v>
      </c>
      <c r="O6" s="137"/>
      <c r="P6" s="137" t="s">
        <v>198</v>
      </c>
      <c r="Q6" s="137"/>
      <c r="R6" s="137" t="s">
        <v>13</v>
      </c>
      <c r="S6" s="137"/>
      <c r="T6" s="137" t="s">
        <v>14</v>
      </c>
      <c r="U6" s="137"/>
      <c r="V6" s="137" t="s">
        <v>43</v>
      </c>
      <c r="W6" s="137"/>
      <c r="X6" s="137" t="s">
        <v>15</v>
      </c>
      <c r="Y6" s="137"/>
      <c r="Z6" s="137" t="s">
        <v>16</v>
      </c>
      <c r="AA6" s="137"/>
      <c r="AB6" s="137" t="s">
        <v>17</v>
      </c>
      <c r="AC6" s="137"/>
      <c r="AD6" s="137" t="s">
        <v>199</v>
      </c>
      <c r="AE6" s="137"/>
      <c r="AF6" s="137" t="s">
        <v>168</v>
      </c>
      <c r="AG6" s="137"/>
      <c r="AH6" s="137" t="s">
        <v>200</v>
      </c>
      <c r="AI6" s="137"/>
      <c r="AJ6" s="137" t="s">
        <v>19</v>
      </c>
      <c r="AK6" s="137"/>
      <c r="AL6" s="137" t="s">
        <v>169</v>
      </c>
      <c r="AM6" s="137"/>
      <c r="AN6" s="137" t="s">
        <v>25</v>
      </c>
      <c r="AO6" s="137"/>
      <c r="AP6" s="137" t="s">
        <v>26</v>
      </c>
      <c r="AQ6" s="137"/>
      <c r="AR6" s="137" t="s">
        <v>27</v>
      </c>
      <c r="AS6" s="137"/>
      <c r="AT6" s="137" t="s">
        <v>209</v>
      </c>
      <c r="AU6" s="137"/>
      <c r="AV6" s="137" t="s">
        <v>28</v>
      </c>
      <c r="AW6" s="137"/>
      <c r="AX6" s="137" t="s">
        <v>210</v>
      </c>
      <c r="AY6" s="137"/>
      <c r="AZ6" s="137" t="s">
        <v>29</v>
      </c>
      <c r="BA6" s="137"/>
      <c r="BB6" s="137" t="s">
        <v>273</v>
      </c>
      <c r="BC6" s="137"/>
      <c r="BD6" s="137" t="s">
        <v>171</v>
      </c>
      <c r="BE6" s="137"/>
      <c r="BF6" s="137" t="s">
        <v>21</v>
      </c>
      <c r="BG6" s="137"/>
      <c r="BH6" s="137" t="s">
        <v>22</v>
      </c>
      <c r="BI6" s="137"/>
      <c r="BJ6" s="137" t="s">
        <v>24</v>
      </c>
      <c r="BK6" s="137"/>
      <c r="BL6" s="137" t="s">
        <v>7</v>
      </c>
      <c r="BM6" s="137"/>
      <c r="BN6" s="137" t="s">
        <v>35</v>
      </c>
      <c r="BO6" s="137"/>
      <c r="BP6" s="137" t="s">
        <v>36</v>
      </c>
      <c r="BQ6" s="137"/>
      <c r="BR6" s="137" t="s">
        <v>37</v>
      </c>
      <c r="BS6" s="137"/>
      <c r="BT6" s="137" t="s">
        <v>38</v>
      </c>
      <c r="BU6" s="137"/>
      <c r="BV6" s="137" t="s">
        <v>39</v>
      </c>
      <c r="BW6" s="137"/>
      <c r="BX6" s="137" t="s">
        <v>40</v>
      </c>
      <c r="BY6" s="137"/>
      <c r="BZ6" s="137" t="s">
        <v>44</v>
      </c>
      <c r="CA6" s="137"/>
      <c r="CB6" s="137" t="s">
        <v>8</v>
      </c>
      <c r="CC6" s="137"/>
      <c r="CD6" s="137" t="s">
        <v>45</v>
      </c>
      <c r="CE6" s="137"/>
    </row>
    <row r="7" spans="1:112" s="51" customFormat="1">
      <c r="A7" s="138"/>
      <c r="B7" s="4"/>
      <c r="C7" s="4" t="s">
        <v>176</v>
      </c>
      <c r="D7" s="4"/>
      <c r="E7" s="4"/>
      <c r="F7" s="4"/>
      <c r="G7" s="4"/>
      <c r="H7" s="4"/>
      <c r="I7" s="4"/>
      <c r="J7" s="4"/>
      <c r="K7" s="4" t="s">
        <v>176</v>
      </c>
      <c r="L7" s="4"/>
      <c r="M7" s="4" t="s">
        <v>176</v>
      </c>
      <c r="N7" s="4"/>
      <c r="O7" s="4" t="s">
        <v>176</v>
      </c>
      <c r="P7" s="4"/>
      <c r="Q7" s="4" t="s">
        <v>176</v>
      </c>
      <c r="R7" s="4"/>
      <c r="S7" s="4" t="s">
        <v>176</v>
      </c>
      <c r="T7" s="4"/>
      <c r="U7" s="4" t="s">
        <v>176</v>
      </c>
      <c r="V7" s="4"/>
      <c r="W7" s="4" t="s">
        <v>176</v>
      </c>
      <c r="X7" s="4"/>
      <c r="Y7" s="4" t="s">
        <v>176</v>
      </c>
      <c r="Z7" s="4"/>
      <c r="AA7" s="4" t="s">
        <v>176</v>
      </c>
      <c r="AB7" s="4"/>
      <c r="AC7" s="4" t="s">
        <v>176</v>
      </c>
      <c r="AD7" s="4"/>
      <c r="AE7" s="4" t="s">
        <v>176</v>
      </c>
      <c r="AF7" s="4"/>
      <c r="AG7" s="4" t="s">
        <v>176</v>
      </c>
      <c r="AH7" s="4"/>
      <c r="AI7" s="4" t="s">
        <v>176</v>
      </c>
      <c r="AJ7" s="4"/>
      <c r="AK7" s="4" t="s">
        <v>176</v>
      </c>
      <c r="AL7" s="4"/>
      <c r="AM7" s="4" t="s">
        <v>176</v>
      </c>
      <c r="AN7" s="4"/>
      <c r="AO7" s="4" t="s">
        <v>176</v>
      </c>
      <c r="AP7" s="4"/>
      <c r="AQ7" s="4" t="s">
        <v>176</v>
      </c>
      <c r="AR7" s="4"/>
      <c r="AS7" s="4" t="s">
        <v>176</v>
      </c>
      <c r="AT7" s="4"/>
      <c r="AU7" s="4" t="s">
        <v>176</v>
      </c>
      <c r="AV7" s="4"/>
      <c r="AW7" s="4" t="s">
        <v>176</v>
      </c>
      <c r="AX7" s="4"/>
      <c r="AY7" s="4" t="s">
        <v>176</v>
      </c>
      <c r="AZ7" s="4"/>
      <c r="BA7" s="4" t="s">
        <v>176</v>
      </c>
      <c r="BB7" s="4"/>
      <c r="BC7" s="4" t="s">
        <v>176</v>
      </c>
      <c r="BD7" s="4"/>
      <c r="BE7" s="4" t="s">
        <v>176</v>
      </c>
      <c r="BF7" s="4"/>
      <c r="BG7" s="4" t="s">
        <v>176</v>
      </c>
      <c r="BH7" s="4"/>
      <c r="BI7" s="4" t="s">
        <v>176</v>
      </c>
      <c r="BJ7" s="4"/>
      <c r="BK7" s="4" t="s">
        <v>176</v>
      </c>
      <c r="BL7" s="4"/>
      <c r="BM7" s="4" t="s">
        <v>176</v>
      </c>
      <c r="BN7" s="4"/>
      <c r="BO7" s="4" t="s">
        <v>176</v>
      </c>
      <c r="BP7" s="4"/>
      <c r="BQ7" s="4" t="s">
        <v>176</v>
      </c>
      <c r="BR7" s="4"/>
      <c r="BS7" s="4" t="s">
        <v>176</v>
      </c>
      <c r="BT7" s="4"/>
      <c r="BU7" s="4" t="s">
        <v>176</v>
      </c>
      <c r="BV7" s="4"/>
      <c r="BW7" s="4" t="s">
        <v>176</v>
      </c>
      <c r="BX7" s="4"/>
      <c r="BY7" s="4" t="s">
        <v>176</v>
      </c>
      <c r="BZ7" s="4"/>
      <c r="CA7" s="4" t="s">
        <v>176</v>
      </c>
      <c r="CB7" s="4"/>
      <c r="CC7" s="4" t="s">
        <v>176</v>
      </c>
      <c r="CD7" s="4"/>
      <c r="CE7" s="4"/>
    </row>
    <row r="8" spans="1:112" s="51" customFormat="1">
      <c r="A8" s="138" t="s">
        <v>188</v>
      </c>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46</v>
      </c>
      <c r="BC8" s="4" t="s">
        <v>47</v>
      </c>
      <c r="BD8" s="4" t="s">
        <v>46</v>
      </c>
      <c r="BE8" s="4" t="s">
        <v>47</v>
      </c>
      <c r="BF8" s="4" t="s">
        <v>46</v>
      </c>
      <c r="BG8" s="4" t="s">
        <v>47</v>
      </c>
      <c r="BH8" s="4" t="s">
        <v>46</v>
      </c>
      <c r="BI8" s="4" t="s">
        <v>47</v>
      </c>
      <c r="BJ8" s="4" t="s">
        <v>201</v>
      </c>
      <c r="BK8" s="4" t="s">
        <v>202</v>
      </c>
      <c r="BL8" s="4" t="s">
        <v>201</v>
      </c>
      <c r="BM8" s="4" t="s">
        <v>202</v>
      </c>
      <c r="BN8" s="4" t="s">
        <v>46</v>
      </c>
      <c r="BO8" s="4" t="s">
        <v>47</v>
      </c>
      <c r="BP8" s="4" t="s">
        <v>46</v>
      </c>
      <c r="BQ8" s="4" t="s">
        <v>47</v>
      </c>
      <c r="BR8" s="4" t="s">
        <v>46</v>
      </c>
      <c r="BS8" s="4" t="s">
        <v>47</v>
      </c>
      <c r="BT8" s="4" t="s">
        <v>46</v>
      </c>
      <c r="BU8" s="4" t="s">
        <v>47</v>
      </c>
      <c r="BV8" s="4" t="s">
        <v>46</v>
      </c>
      <c r="BW8" s="4" t="s">
        <v>47</v>
      </c>
      <c r="BX8" s="4" t="s">
        <v>46</v>
      </c>
      <c r="BY8" s="4" t="s">
        <v>47</v>
      </c>
      <c r="BZ8" s="4" t="s">
        <v>46</v>
      </c>
      <c r="CA8" s="4" t="s">
        <v>47</v>
      </c>
      <c r="CB8" s="4" t="s">
        <v>46</v>
      </c>
      <c r="CC8" s="4" t="s">
        <v>47</v>
      </c>
      <c r="CD8" s="4" t="s">
        <v>46</v>
      </c>
      <c r="CE8" s="4" t="s">
        <v>47</v>
      </c>
    </row>
    <row r="9" spans="1:112" s="27" customFormat="1">
      <c r="A9" s="5" t="s">
        <v>48</v>
      </c>
      <c r="B9" s="6"/>
      <c r="C9" s="6"/>
      <c r="D9" s="6"/>
      <c r="E9" s="6"/>
      <c r="F9" s="6"/>
      <c r="G9" s="6"/>
      <c r="H9" s="6"/>
      <c r="I9" s="6"/>
      <c r="J9" s="6"/>
      <c r="K9" s="6"/>
      <c r="L9" s="6">
        <v>2</v>
      </c>
      <c r="M9" s="6">
        <v>16</v>
      </c>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v>1</v>
      </c>
      <c r="BM9" s="6">
        <v>50</v>
      </c>
      <c r="BN9" s="6"/>
      <c r="BO9" s="6"/>
      <c r="BP9" s="6"/>
      <c r="BQ9" s="6"/>
      <c r="BR9" s="6"/>
      <c r="BS9" s="6"/>
      <c r="BT9" s="6"/>
      <c r="BU9" s="6"/>
      <c r="BV9" s="6">
        <v>1</v>
      </c>
      <c r="BW9" s="6">
        <v>21</v>
      </c>
      <c r="BX9" s="6"/>
      <c r="BY9" s="6"/>
      <c r="BZ9" s="6"/>
      <c r="CA9" s="6"/>
      <c r="CB9" s="6">
        <v>5</v>
      </c>
      <c r="CC9" s="6">
        <v>60</v>
      </c>
      <c r="CD9" s="8">
        <f>B9+D9+F9+H9+J9+L9+N9+P9+R9+T9+V9+X9+Z9+AB9+AD9+AF9+AH9+AJ9+AL9+AN9+AP9+AR9+AT9+AV9+AX9+AZ9+BB9+BD9+BF9+BH9+BJ9+BL9+BN9+BP9+BR9+BT9+BV9+BX9+BZ9+CB9</f>
        <v>9</v>
      </c>
      <c r="CE9" s="8">
        <f>C9+E9+G9+I9+K9+M9+O9+Q9+S9+U9+W9+Y9+AA9+AC9+AE9+AG9+AI9+AK9+AM9+AO9+AQ9+AS9+AU9+AW9+AY9+BA9+BC9+BE9+BG9+BI9+BK9+BM9+BO9+BQ9+BS9+BU9+BW9+BY9+CA9+CC9</f>
        <v>147</v>
      </c>
      <c r="CF9" s="52"/>
      <c r="CG9" s="52"/>
      <c r="CH9" s="52"/>
      <c r="DH9" s="53"/>
    </row>
    <row r="10" spans="1:112" s="27" customFormat="1">
      <c r="A10" s="10" t="s">
        <v>49</v>
      </c>
      <c r="B10" s="6">
        <v>4</v>
      </c>
      <c r="C10" s="6">
        <v>253</v>
      </c>
      <c r="D10" s="6">
        <v>19</v>
      </c>
      <c r="E10" s="6">
        <v>2957</v>
      </c>
      <c r="F10" s="6">
        <v>6</v>
      </c>
      <c r="G10" s="6">
        <v>4776</v>
      </c>
      <c r="H10" s="6"/>
      <c r="I10" s="6"/>
      <c r="J10" s="6"/>
      <c r="K10" s="6"/>
      <c r="L10" s="6">
        <v>4</v>
      </c>
      <c r="M10" s="6">
        <v>67</v>
      </c>
      <c r="N10" s="6"/>
      <c r="O10" s="6"/>
      <c r="P10" s="6"/>
      <c r="Q10" s="6"/>
      <c r="R10" s="6"/>
      <c r="S10" s="6"/>
      <c r="T10" s="6"/>
      <c r="U10" s="6"/>
      <c r="V10" s="6">
        <v>1</v>
      </c>
      <c r="W10" s="6">
        <v>32</v>
      </c>
      <c r="X10" s="6"/>
      <c r="Y10" s="6"/>
      <c r="Z10" s="6"/>
      <c r="AA10" s="6"/>
      <c r="AB10" s="6">
        <v>15</v>
      </c>
      <c r="AC10" s="6">
        <v>7143</v>
      </c>
      <c r="AD10" s="6"/>
      <c r="AE10" s="6"/>
      <c r="AF10" s="6">
        <v>6</v>
      </c>
      <c r="AG10" s="6">
        <v>3092</v>
      </c>
      <c r="AH10" s="6">
        <v>1</v>
      </c>
      <c r="AI10" s="6">
        <v>348</v>
      </c>
      <c r="AJ10" s="6"/>
      <c r="AK10" s="6"/>
      <c r="AL10" s="6"/>
      <c r="AM10" s="6"/>
      <c r="AN10" s="6"/>
      <c r="AO10" s="6"/>
      <c r="AP10" s="6"/>
      <c r="AQ10" s="6"/>
      <c r="AR10" s="6">
        <v>7</v>
      </c>
      <c r="AS10" s="6">
        <v>3240</v>
      </c>
      <c r="AT10" s="6">
        <v>1</v>
      </c>
      <c r="AU10" s="6">
        <v>336</v>
      </c>
      <c r="AV10" s="6">
        <v>11</v>
      </c>
      <c r="AW10" s="6">
        <v>3931</v>
      </c>
      <c r="AX10" s="6"/>
      <c r="AY10" s="6"/>
      <c r="AZ10" s="6">
        <v>1</v>
      </c>
      <c r="BA10" s="6">
        <v>706</v>
      </c>
      <c r="BB10" s="6">
        <v>1</v>
      </c>
      <c r="BC10" s="6">
        <v>22</v>
      </c>
      <c r="BD10" s="6"/>
      <c r="BE10" s="6"/>
      <c r="BF10" s="6"/>
      <c r="BG10" s="6"/>
      <c r="BH10" s="6"/>
      <c r="BI10" s="6"/>
      <c r="BJ10" s="6"/>
      <c r="BK10" s="6"/>
      <c r="BL10" s="6"/>
      <c r="BM10" s="6"/>
      <c r="BN10" s="6">
        <v>2</v>
      </c>
      <c r="BO10" s="6">
        <v>76</v>
      </c>
      <c r="BP10" s="6"/>
      <c r="BQ10" s="6"/>
      <c r="BR10" s="6"/>
      <c r="BS10" s="6"/>
      <c r="BT10" s="6">
        <v>1</v>
      </c>
      <c r="BU10" s="6">
        <v>55</v>
      </c>
      <c r="BV10" s="6">
        <v>1</v>
      </c>
      <c r="BW10" s="6">
        <v>39</v>
      </c>
      <c r="BX10" s="6"/>
      <c r="BY10" s="6"/>
      <c r="BZ10" s="6"/>
      <c r="CA10" s="6"/>
      <c r="CB10" s="6">
        <v>7</v>
      </c>
      <c r="CC10" s="6">
        <v>86</v>
      </c>
      <c r="CD10" s="8">
        <f>B10+D10+F10+H10+J10+L10+N10+P10+R10+T10+V10+X10+Z10+AB10+AD10+AF10+AH10+AJ10+AL10+AN10+AP10+AR10+AT10+AV10+AX10+AZ10+BB10+BD10+BF10+BH10+BJ10+BL10+BN10+BP10+BR10+BT10+BV10+BX10+BZ10+CB10</f>
        <v>88</v>
      </c>
      <c r="CE10" s="8">
        <f>C10+E10+G10+I10+K10+M10+O10+Q10+S10+U10+W10+Y10+AA10+AC10+AE10+AG10+AI10+AK10+AM10+AO10+AQ10+AS10+AU10+AW10+AY10+BA10+BC10+BE10+BG10+BI10+BK10+BM10+BO10+BQ10+BS10+BU10+BW10+BY10+CA10+CC10</f>
        <v>27159</v>
      </c>
      <c r="CF10" s="52"/>
      <c r="CG10" s="52"/>
      <c r="CH10" s="52"/>
    </row>
    <row r="11" spans="1:112" s="27" customFormat="1">
      <c r="A11" s="5" t="s">
        <v>50</v>
      </c>
      <c r="B11" s="6"/>
      <c r="C11" s="6"/>
      <c r="D11" s="6"/>
      <c r="E11" s="6"/>
      <c r="F11" s="6"/>
      <c r="G11" s="6"/>
      <c r="H11" s="6"/>
      <c r="I11" s="6"/>
      <c r="J11" s="6"/>
      <c r="K11" s="6"/>
      <c r="L11" s="6">
        <v>3</v>
      </c>
      <c r="M11" s="6">
        <v>34</v>
      </c>
      <c r="N11" s="6"/>
      <c r="O11" s="6"/>
      <c r="P11" s="6"/>
      <c r="Q11" s="6"/>
      <c r="R11" s="6"/>
      <c r="S11" s="6"/>
      <c r="T11" s="6"/>
      <c r="U11" s="6"/>
      <c r="V11" s="6"/>
      <c r="W11" s="6"/>
      <c r="X11" s="6"/>
      <c r="Y11" s="6"/>
      <c r="Z11" s="6"/>
      <c r="AA11" s="6"/>
      <c r="AB11" s="6"/>
      <c r="AC11" s="6"/>
      <c r="AD11" s="6"/>
      <c r="AE11" s="6"/>
      <c r="AF11" s="6">
        <v>1</v>
      </c>
      <c r="AG11" s="6">
        <v>50</v>
      </c>
      <c r="AH11" s="6"/>
      <c r="AI11" s="6"/>
      <c r="AJ11" s="6"/>
      <c r="AK11" s="6"/>
      <c r="AL11" s="6"/>
      <c r="AM11" s="6"/>
      <c r="AN11" s="6"/>
      <c r="AO11" s="6"/>
      <c r="AP11" s="6"/>
      <c r="AQ11" s="6"/>
      <c r="AR11" s="6"/>
      <c r="AS11" s="6"/>
      <c r="AT11" s="6"/>
      <c r="AU11" s="6"/>
      <c r="AV11" s="6"/>
      <c r="AW11" s="6"/>
      <c r="AX11" s="6"/>
      <c r="AY11" s="6"/>
      <c r="AZ11" s="6"/>
      <c r="BA11" s="6"/>
      <c r="BB11" s="6">
        <v>1</v>
      </c>
      <c r="BC11" s="6">
        <v>64</v>
      </c>
      <c r="BD11" s="6"/>
      <c r="BE11" s="6"/>
      <c r="BF11" s="6"/>
      <c r="BG11" s="6"/>
      <c r="BH11" s="6"/>
      <c r="BI11" s="6"/>
      <c r="BJ11" s="6"/>
      <c r="BK11" s="6"/>
      <c r="BL11" s="6">
        <v>1</v>
      </c>
      <c r="BM11" s="6">
        <v>31</v>
      </c>
      <c r="BN11" s="6"/>
      <c r="BO11" s="6"/>
      <c r="BP11" s="6"/>
      <c r="BQ11" s="6"/>
      <c r="BR11" s="6"/>
      <c r="BS11" s="6"/>
      <c r="BT11" s="6"/>
      <c r="BU11" s="6"/>
      <c r="BV11" s="6"/>
      <c r="BW11" s="6"/>
      <c r="BX11" s="6"/>
      <c r="BY11" s="6"/>
      <c r="BZ11" s="6"/>
      <c r="CA11" s="6"/>
      <c r="CB11" s="6">
        <v>2</v>
      </c>
      <c r="CC11" s="6">
        <v>26</v>
      </c>
      <c r="CD11" s="8">
        <f t="shared" ref="CD11:CD61" si="0">B11+D11+F11+H11+J11+L11+N11+P11+R11+T11+V11+X11+Z11+AB11+AD11+AF11+AH11+AJ11+AL11+AN11+AP11+AR11+AT11+AV11+AX11+AZ11+BB11+BD11+BF11+BH11+BJ11+BL11+BN11+BP11+BR11+BT11+BV11+BX11+BZ11+CB11</f>
        <v>8</v>
      </c>
      <c r="CE11" s="8">
        <f t="shared" ref="CE11:CE61" si="1">C11+E11+G11+I11+K11+M11+O11+Q11+S11+U11+W11+Y11+AA11+AC11+AE11+AG11+AI11+AK11+AM11+AO11+AQ11+AS11+AU11+AW11+AY11+BA11+BC11+BE11+BG11+BI11+BK11+BM11+BO11+BQ11+BS11+BU11+BW11+BY11+CA11+CC11</f>
        <v>205</v>
      </c>
      <c r="CF11" s="52"/>
      <c r="CG11" s="52"/>
      <c r="CH11" s="52"/>
    </row>
    <row r="12" spans="1:112" s="27" customFormat="1">
      <c r="A12" s="5" t="s">
        <v>51</v>
      </c>
      <c r="B12" s="6">
        <v>1</v>
      </c>
      <c r="C12" s="6">
        <v>54</v>
      </c>
      <c r="D12" s="6">
        <v>1</v>
      </c>
      <c r="E12" s="6">
        <v>98</v>
      </c>
      <c r="F12" s="6">
        <v>1</v>
      </c>
      <c r="G12" s="6">
        <v>414</v>
      </c>
      <c r="H12" s="6"/>
      <c r="I12" s="6"/>
      <c r="J12" s="6"/>
      <c r="K12" s="6"/>
      <c r="L12" s="6">
        <v>1</v>
      </c>
      <c r="M12" s="6">
        <v>14</v>
      </c>
      <c r="N12" s="6"/>
      <c r="O12" s="6"/>
      <c r="P12" s="6"/>
      <c r="Q12" s="6"/>
      <c r="R12" s="6"/>
      <c r="S12" s="6"/>
      <c r="T12" s="6"/>
      <c r="U12" s="6"/>
      <c r="V12" s="6"/>
      <c r="W12" s="6"/>
      <c r="X12" s="6"/>
      <c r="Y12" s="6"/>
      <c r="Z12" s="6"/>
      <c r="AA12" s="6"/>
      <c r="AB12" s="6">
        <v>2</v>
      </c>
      <c r="AC12" s="6">
        <v>309</v>
      </c>
      <c r="AD12" s="6"/>
      <c r="AE12" s="6"/>
      <c r="AF12" s="6">
        <v>3</v>
      </c>
      <c r="AG12" s="6">
        <v>1458</v>
      </c>
      <c r="AH12" s="6">
        <v>2</v>
      </c>
      <c r="AI12" s="6">
        <v>287</v>
      </c>
      <c r="AJ12" s="6">
        <v>1</v>
      </c>
      <c r="AK12" s="6">
        <v>330</v>
      </c>
      <c r="AL12" s="6"/>
      <c r="AM12" s="6"/>
      <c r="AN12" s="6"/>
      <c r="AO12" s="6"/>
      <c r="AP12" s="6"/>
      <c r="AQ12" s="6"/>
      <c r="AR12" s="6"/>
      <c r="AS12" s="6"/>
      <c r="AT12" s="6"/>
      <c r="AU12" s="6"/>
      <c r="AV12" s="6">
        <v>3</v>
      </c>
      <c r="AW12" s="6">
        <v>606</v>
      </c>
      <c r="AX12" s="6"/>
      <c r="AY12" s="6"/>
      <c r="AZ12" s="6"/>
      <c r="BA12" s="6"/>
      <c r="BB12" s="6"/>
      <c r="BC12" s="6"/>
      <c r="BD12" s="6"/>
      <c r="BE12" s="6"/>
      <c r="BF12" s="6"/>
      <c r="BG12" s="6"/>
      <c r="BH12" s="6"/>
      <c r="BI12" s="6"/>
      <c r="BJ12" s="6"/>
      <c r="BK12" s="6"/>
      <c r="BL12" s="6"/>
      <c r="BM12" s="6"/>
      <c r="BN12" s="6">
        <v>1</v>
      </c>
      <c r="BO12" s="6">
        <v>40</v>
      </c>
      <c r="BP12" s="6"/>
      <c r="BQ12" s="6"/>
      <c r="BR12" s="6"/>
      <c r="BS12" s="6"/>
      <c r="BT12" s="6"/>
      <c r="BU12" s="6"/>
      <c r="BV12" s="6">
        <v>1</v>
      </c>
      <c r="BW12" s="6">
        <v>28</v>
      </c>
      <c r="BX12" s="6"/>
      <c r="BY12" s="6"/>
      <c r="BZ12" s="6"/>
      <c r="CA12" s="6"/>
      <c r="CB12" s="6">
        <v>1</v>
      </c>
      <c r="CC12" s="6">
        <v>8</v>
      </c>
      <c r="CD12" s="8">
        <f t="shared" si="0"/>
        <v>18</v>
      </c>
      <c r="CE12" s="8">
        <f t="shared" si="1"/>
        <v>3646</v>
      </c>
      <c r="CF12" s="52"/>
      <c r="CG12" s="52"/>
      <c r="CH12" s="52"/>
    </row>
    <row r="13" spans="1:112" s="27" customFormat="1">
      <c r="A13" s="5" t="s">
        <v>203</v>
      </c>
      <c r="B13" s="6"/>
      <c r="C13" s="6"/>
      <c r="D13" s="6"/>
      <c r="E13" s="6"/>
      <c r="F13" s="6"/>
      <c r="G13" s="6"/>
      <c r="H13" s="6"/>
      <c r="I13" s="6"/>
      <c r="J13" s="6"/>
      <c r="K13" s="6"/>
      <c r="L13" s="6">
        <v>1</v>
      </c>
      <c r="M13" s="6">
        <v>22</v>
      </c>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v>1</v>
      </c>
      <c r="CC13" s="6">
        <v>32</v>
      </c>
      <c r="CD13" s="8">
        <f t="shared" si="0"/>
        <v>2</v>
      </c>
      <c r="CE13" s="8">
        <f t="shared" si="1"/>
        <v>54</v>
      </c>
      <c r="CF13" s="52"/>
      <c r="CG13" s="52"/>
      <c r="CH13" s="52"/>
    </row>
    <row r="14" spans="1:112" s="27" customFormat="1">
      <c r="A14" s="5" t="s">
        <v>52</v>
      </c>
      <c r="B14" s="6">
        <v>1</v>
      </c>
      <c r="C14" s="6">
        <v>38</v>
      </c>
      <c r="D14" s="6"/>
      <c r="E14" s="6"/>
      <c r="F14" s="6"/>
      <c r="G14" s="6"/>
      <c r="H14" s="6"/>
      <c r="I14" s="6"/>
      <c r="J14" s="6"/>
      <c r="K14" s="6"/>
      <c r="L14" s="6">
        <v>7</v>
      </c>
      <c r="M14" s="6">
        <v>119</v>
      </c>
      <c r="N14" s="6"/>
      <c r="O14" s="6"/>
      <c r="P14" s="6"/>
      <c r="Q14" s="6"/>
      <c r="R14" s="6"/>
      <c r="S14" s="6"/>
      <c r="T14" s="6"/>
      <c r="U14" s="6"/>
      <c r="V14" s="6"/>
      <c r="W14" s="6"/>
      <c r="X14" s="6"/>
      <c r="Y14" s="6"/>
      <c r="Z14" s="6"/>
      <c r="AA14" s="6"/>
      <c r="AB14" s="6"/>
      <c r="AC14" s="6"/>
      <c r="AD14" s="6"/>
      <c r="AE14" s="6"/>
      <c r="AF14" s="6">
        <v>1</v>
      </c>
      <c r="AG14" s="6">
        <v>16</v>
      </c>
      <c r="AH14" s="6"/>
      <c r="AI14" s="6"/>
      <c r="AJ14" s="6"/>
      <c r="AK14" s="6"/>
      <c r="AL14" s="6"/>
      <c r="AM14" s="6"/>
      <c r="AN14" s="6"/>
      <c r="AO14" s="6"/>
      <c r="AP14" s="6"/>
      <c r="AQ14" s="6"/>
      <c r="AR14" s="6"/>
      <c r="AS14" s="6"/>
      <c r="AT14" s="6"/>
      <c r="AU14" s="6"/>
      <c r="AV14" s="6">
        <v>1</v>
      </c>
      <c r="AW14" s="6">
        <v>89</v>
      </c>
      <c r="AX14" s="6"/>
      <c r="AY14" s="6"/>
      <c r="AZ14" s="6"/>
      <c r="BA14" s="6"/>
      <c r="BB14" s="6"/>
      <c r="BC14" s="6"/>
      <c r="BD14" s="6"/>
      <c r="BE14" s="6"/>
      <c r="BF14" s="6"/>
      <c r="BG14" s="6"/>
      <c r="BH14" s="6"/>
      <c r="BI14" s="6"/>
      <c r="BJ14" s="6"/>
      <c r="BK14" s="6"/>
      <c r="BL14" s="6">
        <v>1</v>
      </c>
      <c r="BM14" s="6">
        <v>50</v>
      </c>
      <c r="BN14" s="6">
        <v>1</v>
      </c>
      <c r="BO14" s="6">
        <v>15</v>
      </c>
      <c r="BP14" s="6">
        <v>1</v>
      </c>
      <c r="BQ14" s="6">
        <v>12</v>
      </c>
      <c r="BR14" s="6"/>
      <c r="BS14" s="6"/>
      <c r="BT14" s="6"/>
      <c r="BU14" s="6"/>
      <c r="BV14" s="6"/>
      <c r="BW14" s="6"/>
      <c r="BX14" s="6"/>
      <c r="BY14" s="6"/>
      <c r="BZ14" s="6"/>
      <c r="CA14" s="6"/>
      <c r="CB14" s="6">
        <v>5</v>
      </c>
      <c r="CC14" s="6">
        <v>73</v>
      </c>
      <c r="CD14" s="8">
        <f t="shared" si="0"/>
        <v>18</v>
      </c>
      <c r="CE14" s="8">
        <f t="shared" si="1"/>
        <v>412</v>
      </c>
      <c r="CF14" s="52"/>
      <c r="CG14" s="52"/>
      <c r="CH14" s="52"/>
    </row>
    <row r="15" spans="1:112" s="27" customFormat="1">
      <c r="A15" s="5" t="s">
        <v>53</v>
      </c>
      <c r="B15" s="6"/>
      <c r="C15" s="6"/>
      <c r="D15" s="6"/>
      <c r="E15" s="6"/>
      <c r="F15" s="6"/>
      <c r="G15" s="6"/>
      <c r="H15" s="6"/>
      <c r="I15" s="6"/>
      <c r="J15" s="6"/>
      <c r="K15" s="6"/>
      <c r="L15" s="6"/>
      <c r="M15" s="6"/>
      <c r="N15" s="6"/>
      <c r="O15" s="6"/>
      <c r="P15" s="6"/>
      <c r="Q15" s="6"/>
      <c r="R15" s="6"/>
      <c r="S15" s="6"/>
      <c r="T15" s="6"/>
      <c r="U15" s="6"/>
      <c r="V15" s="6"/>
      <c r="W15" s="6"/>
      <c r="X15" s="6"/>
      <c r="Y15" s="6"/>
      <c r="Z15" s="6"/>
      <c r="AA15" s="6"/>
      <c r="AB15" s="6">
        <v>2</v>
      </c>
      <c r="AC15" s="6">
        <v>121</v>
      </c>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v>1</v>
      </c>
      <c r="BQ15" s="6">
        <v>75</v>
      </c>
      <c r="BR15" s="6"/>
      <c r="BS15" s="6"/>
      <c r="BT15" s="6"/>
      <c r="BU15" s="6"/>
      <c r="BV15" s="6"/>
      <c r="BW15" s="6"/>
      <c r="BX15" s="6"/>
      <c r="BY15" s="6"/>
      <c r="BZ15" s="6"/>
      <c r="CA15" s="6"/>
      <c r="CB15" s="6">
        <v>3</v>
      </c>
      <c r="CC15" s="6">
        <v>35</v>
      </c>
      <c r="CD15" s="8">
        <f t="shared" si="0"/>
        <v>6</v>
      </c>
      <c r="CE15" s="8">
        <f t="shared" si="1"/>
        <v>231</v>
      </c>
      <c r="CF15" s="52"/>
      <c r="CG15" s="52"/>
      <c r="CH15" s="52"/>
    </row>
    <row r="16" spans="1:112" s="27" customFormat="1">
      <c r="A16" s="5" t="s">
        <v>54</v>
      </c>
      <c r="B16" s="6"/>
      <c r="C16" s="6"/>
      <c r="D16" s="6"/>
      <c r="E16" s="6"/>
      <c r="F16" s="6"/>
      <c r="G16" s="6"/>
      <c r="H16" s="6"/>
      <c r="I16" s="6"/>
      <c r="J16" s="6"/>
      <c r="K16" s="6"/>
      <c r="L16" s="6">
        <v>1</v>
      </c>
      <c r="M16" s="6">
        <v>28</v>
      </c>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8">
        <f t="shared" si="0"/>
        <v>1</v>
      </c>
      <c r="CE16" s="8">
        <f t="shared" si="1"/>
        <v>28</v>
      </c>
      <c r="CF16" s="52"/>
      <c r="CG16" s="52"/>
      <c r="CH16" s="52"/>
    </row>
    <row r="17" spans="1:86" s="27" customFormat="1">
      <c r="A17" s="5" t="s">
        <v>55</v>
      </c>
      <c r="B17" s="6"/>
      <c r="C17" s="6"/>
      <c r="D17" s="6"/>
      <c r="E17" s="6"/>
      <c r="F17" s="6"/>
      <c r="G17" s="6"/>
      <c r="H17" s="6"/>
      <c r="I17" s="6"/>
      <c r="J17" s="6"/>
      <c r="K17" s="6"/>
      <c r="L17" s="6">
        <v>1</v>
      </c>
      <c r="M17" s="6">
        <v>22</v>
      </c>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8">
        <f t="shared" si="0"/>
        <v>1</v>
      </c>
      <c r="CE17" s="8">
        <f t="shared" si="1"/>
        <v>22</v>
      </c>
      <c r="CF17" s="52"/>
      <c r="CG17" s="52"/>
      <c r="CH17" s="52"/>
    </row>
    <row r="18" spans="1:86" s="27" customFormat="1">
      <c r="A18" s="5" t="s">
        <v>56</v>
      </c>
      <c r="B18" s="6"/>
      <c r="C18" s="6"/>
      <c r="D18" s="6"/>
      <c r="E18" s="6"/>
      <c r="F18" s="6"/>
      <c r="G18" s="6"/>
      <c r="H18" s="6"/>
      <c r="I18" s="6"/>
      <c r="J18" s="6"/>
      <c r="K18" s="6"/>
      <c r="L18" s="6">
        <v>12</v>
      </c>
      <c r="M18" s="6">
        <v>176</v>
      </c>
      <c r="N18" s="6"/>
      <c r="O18" s="6"/>
      <c r="P18" s="6"/>
      <c r="Q18" s="6"/>
      <c r="R18" s="6"/>
      <c r="S18" s="6"/>
      <c r="T18" s="6"/>
      <c r="U18" s="6"/>
      <c r="V18" s="6"/>
      <c r="W18" s="6"/>
      <c r="X18" s="6"/>
      <c r="Y18" s="6"/>
      <c r="Z18" s="6"/>
      <c r="AA18" s="6"/>
      <c r="AB18" s="6"/>
      <c r="AC18" s="6"/>
      <c r="AD18" s="6"/>
      <c r="AE18" s="6"/>
      <c r="AF18" s="6">
        <v>1</v>
      </c>
      <c r="AG18" s="6">
        <v>38</v>
      </c>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v>1</v>
      </c>
      <c r="BW18" s="6">
        <v>30</v>
      </c>
      <c r="BX18" s="6"/>
      <c r="BY18" s="6"/>
      <c r="BZ18" s="6"/>
      <c r="CA18" s="6"/>
      <c r="CB18" s="6"/>
      <c r="CC18" s="6"/>
      <c r="CD18" s="8">
        <f t="shared" si="0"/>
        <v>14</v>
      </c>
      <c r="CE18" s="8">
        <f t="shared" si="1"/>
        <v>244</v>
      </c>
      <c r="CF18" s="52"/>
      <c r="CG18" s="52"/>
      <c r="CH18" s="52"/>
    </row>
    <row r="19" spans="1:86" s="27" customFormat="1">
      <c r="A19" s="5" t="s">
        <v>57</v>
      </c>
      <c r="B19" s="6">
        <v>11</v>
      </c>
      <c r="C19" s="6">
        <v>571</v>
      </c>
      <c r="D19" s="6">
        <v>23</v>
      </c>
      <c r="E19" s="6">
        <v>3044</v>
      </c>
      <c r="F19" s="6">
        <v>27</v>
      </c>
      <c r="G19" s="6">
        <v>4776</v>
      </c>
      <c r="H19" s="6"/>
      <c r="I19" s="6"/>
      <c r="J19" s="6">
        <v>4</v>
      </c>
      <c r="K19" s="6">
        <v>771</v>
      </c>
      <c r="L19" s="6">
        <v>6</v>
      </c>
      <c r="M19" s="6">
        <v>81</v>
      </c>
      <c r="N19" s="6">
        <v>1</v>
      </c>
      <c r="O19" s="6">
        <v>19</v>
      </c>
      <c r="P19" s="6"/>
      <c r="Q19" s="6"/>
      <c r="R19" s="6"/>
      <c r="S19" s="6"/>
      <c r="T19" s="6">
        <v>1</v>
      </c>
      <c r="U19" s="6">
        <v>1118</v>
      </c>
      <c r="V19" s="6"/>
      <c r="W19" s="6"/>
      <c r="X19" s="6">
        <v>4</v>
      </c>
      <c r="Y19" s="6">
        <v>278</v>
      </c>
      <c r="Z19" s="6">
        <v>8</v>
      </c>
      <c r="AA19" s="6">
        <v>1487</v>
      </c>
      <c r="AB19" s="6">
        <v>49</v>
      </c>
      <c r="AC19" s="6">
        <v>14507</v>
      </c>
      <c r="AD19" s="6"/>
      <c r="AE19" s="6"/>
      <c r="AF19" s="6">
        <v>51</v>
      </c>
      <c r="AG19" s="6">
        <v>17331</v>
      </c>
      <c r="AH19" s="6">
        <v>4</v>
      </c>
      <c r="AI19" s="6">
        <v>1012</v>
      </c>
      <c r="AJ19" s="6">
        <v>5</v>
      </c>
      <c r="AK19" s="6">
        <v>840</v>
      </c>
      <c r="AL19" s="6"/>
      <c r="AM19" s="6"/>
      <c r="AN19" s="6"/>
      <c r="AO19" s="6"/>
      <c r="AP19" s="6">
        <v>2</v>
      </c>
      <c r="AQ19" s="6">
        <v>159</v>
      </c>
      <c r="AR19" s="6">
        <v>19</v>
      </c>
      <c r="AS19" s="6">
        <v>8164</v>
      </c>
      <c r="AT19" s="6">
        <v>1</v>
      </c>
      <c r="AU19" s="6">
        <v>441</v>
      </c>
      <c r="AV19" s="6">
        <v>10</v>
      </c>
      <c r="AW19" s="6">
        <v>4186</v>
      </c>
      <c r="AX19" s="6"/>
      <c r="AY19" s="6"/>
      <c r="AZ19" s="6">
        <v>1</v>
      </c>
      <c r="BA19" s="6">
        <v>104</v>
      </c>
      <c r="BB19" s="6"/>
      <c r="BC19" s="6"/>
      <c r="BD19" s="6"/>
      <c r="BE19" s="6"/>
      <c r="BF19" s="6"/>
      <c r="BG19" s="6"/>
      <c r="BH19" s="6"/>
      <c r="BI19" s="6"/>
      <c r="BJ19" s="6"/>
      <c r="BK19" s="6"/>
      <c r="BL19" s="6">
        <v>1</v>
      </c>
      <c r="BM19" s="6">
        <v>82</v>
      </c>
      <c r="BN19" s="6">
        <v>3</v>
      </c>
      <c r="BO19" s="6">
        <v>95</v>
      </c>
      <c r="BP19" s="6">
        <v>2</v>
      </c>
      <c r="BQ19" s="6">
        <v>119</v>
      </c>
      <c r="BR19" s="6">
        <v>1</v>
      </c>
      <c r="BS19" s="6">
        <v>72</v>
      </c>
      <c r="BT19" s="6">
        <v>8</v>
      </c>
      <c r="BU19" s="6">
        <v>323</v>
      </c>
      <c r="BV19" s="6">
        <v>4</v>
      </c>
      <c r="BW19" s="6">
        <v>180</v>
      </c>
      <c r="BX19" s="6">
        <v>2</v>
      </c>
      <c r="BY19" s="6">
        <v>86</v>
      </c>
      <c r="BZ19" s="6"/>
      <c r="CA19" s="6"/>
      <c r="CB19" s="6">
        <v>1</v>
      </c>
      <c r="CC19" s="6">
        <v>4</v>
      </c>
      <c r="CD19" s="8">
        <f t="shared" si="0"/>
        <v>249</v>
      </c>
      <c r="CE19" s="8">
        <f t="shared" si="1"/>
        <v>59850</v>
      </c>
      <c r="CF19" s="52"/>
      <c r="CG19" s="52"/>
      <c r="CH19" s="52"/>
    </row>
    <row r="20" spans="1:86" s="27" customFormat="1">
      <c r="A20" s="5" t="s">
        <v>58</v>
      </c>
      <c r="B20" s="6"/>
      <c r="C20" s="6"/>
      <c r="D20" s="6"/>
      <c r="E20" s="6"/>
      <c r="F20" s="6"/>
      <c r="G20" s="6"/>
      <c r="H20" s="6"/>
      <c r="I20" s="6"/>
      <c r="J20" s="6"/>
      <c r="K20" s="6"/>
      <c r="L20" s="6">
        <v>3</v>
      </c>
      <c r="M20" s="6">
        <v>91</v>
      </c>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v>1</v>
      </c>
      <c r="BM20" s="6">
        <v>64</v>
      </c>
      <c r="BN20" s="6"/>
      <c r="BO20" s="6"/>
      <c r="BP20" s="6"/>
      <c r="BQ20" s="6"/>
      <c r="BR20" s="6"/>
      <c r="BS20" s="6"/>
      <c r="BT20" s="6"/>
      <c r="BU20" s="6"/>
      <c r="BV20" s="6"/>
      <c r="BW20" s="6"/>
      <c r="BX20" s="6"/>
      <c r="BY20" s="6"/>
      <c r="BZ20" s="6"/>
      <c r="CA20" s="6"/>
      <c r="CB20" s="6">
        <v>1</v>
      </c>
      <c r="CC20" s="6">
        <v>12</v>
      </c>
      <c r="CD20" s="8">
        <f t="shared" si="0"/>
        <v>5</v>
      </c>
      <c r="CE20" s="8">
        <f t="shared" si="1"/>
        <v>167</v>
      </c>
      <c r="CF20" s="52"/>
      <c r="CG20" s="52"/>
      <c r="CH20" s="52"/>
    </row>
    <row r="21" spans="1:86" s="27" customFormat="1">
      <c r="A21" s="5" t="s">
        <v>59</v>
      </c>
      <c r="B21" s="6"/>
      <c r="C21" s="6"/>
      <c r="D21" s="6"/>
      <c r="E21" s="6"/>
      <c r="F21" s="6"/>
      <c r="G21" s="6"/>
      <c r="H21" s="6"/>
      <c r="I21" s="6"/>
      <c r="J21" s="6"/>
      <c r="K21" s="6"/>
      <c r="L21" s="6">
        <v>28</v>
      </c>
      <c r="M21" s="6">
        <v>474</v>
      </c>
      <c r="N21" s="6"/>
      <c r="O21" s="6"/>
      <c r="P21" s="6"/>
      <c r="Q21" s="6"/>
      <c r="R21" s="6"/>
      <c r="S21" s="6"/>
      <c r="T21" s="6"/>
      <c r="U21" s="6"/>
      <c r="V21" s="6"/>
      <c r="W21" s="6"/>
      <c r="X21" s="6"/>
      <c r="Y21" s="6"/>
      <c r="Z21" s="6">
        <v>1</v>
      </c>
      <c r="AA21" s="6">
        <v>37</v>
      </c>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v>3</v>
      </c>
      <c r="BM21" s="6">
        <v>74</v>
      </c>
      <c r="BN21" s="6"/>
      <c r="BO21" s="6"/>
      <c r="BP21" s="6"/>
      <c r="BQ21" s="6"/>
      <c r="BR21" s="6"/>
      <c r="BS21" s="6"/>
      <c r="BT21" s="6">
        <v>1</v>
      </c>
      <c r="BU21" s="6">
        <v>41</v>
      </c>
      <c r="BV21" s="6"/>
      <c r="BW21" s="6"/>
      <c r="BX21" s="6"/>
      <c r="BY21" s="6"/>
      <c r="BZ21" s="6"/>
      <c r="CA21" s="6"/>
      <c r="CB21" s="6">
        <v>1</v>
      </c>
      <c r="CC21" s="6">
        <v>16</v>
      </c>
      <c r="CD21" s="8">
        <f t="shared" si="0"/>
        <v>34</v>
      </c>
      <c r="CE21" s="8">
        <f t="shared" si="1"/>
        <v>642</v>
      </c>
      <c r="CF21" s="52"/>
      <c r="CG21" s="52"/>
      <c r="CH21" s="52"/>
    </row>
    <row r="22" spans="1:86" s="27" customFormat="1">
      <c r="A22" s="5" t="s">
        <v>60</v>
      </c>
      <c r="B22" s="6">
        <v>11</v>
      </c>
      <c r="C22" s="6">
        <v>639</v>
      </c>
      <c r="D22" s="6">
        <v>9</v>
      </c>
      <c r="E22" s="6">
        <v>462</v>
      </c>
      <c r="F22" s="6">
        <v>8</v>
      </c>
      <c r="G22" s="6">
        <v>1236</v>
      </c>
      <c r="H22" s="6"/>
      <c r="I22" s="6"/>
      <c r="J22" s="6"/>
      <c r="K22" s="6"/>
      <c r="L22" s="6">
        <v>2</v>
      </c>
      <c r="M22" s="6">
        <v>48</v>
      </c>
      <c r="N22" s="6"/>
      <c r="O22" s="6"/>
      <c r="P22" s="6"/>
      <c r="Q22" s="6"/>
      <c r="R22" s="6"/>
      <c r="S22" s="6"/>
      <c r="T22" s="6"/>
      <c r="U22" s="6"/>
      <c r="V22" s="6">
        <v>1</v>
      </c>
      <c r="W22" s="6">
        <v>68</v>
      </c>
      <c r="X22" s="6">
        <v>5</v>
      </c>
      <c r="Y22" s="6">
        <v>268</v>
      </c>
      <c r="Z22" s="6">
        <v>2</v>
      </c>
      <c r="AA22" s="6">
        <v>232</v>
      </c>
      <c r="AB22" s="6">
        <v>15</v>
      </c>
      <c r="AC22" s="6">
        <v>3485</v>
      </c>
      <c r="AD22" s="6">
        <v>2</v>
      </c>
      <c r="AE22" s="6">
        <v>310</v>
      </c>
      <c r="AF22" s="6">
        <v>16</v>
      </c>
      <c r="AG22" s="6">
        <v>4462</v>
      </c>
      <c r="AH22" s="6">
        <v>2</v>
      </c>
      <c r="AI22" s="6">
        <v>639</v>
      </c>
      <c r="AJ22" s="6">
        <v>2</v>
      </c>
      <c r="AK22" s="6">
        <v>457</v>
      </c>
      <c r="AL22" s="6">
        <v>1</v>
      </c>
      <c r="AM22" s="6">
        <v>284</v>
      </c>
      <c r="AN22" s="6">
        <v>3</v>
      </c>
      <c r="AO22" s="6">
        <v>78</v>
      </c>
      <c r="AP22" s="6"/>
      <c r="AQ22" s="6"/>
      <c r="AR22" s="6">
        <v>5</v>
      </c>
      <c r="AS22" s="6">
        <v>1258</v>
      </c>
      <c r="AT22" s="6">
        <v>1</v>
      </c>
      <c r="AU22" s="6">
        <v>78</v>
      </c>
      <c r="AV22" s="6">
        <v>7</v>
      </c>
      <c r="AW22" s="6">
        <v>2990</v>
      </c>
      <c r="AX22" s="6">
        <v>1</v>
      </c>
      <c r="AY22" s="6">
        <v>840</v>
      </c>
      <c r="AZ22" s="6">
        <v>1</v>
      </c>
      <c r="BA22" s="6">
        <v>64</v>
      </c>
      <c r="BB22" s="6"/>
      <c r="BC22" s="6"/>
      <c r="BD22" s="6"/>
      <c r="BE22" s="6"/>
      <c r="BF22" s="6"/>
      <c r="BG22" s="6"/>
      <c r="BH22" s="6"/>
      <c r="BI22" s="6"/>
      <c r="BJ22" s="6"/>
      <c r="BK22" s="6"/>
      <c r="BL22" s="6">
        <v>2</v>
      </c>
      <c r="BM22" s="6">
        <v>84</v>
      </c>
      <c r="BN22" s="6">
        <v>6</v>
      </c>
      <c r="BO22" s="6">
        <v>497</v>
      </c>
      <c r="BP22" s="6">
        <v>4</v>
      </c>
      <c r="BQ22" s="6">
        <v>279</v>
      </c>
      <c r="BR22" s="6">
        <v>1</v>
      </c>
      <c r="BS22" s="6">
        <v>22</v>
      </c>
      <c r="BT22" s="6">
        <v>4</v>
      </c>
      <c r="BU22" s="6">
        <v>132</v>
      </c>
      <c r="BV22" s="6">
        <v>2</v>
      </c>
      <c r="BW22" s="6">
        <v>83</v>
      </c>
      <c r="BX22" s="6"/>
      <c r="BY22" s="6"/>
      <c r="BZ22" s="6"/>
      <c r="CA22" s="6"/>
      <c r="CB22" s="6">
        <v>1</v>
      </c>
      <c r="CC22" s="6">
        <v>20</v>
      </c>
      <c r="CD22" s="8">
        <f t="shared" si="0"/>
        <v>114</v>
      </c>
      <c r="CE22" s="8">
        <f t="shared" si="1"/>
        <v>19015</v>
      </c>
      <c r="CF22" s="52"/>
      <c r="CG22" s="52"/>
      <c r="CH22" s="52"/>
    </row>
    <row r="23" spans="1:86" s="27" customFormat="1">
      <c r="A23" s="5" t="s">
        <v>218</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v>1</v>
      </c>
      <c r="BM23" s="6">
        <v>50</v>
      </c>
      <c r="BN23" s="6"/>
      <c r="BO23" s="6"/>
      <c r="BP23" s="6"/>
      <c r="BQ23" s="6"/>
      <c r="BR23" s="6"/>
      <c r="BS23" s="6"/>
      <c r="BT23" s="6"/>
      <c r="BU23" s="6"/>
      <c r="BV23" s="6"/>
      <c r="BW23" s="6"/>
      <c r="BX23" s="6"/>
      <c r="BY23" s="6"/>
      <c r="BZ23" s="6"/>
      <c r="CA23" s="6"/>
      <c r="CB23" s="6"/>
      <c r="CC23" s="6"/>
      <c r="CD23" s="8">
        <f t="shared" si="0"/>
        <v>1</v>
      </c>
      <c r="CE23" s="8">
        <f t="shared" si="1"/>
        <v>50</v>
      </c>
      <c r="CF23" s="52"/>
      <c r="CG23" s="52"/>
      <c r="CH23" s="52"/>
    </row>
    <row r="24" spans="1:86" s="27" customFormat="1">
      <c r="A24" s="5" t="s">
        <v>61</v>
      </c>
      <c r="B24" s="6"/>
      <c r="C24" s="6"/>
      <c r="D24" s="6"/>
      <c r="E24" s="6"/>
      <c r="F24" s="6"/>
      <c r="G24" s="6"/>
      <c r="H24" s="6"/>
      <c r="I24" s="6"/>
      <c r="J24" s="6"/>
      <c r="K24" s="6"/>
      <c r="L24" s="6">
        <v>1</v>
      </c>
      <c r="M24" s="6">
        <v>17</v>
      </c>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v>1</v>
      </c>
      <c r="CC24" s="6">
        <v>16</v>
      </c>
      <c r="CD24" s="8">
        <f t="shared" si="0"/>
        <v>2</v>
      </c>
      <c r="CE24" s="8">
        <f t="shared" si="1"/>
        <v>33</v>
      </c>
      <c r="CF24" s="52"/>
      <c r="CG24" s="52"/>
      <c r="CH24" s="52"/>
    </row>
    <row r="25" spans="1:86" s="27" customFormat="1">
      <c r="A25" s="5" t="s">
        <v>62</v>
      </c>
      <c r="B25" s="6"/>
      <c r="C25" s="6"/>
      <c r="D25" s="6"/>
      <c r="E25" s="6"/>
      <c r="F25" s="6"/>
      <c r="G25" s="6"/>
      <c r="H25" s="6"/>
      <c r="I25" s="6"/>
      <c r="J25" s="6"/>
      <c r="K25" s="6"/>
      <c r="L25" s="6">
        <v>1</v>
      </c>
      <c r="M25" s="6">
        <v>16</v>
      </c>
      <c r="N25" s="6"/>
      <c r="O25" s="6"/>
      <c r="P25" s="6"/>
      <c r="Q25" s="6"/>
      <c r="R25" s="6"/>
      <c r="S25" s="6"/>
      <c r="T25" s="6"/>
      <c r="U25" s="6"/>
      <c r="V25" s="6">
        <v>1</v>
      </c>
      <c r="W25" s="6">
        <v>17</v>
      </c>
      <c r="X25" s="6"/>
      <c r="Y25" s="6"/>
      <c r="Z25" s="6"/>
      <c r="AA25" s="6"/>
      <c r="AB25" s="6"/>
      <c r="AC25" s="6"/>
      <c r="AD25" s="6"/>
      <c r="AE25" s="6"/>
      <c r="AF25" s="6">
        <v>2</v>
      </c>
      <c r="AG25" s="6">
        <v>244</v>
      </c>
      <c r="AH25" s="6"/>
      <c r="AI25" s="6"/>
      <c r="AJ25" s="6"/>
      <c r="AK25" s="6"/>
      <c r="AL25" s="6"/>
      <c r="AM25" s="6"/>
      <c r="AN25" s="6"/>
      <c r="AO25" s="6"/>
      <c r="AP25" s="6"/>
      <c r="AQ25" s="6"/>
      <c r="AR25" s="6"/>
      <c r="AS25" s="6"/>
      <c r="AT25" s="6"/>
      <c r="AU25" s="6"/>
      <c r="AV25" s="6">
        <v>1</v>
      </c>
      <c r="AW25" s="6">
        <v>52</v>
      </c>
      <c r="AX25" s="6"/>
      <c r="AY25" s="6"/>
      <c r="AZ25" s="6"/>
      <c r="BA25" s="6"/>
      <c r="BB25" s="6"/>
      <c r="BC25" s="6"/>
      <c r="BD25" s="6"/>
      <c r="BE25" s="6"/>
      <c r="BF25" s="6"/>
      <c r="BG25" s="6"/>
      <c r="BH25" s="6"/>
      <c r="BI25" s="6"/>
      <c r="BJ25" s="6">
        <v>1</v>
      </c>
      <c r="BK25" s="6">
        <v>132</v>
      </c>
      <c r="BL25" s="6"/>
      <c r="BM25" s="6"/>
      <c r="BN25" s="6">
        <v>1</v>
      </c>
      <c r="BO25" s="6">
        <v>14</v>
      </c>
      <c r="BP25" s="6"/>
      <c r="BQ25" s="6"/>
      <c r="BR25" s="6"/>
      <c r="BS25" s="6"/>
      <c r="BT25" s="6"/>
      <c r="BU25" s="6"/>
      <c r="BV25" s="6"/>
      <c r="BW25" s="6"/>
      <c r="BX25" s="6"/>
      <c r="BY25" s="6"/>
      <c r="BZ25" s="6"/>
      <c r="CA25" s="6"/>
      <c r="CB25" s="6"/>
      <c r="CC25" s="6"/>
      <c r="CD25" s="8">
        <f t="shared" si="0"/>
        <v>7</v>
      </c>
      <c r="CE25" s="8">
        <f t="shared" si="1"/>
        <v>475</v>
      </c>
      <c r="CF25" s="52"/>
      <c r="CG25" s="52"/>
      <c r="CH25" s="52"/>
    </row>
    <row r="26" spans="1:86" s="27" customFormat="1">
      <c r="A26" s="5" t="s">
        <v>249</v>
      </c>
      <c r="B26" s="6"/>
      <c r="C26" s="6"/>
      <c r="D26" s="6"/>
      <c r="E26" s="6"/>
      <c r="F26" s="6"/>
      <c r="G26" s="6"/>
      <c r="H26" s="6"/>
      <c r="I26" s="6"/>
      <c r="J26" s="6"/>
      <c r="K26" s="6"/>
      <c r="L26" s="6">
        <v>1</v>
      </c>
      <c r="M26" s="6">
        <v>2</v>
      </c>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8">
        <f t="shared" si="0"/>
        <v>1</v>
      </c>
      <c r="CE26" s="8">
        <f t="shared" si="1"/>
        <v>2</v>
      </c>
      <c r="CF26" s="52"/>
      <c r="CG26" s="52"/>
      <c r="CH26" s="52"/>
    </row>
    <row r="27" spans="1:86" s="27" customFormat="1">
      <c r="A27" s="5" t="s">
        <v>63</v>
      </c>
      <c r="B27" s="6"/>
      <c r="C27" s="6"/>
      <c r="D27" s="6"/>
      <c r="E27" s="6"/>
      <c r="F27" s="6"/>
      <c r="G27" s="6"/>
      <c r="H27" s="6"/>
      <c r="I27" s="6"/>
      <c r="J27" s="6"/>
      <c r="K27" s="6"/>
      <c r="L27" s="6">
        <v>9</v>
      </c>
      <c r="M27" s="6">
        <v>139</v>
      </c>
      <c r="N27" s="6"/>
      <c r="O27" s="6"/>
      <c r="P27" s="6"/>
      <c r="Q27" s="6"/>
      <c r="R27" s="6"/>
      <c r="S27" s="6"/>
      <c r="T27" s="6"/>
      <c r="U27" s="6"/>
      <c r="V27" s="6"/>
      <c r="W27" s="6"/>
      <c r="X27" s="6"/>
      <c r="Y27" s="6"/>
      <c r="Z27" s="6"/>
      <c r="AA27" s="6"/>
      <c r="AB27" s="6"/>
      <c r="AC27" s="6"/>
      <c r="AD27" s="6"/>
      <c r="AE27" s="6"/>
      <c r="AF27" s="6">
        <v>1</v>
      </c>
      <c r="AG27" s="6">
        <v>37</v>
      </c>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v>1</v>
      </c>
      <c r="BO27" s="6">
        <v>16</v>
      </c>
      <c r="BP27" s="6"/>
      <c r="BQ27" s="6"/>
      <c r="BR27" s="6"/>
      <c r="BS27" s="6"/>
      <c r="BT27" s="6"/>
      <c r="BU27" s="6"/>
      <c r="BV27" s="6"/>
      <c r="BW27" s="6"/>
      <c r="BX27" s="6"/>
      <c r="BY27" s="6"/>
      <c r="BZ27" s="6"/>
      <c r="CA27" s="6"/>
      <c r="CB27" s="6"/>
      <c r="CC27" s="6"/>
      <c r="CD27" s="8">
        <f t="shared" si="0"/>
        <v>11</v>
      </c>
      <c r="CE27" s="8">
        <f t="shared" si="1"/>
        <v>192</v>
      </c>
      <c r="CF27" s="52"/>
      <c r="CG27" s="52"/>
      <c r="CH27" s="52"/>
    </row>
    <row r="28" spans="1:86" s="27" customFormat="1">
      <c r="A28" s="5" t="s">
        <v>64</v>
      </c>
      <c r="B28" s="6"/>
      <c r="C28" s="6"/>
      <c r="D28" s="6"/>
      <c r="E28" s="6"/>
      <c r="F28" s="6"/>
      <c r="G28" s="6"/>
      <c r="H28" s="6"/>
      <c r="I28" s="6"/>
      <c r="J28" s="6"/>
      <c r="K28" s="6"/>
      <c r="L28" s="6">
        <v>1</v>
      </c>
      <c r="M28" s="6">
        <v>10</v>
      </c>
      <c r="N28" s="6"/>
      <c r="O28" s="6"/>
      <c r="P28" s="6"/>
      <c r="Q28" s="6"/>
      <c r="R28" s="6"/>
      <c r="S28" s="6"/>
      <c r="T28" s="6"/>
      <c r="U28" s="6"/>
      <c r="V28" s="6"/>
      <c r="W28" s="6"/>
      <c r="X28" s="6"/>
      <c r="Y28" s="6"/>
      <c r="Z28" s="6"/>
      <c r="AA28" s="6"/>
      <c r="AB28" s="6"/>
      <c r="AC28" s="6"/>
      <c r="AD28" s="6"/>
      <c r="AE28" s="6"/>
      <c r="AF28" s="6">
        <v>1</v>
      </c>
      <c r="AG28" s="6">
        <v>111</v>
      </c>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v>3</v>
      </c>
      <c r="CC28" s="6">
        <v>32</v>
      </c>
      <c r="CD28" s="8">
        <f t="shared" si="0"/>
        <v>5</v>
      </c>
      <c r="CE28" s="8">
        <f t="shared" si="1"/>
        <v>153</v>
      </c>
      <c r="CF28" s="52"/>
      <c r="CG28" s="52"/>
      <c r="CH28" s="52"/>
    </row>
    <row r="29" spans="1:86" s="27" customFormat="1">
      <c r="A29" s="5" t="s">
        <v>65</v>
      </c>
      <c r="B29" s="6">
        <v>7</v>
      </c>
      <c r="C29" s="6">
        <v>197</v>
      </c>
      <c r="D29" s="6">
        <v>13</v>
      </c>
      <c r="E29" s="6">
        <v>941</v>
      </c>
      <c r="F29" s="6">
        <v>3</v>
      </c>
      <c r="G29" s="6">
        <v>555</v>
      </c>
      <c r="H29" s="6"/>
      <c r="I29" s="6"/>
      <c r="J29" s="6"/>
      <c r="K29" s="6"/>
      <c r="L29" s="6">
        <v>16</v>
      </c>
      <c r="M29" s="6">
        <v>248</v>
      </c>
      <c r="N29" s="6"/>
      <c r="O29" s="6"/>
      <c r="P29" s="6"/>
      <c r="Q29" s="6"/>
      <c r="R29" s="6"/>
      <c r="S29" s="6"/>
      <c r="T29" s="6"/>
      <c r="U29" s="6"/>
      <c r="V29" s="6"/>
      <c r="W29" s="6"/>
      <c r="X29" s="6">
        <v>1</v>
      </c>
      <c r="Y29" s="6">
        <v>48</v>
      </c>
      <c r="Z29" s="6"/>
      <c r="AA29" s="6"/>
      <c r="AB29" s="6">
        <v>4</v>
      </c>
      <c r="AC29" s="6">
        <v>1476</v>
      </c>
      <c r="AD29" s="6"/>
      <c r="AE29" s="6"/>
      <c r="AF29" s="6">
        <v>3</v>
      </c>
      <c r="AG29" s="6">
        <v>1243</v>
      </c>
      <c r="AH29" s="6">
        <v>1</v>
      </c>
      <c r="AI29" s="6">
        <v>166</v>
      </c>
      <c r="AJ29" s="6">
        <v>1</v>
      </c>
      <c r="AK29" s="6">
        <v>20</v>
      </c>
      <c r="AL29" s="6"/>
      <c r="AM29" s="6"/>
      <c r="AN29" s="6"/>
      <c r="AO29" s="6"/>
      <c r="AP29" s="6">
        <v>1</v>
      </c>
      <c r="AQ29" s="6">
        <v>336</v>
      </c>
      <c r="AR29" s="6"/>
      <c r="AS29" s="6"/>
      <c r="AT29" s="6"/>
      <c r="AU29" s="6"/>
      <c r="AV29" s="6">
        <v>1</v>
      </c>
      <c r="AW29" s="6">
        <v>606</v>
      </c>
      <c r="AX29" s="6"/>
      <c r="AY29" s="6"/>
      <c r="AZ29" s="6"/>
      <c r="BA29" s="6"/>
      <c r="BB29" s="6">
        <v>1</v>
      </c>
      <c r="BC29" s="6">
        <v>48</v>
      </c>
      <c r="BD29" s="6"/>
      <c r="BE29" s="6"/>
      <c r="BF29" s="6"/>
      <c r="BG29" s="6"/>
      <c r="BH29" s="6"/>
      <c r="BI29" s="6"/>
      <c r="BJ29" s="6"/>
      <c r="BK29" s="6"/>
      <c r="BL29" s="6">
        <v>3</v>
      </c>
      <c r="BM29" s="6">
        <v>86</v>
      </c>
      <c r="BN29" s="6">
        <v>1</v>
      </c>
      <c r="BO29" s="6">
        <v>35</v>
      </c>
      <c r="BP29" s="6"/>
      <c r="BQ29" s="6"/>
      <c r="BR29" s="6"/>
      <c r="BS29" s="6"/>
      <c r="BT29" s="6">
        <v>2</v>
      </c>
      <c r="BU29" s="6">
        <v>75</v>
      </c>
      <c r="BV29" s="6"/>
      <c r="BW29" s="6"/>
      <c r="BX29" s="6"/>
      <c r="BY29" s="6"/>
      <c r="BZ29" s="6"/>
      <c r="CA29" s="6"/>
      <c r="CB29" s="6">
        <v>1</v>
      </c>
      <c r="CC29" s="6">
        <v>8</v>
      </c>
      <c r="CD29" s="8">
        <f t="shared" si="0"/>
        <v>59</v>
      </c>
      <c r="CE29" s="8">
        <f t="shared" si="1"/>
        <v>6088</v>
      </c>
      <c r="CF29" s="52"/>
      <c r="CG29" s="52"/>
      <c r="CH29" s="52"/>
    </row>
    <row r="30" spans="1:86" s="27" customFormat="1">
      <c r="A30" s="5" t="s">
        <v>66</v>
      </c>
      <c r="B30" s="6"/>
      <c r="C30" s="6"/>
      <c r="D30" s="6"/>
      <c r="E30" s="6"/>
      <c r="F30" s="6"/>
      <c r="G30" s="6"/>
      <c r="H30" s="6"/>
      <c r="I30" s="6"/>
      <c r="J30" s="6"/>
      <c r="K30" s="6"/>
      <c r="L30" s="6">
        <v>2</v>
      </c>
      <c r="M30" s="6">
        <v>25</v>
      </c>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v>2</v>
      </c>
      <c r="AW30" s="6">
        <v>62</v>
      </c>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v>2</v>
      </c>
      <c r="CC30" s="6">
        <v>50</v>
      </c>
      <c r="CD30" s="8">
        <f t="shared" si="0"/>
        <v>6</v>
      </c>
      <c r="CE30" s="8">
        <f t="shared" si="1"/>
        <v>137</v>
      </c>
      <c r="CF30" s="52"/>
      <c r="CG30" s="52"/>
      <c r="CH30" s="52"/>
    </row>
    <row r="31" spans="1:86" s="27" customFormat="1">
      <c r="A31" s="5" t="s">
        <v>67</v>
      </c>
      <c r="B31" s="6"/>
      <c r="C31" s="6"/>
      <c r="D31" s="6"/>
      <c r="E31" s="6"/>
      <c r="F31" s="6"/>
      <c r="G31" s="6"/>
      <c r="H31" s="6"/>
      <c r="I31" s="6"/>
      <c r="J31" s="6"/>
      <c r="K31" s="6"/>
      <c r="L31" s="6">
        <v>5</v>
      </c>
      <c r="M31" s="6">
        <v>66</v>
      </c>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v>1</v>
      </c>
      <c r="BM31" s="6">
        <v>30</v>
      </c>
      <c r="BN31" s="6"/>
      <c r="BO31" s="6"/>
      <c r="BP31" s="6"/>
      <c r="BQ31" s="6"/>
      <c r="BR31" s="6"/>
      <c r="BS31" s="6"/>
      <c r="BT31" s="6"/>
      <c r="BU31" s="6"/>
      <c r="BV31" s="6"/>
      <c r="BW31" s="6"/>
      <c r="BX31" s="6"/>
      <c r="BY31" s="6"/>
      <c r="BZ31" s="6"/>
      <c r="CA31" s="6"/>
      <c r="CB31" s="6"/>
      <c r="CC31" s="6"/>
      <c r="CD31" s="8">
        <f t="shared" si="0"/>
        <v>6</v>
      </c>
      <c r="CE31" s="8">
        <f t="shared" si="1"/>
        <v>96</v>
      </c>
      <c r="CF31" s="52"/>
      <c r="CG31" s="52"/>
      <c r="CH31" s="52"/>
    </row>
    <row r="32" spans="1:86" s="27" customFormat="1">
      <c r="A32" s="5" t="s">
        <v>68</v>
      </c>
      <c r="B32" s="6"/>
      <c r="C32" s="6"/>
      <c r="D32" s="6"/>
      <c r="E32" s="6"/>
      <c r="F32" s="6"/>
      <c r="G32" s="6"/>
      <c r="H32" s="6"/>
      <c r="I32" s="6"/>
      <c r="J32" s="6"/>
      <c r="K32" s="6"/>
      <c r="L32" s="6">
        <v>3</v>
      </c>
      <c r="M32" s="6">
        <v>52</v>
      </c>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8">
        <f t="shared" si="0"/>
        <v>3</v>
      </c>
      <c r="CE32" s="8">
        <f t="shared" si="1"/>
        <v>52</v>
      </c>
      <c r="CF32" s="52"/>
      <c r="CG32" s="52"/>
      <c r="CH32" s="52"/>
    </row>
    <row r="33" spans="1:86" s="27" customFormat="1">
      <c r="A33" s="5" t="s">
        <v>69</v>
      </c>
      <c r="B33" s="6"/>
      <c r="C33" s="6"/>
      <c r="D33" s="6"/>
      <c r="E33" s="6"/>
      <c r="F33" s="6"/>
      <c r="G33" s="6"/>
      <c r="H33" s="6"/>
      <c r="I33" s="6"/>
      <c r="J33" s="6"/>
      <c r="K33" s="6"/>
      <c r="L33" s="6">
        <v>1</v>
      </c>
      <c r="M33" s="6">
        <v>9</v>
      </c>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v>2</v>
      </c>
      <c r="CC33" s="6">
        <v>46</v>
      </c>
      <c r="CD33" s="8">
        <f t="shared" si="0"/>
        <v>3</v>
      </c>
      <c r="CE33" s="8">
        <f t="shared" si="1"/>
        <v>55</v>
      </c>
      <c r="CF33" s="52"/>
      <c r="CG33" s="52"/>
      <c r="CH33" s="52"/>
    </row>
    <row r="34" spans="1:86" s="27" customFormat="1">
      <c r="A34" s="5" t="s">
        <v>177</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v>4</v>
      </c>
      <c r="CC34" s="6">
        <v>30</v>
      </c>
      <c r="CD34" s="8">
        <f t="shared" si="0"/>
        <v>4</v>
      </c>
      <c r="CE34" s="8">
        <f t="shared" si="1"/>
        <v>30</v>
      </c>
      <c r="CF34" s="52"/>
      <c r="CG34" s="52"/>
      <c r="CH34" s="52"/>
    </row>
    <row r="35" spans="1:86" s="27" customFormat="1">
      <c r="A35" s="5" t="s">
        <v>71</v>
      </c>
      <c r="B35" s="6"/>
      <c r="C35" s="6"/>
      <c r="D35" s="6">
        <v>1</v>
      </c>
      <c r="E35" s="6">
        <v>120</v>
      </c>
      <c r="F35" s="6"/>
      <c r="G35" s="6"/>
      <c r="H35" s="6"/>
      <c r="I35" s="6"/>
      <c r="J35" s="6">
        <v>1</v>
      </c>
      <c r="K35" s="6">
        <v>936</v>
      </c>
      <c r="L35" s="6">
        <v>17</v>
      </c>
      <c r="M35" s="6">
        <v>403</v>
      </c>
      <c r="N35" s="6"/>
      <c r="O35" s="6"/>
      <c r="P35" s="6"/>
      <c r="Q35" s="6"/>
      <c r="R35" s="6">
        <v>1</v>
      </c>
      <c r="S35" s="6">
        <v>660</v>
      </c>
      <c r="T35" s="6"/>
      <c r="U35" s="6"/>
      <c r="V35" s="6">
        <v>1</v>
      </c>
      <c r="W35" s="6">
        <v>26</v>
      </c>
      <c r="X35" s="6"/>
      <c r="Y35" s="6"/>
      <c r="Z35" s="6">
        <v>8</v>
      </c>
      <c r="AA35" s="6">
        <v>1719</v>
      </c>
      <c r="AB35" s="6">
        <v>21</v>
      </c>
      <c r="AC35" s="6">
        <v>6790</v>
      </c>
      <c r="AD35" s="6">
        <v>1</v>
      </c>
      <c r="AE35" s="6">
        <v>297</v>
      </c>
      <c r="AF35" s="6">
        <v>4</v>
      </c>
      <c r="AG35" s="6">
        <v>1436</v>
      </c>
      <c r="AH35" s="6"/>
      <c r="AI35" s="6"/>
      <c r="AJ35" s="6">
        <v>2</v>
      </c>
      <c r="AK35" s="6">
        <v>493</v>
      </c>
      <c r="AL35" s="6"/>
      <c r="AM35" s="6"/>
      <c r="AN35" s="6"/>
      <c r="AO35" s="6"/>
      <c r="AP35" s="6"/>
      <c r="AQ35" s="6"/>
      <c r="AR35" s="6">
        <v>1</v>
      </c>
      <c r="AS35" s="6">
        <v>346</v>
      </c>
      <c r="AT35" s="6"/>
      <c r="AU35" s="6"/>
      <c r="AV35" s="6"/>
      <c r="AW35" s="6"/>
      <c r="AX35" s="6"/>
      <c r="AY35" s="6"/>
      <c r="AZ35" s="6"/>
      <c r="BA35" s="6"/>
      <c r="BB35" s="6"/>
      <c r="BC35" s="6"/>
      <c r="BD35" s="6"/>
      <c r="BE35" s="6"/>
      <c r="BF35" s="6"/>
      <c r="BG35" s="6"/>
      <c r="BH35" s="6"/>
      <c r="BI35" s="6"/>
      <c r="BJ35" s="6"/>
      <c r="BK35" s="6"/>
      <c r="BL35" s="6">
        <v>2</v>
      </c>
      <c r="BM35" s="6">
        <v>90</v>
      </c>
      <c r="BN35" s="6">
        <v>3</v>
      </c>
      <c r="BO35" s="6">
        <v>161</v>
      </c>
      <c r="BP35" s="6"/>
      <c r="BQ35" s="6"/>
      <c r="BR35" s="6"/>
      <c r="BS35" s="6"/>
      <c r="BT35" s="6">
        <v>3</v>
      </c>
      <c r="BU35" s="6">
        <v>153</v>
      </c>
      <c r="BV35" s="6">
        <v>2</v>
      </c>
      <c r="BW35" s="6">
        <v>80</v>
      </c>
      <c r="BX35" s="6"/>
      <c r="BY35" s="6"/>
      <c r="BZ35" s="6"/>
      <c r="CA35" s="6"/>
      <c r="CB35" s="6">
        <v>1</v>
      </c>
      <c r="CC35" s="6">
        <v>28</v>
      </c>
      <c r="CD35" s="8">
        <f t="shared" si="0"/>
        <v>69</v>
      </c>
      <c r="CE35" s="8">
        <f t="shared" si="1"/>
        <v>13738</v>
      </c>
      <c r="CF35" s="52"/>
      <c r="CG35" s="52"/>
      <c r="CH35" s="52"/>
    </row>
    <row r="36" spans="1:86" s="27" customFormat="1">
      <c r="A36" s="5" t="s">
        <v>72</v>
      </c>
      <c r="B36" s="6">
        <v>4</v>
      </c>
      <c r="C36" s="6">
        <v>901</v>
      </c>
      <c r="D36" s="6">
        <v>5</v>
      </c>
      <c r="E36" s="6">
        <v>479</v>
      </c>
      <c r="F36" s="6">
        <v>3</v>
      </c>
      <c r="G36" s="6">
        <v>123</v>
      </c>
      <c r="H36" s="6"/>
      <c r="I36" s="6"/>
      <c r="J36" s="6"/>
      <c r="K36" s="6"/>
      <c r="L36" s="6">
        <v>23</v>
      </c>
      <c r="M36" s="6">
        <v>400</v>
      </c>
      <c r="N36" s="6">
        <v>3</v>
      </c>
      <c r="O36" s="6">
        <v>94</v>
      </c>
      <c r="P36" s="6"/>
      <c r="Q36" s="6"/>
      <c r="R36" s="6"/>
      <c r="S36" s="6"/>
      <c r="T36" s="6"/>
      <c r="U36" s="6"/>
      <c r="V36" s="6"/>
      <c r="W36" s="6"/>
      <c r="X36" s="6">
        <v>1</v>
      </c>
      <c r="Y36" s="6">
        <v>222</v>
      </c>
      <c r="Z36" s="6">
        <v>2</v>
      </c>
      <c r="AA36" s="6">
        <v>441</v>
      </c>
      <c r="AB36" s="6">
        <v>13</v>
      </c>
      <c r="AC36" s="6">
        <v>5146</v>
      </c>
      <c r="AD36" s="6"/>
      <c r="AE36" s="6"/>
      <c r="AF36" s="6">
        <v>3</v>
      </c>
      <c r="AG36" s="6">
        <v>1081</v>
      </c>
      <c r="AH36" s="6"/>
      <c r="AI36" s="6"/>
      <c r="AJ36" s="6"/>
      <c r="AK36" s="6"/>
      <c r="AL36" s="6"/>
      <c r="AM36" s="6"/>
      <c r="AN36" s="6"/>
      <c r="AO36" s="6"/>
      <c r="AP36" s="6"/>
      <c r="AQ36" s="6"/>
      <c r="AR36" s="6">
        <v>4</v>
      </c>
      <c r="AS36" s="6">
        <v>2662</v>
      </c>
      <c r="AT36" s="6"/>
      <c r="AU36" s="6"/>
      <c r="AV36" s="6">
        <v>2</v>
      </c>
      <c r="AW36" s="6">
        <v>2957</v>
      </c>
      <c r="AX36" s="6"/>
      <c r="AY36" s="6"/>
      <c r="AZ36" s="6"/>
      <c r="BA36" s="6"/>
      <c r="BB36" s="6"/>
      <c r="BC36" s="6"/>
      <c r="BD36" s="6"/>
      <c r="BE36" s="6"/>
      <c r="BF36" s="6"/>
      <c r="BG36" s="6"/>
      <c r="BH36" s="6"/>
      <c r="BI36" s="6"/>
      <c r="BJ36" s="6"/>
      <c r="BK36" s="6"/>
      <c r="BL36" s="6">
        <v>3</v>
      </c>
      <c r="BM36" s="6">
        <v>108</v>
      </c>
      <c r="BN36" s="6">
        <v>1</v>
      </c>
      <c r="BO36" s="6">
        <v>111</v>
      </c>
      <c r="BP36" s="6">
        <v>1</v>
      </c>
      <c r="BQ36" s="6">
        <v>46</v>
      </c>
      <c r="BR36" s="6"/>
      <c r="BS36" s="6"/>
      <c r="BT36" s="6"/>
      <c r="BU36" s="6"/>
      <c r="BV36" s="6"/>
      <c r="BW36" s="6"/>
      <c r="BX36" s="6"/>
      <c r="BY36" s="6"/>
      <c r="BZ36" s="6"/>
      <c r="CA36" s="6"/>
      <c r="CB36" s="6"/>
      <c r="CC36" s="6"/>
      <c r="CD36" s="8">
        <f t="shared" si="0"/>
        <v>68</v>
      </c>
      <c r="CE36" s="8">
        <f t="shared" si="1"/>
        <v>14771</v>
      </c>
      <c r="CF36" s="52"/>
      <c r="CG36" s="52"/>
      <c r="CH36" s="52"/>
    </row>
    <row r="37" spans="1:86" s="27" customFormat="1">
      <c r="A37" s="5" t="s">
        <v>250</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v>1</v>
      </c>
      <c r="CC37" s="6">
        <v>10</v>
      </c>
      <c r="CD37" s="8">
        <f t="shared" si="0"/>
        <v>1</v>
      </c>
      <c r="CE37" s="8">
        <f t="shared" si="1"/>
        <v>10</v>
      </c>
      <c r="CF37" s="52"/>
      <c r="CG37" s="52"/>
      <c r="CH37" s="52"/>
    </row>
    <row r="38" spans="1:86" s="27" customFormat="1">
      <c r="A38" s="5" t="s">
        <v>73</v>
      </c>
      <c r="B38" s="6"/>
      <c r="C38" s="6"/>
      <c r="D38" s="6"/>
      <c r="E38" s="6"/>
      <c r="F38" s="6"/>
      <c r="G38" s="6"/>
      <c r="H38" s="6"/>
      <c r="I38" s="6"/>
      <c r="J38" s="6"/>
      <c r="K38" s="6"/>
      <c r="L38" s="6">
        <v>4</v>
      </c>
      <c r="M38" s="6">
        <v>40</v>
      </c>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v>1</v>
      </c>
      <c r="CC38" s="6">
        <v>16</v>
      </c>
      <c r="CD38" s="8">
        <f t="shared" si="0"/>
        <v>5</v>
      </c>
      <c r="CE38" s="8">
        <f t="shared" si="1"/>
        <v>56</v>
      </c>
      <c r="CF38" s="52"/>
      <c r="CG38" s="52"/>
      <c r="CH38" s="52"/>
    </row>
    <row r="39" spans="1:86" s="27" customFormat="1">
      <c r="A39" s="5" t="s">
        <v>74</v>
      </c>
      <c r="B39" s="6"/>
      <c r="C39" s="6"/>
      <c r="D39" s="6"/>
      <c r="E39" s="6"/>
      <c r="F39" s="6"/>
      <c r="G39" s="6"/>
      <c r="H39" s="6"/>
      <c r="I39" s="6"/>
      <c r="J39" s="6"/>
      <c r="K39" s="6"/>
      <c r="L39" s="6">
        <v>1</v>
      </c>
      <c r="M39" s="6">
        <v>24</v>
      </c>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v>1</v>
      </c>
      <c r="CC39" s="6">
        <v>8</v>
      </c>
      <c r="CD39" s="8">
        <f t="shared" si="0"/>
        <v>2</v>
      </c>
      <c r="CE39" s="8">
        <f t="shared" si="1"/>
        <v>32</v>
      </c>
      <c r="CF39" s="52"/>
      <c r="CG39" s="52"/>
      <c r="CH39" s="52"/>
    </row>
    <row r="40" spans="1:86" s="27" customFormat="1">
      <c r="A40" s="5" t="s">
        <v>75</v>
      </c>
      <c r="B40" s="6"/>
      <c r="C40" s="6"/>
      <c r="D40" s="6"/>
      <c r="E40" s="6"/>
      <c r="F40" s="6"/>
      <c r="G40" s="6"/>
      <c r="H40" s="6"/>
      <c r="I40" s="6"/>
      <c r="J40" s="6"/>
      <c r="K40" s="6"/>
      <c r="L40" s="6">
        <v>4</v>
      </c>
      <c r="M40" s="6">
        <v>59</v>
      </c>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v>2</v>
      </c>
      <c r="BM40" s="6">
        <v>95</v>
      </c>
      <c r="BN40" s="6"/>
      <c r="BO40" s="6"/>
      <c r="BP40" s="6"/>
      <c r="BQ40" s="6"/>
      <c r="BR40" s="6"/>
      <c r="BS40" s="6"/>
      <c r="BT40" s="6"/>
      <c r="BU40" s="6"/>
      <c r="BV40" s="6"/>
      <c r="BW40" s="6"/>
      <c r="BX40" s="6"/>
      <c r="BY40" s="6"/>
      <c r="BZ40" s="6"/>
      <c r="CA40" s="6"/>
      <c r="CB40" s="6">
        <v>1</v>
      </c>
      <c r="CC40" s="6">
        <v>12</v>
      </c>
      <c r="CD40" s="8">
        <f t="shared" si="0"/>
        <v>7</v>
      </c>
      <c r="CE40" s="8">
        <f t="shared" si="1"/>
        <v>166</v>
      </c>
      <c r="CF40" s="52"/>
      <c r="CG40" s="52"/>
      <c r="CH40" s="52"/>
    </row>
    <row r="41" spans="1:86" s="27" customFormat="1">
      <c r="A41" s="5" t="s">
        <v>76</v>
      </c>
      <c r="B41" s="6"/>
      <c r="C41" s="6"/>
      <c r="D41" s="6">
        <v>2</v>
      </c>
      <c r="E41" s="6">
        <v>442</v>
      </c>
      <c r="F41" s="6">
        <v>5</v>
      </c>
      <c r="G41" s="6">
        <v>711</v>
      </c>
      <c r="H41" s="6"/>
      <c r="I41" s="6"/>
      <c r="J41" s="6"/>
      <c r="K41" s="6"/>
      <c r="L41" s="6"/>
      <c r="M41" s="6"/>
      <c r="N41" s="6"/>
      <c r="O41" s="6"/>
      <c r="P41" s="6">
        <v>1</v>
      </c>
      <c r="Q41" s="6">
        <v>500</v>
      </c>
      <c r="R41" s="6"/>
      <c r="S41" s="6"/>
      <c r="T41" s="6"/>
      <c r="U41" s="6"/>
      <c r="V41" s="6"/>
      <c r="W41" s="6"/>
      <c r="X41" s="6"/>
      <c r="Y41" s="6"/>
      <c r="Z41" s="6"/>
      <c r="AA41" s="6"/>
      <c r="AB41" s="6">
        <v>3</v>
      </c>
      <c r="AC41" s="6">
        <v>667</v>
      </c>
      <c r="AD41" s="6"/>
      <c r="AE41" s="6"/>
      <c r="AF41" s="6">
        <v>6</v>
      </c>
      <c r="AG41" s="6">
        <v>3006</v>
      </c>
      <c r="AH41" s="6">
        <v>1</v>
      </c>
      <c r="AI41" s="6">
        <v>547</v>
      </c>
      <c r="AJ41" s="6">
        <v>2</v>
      </c>
      <c r="AK41" s="6">
        <v>639</v>
      </c>
      <c r="AL41" s="6"/>
      <c r="AM41" s="6"/>
      <c r="AN41" s="6"/>
      <c r="AO41" s="6"/>
      <c r="AP41" s="6"/>
      <c r="AQ41" s="6"/>
      <c r="AR41" s="6">
        <v>5</v>
      </c>
      <c r="AS41" s="6">
        <v>1691</v>
      </c>
      <c r="AT41" s="6">
        <v>1</v>
      </c>
      <c r="AU41" s="6">
        <v>2205</v>
      </c>
      <c r="AV41" s="6">
        <v>10</v>
      </c>
      <c r="AW41" s="6">
        <v>5853</v>
      </c>
      <c r="AX41" s="6">
        <v>1</v>
      </c>
      <c r="AY41" s="6">
        <v>544</v>
      </c>
      <c r="AZ41" s="6"/>
      <c r="BA41" s="6"/>
      <c r="BB41" s="6"/>
      <c r="BC41" s="6"/>
      <c r="BD41" s="6"/>
      <c r="BE41" s="6"/>
      <c r="BF41" s="6"/>
      <c r="BG41" s="6"/>
      <c r="BH41" s="6"/>
      <c r="BI41" s="6"/>
      <c r="BJ41" s="6"/>
      <c r="BK41" s="6"/>
      <c r="BL41" s="6">
        <v>1</v>
      </c>
      <c r="BM41" s="6">
        <v>30</v>
      </c>
      <c r="BN41" s="6"/>
      <c r="BO41" s="6"/>
      <c r="BP41" s="6"/>
      <c r="BQ41" s="6"/>
      <c r="BR41" s="6"/>
      <c r="BS41" s="6"/>
      <c r="BT41" s="6"/>
      <c r="BU41" s="6"/>
      <c r="BV41" s="6"/>
      <c r="BW41" s="6"/>
      <c r="BX41" s="6"/>
      <c r="BY41" s="6"/>
      <c r="BZ41" s="6"/>
      <c r="CA41" s="6"/>
      <c r="CB41" s="6"/>
      <c r="CC41" s="6"/>
      <c r="CD41" s="8">
        <f t="shared" si="0"/>
        <v>38</v>
      </c>
      <c r="CE41" s="8">
        <f t="shared" si="1"/>
        <v>16835</v>
      </c>
      <c r="CF41" s="52"/>
      <c r="CG41" s="52"/>
      <c r="CH41" s="52"/>
    </row>
    <row r="42" spans="1:86" s="27" customFormat="1">
      <c r="A42" s="5" t="s">
        <v>77</v>
      </c>
      <c r="B42" s="6">
        <v>5</v>
      </c>
      <c r="C42" s="6">
        <v>356</v>
      </c>
      <c r="D42" s="6">
        <v>4</v>
      </c>
      <c r="E42" s="6">
        <v>634</v>
      </c>
      <c r="F42" s="6">
        <v>7</v>
      </c>
      <c r="G42" s="6">
        <v>817</v>
      </c>
      <c r="H42" s="6"/>
      <c r="I42" s="6"/>
      <c r="J42" s="6">
        <v>1</v>
      </c>
      <c r="K42" s="6">
        <v>46</v>
      </c>
      <c r="L42" s="6">
        <v>4</v>
      </c>
      <c r="M42" s="6">
        <v>43</v>
      </c>
      <c r="N42" s="6">
        <v>5</v>
      </c>
      <c r="O42" s="6">
        <v>181</v>
      </c>
      <c r="P42" s="6"/>
      <c r="Q42" s="6"/>
      <c r="R42" s="6"/>
      <c r="S42" s="6"/>
      <c r="T42" s="6"/>
      <c r="U42" s="6"/>
      <c r="V42" s="6">
        <v>1</v>
      </c>
      <c r="W42" s="6">
        <v>12</v>
      </c>
      <c r="X42" s="6">
        <v>5</v>
      </c>
      <c r="Y42" s="6">
        <v>424</v>
      </c>
      <c r="Z42" s="6">
        <v>10</v>
      </c>
      <c r="AA42" s="6">
        <v>1219</v>
      </c>
      <c r="AB42" s="6">
        <v>53</v>
      </c>
      <c r="AC42" s="6">
        <v>15380</v>
      </c>
      <c r="AD42" s="6">
        <v>2</v>
      </c>
      <c r="AE42" s="6">
        <v>282</v>
      </c>
      <c r="AF42" s="6">
        <v>59</v>
      </c>
      <c r="AG42" s="6">
        <v>15270</v>
      </c>
      <c r="AH42" s="6">
        <v>7</v>
      </c>
      <c r="AI42" s="6">
        <v>1006</v>
      </c>
      <c r="AJ42" s="6">
        <v>8</v>
      </c>
      <c r="AK42" s="6">
        <v>1293</v>
      </c>
      <c r="AL42" s="6">
        <v>1</v>
      </c>
      <c r="AM42" s="6">
        <v>304</v>
      </c>
      <c r="AN42" s="6"/>
      <c r="AO42" s="6"/>
      <c r="AP42" s="6">
        <v>4</v>
      </c>
      <c r="AQ42" s="6">
        <v>419</v>
      </c>
      <c r="AR42" s="6">
        <v>6</v>
      </c>
      <c r="AS42" s="6">
        <v>1376</v>
      </c>
      <c r="AT42" s="6">
        <v>1</v>
      </c>
      <c r="AU42" s="6">
        <v>146</v>
      </c>
      <c r="AV42" s="6">
        <v>8</v>
      </c>
      <c r="AW42" s="6">
        <v>3035</v>
      </c>
      <c r="AX42" s="6">
        <v>1</v>
      </c>
      <c r="AY42" s="6">
        <v>266</v>
      </c>
      <c r="AZ42" s="6"/>
      <c r="BA42" s="6"/>
      <c r="BB42" s="6"/>
      <c r="BC42" s="6"/>
      <c r="BD42" s="6"/>
      <c r="BE42" s="6"/>
      <c r="BF42" s="6"/>
      <c r="BG42" s="6"/>
      <c r="BH42" s="6">
        <v>2</v>
      </c>
      <c r="BI42" s="6">
        <v>162</v>
      </c>
      <c r="BJ42" s="6"/>
      <c r="BK42" s="6"/>
      <c r="BL42" s="6">
        <v>1</v>
      </c>
      <c r="BM42" s="6">
        <v>41</v>
      </c>
      <c r="BN42" s="6">
        <v>5</v>
      </c>
      <c r="BO42" s="6">
        <v>192</v>
      </c>
      <c r="BP42" s="6">
        <v>3</v>
      </c>
      <c r="BQ42" s="6">
        <v>223</v>
      </c>
      <c r="BR42" s="6"/>
      <c r="BS42" s="6"/>
      <c r="BT42" s="6">
        <v>20</v>
      </c>
      <c r="BU42" s="6">
        <v>853</v>
      </c>
      <c r="BV42" s="6">
        <v>8</v>
      </c>
      <c r="BW42" s="6">
        <v>398</v>
      </c>
      <c r="BX42" s="6"/>
      <c r="BY42" s="6"/>
      <c r="BZ42" s="6"/>
      <c r="CA42" s="6"/>
      <c r="CB42" s="6">
        <v>14</v>
      </c>
      <c r="CC42" s="6">
        <v>196</v>
      </c>
      <c r="CD42" s="8">
        <f t="shared" si="0"/>
        <v>245</v>
      </c>
      <c r="CE42" s="8">
        <f t="shared" si="1"/>
        <v>44574</v>
      </c>
      <c r="CF42" s="52"/>
      <c r="CG42" s="52"/>
      <c r="CH42" s="52"/>
    </row>
    <row r="43" spans="1:86" s="27" customFormat="1">
      <c r="A43" s="5" t="s">
        <v>78</v>
      </c>
      <c r="B43" s="6"/>
      <c r="C43" s="6"/>
      <c r="D43" s="6"/>
      <c r="E43" s="6"/>
      <c r="F43" s="6"/>
      <c r="G43" s="6"/>
      <c r="H43" s="6"/>
      <c r="I43" s="6"/>
      <c r="J43" s="6"/>
      <c r="K43" s="6"/>
      <c r="L43" s="6">
        <v>3</v>
      </c>
      <c r="M43" s="6">
        <v>40</v>
      </c>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v>1</v>
      </c>
      <c r="CC43" s="6">
        <v>6</v>
      </c>
      <c r="CD43" s="8">
        <f t="shared" si="0"/>
        <v>4</v>
      </c>
      <c r="CE43" s="8">
        <f t="shared" si="1"/>
        <v>46</v>
      </c>
      <c r="CF43" s="52"/>
      <c r="CG43" s="52"/>
      <c r="CH43" s="52"/>
    </row>
    <row r="44" spans="1:86" s="27" customFormat="1">
      <c r="A44" s="5" t="s">
        <v>178</v>
      </c>
      <c r="B44" s="6"/>
      <c r="C44" s="6"/>
      <c r="D44" s="6"/>
      <c r="E44" s="6"/>
      <c r="F44" s="6"/>
      <c r="G44" s="6"/>
      <c r="H44" s="6"/>
      <c r="I44" s="6"/>
      <c r="J44" s="6"/>
      <c r="K44" s="6"/>
      <c r="L44" s="6">
        <v>2</v>
      </c>
      <c r="M44" s="6">
        <v>28</v>
      </c>
      <c r="N44" s="6"/>
      <c r="O44" s="6"/>
      <c r="P44" s="6"/>
      <c r="Q44" s="6"/>
      <c r="R44" s="6"/>
      <c r="S44" s="6"/>
      <c r="T44" s="6"/>
      <c r="U44" s="6"/>
      <c r="V44" s="6">
        <v>1</v>
      </c>
      <c r="W44" s="6">
        <v>11</v>
      </c>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8">
        <f t="shared" si="0"/>
        <v>3</v>
      </c>
      <c r="CE44" s="8">
        <f t="shared" si="1"/>
        <v>39</v>
      </c>
      <c r="CF44" s="52"/>
      <c r="CG44" s="52"/>
      <c r="CH44" s="52"/>
    </row>
    <row r="45" spans="1:86" s="27" customFormat="1">
      <c r="A45" s="5" t="s">
        <v>79</v>
      </c>
      <c r="B45" s="6">
        <v>8</v>
      </c>
      <c r="C45" s="6">
        <v>363</v>
      </c>
      <c r="D45" s="6">
        <v>9</v>
      </c>
      <c r="E45" s="6">
        <v>584</v>
      </c>
      <c r="F45" s="6">
        <v>13</v>
      </c>
      <c r="G45" s="6">
        <v>1406</v>
      </c>
      <c r="H45" s="6">
        <v>1</v>
      </c>
      <c r="I45" s="6">
        <v>69</v>
      </c>
      <c r="J45" s="6"/>
      <c r="K45" s="6"/>
      <c r="L45" s="6">
        <v>8</v>
      </c>
      <c r="M45" s="6">
        <v>103</v>
      </c>
      <c r="N45" s="6"/>
      <c r="O45" s="6"/>
      <c r="P45" s="6"/>
      <c r="Q45" s="6"/>
      <c r="R45" s="6"/>
      <c r="S45" s="6"/>
      <c r="T45" s="6"/>
      <c r="U45" s="6"/>
      <c r="V45" s="6"/>
      <c r="W45" s="6"/>
      <c r="X45" s="6"/>
      <c r="Y45" s="6"/>
      <c r="Z45" s="6">
        <v>1</v>
      </c>
      <c r="AA45" s="6">
        <v>38</v>
      </c>
      <c r="AB45" s="6">
        <v>8</v>
      </c>
      <c r="AC45" s="6">
        <v>1527</v>
      </c>
      <c r="AD45" s="6">
        <v>1</v>
      </c>
      <c r="AE45" s="6">
        <v>56</v>
      </c>
      <c r="AF45" s="6">
        <v>6</v>
      </c>
      <c r="AG45" s="6">
        <v>1008</v>
      </c>
      <c r="AH45" s="6">
        <v>1</v>
      </c>
      <c r="AI45" s="6">
        <v>229</v>
      </c>
      <c r="AJ45" s="6">
        <v>3</v>
      </c>
      <c r="AK45" s="6">
        <v>339</v>
      </c>
      <c r="AL45" s="6"/>
      <c r="AM45" s="6"/>
      <c r="AN45" s="6"/>
      <c r="AO45" s="6"/>
      <c r="AP45" s="6"/>
      <c r="AQ45" s="6"/>
      <c r="AR45" s="6">
        <v>1</v>
      </c>
      <c r="AS45" s="6">
        <v>176</v>
      </c>
      <c r="AT45" s="6"/>
      <c r="AU45" s="6"/>
      <c r="AV45" s="6">
        <v>4</v>
      </c>
      <c r="AW45" s="6">
        <v>899</v>
      </c>
      <c r="AX45" s="6"/>
      <c r="AY45" s="6"/>
      <c r="AZ45" s="6"/>
      <c r="BA45" s="6"/>
      <c r="BB45" s="6"/>
      <c r="BC45" s="6"/>
      <c r="BD45" s="6">
        <v>1</v>
      </c>
      <c r="BE45" s="6">
        <v>39</v>
      </c>
      <c r="BF45" s="6"/>
      <c r="BG45" s="6"/>
      <c r="BH45" s="6">
        <v>1</v>
      </c>
      <c r="BI45" s="6">
        <v>12</v>
      </c>
      <c r="BJ45" s="6"/>
      <c r="BK45" s="6"/>
      <c r="BL45" s="6"/>
      <c r="BM45" s="6"/>
      <c r="BN45" s="6"/>
      <c r="BO45" s="6"/>
      <c r="BP45" s="6">
        <v>2</v>
      </c>
      <c r="BQ45" s="6">
        <v>78</v>
      </c>
      <c r="BR45" s="6"/>
      <c r="BS45" s="6"/>
      <c r="BT45" s="6">
        <v>1</v>
      </c>
      <c r="BU45" s="6">
        <v>48</v>
      </c>
      <c r="BV45" s="6">
        <v>3</v>
      </c>
      <c r="BW45" s="6">
        <v>167</v>
      </c>
      <c r="BX45" s="6"/>
      <c r="BY45" s="6"/>
      <c r="BZ45" s="6">
        <v>1</v>
      </c>
      <c r="CA45" s="6">
        <v>23</v>
      </c>
      <c r="CB45" s="6">
        <v>6</v>
      </c>
      <c r="CC45" s="6">
        <v>77</v>
      </c>
      <c r="CD45" s="8">
        <f t="shared" si="0"/>
        <v>79</v>
      </c>
      <c r="CE45" s="8">
        <f t="shared" si="1"/>
        <v>7241</v>
      </c>
      <c r="CF45" s="52"/>
      <c r="CG45" s="52"/>
      <c r="CH45" s="52"/>
    </row>
    <row r="46" spans="1:86" s="27" customFormat="1">
      <c r="A46" s="5" t="s">
        <v>80</v>
      </c>
      <c r="B46" s="6"/>
      <c r="C46" s="6"/>
      <c r="D46" s="6"/>
      <c r="E46" s="6"/>
      <c r="F46" s="6"/>
      <c r="G46" s="6"/>
      <c r="H46" s="6"/>
      <c r="I46" s="6"/>
      <c r="J46" s="6"/>
      <c r="K46" s="6"/>
      <c r="L46" s="6">
        <v>5</v>
      </c>
      <c r="M46" s="6">
        <v>78</v>
      </c>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v>2</v>
      </c>
      <c r="BM46" s="6">
        <v>116</v>
      </c>
      <c r="BN46" s="6"/>
      <c r="BO46" s="6"/>
      <c r="BP46" s="6"/>
      <c r="BQ46" s="6"/>
      <c r="BR46" s="6"/>
      <c r="BS46" s="6"/>
      <c r="BT46" s="6"/>
      <c r="BU46" s="6"/>
      <c r="BV46" s="6"/>
      <c r="BW46" s="6"/>
      <c r="BX46" s="6"/>
      <c r="BY46" s="6"/>
      <c r="BZ46" s="6"/>
      <c r="CA46" s="6"/>
      <c r="CB46" s="6"/>
      <c r="CC46" s="6"/>
      <c r="CD46" s="8">
        <f t="shared" si="0"/>
        <v>7</v>
      </c>
      <c r="CE46" s="8">
        <f t="shared" si="1"/>
        <v>194</v>
      </c>
      <c r="CF46" s="52"/>
      <c r="CG46" s="52"/>
      <c r="CH46" s="52"/>
    </row>
    <row r="47" spans="1:86" s="27" customFormat="1">
      <c r="A47" s="5" t="s">
        <v>81</v>
      </c>
      <c r="B47" s="6"/>
      <c r="C47" s="6"/>
      <c r="D47" s="6"/>
      <c r="E47" s="6"/>
      <c r="F47" s="6">
        <v>1</v>
      </c>
      <c r="G47" s="6">
        <v>25</v>
      </c>
      <c r="H47" s="6"/>
      <c r="I47" s="6"/>
      <c r="J47" s="6"/>
      <c r="K47" s="6"/>
      <c r="L47" s="6">
        <v>3</v>
      </c>
      <c r="M47" s="6">
        <v>36</v>
      </c>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v>2</v>
      </c>
      <c r="BM47" s="6">
        <v>111</v>
      </c>
      <c r="BN47" s="6"/>
      <c r="BO47" s="6"/>
      <c r="BP47" s="6"/>
      <c r="BQ47" s="6"/>
      <c r="BR47" s="6"/>
      <c r="BS47" s="6"/>
      <c r="BT47" s="6"/>
      <c r="BU47" s="6"/>
      <c r="BV47" s="6"/>
      <c r="BW47" s="6"/>
      <c r="BX47" s="6"/>
      <c r="BY47" s="6"/>
      <c r="BZ47" s="6"/>
      <c r="CA47" s="6"/>
      <c r="CB47" s="6"/>
      <c r="CC47" s="6"/>
      <c r="CD47" s="8">
        <f t="shared" si="0"/>
        <v>6</v>
      </c>
      <c r="CE47" s="8">
        <f t="shared" si="1"/>
        <v>172</v>
      </c>
      <c r="CF47" s="52"/>
      <c r="CG47" s="52"/>
      <c r="CH47" s="52"/>
    </row>
    <row r="48" spans="1:86" s="27" customFormat="1">
      <c r="A48" s="5" t="s">
        <v>179</v>
      </c>
      <c r="B48" s="6">
        <v>5</v>
      </c>
      <c r="C48" s="6">
        <v>204</v>
      </c>
      <c r="D48" s="6">
        <v>2</v>
      </c>
      <c r="E48" s="6">
        <v>75</v>
      </c>
      <c r="F48" s="6">
        <v>3</v>
      </c>
      <c r="G48" s="6">
        <v>109</v>
      </c>
      <c r="H48" s="6"/>
      <c r="I48" s="6"/>
      <c r="J48" s="6">
        <v>1</v>
      </c>
      <c r="K48" s="6">
        <v>24</v>
      </c>
      <c r="L48" s="6">
        <v>3</v>
      </c>
      <c r="M48" s="6">
        <v>50</v>
      </c>
      <c r="N48" s="6"/>
      <c r="O48" s="6"/>
      <c r="P48" s="6"/>
      <c r="Q48" s="6"/>
      <c r="R48" s="6"/>
      <c r="S48" s="6"/>
      <c r="T48" s="6"/>
      <c r="U48" s="6"/>
      <c r="V48" s="6"/>
      <c r="W48" s="6"/>
      <c r="X48" s="6"/>
      <c r="Y48" s="6"/>
      <c r="Z48" s="6"/>
      <c r="AA48" s="6"/>
      <c r="AB48" s="6">
        <v>5</v>
      </c>
      <c r="AC48" s="6">
        <v>1118</v>
      </c>
      <c r="AD48" s="6">
        <v>1</v>
      </c>
      <c r="AE48" s="6">
        <v>175</v>
      </c>
      <c r="AF48" s="6">
        <v>5</v>
      </c>
      <c r="AG48" s="6">
        <v>1583</v>
      </c>
      <c r="AH48" s="6">
        <v>3</v>
      </c>
      <c r="AI48" s="6">
        <v>420</v>
      </c>
      <c r="AJ48" s="6"/>
      <c r="AK48" s="6"/>
      <c r="AL48" s="6"/>
      <c r="AM48" s="6"/>
      <c r="AN48" s="6"/>
      <c r="AO48" s="6"/>
      <c r="AP48" s="6"/>
      <c r="AQ48" s="6"/>
      <c r="AR48" s="6"/>
      <c r="AS48" s="6"/>
      <c r="AT48" s="6"/>
      <c r="AU48" s="6"/>
      <c r="AV48" s="6">
        <v>1</v>
      </c>
      <c r="AW48" s="6">
        <v>156</v>
      </c>
      <c r="AX48" s="6"/>
      <c r="AY48" s="6"/>
      <c r="AZ48" s="6"/>
      <c r="BA48" s="6"/>
      <c r="BB48" s="6"/>
      <c r="BC48" s="6"/>
      <c r="BD48" s="6"/>
      <c r="BE48" s="6"/>
      <c r="BF48" s="6"/>
      <c r="BG48" s="6"/>
      <c r="BH48" s="6"/>
      <c r="BI48" s="6"/>
      <c r="BJ48" s="6"/>
      <c r="BK48" s="6"/>
      <c r="BL48" s="6">
        <v>1</v>
      </c>
      <c r="BM48" s="6">
        <v>34</v>
      </c>
      <c r="BN48" s="6">
        <v>3</v>
      </c>
      <c r="BO48" s="6">
        <v>83</v>
      </c>
      <c r="BP48" s="6">
        <v>1</v>
      </c>
      <c r="BQ48" s="6">
        <v>15</v>
      </c>
      <c r="BR48" s="6"/>
      <c r="BS48" s="6"/>
      <c r="BT48" s="6"/>
      <c r="BU48" s="6"/>
      <c r="BV48" s="6"/>
      <c r="BW48" s="6"/>
      <c r="BX48" s="6"/>
      <c r="BY48" s="6"/>
      <c r="BZ48" s="6"/>
      <c r="CA48" s="6"/>
      <c r="CB48" s="6">
        <v>1</v>
      </c>
      <c r="CC48" s="6">
        <v>10</v>
      </c>
      <c r="CD48" s="8">
        <f t="shared" si="0"/>
        <v>35</v>
      </c>
      <c r="CE48" s="8">
        <f t="shared" si="1"/>
        <v>4056</v>
      </c>
      <c r="CF48" s="52"/>
      <c r="CG48" s="52"/>
      <c r="CH48" s="52"/>
    </row>
    <row r="49" spans="1:86" s="27" customFormat="1">
      <c r="A49" s="5" t="s">
        <v>180</v>
      </c>
      <c r="B49" s="6">
        <v>3</v>
      </c>
      <c r="C49" s="6">
        <v>318</v>
      </c>
      <c r="D49" s="6">
        <v>6</v>
      </c>
      <c r="E49" s="6">
        <v>450</v>
      </c>
      <c r="F49" s="6">
        <v>8</v>
      </c>
      <c r="G49" s="6">
        <v>876</v>
      </c>
      <c r="H49" s="6"/>
      <c r="I49" s="6"/>
      <c r="J49" s="6">
        <v>1</v>
      </c>
      <c r="K49" s="6">
        <v>266</v>
      </c>
      <c r="L49" s="6">
        <v>6</v>
      </c>
      <c r="M49" s="6">
        <v>134</v>
      </c>
      <c r="N49" s="6">
        <v>3</v>
      </c>
      <c r="O49" s="6">
        <v>128</v>
      </c>
      <c r="P49" s="6"/>
      <c r="Q49" s="6"/>
      <c r="R49" s="6"/>
      <c r="S49" s="6"/>
      <c r="T49" s="6"/>
      <c r="U49" s="6"/>
      <c r="V49" s="6"/>
      <c r="W49" s="6"/>
      <c r="X49" s="6"/>
      <c r="Y49" s="6"/>
      <c r="Z49" s="6">
        <v>3</v>
      </c>
      <c r="AA49" s="6">
        <v>544</v>
      </c>
      <c r="AB49" s="6">
        <v>11</v>
      </c>
      <c r="AC49" s="6">
        <v>2299</v>
      </c>
      <c r="AD49" s="6"/>
      <c r="AE49" s="6"/>
      <c r="AF49" s="6">
        <v>17</v>
      </c>
      <c r="AG49" s="6">
        <v>6546</v>
      </c>
      <c r="AH49" s="6">
        <v>1</v>
      </c>
      <c r="AI49" s="6">
        <v>347</v>
      </c>
      <c r="AJ49" s="6">
        <v>3</v>
      </c>
      <c r="AK49" s="6">
        <v>1042</v>
      </c>
      <c r="AL49" s="6"/>
      <c r="AM49" s="6"/>
      <c r="AN49" s="6"/>
      <c r="AO49" s="6"/>
      <c r="AP49" s="6"/>
      <c r="AQ49" s="6"/>
      <c r="AR49" s="6">
        <v>11</v>
      </c>
      <c r="AS49" s="6">
        <v>5113</v>
      </c>
      <c r="AT49" s="6"/>
      <c r="AU49" s="6"/>
      <c r="AV49" s="6">
        <v>14</v>
      </c>
      <c r="AW49" s="6">
        <v>7131</v>
      </c>
      <c r="AX49" s="6"/>
      <c r="AY49" s="6"/>
      <c r="AZ49" s="6"/>
      <c r="BA49" s="6"/>
      <c r="BB49" s="6"/>
      <c r="BC49" s="6"/>
      <c r="BD49" s="6"/>
      <c r="BE49" s="6"/>
      <c r="BF49" s="6">
        <v>1</v>
      </c>
      <c r="BG49" s="6">
        <v>152</v>
      </c>
      <c r="BH49" s="6"/>
      <c r="BI49" s="6"/>
      <c r="BJ49" s="6"/>
      <c r="BK49" s="6"/>
      <c r="BL49" s="6">
        <v>1</v>
      </c>
      <c r="BM49" s="6">
        <v>56</v>
      </c>
      <c r="BN49" s="6"/>
      <c r="BO49" s="6"/>
      <c r="BP49" s="6">
        <v>2</v>
      </c>
      <c r="BQ49" s="6">
        <v>111</v>
      </c>
      <c r="BR49" s="6"/>
      <c r="BS49" s="6"/>
      <c r="BT49" s="6">
        <v>2</v>
      </c>
      <c r="BU49" s="6">
        <v>91</v>
      </c>
      <c r="BV49" s="6">
        <v>1</v>
      </c>
      <c r="BW49" s="6">
        <v>42</v>
      </c>
      <c r="BX49" s="6"/>
      <c r="BY49" s="6"/>
      <c r="BZ49" s="6"/>
      <c r="CA49" s="6"/>
      <c r="CB49" s="6">
        <v>1</v>
      </c>
      <c r="CC49" s="6">
        <v>8</v>
      </c>
      <c r="CD49" s="8">
        <f t="shared" si="0"/>
        <v>95</v>
      </c>
      <c r="CE49" s="8">
        <f t="shared" si="1"/>
        <v>25654</v>
      </c>
      <c r="CF49" s="52"/>
      <c r="CG49" s="52"/>
      <c r="CH49" s="52"/>
    </row>
    <row r="50" spans="1:86" s="27" customFormat="1">
      <c r="A50" s="5" t="s">
        <v>84</v>
      </c>
      <c r="B50" s="6"/>
      <c r="C50" s="6"/>
      <c r="D50" s="6"/>
      <c r="E50" s="6"/>
      <c r="F50" s="6"/>
      <c r="G50" s="6"/>
      <c r="H50" s="6"/>
      <c r="I50" s="6"/>
      <c r="J50" s="6"/>
      <c r="K50" s="6"/>
      <c r="L50" s="6">
        <v>1</v>
      </c>
      <c r="M50" s="6">
        <v>12</v>
      </c>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8">
        <f t="shared" si="0"/>
        <v>1</v>
      </c>
      <c r="CE50" s="8">
        <f t="shared" si="1"/>
        <v>12</v>
      </c>
      <c r="CF50" s="52"/>
      <c r="CG50" s="52"/>
      <c r="CH50" s="52"/>
    </row>
    <row r="51" spans="1:86" s="27" customFormat="1">
      <c r="A51" s="5" t="s">
        <v>85</v>
      </c>
      <c r="B51" s="6">
        <v>3</v>
      </c>
      <c r="C51" s="6">
        <v>178</v>
      </c>
      <c r="D51" s="6">
        <v>4</v>
      </c>
      <c r="E51" s="6">
        <v>211</v>
      </c>
      <c r="F51" s="6">
        <v>3</v>
      </c>
      <c r="G51" s="6">
        <v>140</v>
      </c>
      <c r="H51" s="6"/>
      <c r="I51" s="6"/>
      <c r="J51" s="6"/>
      <c r="K51" s="6"/>
      <c r="L51" s="6">
        <v>6</v>
      </c>
      <c r="M51" s="6">
        <v>114</v>
      </c>
      <c r="N51" s="6"/>
      <c r="O51" s="6"/>
      <c r="P51" s="6"/>
      <c r="Q51" s="6"/>
      <c r="R51" s="6"/>
      <c r="S51" s="6"/>
      <c r="T51" s="6"/>
      <c r="U51" s="6"/>
      <c r="V51" s="6"/>
      <c r="W51" s="6"/>
      <c r="X51" s="6">
        <v>2</v>
      </c>
      <c r="Y51" s="6">
        <v>276</v>
      </c>
      <c r="Z51" s="6">
        <v>2</v>
      </c>
      <c r="AA51" s="6">
        <v>175</v>
      </c>
      <c r="AB51" s="6">
        <v>14</v>
      </c>
      <c r="AC51" s="6">
        <v>4717</v>
      </c>
      <c r="AD51" s="6">
        <v>1</v>
      </c>
      <c r="AE51" s="6">
        <v>329</v>
      </c>
      <c r="AF51" s="6">
        <v>4</v>
      </c>
      <c r="AG51" s="6">
        <v>1601</v>
      </c>
      <c r="AH51" s="6"/>
      <c r="AI51" s="6"/>
      <c r="AJ51" s="6"/>
      <c r="AK51" s="6"/>
      <c r="AL51" s="6"/>
      <c r="AM51" s="6"/>
      <c r="AN51" s="6"/>
      <c r="AO51" s="6"/>
      <c r="AP51" s="6"/>
      <c r="AQ51" s="6"/>
      <c r="AR51" s="6">
        <v>3</v>
      </c>
      <c r="AS51" s="6">
        <v>415</v>
      </c>
      <c r="AT51" s="6">
        <v>1</v>
      </c>
      <c r="AU51" s="6">
        <v>81</v>
      </c>
      <c r="AV51" s="6">
        <v>12</v>
      </c>
      <c r="AW51" s="6">
        <v>4729</v>
      </c>
      <c r="AX51" s="6"/>
      <c r="AY51" s="6"/>
      <c r="AZ51" s="6"/>
      <c r="BA51" s="6"/>
      <c r="BB51" s="6"/>
      <c r="BC51" s="6"/>
      <c r="BD51" s="6"/>
      <c r="BE51" s="6"/>
      <c r="BF51" s="6"/>
      <c r="BG51" s="6"/>
      <c r="BH51" s="6"/>
      <c r="BI51" s="6"/>
      <c r="BJ51" s="6"/>
      <c r="BK51" s="6"/>
      <c r="BL51" s="6">
        <v>1</v>
      </c>
      <c r="BM51" s="6">
        <v>50</v>
      </c>
      <c r="BN51" s="6">
        <v>1</v>
      </c>
      <c r="BO51" s="6">
        <v>69</v>
      </c>
      <c r="BP51" s="6">
        <v>1</v>
      </c>
      <c r="BQ51" s="6">
        <v>68</v>
      </c>
      <c r="BR51" s="6">
        <v>1</v>
      </c>
      <c r="BS51" s="6">
        <v>142</v>
      </c>
      <c r="BT51" s="6">
        <v>1</v>
      </c>
      <c r="BU51" s="6">
        <v>48</v>
      </c>
      <c r="BV51" s="6"/>
      <c r="BW51" s="6"/>
      <c r="BX51" s="6"/>
      <c r="BY51" s="6"/>
      <c r="BZ51" s="6"/>
      <c r="CA51" s="6"/>
      <c r="CB51" s="6"/>
      <c r="CC51" s="6"/>
      <c r="CD51" s="8">
        <f t="shared" si="0"/>
        <v>60</v>
      </c>
      <c r="CE51" s="8">
        <f t="shared" si="1"/>
        <v>13343</v>
      </c>
      <c r="CF51" s="52"/>
      <c r="CG51" s="52"/>
      <c r="CH51" s="52"/>
    </row>
    <row r="52" spans="1:86" s="27" customFormat="1">
      <c r="A52" s="5" t="s">
        <v>86</v>
      </c>
      <c r="B52" s="6"/>
      <c r="C52" s="6"/>
      <c r="D52" s="6"/>
      <c r="E52" s="6"/>
      <c r="F52" s="6"/>
      <c r="G52" s="6"/>
      <c r="H52" s="6"/>
      <c r="I52" s="6"/>
      <c r="J52" s="6"/>
      <c r="K52" s="6"/>
      <c r="L52" s="6">
        <v>4</v>
      </c>
      <c r="M52" s="6">
        <v>64</v>
      </c>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v>1</v>
      </c>
      <c r="BM52" s="6">
        <v>41</v>
      </c>
      <c r="BN52" s="6"/>
      <c r="BO52" s="6"/>
      <c r="BP52" s="6"/>
      <c r="BQ52" s="6"/>
      <c r="BR52" s="6"/>
      <c r="BS52" s="6"/>
      <c r="BT52" s="6"/>
      <c r="BU52" s="6"/>
      <c r="BV52" s="6"/>
      <c r="BW52" s="6"/>
      <c r="BX52" s="6"/>
      <c r="BY52" s="6"/>
      <c r="BZ52" s="6"/>
      <c r="CA52" s="6"/>
      <c r="CB52" s="6"/>
      <c r="CC52" s="6"/>
      <c r="CD52" s="8">
        <f t="shared" si="0"/>
        <v>5</v>
      </c>
      <c r="CE52" s="8">
        <f t="shared" si="1"/>
        <v>105</v>
      </c>
      <c r="CF52" s="52"/>
      <c r="CG52" s="52"/>
      <c r="CH52" s="52"/>
    </row>
    <row r="53" spans="1:86" s="27" customFormat="1">
      <c r="A53" s="5" t="s">
        <v>87</v>
      </c>
      <c r="B53" s="6">
        <v>6</v>
      </c>
      <c r="C53" s="6">
        <v>141</v>
      </c>
      <c r="D53" s="6">
        <v>16</v>
      </c>
      <c r="E53" s="6">
        <v>1911</v>
      </c>
      <c r="F53" s="6">
        <v>10</v>
      </c>
      <c r="G53" s="6">
        <v>1512</v>
      </c>
      <c r="H53" s="6"/>
      <c r="I53" s="6"/>
      <c r="J53" s="6"/>
      <c r="K53" s="6"/>
      <c r="L53" s="6">
        <v>4</v>
      </c>
      <c r="M53" s="6">
        <v>58</v>
      </c>
      <c r="N53" s="6">
        <v>2</v>
      </c>
      <c r="O53" s="6">
        <v>70</v>
      </c>
      <c r="P53" s="6"/>
      <c r="Q53" s="6"/>
      <c r="R53" s="6"/>
      <c r="S53" s="6"/>
      <c r="T53" s="6"/>
      <c r="U53" s="6"/>
      <c r="V53" s="6">
        <v>2</v>
      </c>
      <c r="W53" s="6">
        <v>70</v>
      </c>
      <c r="X53" s="6">
        <v>1</v>
      </c>
      <c r="Y53" s="6">
        <v>76</v>
      </c>
      <c r="Z53" s="6">
        <v>4</v>
      </c>
      <c r="AA53" s="6">
        <v>311</v>
      </c>
      <c r="AB53" s="6">
        <v>11</v>
      </c>
      <c r="AC53" s="6">
        <v>2920</v>
      </c>
      <c r="AD53" s="6"/>
      <c r="AE53" s="6"/>
      <c r="AF53" s="6">
        <v>6</v>
      </c>
      <c r="AG53" s="6">
        <v>1245</v>
      </c>
      <c r="AH53" s="6"/>
      <c r="AI53" s="6"/>
      <c r="AJ53" s="6">
        <v>1</v>
      </c>
      <c r="AK53" s="6">
        <v>759</v>
      </c>
      <c r="AL53" s="6"/>
      <c r="AM53" s="6"/>
      <c r="AN53" s="6"/>
      <c r="AO53" s="6"/>
      <c r="AP53" s="6">
        <v>1</v>
      </c>
      <c r="AQ53" s="6">
        <v>93</v>
      </c>
      <c r="AR53" s="6">
        <v>9</v>
      </c>
      <c r="AS53" s="6">
        <v>3328</v>
      </c>
      <c r="AT53" s="6"/>
      <c r="AU53" s="6"/>
      <c r="AV53" s="6">
        <v>4</v>
      </c>
      <c r="AW53" s="6">
        <v>2976</v>
      </c>
      <c r="AX53" s="6">
        <v>1</v>
      </c>
      <c r="AY53" s="6">
        <v>378</v>
      </c>
      <c r="AZ53" s="6">
        <v>1</v>
      </c>
      <c r="BA53" s="6">
        <v>94</v>
      </c>
      <c r="BB53" s="6"/>
      <c r="BC53" s="6"/>
      <c r="BD53" s="6"/>
      <c r="BE53" s="6"/>
      <c r="BF53" s="6"/>
      <c r="BG53" s="6"/>
      <c r="BH53" s="6"/>
      <c r="BI53" s="6"/>
      <c r="BJ53" s="6"/>
      <c r="BK53" s="6"/>
      <c r="BL53" s="6"/>
      <c r="BM53" s="6"/>
      <c r="BN53" s="6">
        <v>7</v>
      </c>
      <c r="BO53" s="6">
        <v>301</v>
      </c>
      <c r="BP53" s="6">
        <v>5</v>
      </c>
      <c r="BQ53" s="6">
        <v>274</v>
      </c>
      <c r="BR53" s="6"/>
      <c r="BS53" s="6"/>
      <c r="BT53" s="6">
        <v>6</v>
      </c>
      <c r="BU53" s="6">
        <v>215</v>
      </c>
      <c r="BV53" s="6">
        <v>5</v>
      </c>
      <c r="BW53" s="6">
        <v>119</v>
      </c>
      <c r="BX53" s="6"/>
      <c r="BY53" s="6"/>
      <c r="BZ53" s="6"/>
      <c r="CA53" s="6"/>
      <c r="CB53" s="6">
        <v>2</v>
      </c>
      <c r="CC53" s="6">
        <v>25</v>
      </c>
      <c r="CD53" s="8">
        <f t="shared" si="0"/>
        <v>104</v>
      </c>
      <c r="CE53" s="8">
        <f t="shared" si="1"/>
        <v>16876</v>
      </c>
      <c r="CF53" s="52"/>
      <c r="CG53" s="52"/>
      <c r="CH53" s="52"/>
    </row>
    <row r="54" spans="1:86" s="27" customFormat="1">
      <c r="A54" s="5" t="s">
        <v>88</v>
      </c>
      <c r="B54" s="6"/>
      <c r="C54" s="6"/>
      <c r="D54" s="6"/>
      <c r="E54" s="6"/>
      <c r="F54" s="6"/>
      <c r="G54" s="6"/>
      <c r="H54" s="6"/>
      <c r="I54" s="6"/>
      <c r="J54" s="6"/>
      <c r="K54" s="6"/>
      <c r="L54" s="6">
        <v>8</v>
      </c>
      <c r="M54" s="6">
        <v>148</v>
      </c>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v>7</v>
      </c>
      <c r="CC54" s="6">
        <v>90</v>
      </c>
      <c r="CD54" s="8">
        <f t="shared" si="0"/>
        <v>15</v>
      </c>
      <c r="CE54" s="8">
        <f t="shared" si="1"/>
        <v>238</v>
      </c>
      <c r="CF54" s="52"/>
      <c r="CG54" s="52"/>
      <c r="CH54" s="52"/>
    </row>
    <row r="55" spans="1:86" s="27" customFormat="1">
      <c r="A55" s="5" t="s">
        <v>89</v>
      </c>
      <c r="B55" s="6"/>
      <c r="C55" s="6"/>
      <c r="D55" s="6"/>
      <c r="E55" s="6"/>
      <c r="F55" s="6"/>
      <c r="G55" s="6"/>
      <c r="H55" s="6"/>
      <c r="I55" s="6"/>
      <c r="J55" s="6"/>
      <c r="K55" s="6"/>
      <c r="L55" s="6">
        <v>5</v>
      </c>
      <c r="M55" s="6">
        <v>82</v>
      </c>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v>1</v>
      </c>
      <c r="BM55" s="6">
        <v>39</v>
      </c>
      <c r="BN55" s="6"/>
      <c r="BO55" s="6"/>
      <c r="BP55" s="6"/>
      <c r="BQ55" s="6"/>
      <c r="BR55" s="6"/>
      <c r="BS55" s="6"/>
      <c r="BT55" s="6"/>
      <c r="BU55" s="6"/>
      <c r="BV55" s="6"/>
      <c r="BW55" s="6"/>
      <c r="BX55" s="6"/>
      <c r="BY55" s="6"/>
      <c r="BZ55" s="6"/>
      <c r="CA55" s="6"/>
      <c r="CB55" s="6">
        <v>2</v>
      </c>
      <c r="CC55" s="6">
        <v>14</v>
      </c>
      <c r="CD55" s="8">
        <f t="shared" si="0"/>
        <v>8</v>
      </c>
      <c r="CE55" s="8">
        <f t="shared" si="1"/>
        <v>135</v>
      </c>
      <c r="CF55" s="52"/>
      <c r="CG55" s="52"/>
      <c r="CH55" s="52"/>
    </row>
    <row r="56" spans="1:86" s="27" customFormat="1">
      <c r="A56" s="5" t="s">
        <v>91</v>
      </c>
      <c r="B56" s="6"/>
      <c r="C56" s="6"/>
      <c r="D56" s="6"/>
      <c r="E56" s="6"/>
      <c r="F56" s="6"/>
      <c r="G56" s="6"/>
      <c r="H56" s="6"/>
      <c r="I56" s="6"/>
      <c r="J56" s="6"/>
      <c r="K56" s="6"/>
      <c r="L56" s="6">
        <v>1</v>
      </c>
      <c r="M56" s="6">
        <v>24</v>
      </c>
      <c r="N56" s="6"/>
      <c r="O56" s="6"/>
      <c r="P56" s="6"/>
      <c r="Q56" s="6"/>
      <c r="R56" s="6"/>
      <c r="S56" s="6"/>
      <c r="T56" s="6"/>
      <c r="U56" s="6"/>
      <c r="V56" s="6"/>
      <c r="W56" s="6"/>
      <c r="X56" s="6"/>
      <c r="Y56" s="6"/>
      <c r="Z56" s="6"/>
      <c r="AA56" s="6"/>
      <c r="AB56" s="6"/>
      <c r="AC56" s="6"/>
      <c r="AD56" s="6"/>
      <c r="AE56" s="6"/>
      <c r="AF56" s="6">
        <v>1</v>
      </c>
      <c r="AG56" s="6">
        <v>16</v>
      </c>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v>5</v>
      </c>
      <c r="CC56" s="6">
        <v>65</v>
      </c>
      <c r="CD56" s="8">
        <f t="shared" si="0"/>
        <v>7</v>
      </c>
      <c r="CE56" s="8">
        <f t="shared" si="1"/>
        <v>105</v>
      </c>
      <c r="CF56" s="52"/>
      <c r="CG56" s="52"/>
      <c r="CH56" s="52"/>
    </row>
    <row r="57" spans="1:86" s="27" customFormat="1">
      <c r="A57" s="5" t="s">
        <v>92</v>
      </c>
      <c r="B57" s="6"/>
      <c r="C57" s="6"/>
      <c r="D57" s="6"/>
      <c r="E57" s="6"/>
      <c r="F57" s="6">
        <v>1</v>
      </c>
      <c r="G57" s="6">
        <v>82</v>
      </c>
      <c r="H57" s="6"/>
      <c r="I57" s="6"/>
      <c r="J57" s="6">
        <v>1</v>
      </c>
      <c r="K57" s="6">
        <v>39</v>
      </c>
      <c r="L57" s="6">
        <v>12</v>
      </c>
      <c r="M57" s="6">
        <v>197</v>
      </c>
      <c r="N57" s="6">
        <v>1</v>
      </c>
      <c r="O57" s="6">
        <v>15</v>
      </c>
      <c r="P57" s="6"/>
      <c r="Q57" s="6"/>
      <c r="R57" s="6"/>
      <c r="S57" s="6"/>
      <c r="T57" s="6"/>
      <c r="U57" s="6"/>
      <c r="V57" s="6"/>
      <c r="W57" s="6"/>
      <c r="X57" s="6"/>
      <c r="Y57" s="6"/>
      <c r="Z57" s="6">
        <v>3</v>
      </c>
      <c r="AA57" s="6">
        <v>261</v>
      </c>
      <c r="AB57" s="6">
        <v>3</v>
      </c>
      <c r="AC57" s="6">
        <v>657</v>
      </c>
      <c r="AD57" s="6"/>
      <c r="AE57" s="6"/>
      <c r="AF57" s="6">
        <v>4</v>
      </c>
      <c r="AG57" s="6">
        <v>618</v>
      </c>
      <c r="AH57" s="6">
        <v>2</v>
      </c>
      <c r="AI57" s="6">
        <v>281</v>
      </c>
      <c r="AJ57" s="6">
        <v>1</v>
      </c>
      <c r="AK57" s="6">
        <v>74</v>
      </c>
      <c r="AL57" s="6">
        <v>1</v>
      </c>
      <c r="AM57" s="6">
        <v>246</v>
      </c>
      <c r="AN57" s="6"/>
      <c r="AO57" s="6"/>
      <c r="AP57" s="6"/>
      <c r="AQ57" s="6"/>
      <c r="AR57" s="6">
        <v>1</v>
      </c>
      <c r="AS57" s="6">
        <v>208</v>
      </c>
      <c r="AT57" s="6"/>
      <c r="AU57" s="6"/>
      <c r="AV57" s="6"/>
      <c r="AW57" s="6"/>
      <c r="AX57" s="6"/>
      <c r="AY57" s="6"/>
      <c r="AZ57" s="6"/>
      <c r="BA57" s="6"/>
      <c r="BB57" s="6"/>
      <c r="BC57" s="6"/>
      <c r="BD57" s="6"/>
      <c r="BE57" s="6"/>
      <c r="BF57" s="6"/>
      <c r="BG57" s="6"/>
      <c r="BH57" s="6"/>
      <c r="BI57" s="6"/>
      <c r="BJ57" s="6"/>
      <c r="BK57" s="6"/>
      <c r="BL57" s="6">
        <v>1</v>
      </c>
      <c r="BM57" s="6">
        <v>16</v>
      </c>
      <c r="BN57" s="6">
        <v>3</v>
      </c>
      <c r="BO57" s="6">
        <v>171</v>
      </c>
      <c r="BP57" s="6">
        <v>1</v>
      </c>
      <c r="BQ57" s="6">
        <v>50</v>
      </c>
      <c r="BR57" s="6"/>
      <c r="BS57" s="6"/>
      <c r="BT57" s="6"/>
      <c r="BU57" s="6"/>
      <c r="BV57" s="6"/>
      <c r="BW57" s="6"/>
      <c r="BX57" s="6"/>
      <c r="BY57" s="6"/>
      <c r="BZ57" s="6"/>
      <c r="CA57" s="6"/>
      <c r="CB57" s="6">
        <v>10</v>
      </c>
      <c r="CC57" s="6">
        <v>139</v>
      </c>
      <c r="CD57" s="8">
        <f t="shared" si="0"/>
        <v>45</v>
      </c>
      <c r="CE57" s="8">
        <f t="shared" si="1"/>
        <v>3054</v>
      </c>
      <c r="CF57" s="52"/>
      <c r="CG57" s="52"/>
      <c r="CH57" s="52"/>
    </row>
    <row r="58" spans="1:86" s="27" customFormat="1">
      <c r="A58" s="5" t="s">
        <v>93</v>
      </c>
      <c r="B58" s="6">
        <v>10</v>
      </c>
      <c r="C58" s="6">
        <v>685</v>
      </c>
      <c r="D58" s="6">
        <v>7</v>
      </c>
      <c r="E58" s="6">
        <v>611</v>
      </c>
      <c r="F58" s="6">
        <v>5</v>
      </c>
      <c r="G58" s="6">
        <v>999</v>
      </c>
      <c r="H58" s="6"/>
      <c r="I58" s="6"/>
      <c r="J58" s="6">
        <v>1</v>
      </c>
      <c r="K58" s="6">
        <v>18</v>
      </c>
      <c r="L58" s="6">
        <v>4</v>
      </c>
      <c r="M58" s="6">
        <v>88</v>
      </c>
      <c r="N58" s="6">
        <v>1</v>
      </c>
      <c r="O58" s="6">
        <v>20</v>
      </c>
      <c r="P58" s="6"/>
      <c r="Q58" s="6"/>
      <c r="R58" s="6"/>
      <c r="S58" s="6"/>
      <c r="T58" s="6"/>
      <c r="U58" s="6"/>
      <c r="V58" s="6"/>
      <c r="W58" s="6"/>
      <c r="X58" s="6">
        <v>2</v>
      </c>
      <c r="Y58" s="6">
        <v>311</v>
      </c>
      <c r="Z58" s="6">
        <v>1</v>
      </c>
      <c r="AA58" s="6">
        <v>42</v>
      </c>
      <c r="AB58" s="6">
        <v>11</v>
      </c>
      <c r="AC58" s="6">
        <v>2188</v>
      </c>
      <c r="AD58" s="6">
        <v>1</v>
      </c>
      <c r="AE58" s="6">
        <v>319</v>
      </c>
      <c r="AF58" s="6">
        <v>6</v>
      </c>
      <c r="AG58" s="6">
        <v>1618</v>
      </c>
      <c r="AH58" s="6"/>
      <c r="AI58" s="6"/>
      <c r="AJ58" s="6"/>
      <c r="AK58" s="6"/>
      <c r="AL58" s="6"/>
      <c r="AM58" s="6"/>
      <c r="AN58" s="6"/>
      <c r="AO58" s="6"/>
      <c r="AP58" s="6"/>
      <c r="AQ58" s="6"/>
      <c r="AR58" s="6">
        <v>4</v>
      </c>
      <c r="AS58" s="6">
        <v>1042</v>
      </c>
      <c r="AT58" s="6"/>
      <c r="AU58" s="6"/>
      <c r="AV58" s="6">
        <v>8</v>
      </c>
      <c r="AW58" s="6">
        <v>2982</v>
      </c>
      <c r="AX58" s="6"/>
      <c r="AY58" s="6"/>
      <c r="AZ58" s="6">
        <v>1</v>
      </c>
      <c r="BA58" s="6">
        <v>136</v>
      </c>
      <c r="BB58" s="6"/>
      <c r="BC58" s="6"/>
      <c r="BD58" s="6"/>
      <c r="BE58" s="6"/>
      <c r="BF58" s="6"/>
      <c r="BG58" s="6"/>
      <c r="BH58" s="6"/>
      <c r="BI58" s="6"/>
      <c r="BJ58" s="6"/>
      <c r="BK58" s="6"/>
      <c r="BL58" s="6">
        <v>1</v>
      </c>
      <c r="BM58" s="6">
        <v>45</v>
      </c>
      <c r="BN58" s="6">
        <v>1</v>
      </c>
      <c r="BO58" s="6">
        <v>49</v>
      </c>
      <c r="BP58" s="6">
        <v>1</v>
      </c>
      <c r="BQ58" s="6">
        <v>84</v>
      </c>
      <c r="BR58" s="6"/>
      <c r="BS58" s="6"/>
      <c r="BT58" s="6">
        <v>4</v>
      </c>
      <c r="BU58" s="6">
        <v>169</v>
      </c>
      <c r="BV58" s="6">
        <v>2</v>
      </c>
      <c r="BW58" s="6">
        <v>114</v>
      </c>
      <c r="BX58" s="6"/>
      <c r="BY58" s="6"/>
      <c r="BZ58" s="6"/>
      <c r="CA58" s="6"/>
      <c r="CB58" s="6">
        <v>1</v>
      </c>
      <c r="CC58" s="6">
        <v>10</v>
      </c>
      <c r="CD58" s="8">
        <f t="shared" si="0"/>
        <v>72</v>
      </c>
      <c r="CE58" s="8">
        <f t="shared" si="1"/>
        <v>11530</v>
      </c>
      <c r="CF58" s="52"/>
      <c r="CG58" s="52"/>
      <c r="CH58" s="52"/>
    </row>
    <row r="59" spans="1:86" s="27" customFormat="1">
      <c r="A59" s="5" t="s">
        <v>94</v>
      </c>
      <c r="B59" s="6"/>
      <c r="C59" s="6"/>
      <c r="D59" s="6"/>
      <c r="E59" s="6"/>
      <c r="F59" s="6"/>
      <c r="G59" s="6"/>
      <c r="H59" s="6"/>
      <c r="I59" s="6"/>
      <c r="J59" s="6"/>
      <c r="K59" s="6"/>
      <c r="L59" s="6">
        <v>5</v>
      </c>
      <c r="M59" s="6">
        <v>87</v>
      </c>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v>1</v>
      </c>
      <c r="AQ59" s="6">
        <v>110</v>
      </c>
      <c r="AR59" s="6"/>
      <c r="AS59" s="6"/>
      <c r="AT59" s="6"/>
      <c r="AU59" s="6"/>
      <c r="AV59" s="6"/>
      <c r="AW59" s="6"/>
      <c r="AX59" s="6"/>
      <c r="AY59" s="6"/>
      <c r="AZ59" s="6"/>
      <c r="BA59" s="6"/>
      <c r="BB59" s="6"/>
      <c r="BC59" s="6"/>
      <c r="BD59" s="6"/>
      <c r="BE59" s="6"/>
      <c r="BF59" s="6"/>
      <c r="BG59" s="6"/>
      <c r="BH59" s="6"/>
      <c r="BI59" s="6"/>
      <c r="BJ59" s="6"/>
      <c r="BK59" s="6"/>
      <c r="BL59" s="6">
        <v>1</v>
      </c>
      <c r="BM59" s="6">
        <v>32</v>
      </c>
      <c r="BN59" s="6"/>
      <c r="BO59" s="6"/>
      <c r="BP59" s="6"/>
      <c r="BQ59" s="6"/>
      <c r="BR59" s="6"/>
      <c r="BS59" s="6"/>
      <c r="BT59" s="6"/>
      <c r="BU59" s="6"/>
      <c r="BV59" s="6"/>
      <c r="BW59" s="6"/>
      <c r="BX59" s="6"/>
      <c r="BY59" s="6"/>
      <c r="BZ59" s="6"/>
      <c r="CA59" s="6"/>
      <c r="CB59" s="6">
        <v>7</v>
      </c>
      <c r="CC59" s="6">
        <v>105</v>
      </c>
      <c r="CD59" s="8">
        <f t="shared" si="0"/>
        <v>14</v>
      </c>
      <c r="CE59" s="8">
        <f t="shared" si="1"/>
        <v>334</v>
      </c>
      <c r="CF59" s="52"/>
      <c r="CG59" s="52"/>
      <c r="CH59" s="52"/>
    </row>
    <row r="60" spans="1:86" s="27" customFormat="1">
      <c r="A60" s="5" t="s">
        <v>95</v>
      </c>
      <c r="B60" s="6"/>
      <c r="C60" s="6"/>
      <c r="D60" s="6"/>
      <c r="E60" s="6"/>
      <c r="F60" s="6"/>
      <c r="G60" s="6"/>
      <c r="H60" s="6"/>
      <c r="I60" s="6"/>
      <c r="J60" s="6"/>
      <c r="K60" s="6"/>
      <c r="L60" s="6">
        <v>1</v>
      </c>
      <c r="M60" s="6">
        <v>20</v>
      </c>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v>1</v>
      </c>
      <c r="BM60" s="6">
        <v>48</v>
      </c>
      <c r="BN60" s="6"/>
      <c r="BO60" s="6"/>
      <c r="BP60" s="6"/>
      <c r="BQ60" s="6"/>
      <c r="BR60" s="6"/>
      <c r="BS60" s="6"/>
      <c r="BT60" s="6"/>
      <c r="BU60" s="6"/>
      <c r="BV60" s="6"/>
      <c r="BW60" s="6"/>
      <c r="BX60" s="6"/>
      <c r="BY60" s="6"/>
      <c r="BZ60" s="6"/>
      <c r="CA60" s="6"/>
      <c r="CB60" s="6"/>
      <c r="CC60" s="6"/>
      <c r="CD60" s="8">
        <f t="shared" si="0"/>
        <v>2</v>
      </c>
      <c r="CE60" s="8">
        <f t="shared" si="1"/>
        <v>68</v>
      </c>
      <c r="CF60" s="52"/>
      <c r="CG60" s="52"/>
      <c r="CH60" s="52"/>
    </row>
    <row r="61" spans="1:86" s="51" customFormat="1">
      <c r="A61" s="11" t="s">
        <v>96</v>
      </c>
      <c r="B61" s="12">
        <f>SUM(B9:B60)</f>
        <v>79</v>
      </c>
      <c r="C61" s="12">
        <f t="shared" ref="C61:BL61" si="2">SUM(C9:C60)</f>
        <v>4898</v>
      </c>
      <c r="D61" s="12">
        <f t="shared" si="2"/>
        <v>121</v>
      </c>
      <c r="E61" s="12">
        <f t="shared" si="2"/>
        <v>13019</v>
      </c>
      <c r="F61" s="12">
        <f t="shared" si="2"/>
        <v>104</v>
      </c>
      <c r="G61" s="12">
        <f t="shared" si="2"/>
        <v>18557</v>
      </c>
      <c r="H61" s="12">
        <f t="shared" si="2"/>
        <v>1</v>
      </c>
      <c r="I61" s="12">
        <f t="shared" si="2"/>
        <v>69</v>
      </c>
      <c r="J61" s="12">
        <f t="shared" si="2"/>
        <v>10</v>
      </c>
      <c r="K61" s="12">
        <f t="shared" si="2"/>
        <v>2100</v>
      </c>
      <c r="L61" s="12">
        <f t="shared" si="2"/>
        <v>245</v>
      </c>
      <c r="M61" s="12">
        <f t="shared" si="2"/>
        <v>4108</v>
      </c>
      <c r="N61" s="12">
        <f t="shared" si="2"/>
        <v>16</v>
      </c>
      <c r="O61" s="12">
        <f t="shared" si="2"/>
        <v>527</v>
      </c>
      <c r="P61" s="12">
        <f t="shared" si="2"/>
        <v>1</v>
      </c>
      <c r="Q61" s="12">
        <f t="shared" si="2"/>
        <v>500</v>
      </c>
      <c r="R61" s="12">
        <f t="shared" si="2"/>
        <v>1</v>
      </c>
      <c r="S61" s="12">
        <f t="shared" si="2"/>
        <v>660</v>
      </c>
      <c r="T61" s="12">
        <f t="shared" si="2"/>
        <v>1</v>
      </c>
      <c r="U61" s="12">
        <f t="shared" si="2"/>
        <v>1118</v>
      </c>
      <c r="V61" s="12">
        <f t="shared" si="2"/>
        <v>8</v>
      </c>
      <c r="W61" s="12">
        <f t="shared" si="2"/>
        <v>236</v>
      </c>
      <c r="X61" s="12">
        <f t="shared" si="2"/>
        <v>21</v>
      </c>
      <c r="Y61" s="12">
        <f t="shared" si="2"/>
        <v>1903</v>
      </c>
      <c r="Z61" s="12">
        <f t="shared" si="2"/>
        <v>45</v>
      </c>
      <c r="AA61" s="12">
        <f t="shared" si="2"/>
        <v>6506</v>
      </c>
      <c r="AB61" s="12">
        <f t="shared" si="2"/>
        <v>240</v>
      </c>
      <c r="AC61" s="12">
        <f t="shared" si="2"/>
        <v>70450</v>
      </c>
      <c r="AD61" s="12">
        <f t="shared" si="2"/>
        <v>9</v>
      </c>
      <c r="AE61" s="12">
        <f t="shared" si="2"/>
        <v>1768</v>
      </c>
      <c r="AF61" s="12">
        <f t="shared" si="2"/>
        <v>207</v>
      </c>
      <c r="AG61" s="12">
        <f t="shared" si="2"/>
        <v>63110</v>
      </c>
      <c r="AH61" s="12">
        <f t="shared" si="2"/>
        <v>25</v>
      </c>
      <c r="AI61" s="12">
        <f t="shared" si="2"/>
        <v>5282</v>
      </c>
      <c r="AJ61" s="12">
        <f t="shared" si="2"/>
        <v>29</v>
      </c>
      <c r="AK61" s="12">
        <f t="shared" si="2"/>
        <v>6286</v>
      </c>
      <c r="AL61" s="12">
        <f t="shared" si="2"/>
        <v>3</v>
      </c>
      <c r="AM61" s="12">
        <f t="shared" si="2"/>
        <v>834</v>
      </c>
      <c r="AN61" s="12">
        <f t="shared" si="2"/>
        <v>3</v>
      </c>
      <c r="AO61" s="12">
        <f t="shared" si="2"/>
        <v>78</v>
      </c>
      <c r="AP61" s="12">
        <f t="shared" si="2"/>
        <v>9</v>
      </c>
      <c r="AQ61" s="12">
        <f t="shared" si="2"/>
        <v>1117</v>
      </c>
      <c r="AR61" s="12">
        <f t="shared" si="2"/>
        <v>76</v>
      </c>
      <c r="AS61" s="12">
        <f t="shared" si="2"/>
        <v>29019</v>
      </c>
      <c r="AT61" s="12">
        <f t="shared" si="2"/>
        <v>6</v>
      </c>
      <c r="AU61" s="12">
        <f t="shared" si="2"/>
        <v>3287</v>
      </c>
      <c r="AV61" s="12">
        <f t="shared" si="2"/>
        <v>99</v>
      </c>
      <c r="AW61" s="12">
        <f t="shared" si="2"/>
        <v>43240</v>
      </c>
      <c r="AX61" s="12">
        <f t="shared" si="2"/>
        <v>4</v>
      </c>
      <c r="AY61" s="12">
        <f t="shared" si="2"/>
        <v>2028</v>
      </c>
      <c r="AZ61" s="12">
        <f t="shared" si="2"/>
        <v>5</v>
      </c>
      <c r="BA61" s="12">
        <f t="shared" si="2"/>
        <v>1104</v>
      </c>
      <c r="BB61" s="12">
        <f t="shared" si="2"/>
        <v>3</v>
      </c>
      <c r="BC61" s="12">
        <f t="shared" si="2"/>
        <v>134</v>
      </c>
      <c r="BD61" s="12">
        <f t="shared" si="2"/>
        <v>1</v>
      </c>
      <c r="BE61" s="12">
        <f t="shared" si="2"/>
        <v>39</v>
      </c>
      <c r="BF61" s="12">
        <f t="shared" si="2"/>
        <v>1</v>
      </c>
      <c r="BG61" s="12">
        <f t="shared" si="2"/>
        <v>152</v>
      </c>
      <c r="BH61" s="12">
        <f t="shared" si="2"/>
        <v>3</v>
      </c>
      <c r="BI61" s="12">
        <f t="shared" si="2"/>
        <v>174</v>
      </c>
      <c r="BJ61" s="12">
        <f t="shared" si="2"/>
        <v>1</v>
      </c>
      <c r="BK61" s="12">
        <f t="shared" si="2"/>
        <v>132</v>
      </c>
      <c r="BL61" s="12">
        <f t="shared" si="2"/>
        <v>37</v>
      </c>
      <c r="BM61" s="12">
        <f t="shared" ref="BM61:CC61" si="3">SUM(BM9:BM60)</f>
        <v>1553</v>
      </c>
      <c r="BN61" s="12">
        <f t="shared" si="3"/>
        <v>40</v>
      </c>
      <c r="BO61" s="12">
        <f t="shared" si="3"/>
        <v>1925</v>
      </c>
      <c r="BP61" s="12">
        <f t="shared" si="3"/>
        <v>25</v>
      </c>
      <c r="BQ61" s="12">
        <f t="shared" si="3"/>
        <v>1434</v>
      </c>
      <c r="BR61" s="12">
        <f t="shared" si="3"/>
        <v>3</v>
      </c>
      <c r="BS61" s="12">
        <f t="shared" si="3"/>
        <v>236</v>
      </c>
      <c r="BT61" s="12">
        <f t="shared" si="3"/>
        <v>53</v>
      </c>
      <c r="BU61" s="12">
        <f t="shared" si="3"/>
        <v>2203</v>
      </c>
      <c r="BV61" s="12">
        <f t="shared" si="3"/>
        <v>31</v>
      </c>
      <c r="BW61" s="12">
        <f t="shared" si="3"/>
        <v>1301</v>
      </c>
      <c r="BX61" s="12">
        <f t="shared" si="3"/>
        <v>2</v>
      </c>
      <c r="BY61" s="12">
        <f t="shared" si="3"/>
        <v>86</v>
      </c>
      <c r="BZ61" s="12">
        <f t="shared" si="3"/>
        <v>1</v>
      </c>
      <c r="CA61" s="12">
        <f t="shared" si="3"/>
        <v>23</v>
      </c>
      <c r="CB61" s="12">
        <f t="shared" si="3"/>
        <v>103</v>
      </c>
      <c r="CC61" s="12">
        <f t="shared" si="3"/>
        <v>1373</v>
      </c>
      <c r="CD61" s="12">
        <f t="shared" si="0"/>
        <v>1672</v>
      </c>
      <c r="CE61" s="12">
        <f t="shared" si="1"/>
        <v>292569</v>
      </c>
      <c r="CF61" s="52"/>
      <c r="CG61" s="52"/>
      <c r="CH61" s="52"/>
    </row>
    <row r="62" spans="1:86" s="27" customFormat="1" ht="12.75">
      <c r="A62" s="48" t="s">
        <v>189</v>
      </c>
      <c r="CD62" s="54"/>
      <c r="CE62" s="54"/>
    </row>
    <row r="63" spans="1:86" s="27" customFormat="1" ht="12.75">
      <c r="A63" s="50" t="s">
        <v>190</v>
      </c>
      <c r="CD63" s="54"/>
      <c r="CE63" s="54"/>
    </row>
    <row r="64" spans="1:86" s="55" customFormat="1" ht="12.75">
      <c r="A64" s="50" t="s">
        <v>191</v>
      </c>
      <c r="CD64" s="56"/>
      <c r="CE64" s="57"/>
    </row>
  </sheetData>
  <sheetProtection password="C668" sheet="1"/>
  <mergeCells count="42">
    <mergeCell ref="BP6:BQ6"/>
    <mergeCell ref="AX6:AY6"/>
    <mergeCell ref="AZ6:BA6"/>
    <mergeCell ref="AD6:AE6"/>
    <mergeCell ref="AF6:AG6"/>
    <mergeCell ref="AH6:AI6"/>
    <mergeCell ref="AJ6:AK6"/>
    <mergeCell ref="BF6:BG6"/>
    <mergeCell ref="BH6:BI6"/>
    <mergeCell ref="BJ6:BK6"/>
    <mergeCell ref="BL6:BM6"/>
    <mergeCell ref="BN6:BO6"/>
    <mergeCell ref="BD6:BE6"/>
    <mergeCell ref="AL6:AM6"/>
    <mergeCell ref="AN6:AO6"/>
    <mergeCell ref="AP6:AQ6"/>
    <mergeCell ref="CD6:CE6"/>
    <mergeCell ref="BR6:BS6"/>
    <mergeCell ref="BT6:BU6"/>
    <mergeCell ref="BV6:BW6"/>
    <mergeCell ref="BX6:BY6"/>
    <mergeCell ref="BZ6:CA6"/>
    <mergeCell ref="CB6:CC6"/>
    <mergeCell ref="AR6:AS6"/>
    <mergeCell ref="AT6:AU6"/>
    <mergeCell ref="AV6:AW6"/>
    <mergeCell ref="BB6:BC6"/>
    <mergeCell ref="T6:U6"/>
    <mergeCell ref="V6:W6"/>
    <mergeCell ref="X6:Y6"/>
    <mergeCell ref="Z6:AA6"/>
    <mergeCell ref="AB6:AC6"/>
    <mergeCell ref="N6:O6"/>
    <mergeCell ref="P6:Q6"/>
    <mergeCell ref="R6:S6"/>
    <mergeCell ref="A6:A8"/>
    <mergeCell ref="B6:C6"/>
    <mergeCell ref="D6:E6"/>
    <mergeCell ref="F6:G6"/>
    <mergeCell ref="J6:K6"/>
    <mergeCell ref="L6:M6"/>
    <mergeCell ref="H6:I6"/>
  </mergeCells>
  <conditionalFormatting sqref="A9:CC60 CD9:CE61">
    <cfRule type="expression" dxfId="12" priority="17" stopIfTrue="1">
      <formula>MOD(ROW(),2)=0</formula>
    </cfRule>
  </conditionalFormatting>
  <conditionalFormatting sqref="A2:XFD64">
    <cfRule type="expression" priority="21">
      <formula>SI(0," ")</formula>
    </cfRule>
  </conditionalFormatting>
  <conditionalFormatting sqref="J2">
    <cfRule type="expression" priority="20">
      <formula>SI($C$42," ")</formula>
    </cfRule>
  </conditionalFormatting>
  <pageMargins left="0.70866141732283472" right="0.70866141732283472" top="0.74803149606299213" bottom="0.74803149606299213" header="0.31496062992125984" footer="0.31496062992125984"/>
  <pageSetup paperSize="8" scale="70" orientation="landscape" r:id="rId1"/>
  <colBreaks count="5" manualBreakCount="5">
    <brk id="15" max="63" man="1"/>
    <brk id="29" max="63" man="1"/>
    <brk id="43" max="63" man="1"/>
    <brk id="57" max="63" man="1"/>
    <brk id="71" max="63"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3:N52"/>
  <sheetViews>
    <sheetView showGridLines="0" workbookViewId="0"/>
  </sheetViews>
  <sheetFormatPr baseColWidth="10" defaultRowHeight="15"/>
  <cols>
    <col min="1" max="1" width="25.140625" customWidth="1"/>
    <col min="2" max="2" width="5.7109375" customWidth="1"/>
    <col min="3" max="3" width="17" bestFit="1" customWidth="1"/>
    <col min="4" max="4" width="15.140625" bestFit="1" customWidth="1"/>
    <col min="5" max="5" width="14" bestFit="1" customWidth="1"/>
    <col min="8" max="8" width="25.140625" customWidth="1"/>
    <col min="9" max="9" width="5.7109375" customWidth="1"/>
    <col min="10" max="10" width="17" customWidth="1"/>
    <col min="11" max="11" width="15.140625" customWidth="1"/>
    <col min="12" max="12" width="14" customWidth="1"/>
  </cols>
  <sheetData>
    <row r="3" spans="1:13" s="60" customFormat="1" ht="16.5">
      <c r="A3" s="58" t="s">
        <v>227</v>
      </c>
      <c r="B3" s="59"/>
      <c r="H3" s="59"/>
      <c r="I3" s="59"/>
    </row>
    <row r="4" spans="1:13" s="63" customFormat="1" ht="16.5">
      <c r="A4" s="61" t="s">
        <v>228</v>
      </c>
      <c r="B4" s="62"/>
      <c r="H4" s="62"/>
      <c r="I4" s="62"/>
      <c r="L4" s="64"/>
    </row>
    <row r="5" spans="1:13" s="63" customFormat="1" ht="16.5">
      <c r="A5" s="61" t="s">
        <v>229</v>
      </c>
      <c r="B5" s="62"/>
      <c r="H5" s="62"/>
      <c r="I5" s="62"/>
    </row>
    <row r="6" spans="1:13" s="63" customFormat="1" ht="16.5">
      <c r="A6" s="61"/>
      <c r="B6" s="62"/>
      <c r="H6" s="62"/>
      <c r="I6" s="62"/>
    </row>
    <row r="7" spans="1:13" s="60" customFormat="1" ht="12.75">
      <c r="A7" s="59"/>
      <c r="B7" s="59"/>
      <c r="H7" s="59"/>
      <c r="I7" s="59"/>
    </row>
    <row r="8" spans="1:13" s="60" customFormat="1" ht="12.75">
      <c r="A8" s="130" t="s">
        <v>104</v>
      </c>
      <c r="B8" s="130"/>
      <c r="C8" s="103" t="s">
        <v>105</v>
      </c>
      <c r="D8" s="103" t="s">
        <v>106</v>
      </c>
      <c r="E8" s="103" t="s">
        <v>107</v>
      </c>
      <c r="F8" s="103" t="s">
        <v>108</v>
      </c>
      <c r="G8" s="104"/>
      <c r="H8" s="130" t="s">
        <v>104</v>
      </c>
      <c r="I8" s="130"/>
      <c r="J8" s="103" t="s">
        <v>105</v>
      </c>
      <c r="K8" s="103" t="s">
        <v>106</v>
      </c>
      <c r="L8" s="103" t="s">
        <v>107</v>
      </c>
      <c r="M8" s="103" t="s">
        <v>108</v>
      </c>
    </row>
    <row r="9" spans="1:13" s="63" customFormat="1" ht="12.75">
      <c r="A9" s="131" t="s">
        <v>109</v>
      </c>
      <c r="B9" s="131"/>
      <c r="C9" s="105" t="s">
        <v>110</v>
      </c>
      <c r="D9" s="105" t="s">
        <v>111</v>
      </c>
      <c r="E9" s="105" t="s">
        <v>112</v>
      </c>
      <c r="F9" s="105" t="s">
        <v>113</v>
      </c>
      <c r="G9" s="106"/>
      <c r="H9" s="131" t="s">
        <v>109</v>
      </c>
      <c r="I9" s="131"/>
      <c r="J9" s="105" t="s">
        <v>110</v>
      </c>
      <c r="K9" s="105" t="s">
        <v>111</v>
      </c>
      <c r="L9" s="105" t="s">
        <v>112</v>
      </c>
      <c r="M9" s="105" t="s">
        <v>113</v>
      </c>
    </row>
    <row r="10" spans="1:13" s="63" customFormat="1" ht="12.75">
      <c r="A10" s="131" t="s">
        <v>114</v>
      </c>
      <c r="B10" s="131"/>
      <c r="C10" s="105" t="s">
        <v>115</v>
      </c>
      <c r="D10" s="105" t="s">
        <v>116</v>
      </c>
      <c r="E10" s="105" t="s">
        <v>117</v>
      </c>
      <c r="F10" s="105" t="s">
        <v>118</v>
      </c>
      <c r="G10" s="106"/>
      <c r="H10" s="131" t="s">
        <v>114</v>
      </c>
      <c r="I10" s="131"/>
      <c r="J10" s="105" t="s">
        <v>115</v>
      </c>
      <c r="K10" s="105" t="s">
        <v>116</v>
      </c>
      <c r="L10" s="105" t="s">
        <v>117</v>
      </c>
      <c r="M10" s="105" t="s">
        <v>118</v>
      </c>
    </row>
    <row r="11" spans="1:13" s="60" customFormat="1">
      <c r="A11" s="132" t="s">
        <v>119</v>
      </c>
      <c r="B11" s="132"/>
      <c r="C11" s="66">
        <v>83</v>
      </c>
      <c r="D11" s="66">
        <v>1561</v>
      </c>
      <c r="E11" s="66">
        <v>4952</v>
      </c>
      <c r="F11" s="67">
        <f>E11/E$15</f>
        <v>0.12316263337229835</v>
      </c>
      <c r="G11" s="68"/>
      <c r="H11" s="132" t="s">
        <v>25</v>
      </c>
      <c r="I11" s="132"/>
      <c r="J11" s="66">
        <v>4</v>
      </c>
      <c r="K11" s="66">
        <v>48</v>
      </c>
      <c r="L11" s="66">
        <v>153</v>
      </c>
      <c r="M11" s="67">
        <f>L11/L$19</f>
        <v>1.9838182666874126E-3</v>
      </c>
    </row>
    <row r="12" spans="1:13" s="60" customFormat="1">
      <c r="A12" s="132" t="s">
        <v>120</v>
      </c>
      <c r="B12" s="132"/>
      <c r="C12" s="66">
        <v>129</v>
      </c>
      <c r="D12" s="66">
        <v>5267</v>
      </c>
      <c r="E12" s="66">
        <v>14347</v>
      </c>
      <c r="F12" s="67">
        <f>E12/E$15</f>
        <v>0.3568284129629169</v>
      </c>
      <c r="G12" s="68"/>
      <c r="H12" s="132" t="s">
        <v>26</v>
      </c>
      <c r="I12" s="132"/>
      <c r="J12" s="66">
        <v>8</v>
      </c>
      <c r="K12" s="66">
        <v>405</v>
      </c>
      <c r="L12" s="66">
        <v>1071</v>
      </c>
      <c r="M12" s="67">
        <f t="shared" ref="M12:M17" si="0">L12/L$19</f>
        <v>1.3886727866811888E-2</v>
      </c>
    </row>
    <row r="13" spans="1:13" s="60" customFormat="1">
      <c r="A13" s="132" t="s">
        <v>121</v>
      </c>
      <c r="B13" s="132"/>
      <c r="C13" s="66">
        <v>107</v>
      </c>
      <c r="D13" s="66">
        <v>7392</v>
      </c>
      <c r="E13" s="66">
        <v>18900</v>
      </c>
      <c r="F13" s="67">
        <f>E13/E$15</f>
        <v>0.47006740119879625</v>
      </c>
      <c r="G13" s="68"/>
      <c r="H13" s="132" t="s">
        <v>27</v>
      </c>
      <c r="I13" s="132"/>
      <c r="J13" s="66">
        <v>83</v>
      </c>
      <c r="K13" s="66">
        <v>13881</v>
      </c>
      <c r="L13" s="66">
        <v>31076</v>
      </c>
      <c r="M13" s="67">
        <f t="shared" si="0"/>
        <v>0.40293553238939889</v>
      </c>
    </row>
    <row r="14" spans="1:13" s="60" customFormat="1">
      <c r="A14" s="132" t="s">
        <v>122</v>
      </c>
      <c r="B14" s="132"/>
      <c r="C14" s="66">
        <v>10</v>
      </c>
      <c r="D14" s="66">
        <v>586</v>
      </c>
      <c r="E14" s="66">
        <v>2008</v>
      </c>
      <c r="F14" s="67">
        <f>E14/E$15</f>
        <v>4.9941552465988512E-2</v>
      </c>
      <c r="G14" s="68"/>
      <c r="H14" s="132" t="s">
        <v>209</v>
      </c>
      <c r="I14" s="132"/>
      <c r="J14" s="66">
        <v>2</v>
      </c>
      <c r="K14" s="66">
        <v>635</v>
      </c>
      <c r="L14" s="66">
        <v>2279</v>
      </c>
      <c r="M14" s="67">
        <f t="shared" si="0"/>
        <v>2.9549815880919039E-2</v>
      </c>
    </row>
    <row r="15" spans="1:13" s="60" customFormat="1">
      <c r="A15" s="133" t="s">
        <v>123</v>
      </c>
      <c r="B15" s="133"/>
      <c r="C15" s="69">
        <f>SUM(C11:C14)</f>
        <v>329</v>
      </c>
      <c r="D15" s="69">
        <f>SUM(D11:D14)</f>
        <v>14806</v>
      </c>
      <c r="E15" s="69">
        <f>SUM(E11:E14)</f>
        <v>40207</v>
      </c>
      <c r="F15" s="70">
        <f>SUM(F11:F14)</f>
        <v>1</v>
      </c>
      <c r="G15" s="68"/>
      <c r="H15" s="132" t="s">
        <v>28</v>
      </c>
      <c r="I15" s="132"/>
      <c r="J15" s="66">
        <v>87</v>
      </c>
      <c r="K15" s="66">
        <v>17953</v>
      </c>
      <c r="L15" s="66">
        <v>39705</v>
      </c>
      <c r="M15" s="67">
        <f t="shared" si="0"/>
        <v>0.51482028940407654</v>
      </c>
    </row>
    <row r="16" spans="1:13" s="60" customFormat="1">
      <c r="A16" s="132"/>
      <c r="B16" s="132"/>
      <c r="C16" s="66"/>
      <c r="D16" s="66"/>
      <c r="E16" s="66"/>
      <c r="F16" s="67"/>
      <c r="G16" s="68"/>
      <c r="H16" s="132" t="s">
        <v>210</v>
      </c>
      <c r="I16" s="132"/>
      <c r="J16" s="66">
        <v>5</v>
      </c>
      <c r="K16" s="66">
        <v>1196</v>
      </c>
      <c r="L16" s="66">
        <v>2546</v>
      </c>
      <c r="M16" s="67">
        <f t="shared" si="0"/>
        <v>3.3011773248275506E-2</v>
      </c>
    </row>
    <row r="17" spans="1:14" s="60" customFormat="1">
      <c r="A17" s="133" t="s">
        <v>7</v>
      </c>
      <c r="B17" s="133"/>
      <c r="C17" s="69">
        <v>37</v>
      </c>
      <c r="D17" s="69">
        <v>754</v>
      </c>
      <c r="E17" s="69">
        <v>1487</v>
      </c>
      <c r="F17" s="70">
        <f>E17/E17</f>
        <v>1</v>
      </c>
      <c r="G17" s="68"/>
      <c r="H17" s="132" t="s">
        <v>29</v>
      </c>
      <c r="I17" s="132"/>
      <c r="J17" s="66">
        <v>3</v>
      </c>
      <c r="K17" s="66">
        <v>149</v>
      </c>
      <c r="L17" s="66">
        <v>294</v>
      </c>
      <c r="M17" s="67">
        <f t="shared" si="0"/>
        <v>3.812042943830714E-3</v>
      </c>
    </row>
    <row r="18" spans="1:14" s="60" customFormat="1">
      <c r="A18" s="133" t="s">
        <v>167</v>
      </c>
      <c r="B18" s="133"/>
      <c r="C18" s="69">
        <v>223</v>
      </c>
      <c r="D18" s="69">
        <v>1735</v>
      </c>
      <c r="E18" s="69">
        <v>3583</v>
      </c>
      <c r="F18" s="70">
        <f>E18/E18</f>
        <v>1</v>
      </c>
      <c r="G18" s="68"/>
      <c r="H18" s="132" t="s">
        <v>211</v>
      </c>
      <c r="I18" s="132"/>
      <c r="J18" s="66"/>
      <c r="K18" s="66"/>
      <c r="L18" s="66"/>
      <c r="M18" s="67"/>
    </row>
    <row r="19" spans="1:14" s="60" customFormat="1">
      <c r="A19" s="133" t="s">
        <v>8</v>
      </c>
      <c r="B19" s="133"/>
      <c r="C19" s="69">
        <v>88</v>
      </c>
      <c r="D19" s="69">
        <v>586</v>
      </c>
      <c r="E19" s="69">
        <v>1212</v>
      </c>
      <c r="F19" s="70">
        <f>E19/E19</f>
        <v>1</v>
      </c>
      <c r="G19" s="68"/>
      <c r="H19" s="133" t="s">
        <v>124</v>
      </c>
      <c r="I19" s="133"/>
      <c r="J19" s="69">
        <f>SUM(J11:J18)</f>
        <v>192</v>
      </c>
      <c r="K19" s="69">
        <f>SUM(K11:K18)</f>
        <v>34267</v>
      </c>
      <c r="L19" s="69">
        <f>SUM(L11:L18)</f>
        <v>77124</v>
      </c>
      <c r="M19" s="70">
        <f>SUM(M11:M18)</f>
        <v>1</v>
      </c>
    </row>
    <row r="20" spans="1:14" s="60" customFormat="1">
      <c r="A20" s="133" t="s">
        <v>207</v>
      </c>
      <c r="B20" s="133"/>
      <c r="C20" s="69">
        <v>1</v>
      </c>
      <c r="D20" s="69"/>
      <c r="E20" s="69">
        <v>500</v>
      </c>
      <c r="F20" s="70">
        <f>E20/E20</f>
        <v>1</v>
      </c>
      <c r="G20" s="68"/>
      <c r="H20" s="66"/>
      <c r="I20" s="66"/>
      <c r="J20" s="66"/>
      <c r="K20" s="66"/>
      <c r="L20" s="66"/>
      <c r="M20" s="66"/>
    </row>
    <row r="21" spans="1:14" s="60" customFormat="1">
      <c r="A21" s="132"/>
      <c r="B21" s="132"/>
      <c r="C21" s="66"/>
      <c r="D21" s="66"/>
      <c r="E21" s="66"/>
      <c r="F21" s="67"/>
      <c r="G21" s="68"/>
      <c r="H21" s="132" t="s">
        <v>30</v>
      </c>
      <c r="I21" s="132"/>
      <c r="J21" s="66"/>
      <c r="K21" s="66"/>
      <c r="L21" s="66"/>
      <c r="M21" s="67"/>
      <c r="N21" s="79"/>
    </row>
    <row r="22" spans="1:14" s="60" customFormat="1">
      <c r="A22" s="132" t="s">
        <v>12</v>
      </c>
      <c r="B22" s="132"/>
      <c r="C22" s="66"/>
      <c r="D22" s="66"/>
      <c r="E22" s="66"/>
      <c r="F22" s="67"/>
      <c r="G22" s="68"/>
      <c r="H22" s="132" t="s">
        <v>31</v>
      </c>
      <c r="I22" s="132"/>
      <c r="J22" s="66"/>
      <c r="K22" s="66"/>
      <c r="L22" s="66"/>
      <c r="M22" s="67"/>
    </row>
    <row r="23" spans="1:14" s="60" customFormat="1">
      <c r="A23" s="132" t="s">
        <v>13</v>
      </c>
      <c r="B23" s="132"/>
      <c r="C23" s="66">
        <v>1</v>
      </c>
      <c r="D23" s="66">
        <v>324</v>
      </c>
      <c r="E23" s="66">
        <v>660</v>
      </c>
      <c r="F23" s="67">
        <f>E23/E$25</f>
        <v>0.37120359955005622</v>
      </c>
      <c r="G23" s="68"/>
      <c r="H23" s="132" t="s">
        <v>32</v>
      </c>
      <c r="I23" s="132"/>
      <c r="J23" s="66"/>
      <c r="K23" s="66"/>
      <c r="L23" s="66"/>
      <c r="M23" s="67"/>
    </row>
    <row r="24" spans="1:14" s="60" customFormat="1">
      <c r="A24" s="132" t="s">
        <v>14</v>
      </c>
      <c r="B24" s="132"/>
      <c r="C24" s="66">
        <v>1</v>
      </c>
      <c r="D24" s="66">
        <v>413</v>
      </c>
      <c r="E24" s="66">
        <v>1118</v>
      </c>
      <c r="F24" s="67">
        <f>E24/E$25</f>
        <v>0.62879640044994378</v>
      </c>
      <c r="G24" s="68"/>
      <c r="H24" s="132" t="s">
        <v>33</v>
      </c>
      <c r="I24" s="132"/>
      <c r="J24" s="66"/>
      <c r="K24" s="66"/>
      <c r="L24" s="66"/>
      <c r="M24" s="67"/>
    </row>
    <row r="25" spans="1:14" s="60" customFormat="1">
      <c r="A25" s="133" t="s">
        <v>129</v>
      </c>
      <c r="B25" s="133"/>
      <c r="C25" s="69">
        <f>SUM(C22:C24)</f>
        <v>2</v>
      </c>
      <c r="D25" s="69">
        <f>SUM(D22:D24)</f>
        <v>737</v>
      </c>
      <c r="E25" s="69">
        <f>SUM(E22:E24)</f>
        <v>1778</v>
      </c>
      <c r="F25" s="70">
        <f>SUM(F23:F24)</f>
        <v>1</v>
      </c>
      <c r="G25" s="68"/>
      <c r="H25" s="133" t="s">
        <v>125</v>
      </c>
      <c r="I25" s="133"/>
      <c r="J25" s="69"/>
      <c r="K25" s="69"/>
      <c r="L25" s="69"/>
      <c r="M25" s="70"/>
    </row>
    <row r="26" spans="1:14" s="60" customFormat="1">
      <c r="A26" s="132"/>
      <c r="B26" s="132"/>
      <c r="C26" s="66"/>
      <c r="D26" s="66"/>
      <c r="E26" s="66"/>
      <c r="F26" s="67"/>
      <c r="G26" s="68"/>
      <c r="H26" s="134"/>
      <c r="I26" s="134"/>
      <c r="J26" s="71"/>
      <c r="K26" s="71"/>
      <c r="L26" s="71"/>
      <c r="M26" s="72"/>
      <c r="N26" s="79"/>
    </row>
    <row r="27" spans="1:14" s="60" customFormat="1">
      <c r="A27" s="132" t="s">
        <v>15</v>
      </c>
      <c r="B27" s="132"/>
      <c r="C27" s="66">
        <v>23</v>
      </c>
      <c r="D27" s="66">
        <v>1177</v>
      </c>
      <c r="E27" s="66">
        <v>2164</v>
      </c>
      <c r="F27" s="67">
        <f>E27/E$35</f>
        <v>1.406555693495655E-2</v>
      </c>
      <c r="G27" s="68"/>
      <c r="H27" s="132" t="s">
        <v>35</v>
      </c>
      <c r="I27" s="132"/>
      <c r="J27" s="66">
        <v>42</v>
      </c>
      <c r="K27" s="66">
        <v>1076</v>
      </c>
      <c r="L27" s="66">
        <v>2016</v>
      </c>
      <c r="M27" s="67">
        <f>L27/L$30</f>
        <v>0.51193499238191975</v>
      </c>
    </row>
    <row r="28" spans="1:14" s="60" customFormat="1">
      <c r="A28" s="132" t="s">
        <v>16</v>
      </c>
      <c r="B28" s="132"/>
      <c r="C28" s="66">
        <v>46</v>
      </c>
      <c r="D28" s="66">
        <v>3676</v>
      </c>
      <c r="E28" s="66">
        <v>6891</v>
      </c>
      <c r="F28" s="67">
        <f t="shared" ref="F28:F34" si="1">E28/E$35</f>
        <v>4.4790089112192968E-2</v>
      </c>
      <c r="G28" s="68"/>
      <c r="H28" s="132" t="s">
        <v>36</v>
      </c>
      <c r="I28" s="132"/>
      <c r="J28" s="66">
        <v>29</v>
      </c>
      <c r="K28" s="66">
        <v>895</v>
      </c>
      <c r="L28" s="66">
        <v>1686</v>
      </c>
      <c r="M28" s="67">
        <f>L28/L$30</f>
        <v>0.42813610970035548</v>
      </c>
    </row>
    <row r="29" spans="1:14" s="60" customFormat="1">
      <c r="A29" s="132" t="s">
        <v>17</v>
      </c>
      <c r="B29" s="132"/>
      <c r="C29" s="66">
        <v>252</v>
      </c>
      <c r="D29" s="66">
        <v>40004</v>
      </c>
      <c r="E29" s="66">
        <v>75360</v>
      </c>
      <c r="F29" s="67">
        <f t="shared" si="1"/>
        <v>0.48982457052602846</v>
      </c>
      <c r="G29" s="68"/>
      <c r="H29" s="132" t="s">
        <v>37</v>
      </c>
      <c r="I29" s="132"/>
      <c r="J29" s="66">
        <v>3</v>
      </c>
      <c r="K29" s="66">
        <v>128</v>
      </c>
      <c r="L29" s="66">
        <v>236</v>
      </c>
      <c r="M29" s="67">
        <f>L29/L$30</f>
        <v>5.9928897917724731E-2</v>
      </c>
    </row>
    <row r="30" spans="1:14" s="60" customFormat="1">
      <c r="A30" s="132" t="s">
        <v>208</v>
      </c>
      <c r="B30" s="132"/>
      <c r="C30" s="66">
        <v>6</v>
      </c>
      <c r="D30" s="66">
        <v>557</v>
      </c>
      <c r="E30" s="66">
        <v>1061</v>
      </c>
      <c r="F30" s="67">
        <f t="shared" si="1"/>
        <v>6.8962827670928364E-3</v>
      </c>
      <c r="G30" s="68"/>
      <c r="H30" s="133" t="s">
        <v>128</v>
      </c>
      <c r="I30" s="133"/>
      <c r="J30" s="69">
        <f>SUM(J27:J29)</f>
        <v>74</v>
      </c>
      <c r="K30" s="69">
        <f>SUM(K27:K29)</f>
        <v>2099</v>
      </c>
      <c r="L30" s="69">
        <f>SUM(L27:L29)</f>
        <v>3938</v>
      </c>
      <c r="M30" s="70">
        <f>SUM(M27:M29)</f>
        <v>0.99999999999999989</v>
      </c>
    </row>
    <row r="31" spans="1:14" s="60" customFormat="1">
      <c r="A31" s="132" t="s">
        <v>168</v>
      </c>
      <c r="B31" s="132"/>
      <c r="C31" s="66">
        <v>189</v>
      </c>
      <c r="D31" s="66">
        <v>29735</v>
      </c>
      <c r="E31" s="66">
        <v>57031</v>
      </c>
      <c r="F31" s="67">
        <f t="shared" si="1"/>
        <v>0.37068982327056699</v>
      </c>
      <c r="G31" s="68"/>
      <c r="H31" s="134"/>
      <c r="I31" s="134"/>
      <c r="J31" s="71"/>
      <c r="K31" s="71"/>
      <c r="L31" s="71"/>
      <c r="M31" s="72"/>
    </row>
    <row r="32" spans="1:14" s="60" customFormat="1">
      <c r="A32" s="132" t="s">
        <v>200</v>
      </c>
      <c r="B32" s="132"/>
      <c r="C32" s="66">
        <v>22</v>
      </c>
      <c r="D32" s="66">
        <v>2335</v>
      </c>
      <c r="E32" s="66">
        <v>4696</v>
      </c>
      <c r="F32" s="67">
        <f t="shared" si="1"/>
        <v>3.0523038524286485E-2</v>
      </c>
      <c r="G32" s="68"/>
      <c r="H32" s="132" t="s">
        <v>38</v>
      </c>
      <c r="I32" s="132"/>
      <c r="J32" s="66">
        <v>56</v>
      </c>
      <c r="K32" s="66">
        <v>1247</v>
      </c>
      <c r="L32" s="66">
        <v>2277</v>
      </c>
      <c r="M32" s="67">
        <f>L32/L$35</f>
        <v>0.61523912456092944</v>
      </c>
    </row>
    <row r="33" spans="1:13" s="60" customFormat="1">
      <c r="A33" s="132" t="s">
        <v>19</v>
      </c>
      <c r="B33" s="132"/>
      <c r="C33" s="66">
        <v>28</v>
      </c>
      <c r="D33" s="66">
        <v>3016</v>
      </c>
      <c r="E33" s="66">
        <v>6098</v>
      </c>
      <c r="F33" s="67">
        <f t="shared" si="1"/>
        <v>3.9635751473828577E-2</v>
      </c>
      <c r="G33" s="68"/>
      <c r="H33" s="132" t="s">
        <v>39</v>
      </c>
      <c r="I33" s="132"/>
      <c r="J33" s="66">
        <v>32</v>
      </c>
      <c r="K33" s="66">
        <v>728</v>
      </c>
      <c r="L33" s="66">
        <v>1338</v>
      </c>
      <c r="M33" s="67">
        <f>L33/L$35</f>
        <v>0.36152391245609294</v>
      </c>
    </row>
    <row r="34" spans="1:13" s="60" customFormat="1">
      <c r="A34" s="132" t="s">
        <v>169</v>
      </c>
      <c r="B34" s="135"/>
      <c r="C34" s="66">
        <v>2</v>
      </c>
      <c r="D34" s="66">
        <v>292</v>
      </c>
      <c r="E34" s="66">
        <v>550</v>
      </c>
      <c r="F34" s="67">
        <f t="shared" si="1"/>
        <v>3.5748873910471822E-3</v>
      </c>
      <c r="G34" s="68"/>
      <c r="H34" s="132" t="s">
        <v>40</v>
      </c>
      <c r="I34" s="132"/>
      <c r="J34" s="66">
        <v>2</v>
      </c>
      <c r="K34" s="66">
        <v>46</v>
      </c>
      <c r="L34" s="66">
        <v>86</v>
      </c>
      <c r="M34" s="67">
        <f>L34/L$35</f>
        <v>2.3236962982977574E-2</v>
      </c>
    </row>
    <row r="35" spans="1:13" s="60" customFormat="1">
      <c r="A35" s="133" t="s">
        <v>131</v>
      </c>
      <c r="B35" s="133"/>
      <c r="C35" s="69">
        <f>SUM(C27:C34)</f>
        <v>568</v>
      </c>
      <c r="D35" s="69">
        <f>SUM(D27:D34)</f>
        <v>80792</v>
      </c>
      <c r="E35" s="69">
        <f>SUM(E27:E34)</f>
        <v>153851</v>
      </c>
      <c r="F35" s="70">
        <f>SUM(F27:F34)</f>
        <v>1.0000000000000002</v>
      </c>
      <c r="G35" s="68"/>
      <c r="H35" s="133" t="s">
        <v>130</v>
      </c>
      <c r="I35" s="133"/>
      <c r="J35" s="69">
        <f>SUM(J32:J34)</f>
        <v>90</v>
      </c>
      <c r="K35" s="69">
        <f>SUM(K32:K34)</f>
        <v>2021</v>
      </c>
      <c r="L35" s="69">
        <f>SUM(L32:L34)</f>
        <v>3701</v>
      </c>
      <c r="M35" s="70">
        <f>SUM(M32:M34)</f>
        <v>1</v>
      </c>
    </row>
    <row r="36" spans="1:13" s="60" customFormat="1">
      <c r="A36" s="134"/>
      <c r="B36" s="134"/>
      <c r="C36" s="71"/>
      <c r="D36" s="71"/>
      <c r="E36" s="71"/>
      <c r="F36" s="72"/>
      <c r="G36" s="68"/>
      <c r="H36" s="136"/>
      <c r="I36" s="136"/>
      <c r="J36" s="73"/>
      <c r="K36" s="73"/>
      <c r="L36" s="73"/>
      <c r="M36" s="74"/>
    </row>
    <row r="37" spans="1:13" s="60" customFormat="1">
      <c r="A37" s="132" t="s">
        <v>20</v>
      </c>
      <c r="B37" s="132"/>
      <c r="C37" s="66">
        <v>3</v>
      </c>
      <c r="D37" s="66">
        <v>47</v>
      </c>
      <c r="E37" s="66">
        <v>85</v>
      </c>
      <c r="F37" s="67">
        <f>E37/E$42</f>
        <v>0.14886164623467601</v>
      </c>
      <c r="G37" s="68"/>
      <c r="H37" s="133" t="s">
        <v>42</v>
      </c>
      <c r="I37" s="133"/>
      <c r="J37" s="69">
        <v>17</v>
      </c>
      <c r="K37" s="69">
        <v>284</v>
      </c>
      <c r="L37" s="69">
        <v>540</v>
      </c>
      <c r="M37" s="70">
        <f>L37/L37</f>
        <v>1</v>
      </c>
    </row>
    <row r="38" spans="1:13" s="60" customFormat="1">
      <c r="A38" s="132" t="s">
        <v>21</v>
      </c>
      <c r="B38" s="132"/>
      <c r="C38" s="66">
        <v>2</v>
      </c>
      <c r="D38" s="66">
        <v>94</v>
      </c>
      <c r="E38" s="66">
        <v>180</v>
      </c>
      <c r="F38" s="67">
        <f>E38/E$42</f>
        <v>0.31523642732049034</v>
      </c>
      <c r="G38" s="68"/>
      <c r="H38" s="133" t="s">
        <v>43</v>
      </c>
      <c r="I38" s="133"/>
      <c r="J38" s="69">
        <v>8</v>
      </c>
      <c r="K38" s="69">
        <v>129</v>
      </c>
      <c r="L38" s="69">
        <v>230</v>
      </c>
      <c r="M38" s="70">
        <f>L38/L38</f>
        <v>1</v>
      </c>
    </row>
    <row r="39" spans="1:13" s="60" customFormat="1">
      <c r="A39" s="132" t="s">
        <v>22</v>
      </c>
      <c r="B39" s="132"/>
      <c r="C39" s="66">
        <v>3</v>
      </c>
      <c r="D39" s="66">
        <v>96</v>
      </c>
      <c r="E39" s="66">
        <v>174</v>
      </c>
      <c r="F39" s="67">
        <f>E39/E$42</f>
        <v>0.30472854640980734</v>
      </c>
      <c r="G39" s="68"/>
      <c r="H39" s="133" t="s">
        <v>44</v>
      </c>
      <c r="I39" s="133"/>
      <c r="J39" s="69">
        <v>1</v>
      </c>
      <c r="K39" s="69">
        <v>12</v>
      </c>
      <c r="L39" s="69">
        <v>23</v>
      </c>
      <c r="M39" s="70">
        <f>L39/L39</f>
        <v>1</v>
      </c>
    </row>
    <row r="40" spans="1:13" s="60" customFormat="1">
      <c r="A40" s="132" t="s">
        <v>172</v>
      </c>
      <c r="B40" s="132"/>
      <c r="C40" s="66"/>
      <c r="D40" s="66"/>
      <c r="E40" s="66"/>
      <c r="F40" s="67"/>
      <c r="G40" s="68"/>
      <c r="H40" s="133" t="s">
        <v>273</v>
      </c>
      <c r="I40" s="133"/>
      <c r="J40" s="69">
        <v>2</v>
      </c>
      <c r="K40" s="69">
        <v>46</v>
      </c>
      <c r="L40" s="69">
        <v>86</v>
      </c>
      <c r="M40" s="70">
        <v>1</v>
      </c>
    </row>
    <row r="41" spans="1:13" s="60" customFormat="1">
      <c r="A41" s="132" t="s">
        <v>24</v>
      </c>
      <c r="B41" s="132"/>
      <c r="C41" s="66">
        <v>1</v>
      </c>
      <c r="D41" s="66">
        <v>67</v>
      </c>
      <c r="E41" s="66">
        <v>132</v>
      </c>
      <c r="F41" s="67">
        <f>E41/E$42</f>
        <v>0.23117338003502627</v>
      </c>
      <c r="G41" s="68"/>
      <c r="M41" s="65"/>
    </row>
    <row r="42" spans="1:13" s="60" customFormat="1">
      <c r="A42" s="133" t="s">
        <v>132</v>
      </c>
      <c r="B42" s="133"/>
      <c r="C42" s="69">
        <f>SUM(C37:C41)</f>
        <v>9</v>
      </c>
      <c r="D42" s="69">
        <f>SUM(D37:D41)</f>
        <v>304</v>
      </c>
      <c r="E42" s="69">
        <f>SUM(E37:E41)</f>
        <v>571</v>
      </c>
      <c r="F42" s="70">
        <f>SUM(F37:F41)</f>
        <v>1</v>
      </c>
      <c r="G42" s="68"/>
      <c r="H42" s="133" t="s">
        <v>45</v>
      </c>
      <c r="I42" s="133"/>
      <c r="J42" s="69">
        <f>C15+C17+C18+C19+C20+C25+C35+C42+C52+J25+J30+J35+J19+J37+J38+J39+J40</f>
        <v>1641</v>
      </c>
      <c r="K42" s="69">
        <f>D15+D17+D18+D19+D20+D25+D35+D42+D52+K25+K30+K35+K19+K37+K38+K39+K40</f>
        <v>138572</v>
      </c>
      <c r="L42" s="69">
        <f>E15+E17+E18+E19+E20+E25+E35+E42+E52+L25+L30+L35+L19+L37+L38+L39+L40</f>
        <v>288831</v>
      </c>
    </row>
    <row r="43" spans="1:13" s="60" customFormat="1" ht="14.25">
      <c r="G43" s="68"/>
    </row>
    <row r="44" spans="1:13" s="60" customFormat="1">
      <c r="A44" s="132"/>
      <c r="B44" s="132"/>
      <c r="C44" s="66"/>
      <c r="D44" s="66"/>
      <c r="E44" s="66"/>
      <c r="F44" s="67"/>
      <c r="G44" s="68"/>
      <c r="J44" s="85"/>
      <c r="K44" s="85"/>
    </row>
    <row r="45" spans="1:13" s="60" customFormat="1">
      <c r="A45" s="132"/>
      <c r="B45" s="132"/>
      <c r="C45" s="66"/>
      <c r="D45" s="66"/>
      <c r="E45" s="66"/>
      <c r="F45" s="67"/>
      <c r="G45" s="68"/>
    </row>
    <row r="46" spans="1:13" s="60" customFormat="1">
      <c r="A46" s="132"/>
      <c r="B46" s="132"/>
      <c r="C46" s="66"/>
      <c r="D46" s="66"/>
      <c r="E46" s="66"/>
      <c r="F46" s="67"/>
      <c r="G46" s="68"/>
    </row>
    <row r="47" spans="1:13" s="60" customFormat="1">
      <c r="A47" s="132"/>
      <c r="B47" s="132"/>
      <c r="C47" s="66"/>
      <c r="D47" s="66"/>
      <c r="E47" s="66"/>
      <c r="F47" s="67"/>
      <c r="G47" s="68"/>
    </row>
    <row r="48" spans="1:13" s="60" customFormat="1">
      <c r="A48"/>
      <c r="B48"/>
      <c r="C48"/>
      <c r="D48"/>
      <c r="E48"/>
      <c r="F48"/>
      <c r="G48"/>
    </row>
    <row r="49" spans="1:13" s="60" customFormat="1">
      <c r="A49"/>
      <c r="B49"/>
      <c r="C49"/>
      <c r="D49"/>
      <c r="E49"/>
      <c r="F49"/>
      <c r="G49"/>
    </row>
    <row r="50" spans="1:13" s="60" customFormat="1">
      <c r="A50"/>
      <c r="B50"/>
      <c r="C50"/>
      <c r="D50"/>
      <c r="E50"/>
      <c r="F50"/>
      <c r="G50"/>
      <c r="M50"/>
    </row>
    <row r="51" spans="1:13" s="60" customFormat="1">
      <c r="A51"/>
      <c r="B51"/>
      <c r="C51"/>
      <c r="D51"/>
      <c r="E51"/>
      <c r="F51"/>
      <c r="G51"/>
      <c r="H51"/>
      <c r="I51"/>
      <c r="J51"/>
      <c r="K51"/>
      <c r="L51"/>
      <c r="M51"/>
    </row>
    <row r="52" spans="1:13" s="60" customFormat="1">
      <c r="A52"/>
      <c r="B52"/>
      <c r="C52"/>
      <c r="D52"/>
      <c r="E52"/>
      <c r="F52"/>
      <c r="G52"/>
      <c r="H52"/>
      <c r="I52"/>
      <c r="J52"/>
      <c r="K52"/>
      <c r="L52"/>
      <c r="M52"/>
    </row>
  </sheetData>
  <sheetProtection algorithmName="SHA-512" hashValue="IbYGePybKwW/9x16lm595oWxcTSMaauDS1wiaCq8Tk+2N0HdbnGJjv7eSwgO+Ee3DdcQWbwMwATdJ9s3H79YiQ==" saltValue="aMweztq+NeHJXNQxvIUTbA==" spinCount="100000" sheet="1"/>
  <mergeCells count="72">
    <mergeCell ref="A8:B8"/>
    <mergeCell ref="H8:I8"/>
    <mergeCell ref="A9:B9"/>
    <mergeCell ref="H9:I9"/>
    <mergeCell ref="A10:B10"/>
    <mergeCell ref="H10:I10"/>
    <mergeCell ref="A11:B11"/>
    <mergeCell ref="H21:I21"/>
    <mergeCell ref="A12:B12"/>
    <mergeCell ref="H22:I22"/>
    <mergeCell ref="A13:B13"/>
    <mergeCell ref="H11:I11"/>
    <mergeCell ref="H12:I12"/>
    <mergeCell ref="H13:I13"/>
    <mergeCell ref="A14:B14"/>
    <mergeCell ref="A15:B15"/>
    <mergeCell ref="A16:B16"/>
    <mergeCell ref="A19:B19"/>
    <mergeCell ref="H14:I14"/>
    <mergeCell ref="H15:I15"/>
    <mergeCell ref="H16:I16"/>
    <mergeCell ref="A24:B24"/>
    <mergeCell ref="H23:I23"/>
    <mergeCell ref="H17:I17"/>
    <mergeCell ref="H18:I18"/>
    <mergeCell ref="H19:I19"/>
    <mergeCell ref="A20:B20"/>
    <mergeCell ref="H24:I24"/>
    <mergeCell ref="A21:B21"/>
    <mergeCell ref="A22:B22"/>
    <mergeCell ref="A17:B17"/>
    <mergeCell ref="A18:B18"/>
    <mergeCell ref="A23:B23"/>
    <mergeCell ref="H26:I26"/>
    <mergeCell ref="A25:B25"/>
    <mergeCell ref="H27:I27"/>
    <mergeCell ref="A29:B29"/>
    <mergeCell ref="H28:I28"/>
    <mergeCell ref="H29:I29"/>
    <mergeCell ref="A26:B26"/>
    <mergeCell ref="H25:I25"/>
    <mergeCell ref="H36:I36"/>
    <mergeCell ref="H30:I30"/>
    <mergeCell ref="H35:I35"/>
    <mergeCell ref="A27:B27"/>
    <mergeCell ref="A35:B35"/>
    <mergeCell ref="A36:B36"/>
    <mergeCell ref="H31:I31"/>
    <mergeCell ref="A28:B28"/>
    <mergeCell ref="H32:I32"/>
    <mergeCell ref="A30:B30"/>
    <mergeCell ref="A31:B31"/>
    <mergeCell ref="A32:B32"/>
    <mergeCell ref="A33:B33"/>
    <mergeCell ref="A34:B34"/>
    <mergeCell ref="H33:I33"/>
    <mergeCell ref="H34:I34"/>
    <mergeCell ref="A38:B38"/>
    <mergeCell ref="H37:I37"/>
    <mergeCell ref="A39:B39"/>
    <mergeCell ref="H38:I38"/>
    <mergeCell ref="A40:B40"/>
    <mergeCell ref="H39:I39"/>
    <mergeCell ref="H40:I40"/>
    <mergeCell ref="A37:B37"/>
    <mergeCell ref="A47:B47"/>
    <mergeCell ref="A41:B41"/>
    <mergeCell ref="A42:B42"/>
    <mergeCell ref="A44:B44"/>
    <mergeCell ref="H42:I42"/>
    <mergeCell ref="A45:B45"/>
    <mergeCell ref="A46:B46"/>
  </mergeCells>
  <pageMargins left="0.7" right="0.7" top="0.75" bottom="0.75" header="0.3" footer="0.3"/>
  <pageSetup paperSize="9" scale="6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DF62"/>
  <sheetViews>
    <sheetView showGridLines="0" zoomScaleNormal="100" workbookViewId="0"/>
  </sheetViews>
  <sheetFormatPr baseColWidth="10" defaultRowHeight="15"/>
  <cols>
    <col min="1" max="1" width="79.85546875" customWidth="1"/>
    <col min="2" max="51" width="11.42578125" customWidth="1"/>
  </cols>
  <sheetData>
    <row r="2" spans="1:110" s="27" customFormat="1" ht="16.5">
      <c r="A2" s="1" t="s">
        <v>230</v>
      </c>
      <c r="CB2" s="51"/>
      <c r="CC2" s="51"/>
    </row>
    <row r="3" spans="1:110" s="27" customFormat="1" ht="16.5">
      <c r="A3" s="3" t="s">
        <v>231</v>
      </c>
      <c r="CB3" s="51"/>
      <c r="CC3" s="51"/>
    </row>
    <row r="4" spans="1:110" s="27" customFormat="1" ht="16.5">
      <c r="A4" s="3" t="s">
        <v>232</v>
      </c>
      <c r="CB4" s="51"/>
      <c r="CC4" s="51"/>
    </row>
    <row r="5" spans="1:110" s="27" customFormat="1" ht="12.75">
      <c r="CB5" s="51"/>
      <c r="CC5" s="51"/>
    </row>
    <row r="6" spans="1:110" s="51" customFormat="1">
      <c r="A6" s="138" t="s">
        <v>187</v>
      </c>
      <c r="B6" s="137" t="s">
        <v>119</v>
      </c>
      <c r="C6" s="137"/>
      <c r="D6" s="137" t="s">
        <v>120</v>
      </c>
      <c r="E6" s="137"/>
      <c r="F6" s="137" t="s">
        <v>121</v>
      </c>
      <c r="G6" s="137"/>
      <c r="H6" s="137" t="s">
        <v>122</v>
      </c>
      <c r="I6" s="137"/>
      <c r="J6" s="137" t="s">
        <v>167</v>
      </c>
      <c r="K6" s="137"/>
      <c r="L6" s="137" t="s">
        <v>42</v>
      </c>
      <c r="M6" s="137"/>
      <c r="N6" s="137" t="s">
        <v>198</v>
      </c>
      <c r="O6" s="137"/>
      <c r="P6" s="137" t="s">
        <v>13</v>
      </c>
      <c r="Q6" s="137"/>
      <c r="R6" s="137" t="s">
        <v>14</v>
      </c>
      <c r="S6" s="137"/>
      <c r="T6" s="137" t="s">
        <v>43</v>
      </c>
      <c r="U6" s="137"/>
      <c r="V6" s="137" t="s">
        <v>15</v>
      </c>
      <c r="W6" s="137"/>
      <c r="X6" s="137" t="s">
        <v>16</v>
      </c>
      <c r="Y6" s="137"/>
      <c r="Z6" s="137" t="s">
        <v>17</v>
      </c>
      <c r="AA6" s="137"/>
      <c r="AB6" s="137" t="s">
        <v>199</v>
      </c>
      <c r="AC6" s="137"/>
      <c r="AD6" s="137" t="s">
        <v>168</v>
      </c>
      <c r="AE6" s="137"/>
      <c r="AF6" s="137" t="s">
        <v>200</v>
      </c>
      <c r="AG6" s="137"/>
      <c r="AH6" s="137" t="s">
        <v>19</v>
      </c>
      <c r="AI6" s="137"/>
      <c r="AJ6" s="137" t="s">
        <v>169</v>
      </c>
      <c r="AK6" s="137"/>
      <c r="AL6" s="137" t="s">
        <v>25</v>
      </c>
      <c r="AM6" s="137"/>
      <c r="AN6" s="137" t="s">
        <v>26</v>
      </c>
      <c r="AO6" s="137"/>
      <c r="AP6" s="137" t="s">
        <v>27</v>
      </c>
      <c r="AQ6" s="137"/>
      <c r="AR6" s="137" t="s">
        <v>209</v>
      </c>
      <c r="AS6" s="137"/>
      <c r="AT6" s="137" t="s">
        <v>28</v>
      </c>
      <c r="AU6" s="137"/>
      <c r="AV6" s="137" t="s">
        <v>210</v>
      </c>
      <c r="AW6" s="137"/>
      <c r="AX6" s="137" t="s">
        <v>29</v>
      </c>
      <c r="AY6" s="137"/>
      <c r="AZ6" s="137" t="s">
        <v>273</v>
      </c>
      <c r="BA6" s="137"/>
      <c r="BB6" s="137" t="s">
        <v>171</v>
      </c>
      <c r="BC6" s="137"/>
      <c r="BD6" s="137" t="s">
        <v>21</v>
      </c>
      <c r="BE6" s="137"/>
      <c r="BF6" s="137" t="s">
        <v>22</v>
      </c>
      <c r="BG6" s="137"/>
      <c r="BH6" s="137" t="s">
        <v>24</v>
      </c>
      <c r="BI6" s="137"/>
      <c r="BJ6" s="137" t="s">
        <v>7</v>
      </c>
      <c r="BK6" s="137"/>
      <c r="BL6" s="137" t="s">
        <v>35</v>
      </c>
      <c r="BM6" s="137"/>
      <c r="BN6" s="137" t="s">
        <v>36</v>
      </c>
      <c r="BO6" s="137"/>
      <c r="BP6" s="137" t="s">
        <v>37</v>
      </c>
      <c r="BQ6" s="137"/>
      <c r="BR6" s="137" t="s">
        <v>38</v>
      </c>
      <c r="BS6" s="137"/>
      <c r="BT6" s="137" t="s">
        <v>39</v>
      </c>
      <c r="BU6" s="137"/>
      <c r="BV6" s="137" t="s">
        <v>40</v>
      </c>
      <c r="BW6" s="137"/>
      <c r="BX6" s="137" t="s">
        <v>44</v>
      </c>
      <c r="BY6" s="137"/>
      <c r="BZ6" s="137" t="s">
        <v>8</v>
      </c>
      <c r="CA6" s="137"/>
      <c r="CB6" s="137" t="s">
        <v>45</v>
      </c>
      <c r="CC6" s="137"/>
    </row>
    <row r="7" spans="1:110" s="51" customFormat="1">
      <c r="A7" s="138"/>
      <c r="B7" s="4"/>
      <c r="C7" s="4" t="s">
        <v>176</v>
      </c>
      <c r="D7" s="4"/>
      <c r="E7" s="4"/>
      <c r="F7" s="4"/>
      <c r="G7" s="4"/>
      <c r="H7" s="4"/>
      <c r="I7" s="4" t="s">
        <v>176</v>
      </c>
      <c r="J7" s="4"/>
      <c r="K7" s="4" t="s">
        <v>176</v>
      </c>
      <c r="L7" s="4"/>
      <c r="M7" s="4" t="s">
        <v>176</v>
      </c>
      <c r="N7" s="4"/>
      <c r="O7" s="4" t="s">
        <v>176</v>
      </c>
      <c r="P7" s="4"/>
      <c r="Q7" s="4" t="s">
        <v>176</v>
      </c>
      <c r="R7" s="4"/>
      <c r="S7" s="4" t="s">
        <v>176</v>
      </c>
      <c r="T7" s="4"/>
      <c r="U7" s="4" t="s">
        <v>176</v>
      </c>
      <c r="V7" s="4"/>
      <c r="W7" s="4" t="s">
        <v>176</v>
      </c>
      <c r="X7" s="4"/>
      <c r="Y7" s="4" t="s">
        <v>176</v>
      </c>
      <c r="Z7" s="4"/>
      <c r="AA7" s="4" t="s">
        <v>176</v>
      </c>
      <c r="AB7" s="4"/>
      <c r="AC7" s="4" t="s">
        <v>176</v>
      </c>
      <c r="AD7" s="4"/>
      <c r="AE7" s="4" t="s">
        <v>176</v>
      </c>
      <c r="AF7" s="4"/>
      <c r="AG7" s="4" t="s">
        <v>176</v>
      </c>
      <c r="AH7" s="4"/>
      <c r="AI7" s="4" t="s">
        <v>176</v>
      </c>
      <c r="AJ7" s="4"/>
      <c r="AK7" s="4" t="s">
        <v>176</v>
      </c>
      <c r="AL7" s="4"/>
      <c r="AM7" s="4" t="s">
        <v>176</v>
      </c>
      <c r="AN7" s="4"/>
      <c r="AO7" s="4" t="s">
        <v>176</v>
      </c>
      <c r="AP7" s="4"/>
      <c r="AQ7" s="4" t="s">
        <v>176</v>
      </c>
      <c r="AR7" s="4"/>
      <c r="AS7" s="4" t="s">
        <v>176</v>
      </c>
      <c r="AT7" s="4"/>
      <c r="AU7" s="4" t="s">
        <v>176</v>
      </c>
      <c r="AV7" s="4"/>
      <c r="AW7" s="4" t="s">
        <v>176</v>
      </c>
      <c r="AX7" s="4"/>
      <c r="AY7" s="4" t="s">
        <v>176</v>
      </c>
      <c r="AZ7" s="4"/>
      <c r="BA7" s="4" t="s">
        <v>176</v>
      </c>
      <c r="BB7" s="4"/>
      <c r="BC7" s="4" t="s">
        <v>176</v>
      </c>
      <c r="BD7" s="4"/>
      <c r="BE7" s="4" t="s">
        <v>176</v>
      </c>
      <c r="BF7" s="4"/>
      <c r="BG7" s="4" t="s">
        <v>176</v>
      </c>
      <c r="BH7" s="4"/>
      <c r="BI7" s="4" t="s">
        <v>176</v>
      </c>
      <c r="BJ7" s="4"/>
      <c r="BK7" s="4" t="s">
        <v>176</v>
      </c>
      <c r="BL7" s="4"/>
      <c r="BM7" s="4" t="s">
        <v>176</v>
      </c>
      <c r="BN7" s="4"/>
      <c r="BO7" s="4" t="s">
        <v>176</v>
      </c>
      <c r="BP7" s="4"/>
      <c r="BQ7" s="4" t="s">
        <v>176</v>
      </c>
      <c r="BR7" s="4"/>
      <c r="BS7" s="4" t="s">
        <v>176</v>
      </c>
      <c r="BT7" s="4"/>
      <c r="BU7" s="4" t="s">
        <v>176</v>
      </c>
      <c r="BV7" s="4"/>
      <c r="BW7" s="4" t="s">
        <v>176</v>
      </c>
      <c r="BX7" s="4"/>
      <c r="BY7" s="4" t="s">
        <v>176</v>
      </c>
      <c r="BZ7" s="4"/>
      <c r="CA7" s="4" t="s">
        <v>176</v>
      </c>
      <c r="CB7" s="4"/>
      <c r="CC7" s="4"/>
    </row>
    <row r="8" spans="1:110" s="51" customFormat="1">
      <c r="A8" s="138" t="s">
        <v>188</v>
      </c>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46</v>
      </c>
      <c r="BC8" s="4" t="s">
        <v>47</v>
      </c>
      <c r="BD8" s="4" t="s">
        <v>46</v>
      </c>
      <c r="BE8" s="4" t="s">
        <v>47</v>
      </c>
      <c r="BF8" s="4" t="s">
        <v>46</v>
      </c>
      <c r="BG8" s="4" t="s">
        <v>47</v>
      </c>
      <c r="BH8" s="4" t="s">
        <v>201</v>
      </c>
      <c r="BI8" s="4" t="s">
        <v>202</v>
      </c>
      <c r="BJ8" s="4" t="s">
        <v>201</v>
      </c>
      <c r="BK8" s="4" t="s">
        <v>202</v>
      </c>
      <c r="BL8" s="4" t="s">
        <v>46</v>
      </c>
      <c r="BM8" s="4" t="s">
        <v>47</v>
      </c>
      <c r="BN8" s="4" t="s">
        <v>46</v>
      </c>
      <c r="BO8" s="4" t="s">
        <v>47</v>
      </c>
      <c r="BP8" s="4" t="s">
        <v>46</v>
      </c>
      <c r="BQ8" s="4" t="s">
        <v>47</v>
      </c>
      <c r="BR8" s="4" t="s">
        <v>46</v>
      </c>
      <c r="BS8" s="4" t="s">
        <v>47</v>
      </c>
      <c r="BT8" s="4" t="s">
        <v>46</v>
      </c>
      <c r="BU8" s="4" t="s">
        <v>47</v>
      </c>
      <c r="BV8" s="4" t="s">
        <v>46</v>
      </c>
      <c r="BW8" s="4" t="s">
        <v>47</v>
      </c>
      <c r="BX8" s="4" t="s">
        <v>46</v>
      </c>
      <c r="BY8" s="4" t="s">
        <v>47</v>
      </c>
      <c r="BZ8" s="4" t="s">
        <v>46</v>
      </c>
      <c r="CA8" s="4" t="s">
        <v>47</v>
      </c>
      <c r="CB8" s="4" t="s">
        <v>46</v>
      </c>
      <c r="CC8" s="4" t="s">
        <v>47</v>
      </c>
    </row>
    <row r="9" spans="1:110" s="27" customFormat="1" ht="15" customHeight="1">
      <c r="A9" s="5" t="s">
        <v>48</v>
      </c>
      <c r="B9" s="6"/>
      <c r="C9" s="6"/>
      <c r="D9" s="6"/>
      <c r="E9" s="6"/>
      <c r="F9" s="6"/>
      <c r="G9" s="6"/>
      <c r="H9" s="6"/>
      <c r="I9" s="6"/>
      <c r="J9" s="6">
        <v>2</v>
      </c>
      <c r="K9" s="6">
        <v>16</v>
      </c>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v>1</v>
      </c>
      <c r="BK9" s="6">
        <v>50</v>
      </c>
      <c r="BL9" s="6"/>
      <c r="BM9" s="6"/>
      <c r="BN9" s="6"/>
      <c r="BO9" s="6"/>
      <c r="BP9" s="6"/>
      <c r="BQ9" s="6"/>
      <c r="BR9" s="6"/>
      <c r="BS9" s="6"/>
      <c r="BT9" s="6">
        <v>1</v>
      </c>
      <c r="BU9" s="6">
        <v>21</v>
      </c>
      <c r="BV9" s="6"/>
      <c r="BW9" s="6"/>
      <c r="BX9" s="6"/>
      <c r="BY9" s="6"/>
      <c r="BZ9" s="6">
        <v>5</v>
      </c>
      <c r="CA9" s="6">
        <v>60</v>
      </c>
      <c r="CB9" s="8">
        <f>B9+D9+F9+H9+J9+L9+N9+P9+R9+T9+V9+X9+Z9+AB9+AD9+AF9+AH9+AJ9+AL9+AN9+AP9+AR9+AT9+AV9+AX9+AZ9+BB9+BD9+BF9+BH9+BJ9+BL9+BN9+BP9+BR9+BT9+BV9+BX9+BZ9</f>
        <v>9</v>
      </c>
      <c r="CC9" s="8">
        <f>C9+E9+G9+I9+K9+M9+O9+Q9+S9+U9+W9+Y9+AA9+AC9+AE9+AG9+AI9+AK9+AM9+AO9+AQ9+AS9+AU9+AW9+AY9+BA9+BC9+BE9+BG9+BI9+BK9+BM9+BO9+BQ9+BS9+BU9+BW9+BY9+CA9</f>
        <v>147</v>
      </c>
      <c r="CD9" s="52"/>
      <c r="CE9" s="52"/>
      <c r="CF9" s="52"/>
      <c r="DF9" s="53"/>
    </row>
    <row r="10" spans="1:110" s="27" customFormat="1" ht="15" customHeight="1">
      <c r="A10" s="10" t="s">
        <v>49</v>
      </c>
      <c r="B10" s="6">
        <v>4</v>
      </c>
      <c r="C10" s="6">
        <v>253</v>
      </c>
      <c r="D10" s="6">
        <v>19</v>
      </c>
      <c r="E10" s="6">
        <v>2949</v>
      </c>
      <c r="F10" s="6">
        <v>6</v>
      </c>
      <c r="G10" s="6">
        <v>4776</v>
      </c>
      <c r="H10" s="6"/>
      <c r="I10" s="6"/>
      <c r="J10" s="6">
        <v>4</v>
      </c>
      <c r="K10" s="6">
        <v>61</v>
      </c>
      <c r="L10" s="6"/>
      <c r="M10" s="6"/>
      <c r="N10" s="6"/>
      <c r="O10" s="6"/>
      <c r="P10" s="6"/>
      <c r="Q10" s="6"/>
      <c r="R10" s="6"/>
      <c r="S10" s="6"/>
      <c r="T10" s="6">
        <v>1</v>
      </c>
      <c r="U10" s="6">
        <v>32</v>
      </c>
      <c r="V10" s="6"/>
      <c r="W10" s="6"/>
      <c r="X10" s="6"/>
      <c r="Y10" s="6"/>
      <c r="Z10" s="6">
        <v>15</v>
      </c>
      <c r="AA10" s="6">
        <v>7122</v>
      </c>
      <c r="AB10" s="6"/>
      <c r="AC10" s="6"/>
      <c r="AD10" s="6">
        <v>5</v>
      </c>
      <c r="AE10" s="6">
        <v>2952</v>
      </c>
      <c r="AF10" s="6">
        <v>1</v>
      </c>
      <c r="AG10" s="6">
        <v>348</v>
      </c>
      <c r="AH10" s="6"/>
      <c r="AI10" s="6"/>
      <c r="AJ10" s="6"/>
      <c r="AK10" s="6"/>
      <c r="AL10" s="6"/>
      <c r="AM10" s="6"/>
      <c r="AN10" s="6"/>
      <c r="AO10" s="6"/>
      <c r="AP10" s="6">
        <v>9</v>
      </c>
      <c r="AQ10" s="6">
        <v>3721</v>
      </c>
      <c r="AR10" s="6"/>
      <c r="AS10" s="6"/>
      <c r="AT10" s="6">
        <v>11</v>
      </c>
      <c r="AU10" s="6">
        <v>3916</v>
      </c>
      <c r="AV10" s="6"/>
      <c r="AW10" s="6"/>
      <c r="AX10" s="6"/>
      <c r="AY10" s="6"/>
      <c r="AZ10" s="6">
        <v>1</v>
      </c>
      <c r="BA10" s="6">
        <v>22</v>
      </c>
      <c r="BB10" s="6"/>
      <c r="BC10" s="6"/>
      <c r="BD10" s="6"/>
      <c r="BE10" s="6"/>
      <c r="BF10" s="6"/>
      <c r="BG10" s="6"/>
      <c r="BH10" s="6"/>
      <c r="BI10" s="6"/>
      <c r="BJ10" s="6"/>
      <c r="BK10" s="6"/>
      <c r="BL10" s="6">
        <v>2</v>
      </c>
      <c r="BM10" s="6">
        <v>76</v>
      </c>
      <c r="BN10" s="6"/>
      <c r="BO10" s="6"/>
      <c r="BP10" s="6"/>
      <c r="BQ10" s="6"/>
      <c r="BR10" s="6">
        <v>1</v>
      </c>
      <c r="BS10" s="6">
        <v>55</v>
      </c>
      <c r="BT10" s="6">
        <v>1</v>
      </c>
      <c r="BU10" s="6">
        <v>39</v>
      </c>
      <c r="BV10" s="6"/>
      <c r="BW10" s="6"/>
      <c r="BX10" s="6"/>
      <c r="BY10" s="6"/>
      <c r="BZ10" s="6">
        <v>6</v>
      </c>
      <c r="CA10" s="6">
        <v>68</v>
      </c>
      <c r="CB10" s="8">
        <f>B10+D10+F10+H10+J10+L10+N10+P10+R10+T10+V10+X10+Z10+AB10+AD10+AF10+AH10+AJ10+AL10+AN10+AP10+AR10+AT10+AV10+AX10+AZ10+BB10+BD10+BF10+BH10+BJ10+BL10+BN10+BP10+BR10+BT10+BV10+BX10+BZ10</f>
        <v>86</v>
      </c>
      <c r="CC10" s="8">
        <f>C10+E10+G10+I10+K10+M10+O10+Q10+S10+U10+W10+Y10+AA10+AC10+AE10+AG10+AI10+AK10+AM10+AO10+AQ10+AS10+AU10+AW10+AY10+BA10+BC10+BE10+BG10+BI10+BK10+BM10+BO10+BQ10+BS10+BU10+BW10+BY10+CA10</f>
        <v>26390</v>
      </c>
      <c r="CD10" s="52"/>
      <c r="CE10" s="52"/>
      <c r="CF10" s="52"/>
    </row>
    <row r="11" spans="1:110" s="27" customFormat="1" ht="15" customHeight="1">
      <c r="A11" s="5" t="s">
        <v>50</v>
      </c>
      <c r="B11" s="6"/>
      <c r="C11" s="6"/>
      <c r="D11" s="6"/>
      <c r="E11" s="6"/>
      <c r="F11" s="6"/>
      <c r="G11" s="6"/>
      <c r="H11" s="6"/>
      <c r="I11" s="6"/>
      <c r="J11" s="6">
        <v>2</v>
      </c>
      <c r="K11" s="6">
        <v>32</v>
      </c>
      <c r="L11" s="6"/>
      <c r="M11" s="6"/>
      <c r="N11" s="6"/>
      <c r="O11" s="6"/>
      <c r="P11" s="6"/>
      <c r="Q11" s="6"/>
      <c r="R11" s="6"/>
      <c r="S11" s="6"/>
      <c r="T11" s="6"/>
      <c r="U11" s="6"/>
      <c r="V11" s="6"/>
      <c r="W11" s="6"/>
      <c r="X11" s="6"/>
      <c r="Y11" s="6"/>
      <c r="Z11" s="6"/>
      <c r="AA11" s="6"/>
      <c r="AB11" s="6"/>
      <c r="AC11" s="6"/>
      <c r="AD11" s="6">
        <v>1</v>
      </c>
      <c r="AE11" s="6">
        <v>50</v>
      </c>
      <c r="AF11" s="6"/>
      <c r="AG11" s="6"/>
      <c r="AH11" s="6"/>
      <c r="AI11" s="6"/>
      <c r="AJ11" s="6"/>
      <c r="AK11" s="6"/>
      <c r="AL11" s="6"/>
      <c r="AM11" s="6"/>
      <c r="AN11" s="6"/>
      <c r="AO11" s="6"/>
      <c r="AP11" s="6"/>
      <c r="AQ11" s="6"/>
      <c r="AR11" s="6"/>
      <c r="AS11" s="6"/>
      <c r="AT11" s="6"/>
      <c r="AU11" s="6"/>
      <c r="AV11" s="6"/>
      <c r="AW11" s="6"/>
      <c r="AX11" s="6"/>
      <c r="AY11" s="6"/>
      <c r="AZ11" s="6">
        <v>1</v>
      </c>
      <c r="BA11" s="6">
        <v>64</v>
      </c>
      <c r="BB11" s="6"/>
      <c r="BC11" s="6"/>
      <c r="BD11" s="6"/>
      <c r="BE11" s="6"/>
      <c r="BF11" s="6"/>
      <c r="BG11" s="6"/>
      <c r="BH11" s="6"/>
      <c r="BI11" s="6"/>
      <c r="BJ11" s="6">
        <v>1</v>
      </c>
      <c r="BK11" s="6">
        <v>31</v>
      </c>
      <c r="BL11" s="6"/>
      <c r="BM11" s="6"/>
      <c r="BN11" s="6"/>
      <c r="BO11" s="6"/>
      <c r="BP11" s="6"/>
      <c r="BQ11" s="6"/>
      <c r="BR11" s="6"/>
      <c r="BS11" s="6"/>
      <c r="BT11" s="6"/>
      <c r="BU11" s="6"/>
      <c r="BV11" s="6"/>
      <c r="BW11" s="6"/>
      <c r="BX11" s="6"/>
      <c r="BY11" s="6"/>
      <c r="BZ11" s="6">
        <v>2</v>
      </c>
      <c r="CA11" s="6">
        <v>26</v>
      </c>
      <c r="CB11" s="8">
        <f t="shared" ref="CB11:CB58" si="0">B11+D11+F11+H11+J11+L11+N11+P11+R11+T11+V11+X11+Z11+AB11+AD11+AF11+AH11+AJ11+AL11+AN11+AP11+AR11+AT11+AV11+AX11+AZ11+BB11+BD11+BF11+BH11+BJ11+BL11+BN11+BP11+BR11+BT11+BV11+BX11+BZ11</f>
        <v>7</v>
      </c>
      <c r="CC11" s="8">
        <f t="shared" ref="CC11:CC58" si="1">C11+E11+G11+I11+K11+M11+O11+Q11+S11+U11+W11+Y11+AA11+AC11+AE11+AG11+AI11+AK11+AM11+AO11+AQ11+AS11+AU11+AW11+AY11+BA11+BC11+BE11+BG11+BI11+BK11+BM11+BO11+BQ11+BS11+BU11+BW11+BY11+CA11</f>
        <v>203</v>
      </c>
      <c r="CD11" s="52"/>
      <c r="CE11" s="52"/>
      <c r="CF11" s="52"/>
    </row>
    <row r="12" spans="1:110" s="27" customFormat="1" ht="15" customHeight="1">
      <c r="A12" s="5" t="s">
        <v>51</v>
      </c>
      <c r="B12" s="6">
        <v>1</v>
      </c>
      <c r="C12" s="6">
        <v>54</v>
      </c>
      <c r="D12" s="6">
        <v>1</v>
      </c>
      <c r="E12" s="6">
        <v>98</v>
      </c>
      <c r="F12" s="6">
        <v>1</v>
      </c>
      <c r="G12" s="6">
        <v>414</v>
      </c>
      <c r="H12" s="6"/>
      <c r="I12" s="6"/>
      <c r="J12" s="6">
        <v>1</v>
      </c>
      <c r="K12" s="6">
        <v>14</v>
      </c>
      <c r="L12" s="6"/>
      <c r="M12" s="6"/>
      <c r="N12" s="6"/>
      <c r="O12" s="6"/>
      <c r="P12" s="6"/>
      <c r="Q12" s="6"/>
      <c r="R12" s="6"/>
      <c r="S12" s="6"/>
      <c r="T12" s="6"/>
      <c r="U12" s="6"/>
      <c r="V12" s="6"/>
      <c r="W12" s="6"/>
      <c r="X12" s="6"/>
      <c r="Y12" s="6"/>
      <c r="Z12" s="6">
        <v>2</v>
      </c>
      <c r="AA12" s="6">
        <v>309</v>
      </c>
      <c r="AB12" s="6"/>
      <c r="AC12" s="6"/>
      <c r="AD12" s="6">
        <v>4</v>
      </c>
      <c r="AE12" s="6">
        <v>1703</v>
      </c>
      <c r="AF12" s="6">
        <v>1</v>
      </c>
      <c r="AG12" s="6">
        <v>42</v>
      </c>
      <c r="AH12" s="6">
        <v>1</v>
      </c>
      <c r="AI12" s="6">
        <v>330</v>
      </c>
      <c r="AJ12" s="6"/>
      <c r="AK12" s="6"/>
      <c r="AL12" s="6"/>
      <c r="AM12" s="6"/>
      <c r="AN12" s="6"/>
      <c r="AO12" s="6"/>
      <c r="AP12" s="6"/>
      <c r="AQ12" s="6"/>
      <c r="AR12" s="6"/>
      <c r="AS12" s="6"/>
      <c r="AT12" s="6">
        <v>3</v>
      </c>
      <c r="AU12" s="6">
        <v>606</v>
      </c>
      <c r="AV12" s="6"/>
      <c r="AW12" s="6"/>
      <c r="AX12" s="6"/>
      <c r="AY12" s="6"/>
      <c r="AZ12" s="6"/>
      <c r="BA12" s="6"/>
      <c r="BB12" s="6"/>
      <c r="BC12" s="6"/>
      <c r="BD12" s="6"/>
      <c r="BE12" s="6"/>
      <c r="BF12" s="6"/>
      <c r="BG12" s="6"/>
      <c r="BH12" s="6"/>
      <c r="BI12" s="6"/>
      <c r="BJ12" s="6"/>
      <c r="BK12" s="6"/>
      <c r="BL12" s="6">
        <v>1</v>
      </c>
      <c r="BM12" s="6">
        <v>40</v>
      </c>
      <c r="BN12" s="6"/>
      <c r="BO12" s="6"/>
      <c r="BP12" s="6"/>
      <c r="BQ12" s="6"/>
      <c r="BR12" s="6"/>
      <c r="BS12" s="6"/>
      <c r="BT12" s="6">
        <v>1</v>
      </c>
      <c r="BU12" s="6">
        <v>28</v>
      </c>
      <c r="BV12" s="6"/>
      <c r="BW12" s="6"/>
      <c r="BX12" s="6"/>
      <c r="BY12" s="6"/>
      <c r="BZ12" s="6">
        <v>1</v>
      </c>
      <c r="CA12" s="6">
        <v>8</v>
      </c>
      <c r="CB12" s="8">
        <f t="shared" si="0"/>
        <v>18</v>
      </c>
      <c r="CC12" s="8">
        <f t="shared" si="1"/>
        <v>3646</v>
      </c>
      <c r="CD12" s="52"/>
      <c r="CE12" s="52"/>
      <c r="CF12" s="52"/>
    </row>
    <row r="13" spans="1:110" s="27" customFormat="1" ht="15" customHeight="1">
      <c r="A13" s="5" t="s">
        <v>203</v>
      </c>
      <c r="B13" s="6"/>
      <c r="C13" s="6"/>
      <c r="D13" s="6"/>
      <c r="E13" s="6"/>
      <c r="F13" s="6"/>
      <c r="G13" s="6"/>
      <c r="H13" s="6"/>
      <c r="I13" s="6"/>
      <c r="J13" s="6">
        <v>1</v>
      </c>
      <c r="K13" s="6">
        <v>10</v>
      </c>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v>1</v>
      </c>
      <c r="CA13" s="6">
        <v>32</v>
      </c>
      <c r="CB13" s="8">
        <f t="shared" si="0"/>
        <v>2</v>
      </c>
      <c r="CC13" s="8">
        <f t="shared" si="1"/>
        <v>42</v>
      </c>
      <c r="CD13" s="52"/>
      <c r="CE13" s="52"/>
      <c r="CF13" s="52"/>
    </row>
    <row r="14" spans="1:110" s="27" customFormat="1" ht="15" customHeight="1">
      <c r="A14" s="5" t="s">
        <v>52</v>
      </c>
      <c r="B14" s="6">
        <v>1</v>
      </c>
      <c r="C14" s="6">
        <v>38</v>
      </c>
      <c r="D14" s="6"/>
      <c r="E14" s="6"/>
      <c r="F14" s="6"/>
      <c r="G14" s="6"/>
      <c r="H14" s="6"/>
      <c r="I14" s="6"/>
      <c r="J14" s="6">
        <v>6</v>
      </c>
      <c r="K14" s="6">
        <v>68</v>
      </c>
      <c r="L14" s="6"/>
      <c r="M14" s="6"/>
      <c r="N14" s="6"/>
      <c r="O14" s="6"/>
      <c r="P14" s="6"/>
      <c r="Q14" s="6"/>
      <c r="R14" s="6"/>
      <c r="S14" s="6"/>
      <c r="T14" s="6"/>
      <c r="U14" s="6"/>
      <c r="V14" s="6"/>
      <c r="W14" s="6"/>
      <c r="X14" s="6"/>
      <c r="Y14" s="6"/>
      <c r="Z14" s="6"/>
      <c r="AA14" s="6"/>
      <c r="AB14" s="6"/>
      <c r="AC14" s="6"/>
      <c r="AD14" s="6">
        <v>1</v>
      </c>
      <c r="AE14" s="6">
        <v>16</v>
      </c>
      <c r="AF14" s="6"/>
      <c r="AG14" s="6"/>
      <c r="AH14" s="6"/>
      <c r="AI14" s="6"/>
      <c r="AJ14" s="6"/>
      <c r="AK14" s="6"/>
      <c r="AL14" s="6"/>
      <c r="AM14" s="6"/>
      <c r="AN14" s="6"/>
      <c r="AO14" s="6"/>
      <c r="AP14" s="6"/>
      <c r="AQ14" s="6"/>
      <c r="AR14" s="6"/>
      <c r="AS14" s="6"/>
      <c r="AT14" s="6">
        <v>1</v>
      </c>
      <c r="AU14" s="6">
        <v>89</v>
      </c>
      <c r="AV14" s="6"/>
      <c r="AW14" s="6"/>
      <c r="AX14" s="6"/>
      <c r="AY14" s="6"/>
      <c r="AZ14" s="6"/>
      <c r="BA14" s="6"/>
      <c r="BB14" s="6"/>
      <c r="BC14" s="6"/>
      <c r="BD14" s="6"/>
      <c r="BE14" s="6"/>
      <c r="BF14" s="6"/>
      <c r="BG14" s="6"/>
      <c r="BH14" s="6"/>
      <c r="BI14" s="6"/>
      <c r="BJ14" s="6">
        <v>1</v>
      </c>
      <c r="BK14" s="6">
        <v>50</v>
      </c>
      <c r="BL14" s="6">
        <v>1</v>
      </c>
      <c r="BM14" s="6">
        <v>15</v>
      </c>
      <c r="BN14" s="6">
        <v>1</v>
      </c>
      <c r="BO14" s="6">
        <v>12</v>
      </c>
      <c r="BP14" s="6"/>
      <c r="BQ14" s="6"/>
      <c r="BR14" s="6"/>
      <c r="BS14" s="6"/>
      <c r="BT14" s="6"/>
      <c r="BU14" s="6"/>
      <c r="BV14" s="6"/>
      <c r="BW14" s="6"/>
      <c r="BX14" s="6"/>
      <c r="BY14" s="6"/>
      <c r="BZ14" s="6">
        <v>5</v>
      </c>
      <c r="CA14" s="6">
        <v>73</v>
      </c>
      <c r="CB14" s="8">
        <f t="shared" si="0"/>
        <v>17</v>
      </c>
      <c r="CC14" s="8">
        <f t="shared" si="1"/>
        <v>361</v>
      </c>
      <c r="CD14" s="52"/>
      <c r="CE14" s="52"/>
      <c r="CF14" s="52"/>
    </row>
    <row r="15" spans="1:110" s="27" customFormat="1" ht="15" customHeight="1">
      <c r="A15" s="5" t="s">
        <v>53</v>
      </c>
      <c r="B15" s="6"/>
      <c r="C15" s="6"/>
      <c r="D15" s="6"/>
      <c r="E15" s="6"/>
      <c r="F15" s="6"/>
      <c r="G15" s="6"/>
      <c r="H15" s="6"/>
      <c r="I15" s="6"/>
      <c r="J15" s="6"/>
      <c r="K15" s="6"/>
      <c r="L15" s="6"/>
      <c r="M15" s="6"/>
      <c r="N15" s="6"/>
      <c r="O15" s="6"/>
      <c r="P15" s="6"/>
      <c r="Q15" s="6"/>
      <c r="R15" s="6"/>
      <c r="S15" s="6"/>
      <c r="T15" s="6"/>
      <c r="U15" s="6"/>
      <c r="V15" s="6"/>
      <c r="W15" s="6"/>
      <c r="X15" s="6"/>
      <c r="Y15" s="6"/>
      <c r="Z15" s="6">
        <v>2</v>
      </c>
      <c r="AA15" s="6">
        <v>121</v>
      </c>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v>1</v>
      </c>
      <c r="BO15" s="6">
        <v>75</v>
      </c>
      <c r="BP15" s="6"/>
      <c r="BQ15" s="6"/>
      <c r="BR15" s="6"/>
      <c r="BS15" s="6"/>
      <c r="BT15" s="6"/>
      <c r="BU15" s="6"/>
      <c r="BV15" s="6"/>
      <c r="BW15" s="6"/>
      <c r="BX15" s="6"/>
      <c r="BY15" s="6"/>
      <c r="BZ15" s="6">
        <v>3</v>
      </c>
      <c r="CA15" s="6">
        <v>35</v>
      </c>
      <c r="CB15" s="8">
        <f t="shared" si="0"/>
        <v>6</v>
      </c>
      <c r="CC15" s="8">
        <f t="shared" si="1"/>
        <v>231</v>
      </c>
      <c r="CD15" s="52"/>
      <c r="CE15" s="52"/>
      <c r="CF15" s="52"/>
    </row>
    <row r="16" spans="1:110" s="27" customFormat="1" ht="15" customHeight="1">
      <c r="A16" s="5" t="s">
        <v>54</v>
      </c>
      <c r="B16" s="6"/>
      <c r="C16" s="6"/>
      <c r="D16" s="6"/>
      <c r="E16" s="6"/>
      <c r="F16" s="6"/>
      <c r="G16" s="6"/>
      <c r="H16" s="6"/>
      <c r="I16" s="6"/>
      <c r="J16" s="6">
        <v>3</v>
      </c>
      <c r="K16" s="6">
        <v>91</v>
      </c>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8">
        <f t="shared" si="0"/>
        <v>3</v>
      </c>
      <c r="CC16" s="8">
        <f t="shared" si="1"/>
        <v>91</v>
      </c>
      <c r="CD16" s="52"/>
      <c r="CE16" s="52"/>
      <c r="CF16" s="52"/>
    </row>
    <row r="17" spans="1:84" s="27" customFormat="1" ht="15" customHeight="1">
      <c r="A17" s="5" t="s">
        <v>55</v>
      </c>
      <c r="B17" s="6"/>
      <c r="C17" s="6"/>
      <c r="D17" s="6"/>
      <c r="E17" s="6"/>
      <c r="F17" s="6"/>
      <c r="G17" s="6"/>
      <c r="H17" s="6"/>
      <c r="I17" s="6"/>
      <c r="J17" s="6">
        <v>1</v>
      </c>
      <c r="K17" s="6">
        <v>22</v>
      </c>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8">
        <f t="shared" si="0"/>
        <v>1</v>
      </c>
      <c r="CC17" s="8">
        <f t="shared" si="1"/>
        <v>22</v>
      </c>
      <c r="CD17" s="52"/>
      <c r="CE17" s="52"/>
      <c r="CF17" s="52"/>
    </row>
    <row r="18" spans="1:84" s="27" customFormat="1" ht="15" customHeight="1">
      <c r="A18" s="5" t="s">
        <v>56</v>
      </c>
      <c r="B18" s="6"/>
      <c r="C18" s="6"/>
      <c r="D18" s="6"/>
      <c r="E18" s="6"/>
      <c r="F18" s="6"/>
      <c r="G18" s="6"/>
      <c r="H18" s="6"/>
      <c r="I18" s="6"/>
      <c r="J18" s="6">
        <v>11</v>
      </c>
      <c r="K18" s="6">
        <v>156</v>
      </c>
      <c r="L18" s="6"/>
      <c r="M18" s="6"/>
      <c r="N18" s="6"/>
      <c r="O18" s="6"/>
      <c r="P18" s="6"/>
      <c r="Q18" s="6"/>
      <c r="R18" s="6"/>
      <c r="S18" s="6"/>
      <c r="T18" s="6"/>
      <c r="U18" s="6"/>
      <c r="V18" s="6"/>
      <c r="W18" s="6"/>
      <c r="X18" s="6"/>
      <c r="Y18" s="6"/>
      <c r="Z18" s="6"/>
      <c r="AA18" s="6"/>
      <c r="AB18" s="6"/>
      <c r="AC18" s="6"/>
      <c r="AD18" s="6">
        <v>1</v>
      </c>
      <c r="AE18" s="6">
        <v>38</v>
      </c>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v>1</v>
      </c>
      <c r="BU18" s="6">
        <v>30</v>
      </c>
      <c r="BV18" s="6"/>
      <c r="BW18" s="6"/>
      <c r="BX18" s="6"/>
      <c r="BY18" s="6"/>
      <c r="BZ18" s="6"/>
      <c r="CA18" s="6"/>
      <c r="CB18" s="8">
        <f t="shared" si="0"/>
        <v>13</v>
      </c>
      <c r="CC18" s="8">
        <f t="shared" si="1"/>
        <v>224</v>
      </c>
      <c r="CD18" s="52"/>
      <c r="CE18" s="52"/>
      <c r="CF18" s="52"/>
    </row>
    <row r="19" spans="1:84" s="27" customFormat="1" ht="15" customHeight="1">
      <c r="A19" s="5" t="s">
        <v>57</v>
      </c>
      <c r="B19" s="6">
        <v>11</v>
      </c>
      <c r="C19" s="6">
        <v>514</v>
      </c>
      <c r="D19" s="6">
        <v>27</v>
      </c>
      <c r="E19" s="6">
        <v>4156</v>
      </c>
      <c r="F19" s="6">
        <v>28</v>
      </c>
      <c r="G19" s="6">
        <v>4937</v>
      </c>
      <c r="H19" s="6">
        <v>4</v>
      </c>
      <c r="I19" s="6">
        <v>771</v>
      </c>
      <c r="J19" s="6">
        <v>6</v>
      </c>
      <c r="K19" s="6">
        <v>81</v>
      </c>
      <c r="L19" s="6">
        <v>2</v>
      </c>
      <c r="M19" s="6">
        <v>32</v>
      </c>
      <c r="N19" s="6"/>
      <c r="O19" s="6"/>
      <c r="P19" s="6"/>
      <c r="Q19" s="6"/>
      <c r="R19" s="6">
        <v>1</v>
      </c>
      <c r="S19" s="6">
        <v>1118</v>
      </c>
      <c r="T19" s="6"/>
      <c r="U19" s="6"/>
      <c r="V19" s="6">
        <v>4</v>
      </c>
      <c r="W19" s="6">
        <v>278</v>
      </c>
      <c r="X19" s="6">
        <v>8</v>
      </c>
      <c r="Y19" s="6">
        <v>1508</v>
      </c>
      <c r="Z19" s="6">
        <v>52</v>
      </c>
      <c r="AA19" s="6">
        <v>17190</v>
      </c>
      <c r="AB19" s="6"/>
      <c r="AC19" s="6"/>
      <c r="AD19" s="6">
        <v>47</v>
      </c>
      <c r="AE19" s="6">
        <v>14988</v>
      </c>
      <c r="AF19" s="6">
        <v>3</v>
      </c>
      <c r="AG19" s="6">
        <v>456</v>
      </c>
      <c r="AH19" s="6">
        <v>5</v>
      </c>
      <c r="AI19" s="6">
        <v>840</v>
      </c>
      <c r="AJ19" s="6"/>
      <c r="AK19" s="6"/>
      <c r="AL19" s="6"/>
      <c r="AM19" s="6"/>
      <c r="AN19" s="6">
        <v>2</v>
      </c>
      <c r="AO19" s="6">
        <v>159</v>
      </c>
      <c r="AP19" s="6">
        <v>17</v>
      </c>
      <c r="AQ19" s="6">
        <v>7913</v>
      </c>
      <c r="AR19" s="6"/>
      <c r="AS19" s="6"/>
      <c r="AT19" s="6">
        <v>8</v>
      </c>
      <c r="AU19" s="6">
        <v>3621</v>
      </c>
      <c r="AV19" s="6"/>
      <c r="AW19" s="6"/>
      <c r="AX19" s="6"/>
      <c r="AY19" s="6"/>
      <c r="AZ19" s="6"/>
      <c r="BA19" s="6"/>
      <c r="BB19" s="6">
        <v>1</v>
      </c>
      <c r="BC19" s="6">
        <v>27</v>
      </c>
      <c r="BD19" s="6"/>
      <c r="BE19" s="6"/>
      <c r="BF19" s="6"/>
      <c r="BG19" s="6"/>
      <c r="BH19" s="6"/>
      <c r="BI19" s="6"/>
      <c r="BJ19" s="6">
        <v>1</v>
      </c>
      <c r="BK19" s="6">
        <v>82</v>
      </c>
      <c r="BL19" s="6">
        <v>3</v>
      </c>
      <c r="BM19" s="6">
        <v>95</v>
      </c>
      <c r="BN19" s="6">
        <v>6</v>
      </c>
      <c r="BO19" s="6">
        <v>371</v>
      </c>
      <c r="BP19" s="6">
        <v>1</v>
      </c>
      <c r="BQ19" s="6">
        <v>72</v>
      </c>
      <c r="BR19" s="6">
        <v>9</v>
      </c>
      <c r="BS19" s="6">
        <v>359</v>
      </c>
      <c r="BT19" s="6">
        <v>4</v>
      </c>
      <c r="BU19" s="6">
        <v>180</v>
      </c>
      <c r="BV19" s="6">
        <v>2</v>
      </c>
      <c r="BW19" s="6">
        <v>86</v>
      </c>
      <c r="BX19" s="6"/>
      <c r="BY19" s="6"/>
      <c r="BZ19" s="6"/>
      <c r="CA19" s="6"/>
      <c r="CB19" s="8">
        <f t="shared" si="0"/>
        <v>252</v>
      </c>
      <c r="CC19" s="8">
        <f t="shared" si="1"/>
        <v>59834</v>
      </c>
      <c r="CD19" s="52"/>
      <c r="CE19" s="52"/>
      <c r="CF19" s="52"/>
    </row>
    <row r="20" spans="1:84" s="27" customFormat="1" ht="15" customHeight="1">
      <c r="A20" s="5" t="s">
        <v>58</v>
      </c>
      <c r="B20" s="6"/>
      <c r="C20" s="6"/>
      <c r="D20" s="6"/>
      <c r="E20" s="6"/>
      <c r="F20" s="6"/>
      <c r="G20" s="6"/>
      <c r="H20" s="6"/>
      <c r="I20" s="6"/>
      <c r="J20" s="6">
        <v>2</v>
      </c>
      <c r="K20" s="6">
        <v>53</v>
      </c>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v>1</v>
      </c>
      <c r="BK20" s="6">
        <v>64</v>
      </c>
      <c r="BL20" s="6"/>
      <c r="BM20" s="6"/>
      <c r="BN20" s="6"/>
      <c r="BO20" s="6"/>
      <c r="BP20" s="6"/>
      <c r="BQ20" s="6"/>
      <c r="BR20" s="6"/>
      <c r="BS20" s="6"/>
      <c r="BT20" s="6"/>
      <c r="BU20" s="6"/>
      <c r="BV20" s="6"/>
      <c r="BW20" s="6"/>
      <c r="BX20" s="6"/>
      <c r="BY20" s="6"/>
      <c r="BZ20" s="6">
        <v>1</v>
      </c>
      <c r="CA20" s="6">
        <v>12</v>
      </c>
      <c r="CB20" s="8">
        <f t="shared" si="0"/>
        <v>4</v>
      </c>
      <c r="CC20" s="8">
        <f t="shared" si="1"/>
        <v>129</v>
      </c>
      <c r="CD20" s="52"/>
      <c r="CE20" s="52"/>
      <c r="CF20" s="52"/>
    </row>
    <row r="21" spans="1:84" s="27" customFormat="1" ht="15" customHeight="1">
      <c r="A21" s="5" t="s">
        <v>59</v>
      </c>
      <c r="B21" s="6"/>
      <c r="C21" s="6"/>
      <c r="D21" s="6"/>
      <c r="E21" s="6"/>
      <c r="F21" s="6"/>
      <c r="G21" s="6"/>
      <c r="H21" s="6"/>
      <c r="I21" s="6"/>
      <c r="J21" s="6">
        <v>23</v>
      </c>
      <c r="K21" s="6">
        <v>389</v>
      </c>
      <c r="L21" s="6"/>
      <c r="M21" s="6"/>
      <c r="N21" s="6"/>
      <c r="O21" s="6"/>
      <c r="P21" s="6"/>
      <c r="Q21" s="6"/>
      <c r="R21" s="6"/>
      <c r="S21" s="6"/>
      <c r="T21" s="6"/>
      <c r="U21" s="6"/>
      <c r="V21" s="6"/>
      <c r="W21" s="6"/>
      <c r="X21" s="6">
        <v>1</v>
      </c>
      <c r="Y21" s="6">
        <v>37</v>
      </c>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v>3</v>
      </c>
      <c r="BK21" s="6">
        <v>74</v>
      </c>
      <c r="BL21" s="6"/>
      <c r="BM21" s="6"/>
      <c r="BN21" s="6"/>
      <c r="BO21" s="6"/>
      <c r="BP21" s="6"/>
      <c r="BQ21" s="6"/>
      <c r="BR21" s="6">
        <v>1</v>
      </c>
      <c r="BS21" s="6">
        <v>41</v>
      </c>
      <c r="BT21" s="6"/>
      <c r="BU21" s="6"/>
      <c r="BV21" s="6"/>
      <c r="BW21" s="6"/>
      <c r="BX21" s="6"/>
      <c r="BY21" s="6"/>
      <c r="BZ21" s="6">
        <v>1</v>
      </c>
      <c r="CA21" s="6">
        <v>16</v>
      </c>
      <c r="CB21" s="8">
        <f t="shared" si="0"/>
        <v>29</v>
      </c>
      <c r="CC21" s="8">
        <f t="shared" si="1"/>
        <v>557</v>
      </c>
      <c r="CD21" s="52"/>
      <c r="CE21" s="52"/>
      <c r="CF21" s="52"/>
    </row>
    <row r="22" spans="1:84" s="27" customFormat="1" ht="15" customHeight="1">
      <c r="A22" s="5" t="s">
        <v>60</v>
      </c>
      <c r="B22" s="6">
        <v>11</v>
      </c>
      <c r="C22" s="6">
        <v>637</v>
      </c>
      <c r="D22" s="6">
        <v>10</v>
      </c>
      <c r="E22" s="6">
        <v>508</v>
      </c>
      <c r="F22" s="6">
        <v>8</v>
      </c>
      <c r="G22" s="6">
        <v>1232</v>
      </c>
      <c r="H22" s="6"/>
      <c r="I22" s="6"/>
      <c r="J22" s="6">
        <v>2</v>
      </c>
      <c r="K22" s="6">
        <v>48</v>
      </c>
      <c r="L22" s="6"/>
      <c r="M22" s="6"/>
      <c r="N22" s="6"/>
      <c r="O22" s="6"/>
      <c r="P22" s="6"/>
      <c r="Q22" s="6"/>
      <c r="R22" s="6"/>
      <c r="S22" s="6"/>
      <c r="T22" s="6">
        <v>1</v>
      </c>
      <c r="U22" s="6">
        <v>68</v>
      </c>
      <c r="V22" s="6">
        <v>5</v>
      </c>
      <c r="W22" s="6">
        <v>268</v>
      </c>
      <c r="X22" s="6">
        <v>2</v>
      </c>
      <c r="Y22" s="6">
        <v>232</v>
      </c>
      <c r="Z22" s="6">
        <v>15</v>
      </c>
      <c r="AA22" s="6">
        <v>3458</v>
      </c>
      <c r="AB22" s="6">
        <v>2</v>
      </c>
      <c r="AC22" s="6">
        <v>310</v>
      </c>
      <c r="AD22" s="6">
        <v>14</v>
      </c>
      <c r="AE22" s="6">
        <v>3983</v>
      </c>
      <c r="AF22" s="6">
        <v>2</v>
      </c>
      <c r="AG22" s="6">
        <v>626</v>
      </c>
      <c r="AH22" s="6">
        <v>2</v>
      </c>
      <c r="AI22" s="6">
        <v>447</v>
      </c>
      <c r="AJ22" s="6"/>
      <c r="AK22" s="6"/>
      <c r="AL22" s="6">
        <v>4</v>
      </c>
      <c r="AM22" s="6">
        <v>153</v>
      </c>
      <c r="AN22" s="6"/>
      <c r="AO22" s="6"/>
      <c r="AP22" s="6">
        <v>6</v>
      </c>
      <c r="AQ22" s="6">
        <v>1431</v>
      </c>
      <c r="AR22" s="6">
        <v>1</v>
      </c>
      <c r="AS22" s="6">
        <v>74</v>
      </c>
      <c r="AT22" s="6">
        <v>6</v>
      </c>
      <c r="AU22" s="6">
        <v>2812</v>
      </c>
      <c r="AV22" s="6">
        <v>1</v>
      </c>
      <c r="AW22" s="6">
        <v>840</v>
      </c>
      <c r="AX22" s="6">
        <v>1</v>
      </c>
      <c r="AY22" s="6">
        <v>64</v>
      </c>
      <c r="AZ22" s="6"/>
      <c r="BA22" s="6"/>
      <c r="BB22" s="6"/>
      <c r="BC22" s="6"/>
      <c r="BD22" s="6"/>
      <c r="BE22" s="6"/>
      <c r="BF22" s="6"/>
      <c r="BG22" s="6"/>
      <c r="BH22" s="6"/>
      <c r="BI22" s="6"/>
      <c r="BJ22" s="6">
        <v>2</v>
      </c>
      <c r="BK22" s="6">
        <v>84</v>
      </c>
      <c r="BL22" s="6">
        <v>6</v>
      </c>
      <c r="BM22" s="6">
        <v>497</v>
      </c>
      <c r="BN22" s="6">
        <v>4</v>
      </c>
      <c r="BO22" s="6">
        <v>279</v>
      </c>
      <c r="BP22" s="6">
        <v>1</v>
      </c>
      <c r="BQ22" s="6">
        <v>22</v>
      </c>
      <c r="BR22" s="6">
        <v>4</v>
      </c>
      <c r="BS22" s="6">
        <v>132</v>
      </c>
      <c r="BT22" s="6">
        <v>2</v>
      </c>
      <c r="BU22" s="6">
        <v>83</v>
      </c>
      <c r="BV22" s="6"/>
      <c r="BW22" s="6"/>
      <c r="BX22" s="6"/>
      <c r="BY22" s="6"/>
      <c r="BZ22" s="6">
        <v>1</v>
      </c>
      <c r="CA22" s="6">
        <v>20</v>
      </c>
      <c r="CB22" s="8">
        <f t="shared" si="0"/>
        <v>113</v>
      </c>
      <c r="CC22" s="8">
        <f t="shared" si="1"/>
        <v>18308</v>
      </c>
      <c r="CD22" s="52"/>
      <c r="CE22" s="52"/>
      <c r="CF22" s="52"/>
    </row>
    <row r="23" spans="1:84" s="27" customFormat="1" ht="15" customHeight="1">
      <c r="A23" s="5" t="s">
        <v>218</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v>1</v>
      </c>
      <c r="BK23" s="6">
        <v>50</v>
      </c>
      <c r="BL23" s="6"/>
      <c r="BM23" s="6"/>
      <c r="BN23" s="6"/>
      <c r="BO23" s="6"/>
      <c r="BP23" s="6"/>
      <c r="BQ23" s="6"/>
      <c r="BR23" s="6"/>
      <c r="BS23" s="6"/>
      <c r="BT23" s="6"/>
      <c r="BU23" s="6"/>
      <c r="BV23" s="6"/>
      <c r="BW23" s="6"/>
      <c r="BX23" s="6"/>
      <c r="BY23" s="6"/>
      <c r="BZ23" s="6"/>
      <c r="CA23" s="6"/>
      <c r="CB23" s="8">
        <f t="shared" si="0"/>
        <v>1</v>
      </c>
      <c r="CC23" s="8">
        <f t="shared" si="1"/>
        <v>50</v>
      </c>
      <c r="CD23" s="52"/>
      <c r="CE23" s="52"/>
      <c r="CF23" s="52"/>
    </row>
    <row r="24" spans="1:84" s="27" customFormat="1" ht="15" customHeight="1">
      <c r="A24" s="5" t="s">
        <v>61</v>
      </c>
      <c r="B24" s="6"/>
      <c r="C24" s="6"/>
      <c r="D24" s="6"/>
      <c r="E24" s="6"/>
      <c r="F24" s="6"/>
      <c r="G24" s="6"/>
      <c r="H24" s="6"/>
      <c r="I24" s="6"/>
      <c r="J24" s="6">
        <v>1</v>
      </c>
      <c r="K24" s="6">
        <v>17</v>
      </c>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v>1</v>
      </c>
      <c r="CA24" s="6">
        <v>16</v>
      </c>
      <c r="CB24" s="8">
        <f t="shared" si="0"/>
        <v>2</v>
      </c>
      <c r="CC24" s="8">
        <f t="shared" si="1"/>
        <v>33</v>
      </c>
      <c r="CD24" s="52"/>
      <c r="CE24" s="52"/>
      <c r="CF24" s="52"/>
    </row>
    <row r="25" spans="1:84" s="27" customFormat="1" ht="15" customHeight="1">
      <c r="A25" s="5" t="s">
        <v>62</v>
      </c>
      <c r="B25" s="6"/>
      <c r="C25" s="6"/>
      <c r="D25" s="6"/>
      <c r="E25" s="6"/>
      <c r="F25" s="6"/>
      <c r="G25" s="6"/>
      <c r="H25" s="6"/>
      <c r="I25" s="6"/>
      <c r="J25" s="6">
        <v>1</v>
      </c>
      <c r="K25" s="6">
        <v>16</v>
      </c>
      <c r="L25" s="6"/>
      <c r="M25" s="6"/>
      <c r="N25" s="6"/>
      <c r="O25" s="6"/>
      <c r="P25" s="6"/>
      <c r="Q25" s="6"/>
      <c r="R25" s="6"/>
      <c r="S25" s="6"/>
      <c r="T25" s="6">
        <v>1</v>
      </c>
      <c r="U25" s="6">
        <v>17</v>
      </c>
      <c r="V25" s="6"/>
      <c r="W25" s="6"/>
      <c r="X25" s="6"/>
      <c r="Y25" s="6"/>
      <c r="Z25" s="6"/>
      <c r="AA25" s="6"/>
      <c r="AB25" s="6"/>
      <c r="AC25" s="6"/>
      <c r="AD25" s="6">
        <v>2</v>
      </c>
      <c r="AE25" s="6">
        <v>244</v>
      </c>
      <c r="AF25" s="6"/>
      <c r="AG25" s="6"/>
      <c r="AH25" s="6"/>
      <c r="AI25" s="6"/>
      <c r="AJ25" s="6"/>
      <c r="AK25" s="6"/>
      <c r="AL25" s="6"/>
      <c r="AM25" s="6"/>
      <c r="AN25" s="6"/>
      <c r="AO25" s="6"/>
      <c r="AP25" s="6"/>
      <c r="AQ25" s="6"/>
      <c r="AR25" s="6"/>
      <c r="AS25" s="6"/>
      <c r="AT25" s="6">
        <v>1</v>
      </c>
      <c r="AU25" s="6">
        <v>52</v>
      </c>
      <c r="AV25" s="6"/>
      <c r="AW25" s="6"/>
      <c r="AX25" s="6"/>
      <c r="AY25" s="6"/>
      <c r="AZ25" s="6"/>
      <c r="BA25" s="6"/>
      <c r="BB25" s="6"/>
      <c r="BC25" s="6"/>
      <c r="BD25" s="6"/>
      <c r="BE25" s="6"/>
      <c r="BF25" s="6"/>
      <c r="BG25" s="6"/>
      <c r="BH25" s="6">
        <v>1</v>
      </c>
      <c r="BI25" s="6">
        <v>132</v>
      </c>
      <c r="BJ25" s="6"/>
      <c r="BK25" s="6"/>
      <c r="BL25" s="6">
        <v>1</v>
      </c>
      <c r="BM25" s="6">
        <v>14</v>
      </c>
      <c r="BN25" s="6"/>
      <c r="BO25" s="6"/>
      <c r="BP25" s="6"/>
      <c r="BQ25" s="6"/>
      <c r="BR25" s="6"/>
      <c r="BS25" s="6"/>
      <c r="BT25" s="6"/>
      <c r="BU25" s="6"/>
      <c r="BV25" s="6"/>
      <c r="BW25" s="6"/>
      <c r="BX25" s="6"/>
      <c r="BY25" s="6"/>
      <c r="BZ25" s="6"/>
      <c r="CA25" s="6"/>
      <c r="CB25" s="8">
        <f t="shared" si="0"/>
        <v>7</v>
      </c>
      <c r="CC25" s="8">
        <f t="shared" si="1"/>
        <v>475</v>
      </c>
      <c r="CD25" s="52"/>
      <c r="CE25" s="52"/>
      <c r="CF25" s="52"/>
    </row>
    <row r="26" spans="1:84" s="27" customFormat="1" ht="15" customHeight="1">
      <c r="A26" s="5" t="s">
        <v>63</v>
      </c>
      <c r="B26" s="6"/>
      <c r="C26" s="6"/>
      <c r="D26" s="6"/>
      <c r="E26" s="6"/>
      <c r="F26" s="6"/>
      <c r="G26" s="6"/>
      <c r="H26" s="6"/>
      <c r="I26" s="6"/>
      <c r="J26" s="6">
        <v>8</v>
      </c>
      <c r="K26" s="6">
        <v>134</v>
      </c>
      <c r="L26" s="6"/>
      <c r="M26" s="6"/>
      <c r="N26" s="6"/>
      <c r="O26" s="6"/>
      <c r="P26" s="6"/>
      <c r="Q26" s="6"/>
      <c r="R26" s="6"/>
      <c r="S26" s="6"/>
      <c r="T26" s="6"/>
      <c r="U26" s="6"/>
      <c r="V26" s="6"/>
      <c r="W26" s="6"/>
      <c r="X26" s="6"/>
      <c r="Y26" s="6"/>
      <c r="Z26" s="6"/>
      <c r="AA26" s="6"/>
      <c r="AB26" s="6"/>
      <c r="AC26" s="6"/>
      <c r="AD26" s="6">
        <v>1</v>
      </c>
      <c r="AE26" s="6">
        <v>37</v>
      </c>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v>1</v>
      </c>
      <c r="BM26" s="6">
        <v>16</v>
      </c>
      <c r="BN26" s="6"/>
      <c r="BO26" s="6"/>
      <c r="BP26" s="6"/>
      <c r="BQ26" s="6"/>
      <c r="BR26" s="6"/>
      <c r="BS26" s="6"/>
      <c r="BT26" s="6"/>
      <c r="BU26" s="6"/>
      <c r="BV26" s="6"/>
      <c r="BW26" s="6"/>
      <c r="BX26" s="6"/>
      <c r="BY26" s="6"/>
      <c r="BZ26" s="6">
        <v>1</v>
      </c>
      <c r="CA26" s="6">
        <v>42</v>
      </c>
      <c r="CB26" s="8">
        <f t="shared" si="0"/>
        <v>11</v>
      </c>
      <c r="CC26" s="8">
        <f t="shared" si="1"/>
        <v>229</v>
      </c>
      <c r="CD26" s="52"/>
      <c r="CE26" s="52"/>
      <c r="CF26" s="52"/>
    </row>
    <row r="27" spans="1:84" s="27" customFormat="1" ht="15" customHeight="1">
      <c r="A27" s="5" t="s">
        <v>64</v>
      </c>
      <c r="B27" s="6"/>
      <c r="C27" s="6"/>
      <c r="D27" s="6"/>
      <c r="E27" s="6"/>
      <c r="F27" s="6"/>
      <c r="G27" s="6"/>
      <c r="H27" s="6"/>
      <c r="I27" s="6"/>
      <c r="J27" s="6">
        <v>1</v>
      </c>
      <c r="K27" s="6">
        <v>10</v>
      </c>
      <c r="L27" s="6"/>
      <c r="M27" s="6"/>
      <c r="N27" s="6"/>
      <c r="O27" s="6"/>
      <c r="P27" s="6"/>
      <c r="Q27" s="6"/>
      <c r="R27" s="6"/>
      <c r="S27" s="6"/>
      <c r="T27" s="6"/>
      <c r="U27" s="6"/>
      <c r="V27" s="6"/>
      <c r="W27" s="6"/>
      <c r="X27" s="6"/>
      <c r="Y27" s="6"/>
      <c r="Z27" s="6"/>
      <c r="AA27" s="6"/>
      <c r="AB27" s="6"/>
      <c r="AC27" s="6"/>
      <c r="AD27" s="6">
        <v>1</v>
      </c>
      <c r="AE27" s="6">
        <v>111</v>
      </c>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v>3</v>
      </c>
      <c r="CA27" s="6">
        <v>32</v>
      </c>
      <c r="CB27" s="8">
        <f t="shared" si="0"/>
        <v>5</v>
      </c>
      <c r="CC27" s="8">
        <f t="shared" si="1"/>
        <v>153</v>
      </c>
      <c r="CD27" s="52"/>
      <c r="CE27" s="52"/>
      <c r="CF27" s="52"/>
    </row>
    <row r="28" spans="1:84" s="27" customFormat="1" ht="15" customHeight="1">
      <c r="A28" s="5" t="s">
        <v>65</v>
      </c>
      <c r="B28" s="6">
        <v>9</v>
      </c>
      <c r="C28" s="6">
        <v>245</v>
      </c>
      <c r="D28" s="6">
        <v>13</v>
      </c>
      <c r="E28" s="6">
        <v>937</v>
      </c>
      <c r="F28" s="6">
        <v>3</v>
      </c>
      <c r="G28" s="6">
        <v>555</v>
      </c>
      <c r="H28" s="6"/>
      <c r="I28" s="6"/>
      <c r="J28" s="6">
        <v>12</v>
      </c>
      <c r="K28" s="6">
        <v>199</v>
      </c>
      <c r="L28" s="6"/>
      <c r="M28" s="6"/>
      <c r="N28" s="6"/>
      <c r="O28" s="6"/>
      <c r="P28" s="6"/>
      <c r="Q28" s="6"/>
      <c r="R28" s="6"/>
      <c r="S28" s="6"/>
      <c r="T28" s="6"/>
      <c r="U28" s="6"/>
      <c r="V28" s="6">
        <v>1</v>
      </c>
      <c r="W28" s="6">
        <v>48</v>
      </c>
      <c r="X28" s="6"/>
      <c r="Y28" s="6"/>
      <c r="Z28" s="6">
        <v>5</v>
      </c>
      <c r="AA28" s="6">
        <v>1642</v>
      </c>
      <c r="AB28" s="6"/>
      <c r="AC28" s="6"/>
      <c r="AD28" s="6">
        <v>3</v>
      </c>
      <c r="AE28" s="6">
        <v>1243</v>
      </c>
      <c r="AF28" s="6"/>
      <c r="AG28" s="6"/>
      <c r="AH28" s="6">
        <v>1</v>
      </c>
      <c r="AI28" s="6">
        <v>20</v>
      </c>
      <c r="AJ28" s="6"/>
      <c r="AK28" s="6"/>
      <c r="AL28" s="6"/>
      <c r="AM28" s="6"/>
      <c r="AN28" s="6">
        <v>1</v>
      </c>
      <c r="AO28" s="6">
        <v>336</v>
      </c>
      <c r="AP28" s="6"/>
      <c r="AQ28" s="6"/>
      <c r="AR28" s="6"/>
      <c r="AS28" s="6"/>
      <c r="AT28" s="6">
        <v>1</v>
      </c>
      <c r="AU28" s="6">
        <v>606</v>
      </c>
      <c r="AV28" s="6"/>
      <c r="AW28" s="6"/>
      <c r="AX28" s="6"/>
      <c r="AY28" s="6"/>
      <c r="AZ28" s="6"/>
      <c r="BA28" s="6"/>
      <c r="BB28" s="6"/>
      <c r="BC28" s="6"/>
      <c r="BD28" s="6"/>
      <c r="BE28" s="6"/>
      <c r="BF28" s="6"/>
      <c r="BG28" s="6"/>
      <c r="BH28" s="6"/>
      <c r="BI28" s="6"/>
      <c r="BJ28" s="6">
        <v>3</v>
      </c>
      <c r="BK28" s="6">
        <v>86</v>
      </c>
      <c r="BL28" s="6">
        <v>1</v>
      </c>
      <c r="BM28" s="6">
        <v>35</v>
      </c>
      <c r="BN28" s="6"/>
      <c r="BO28" s="6"/>
      <c r="BP28" s="6"/>
      <c r="BQ28" s="6"/>
      <c r="BR28" s="6">
        <v>2</v>
      </c>
      <c r="BS28" s="6">
        <v>75</v>
      </c>
      <c r="BT28" s="6"/>
      <c r="BU28" s="6"/>
      <c r="BV28" s="6"/>
      <c r="BW28" s="6"/>
      <c r="BX28" s="6"/>
      <c r="BY28" s="6"/>
      <c r="BZ28" s="6"/>
      <c r="CA28" s="6"/>
      <c r="CB28" s="8">
        <f t="shared" si="0"/>
        <v>55</v>
      </c>
      <c r="CC28" s="8">
        <f t="shared" si="1"/>
        <v>6027</v>
      </c>
      <c r="CD28" s="52"/>
      <c r="CE28" s="52"/>
      <c r="CF28" s="52"/>
    </row>
    <row r="29" spans="1:84" s="27" customFormat="1" ht="15" customHeight="1">
      <c r="A29" s="5" t="s">
        <v>66</v>
      </c>
      <c r="B29" s="6"/>
      <c r="C29" s="6"/>
      <c r="D29" s="6"/>
      <c r="E29" s="6"/>
      <c r="F29" s="6"/>
      <c r="G29" s="6"/>
      <c r="H29" s="6"/>
      <c r="I29" s="6"/>
      <c r="J29" s="6">
        <v>2</v>
      </c>
      <c r="K29" s="6">
        <v>25</v>
      </c>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v>2</v>
      </c>
      <c r="AU29" s="6">
        <v>62</v>
      </c>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v>2</v>
      </c>
      <c r="CA29" s="6">
        <v>34</v>
      </c>
      <c r="CB29" s="8">
        <f t="shared" si="0"/>
        <v>6</v>
      </c>
      <c r="CC29" s="8">
        <f t="shared" si="1"/>
        <v>121</v>
      </c>
      <c r="CD29" s="52"/>
      <c r="CE29" s="52"/>
      <c r="CF29" s="52"/>
    </row>
    <row r="30" spans="1:84" s="27" customFormat="1" ht="15" customHeight="1">
      <c r="A30" s="5" t="s">
        <v>67</v>
      </c>
      <c r="B30" s="6"/>
      <c r="C30" s="6"/>
      <c r="D30" s="6"/>
      <c r="E30" s="6"/>
      <c r="F30" s="6"/>
      <c r="G30" s="6"/>
      <c r="H30" s="6"/>
      <c r="I30" s="6"/>
      <c r="J30" s="6">
        <v>4</v>
      </c>
      <c r="K30" s="6">
        <v>44</v>
      </c>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v>1</v>
      </c>
      <c r="BK30" s="6">
        <v>30</v>
      </c>
      <c r="BL30" s="6"/>
      <c r="BM30" s="6"/>
      <c r="BN30" s="6"/>
      <c r="BO30" s="6"/>
      <c r="BP30" s="6"/>
      <c r="BQ30" s="6"/>
      <c r="BR30" s="6"/>
      <c r="BS30" s="6"/>
      <c r="BT30" s="6"/>
      <c r="BU30" s="6"/>
      <c r="BV30" s="6"/>
      <c r="BW30" s="6"/>
      <c r="BX30" s="6"/>
      <c r="BY30" s="6"/>
      <c r="BZ30" s="6"/>
      <c r="CA30" s="6"/>
      <c r="CB30" s="8">
        <f t="shared" si="0"/>
        <v>5</v>
      </c>
      <c r="CC30" s="8">
        <f t="shared" si="1"/>
        <v>74</v>
      </c>
      <c r="CD30" s="52"/>
      <c r="CE30" s="52"/>
      <c r="CF30" s="52"/>
    </row>
    <row r="31" spans="1:84" s="27" customFormat="1" ht="15" customHeight="1">
      <c r="A31" s="5" t="s">
        <v>68</v>
      </c>
      <c r="B31" s="6"/>
      <c r="C31" s="6"/>
      <c r="D31" s="6"/>
      <c r="E31" s="6"/>
      <c r="F31" s="6"/>
      <c r="G31" s="6"/>
      <c r="H31" s="6"/>
      <c r="I31" s="6"/>
      <c r="J31" s="6">
        <v>2</v>
      </c>
      <c r="K31" s="6">
        <v>38</v>
      </c>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8">
        <f t="shared" si="0"/>
        <v>2</v>
      </c>
      <c r="CC31" s="8">
        <f t="shared" si="1"/>
        <v>38</v>
      </c>
      <c r="CD31" s="52"/>
      <c r="CE31" s="52"/>
      <c r="CF31" s="52"/>
    </row>
    <row r="32" spans="1:84" s="27" customFormat="1" ht="15" customHeight="1">
      <c r="A32" s="5" t="s">
        <v>69</v>
      </c>
      <c r="B32" s="6"/>
      <c r="C32" s="6"/>
      <c r="D32" s="6"/>
      <c r="E32" s="6"/>
      <c r="F32" s="6"/>
      <c r="G32" s="6"/>
      <c r="H32" s="6"/>
      <c r="I32" s="6"/>
      <c r="J32" s="6">
        <v>1</v>
      </c>
      <c r="K32" s="6">
        <v>9</v>
      </c>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v>2</v>
      </c>
      <c r="CA32" s="6">
        <v>32</v>
      </c>
      <c r="CB32" s="8">
        <f t="shared" si="0"/>
        <v>3</v>
      </c>
      <c r="CC32" s="8">
        <f t="shared" si="1"/>
        <v>41</v>
      </c>
      <c r="CD32" s="52"/>
      <c r="CE32" s="52"/>
      <c r="CF32" s="52"/>
    </row>
    <row r="33" spans="1:84" s="27" customFormat="1" ht="15" customHeight="1">
      <c r="A33" s="5" t="s">
        <v>177</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v>4</v>
      </c>
      <c r="CA33" s="6">
        <v>30</v>
      </c>
      <c r="CB33" s="8">
        <f t="shared" si="0"/>
        <v>4</v>
      </c>
      <c r="CC33" s="8">
        <f t="shared" si="1"/>
        <v>30</v>
      </c>
      <c r="CD33" s="52"/>
      <c r="CE33" s="52"/>
      <c r="CF33" s="52"/>
    </row>
    <row r="34" spans="1:84" s="27" customFormat="1" ht="15" customHeight="1">
      <c r="A34" s="5" t="s">
        <v>71</v>
      </c>
      <c r="B34" s="6"/>
      <c r="C34" s="6"/>
      <c r="D34" s="6">
        <v>1</v>
      </c>
      <c r="E34" s="6">
        <v>120</v>
      </c>
      <c r="F34" s="6"/>
      <c r="G34" s="6"/>
      <c r="H34" s="6">
        <v>1</v>
      </c>
      <c r="I34" s="6">
        <v>936</v>
      </c>
      <c r="J34" s="6">
        <v>17</v>
      </c>
      <c r="K34" s="6">
        <v>307</v>
      </c>
      <c r="L34" s="6"/>
      <c r="M34" s="6"/>
      <c r="N34" s="6"/>
      <c r="O34" s="6"/>
      <c r="P34" s="6">
        <v>1</v>
      </c>
      <c r="Q34" s="6">
        <v>660</v>
      </c>
      <c r="R34" s="6"/>
      <c r="S34" s="6"/>
      <c r="T34" s="6">
        <v>1</v>
      </c>
      <c r="U34" s="6">
        <v>20</v>
      </c>
      <c r="V34" s="6"/>
      <c r="W34" s="6"/>
      <c r="X34" s="6">
        <v>9</v>
      </c>
      <c r="Y34" s="6">
        <v>1866</v>
      </c>
      <c r="Z34" s="6">
        <v>20</v>
      </c>
      <c r="AA34" s="6">
        <v>6613</v>
      </c>
      <c r="AB34" s="6">
        <v>1</v>
      </c>
      <c r="AC34" s="6">
        <v>297</v>
      </c>
      <c r="AD34" s="6">
        <v>4</v>
      </c>
      <c r="AE34" s="6">
        <v>1436</v>
      </c>
      <c r="AF34" s="6"/>
      <c r="AG34" s="6"/>
      <c r="AH34" s="6">
        <v>2</v>
      </c>
      <c r="AI34" s="6">
        <v>493</v>
      </c>
      <c r="AJ34" s="6"/>
      <c r="AK34" s="6"/>
      <c r="AL34" s="6"/>
      <c r="AM34" s="6"/>
      <c r="AN34" s="6"/>
      <c r="AO34" s="6"/>
      <c r="AP34" s="6">
        <v>1</v>
      </c>
      <c r="AQ34" s="6">
        <v>346</v>
      </c>
      <c r="AR34" s="6"/>
      <c r="AS34" s="6"/>
      <c r="AT34" s="6"/>
      <c r="AU34" s="6"/>
      <c r="AV34" s="6"/>
      <c r="AW34" s="6"/>
      <c r="AX34" s="6"/>
      <c r="AY34" s="6"/>
      <c r="AZ34" s="6"/>
      <c r="BA34" s="6"/>
      <c r="BB34" s="6"/>
      <c r="BC34" s="6"/>
      <c r="BD34" s="6"/>
      <c r="BE34" s="6"/>
      <c r="BF34" s="6"/>
      <c r="BG34" s="6"/>
      <c r="BH34" s="6"/>
      <c r="BI34" s="6"/>
      <c r="BJ34" s="6">
        <v>2</v>
      </c>
      <c r="BK34" s="6">
        <v>28</v>
      </c>
      <c r="BL34" s="6">
        <v>3</v>
      </c>
      <c r="BM34" s="6">
        <v>161</v>
      </c>
      <c r="BN34" s="6"/>
      <c r="BO34" s="6"/>
      <c r="BP34" s="6"/>
      <c r="BQ34" s="6"/>
      <c r="BR34" s="6">
        <v>3</v>
      </c>
      <c r="BS34" s="6">
        <v>153</v>
      </c>
      <c r="BT34" s="6">
        <v>2</v>
      </c>
      <c r="BU34" s="6">
        <v>80</v>
      </c>
      <c r="BV34" s="6"/>
      <c r="BW34" s="6"/>
      <c r="BX34" s="6"/>
      <c r="BY34" s="6"/>
      <c r="BZ34" s="6"/>
      <c r="CA34" s="6"/>
      <c r="CB34" s="8">
        <f t="shared" si="0"/>
        <v>68</v>
      </c>
      <c r="CC34" s="8">
        <f t="shared" si="1"/>
        <v>13516</v>
      </c>
      <c r="CD34" s="52"/>
      <c r="CE34" s="52"/>
      <c r="CF34" s="52"/>
    </row>
    <row r="35" spans="1:84" s="27" customFormat="1" ht="15" customHeight="1">
      <c r="A35" s="5" t="s">
        <v>72</v>
      </c>
      <c r="B35" s="6">
        <v>4</v>
      </c>
      <c r="C35" s="6">
        <v>901</v>
      </c>
      <c r="D35" s="6">
        <v>5</v>
      </c>
      <c r="E35" s="6">
        <v>479</v>
      </c>
      <c r="F35" s="6">
        <v>3</v>
      </c>
      <c r="G35" s="6">
        <v>123</v>
      </c>
      <c r="H35" s="6"/>
      <c r="I35" s="6"/>
      <c r="J35" s="6">
        <v>22</v>
      </c>
      <c r="K35" s="6">
        <v>350</v>
      </c>
      <c r="L35" s="6">
        <v>3</v>
      </c>
      <c r="M35" s="6">
        <v>94</v>
      </c>
      <c r="N35" s="6"/>
      <c r="O35" s="6"/>
      <c r="P35" s="6"/>
      <c r="Q35" s="6"/>
      <c r="R35" s="6"/>
      <c r="S35" s="6"/>
      <c r="T35" s="6"/>
      <c r="U35" s="6"/>
      <c r="V35" s="6">
        <v>1</v>
      </c>
      <c r="W35" s="6">
        <v>222</v>
      </c>
      <c r="X35" s="6">
        <v>2</v>
      </c>
      <c r="Y35" s="6">
        <v>441</v>
      </c>
      <c r="Z35" s="6">
        <v>14</v>
      </c>
      <c r="AA35" s="6">
        <v>5463</v>
      </c>
      <c r="AB35" s="6"/>
      <c r="AC35" s="6"/>
      <c r="AD35" s="6">
        <v>2</v>
      </c>
      <c r="AE35" s="6">
        <v>695</v>
      </c>
      <c r="AF35" s="6"/>
      <c r="AG35" s="6"/>
      <c r="AH35" s="6"/>
      <c r="AI35" s="6"/>
      <c r="AJ35" s="6"/>
      <c r="AK35" s="6"/>
      <c r="AL35" s="6"/>
      <c r="AM35" s="6"/>
      <c r="AN35" s="6"/>
      <c r="AO35" s="6"/>
      <c r="AP35" s="6">
        <v>4</v>
      </c>
      <c r="AQ35" s="6">
        <v>2662</v>
      </c>
      <c r="AR35" s="6"/>
      <c r="AS35" s="6"/>
      <c r="AT35" s="6">
        <v>2</v>
      </c>
      <c r="AU35" s="6">
        <v>2957</v>
      </c>
      <c r="AV35" s="6"/>
      <c r="AW35" s="6"/>
      <c r="AX35" s="6"/>
      <c r="AY35" s="6"/>
      <c r="AZ35" s="6"/>
      <c r="BA35" s="6"/>
      <c r="BB35" s="6"/>
      <c r="BC35" s="6"/>
      <c r="BD35" s="6"/>
      <c r="BE35" s="6"/>
      <c r="BF35" s="6"/>
      <c r="BG35" s="6"/>
      <c r="BH35" s="6"/>
      <c r="BI35" s="6"/>
      <c r="BJ35" s="6">
        <v>3</v>
      </c>
      <c r="BK35" s="6">
        <v>104</v>
      </c>
      <c r="BL35" s="6">
        <v>1</v>
      </c>
      <c r="BM35" s="6">
        <v>111</v>
      </c>
      <c r="BN35" s="6">
        <v>1</v>
      </c>
      <c r="BO35" s="6">
        <v>46</v>
      </c>
      <c r="BP35" s="6"/>
      <c r="BQ35" s="6"/>
      <c r="BR35" s="6"/>
      <c r="BS35" s="6"/>
      <c r="BT35" s="6"/>
      <c r="BU35" s="6"/>
      <c r="BV35" s="6"/>
      <c r="BW35" s="6"/>
      <c r="BX35" s="6"/>
      <c r="BY35" s="6"/>
      <c r="BZ35" s="6"/>
      <c r="CA35" s="6"/>
      <c r="CB35" s="8">
        <f t="shared" si="0"/>
        <v>67</v>
      </c>
      <c r="CC35" s="8">
        <f t="shared" si="1"/>
        <v>14648</v>
      </c>
      <c r="CD35" s="52"/>
      <c r="CE35" s="52"/>
      <c r="CF35" s="52"/>
    </row>
    <row r="36" spans="1:84" s="27" customFormat="1" ht="15" customHeight="1">
      <c r="A36" s="5" t="s">
        <v>73</v>
      </c>
      <c r="B36" s="6"/>
      <c r="C36" s="6"/>
      <c r="D36" s="6"/>
      <c r="E36" s="6"/>
      <c r="F36" s="6"/>
      <c r="G36" s="6"/>
      <c r="H36" s="6"/>
      <c r="I36" s="6"/>
      <c r="J36" s="6">
        <v>4</v>
      </c>
      <c r="K36" s="6">
        <v>40</v>
      </c>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v>1</v>
      </c>
      <c r="CA36" s="6">
        <v>16</v>
      </c>
      <c r="CB36" s="8">
        <f t="shared" si="0"/>
        <v>5</v>
      </c>
      <c r="CC36" s="8">
        <f t="shared" si="1"/>
        <v>56</v>
      </c>
      <c r="CD36" s="52"/>
      <c r="CE36" s="52"/>
      <c r="CF36" s="52"/>
    </row>
    <row r="37" spans="1:84" s="27" customFormat="1" ht="15" customHeight="1">
      <c r="A37" s="5" t="s">
        <v>74</v>
      </c>
      <c r="B37" s="6"/>
      <c r="C37" s="6"/>
      <c r="D37" s="6"/>
      <c r="E37" s="6"/>
      <c r="F37" s="6"/>
      <c r="G37" s="6"/>
      <c r="H37" s="6"/>
      <c r="I37" s="6"/>
      <c r="J37" s="6">
        <v>1</v>
      </c>
      <c r="K37" s="6">
        <v>24</v>
      </c>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8">
        <f t="shared" si="0"/>
        <v>1</v>
      </c>
      <c r="CC37" s="8">
        <f t="shared" si="1"/>
        <v>24</v>
      </c>
      <c r="CD37" s="52"/>
      <c r="CE37" s="52"/>
      <c r="CF37" s="52"/>
    </row>
    <row r="38" spans="1:84" s="27" customFormat="1" ht="15" customHeight="1">
      <c r="A38" s="5" t="s">
        <v>75</v>
      </c>
      <c r="B38" s="6"/>
      <c r="C38" s="6"/>
      <c r="D38" s="6"/>
      <c r="E38" s="6"/>
      <c r="F38" s="6"/>
      <c r="G38" s="6"/>
      <c r="H38" s="6"/>
      <c r="I38" s="6"/>
      <c r="J38" s="6">
        <v>4</v>
      </c>
      <c r="K38" s="6">
        <v>59</v>
      </c>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v>2</v>
      </c>
      <c r="BK38" s="6">
        <v>95</v>
      </c>
      <c r="BL38" s="6"/>
      <c r="BM38" s="6"/>
      <c r="BN38" s="6"/>
      <c r="BO38" s="6"/>
      <c r="BP38" s="6"/>
      <c r="BQ38" s="6"/>
      <c r="BR38" s="6"/>
      <c r="BS38" s="6"/>
      <c r="BT38" s="6"/>
      <c r="BU38" s="6"/>
      <c r="BV38" s="6"/>
      <c r="BW38" s="6"/>
      <c r="BX38" s="6"/>
      <c r="BY38" s="6"/>
      <c r="BZ38" s="6"/>
      <c r="CA38" s="6"/>
      <c r="CB38" s="8">
        <f t="shared" si="0"/>
        <v>6</v>
      </c>
      <c r="CC38" s="8">
        <f t="shared" si="1"/>
        <v>154</v>
      </c>
      <c r="CD38" s="52"/>
      <c r="CE38" s="52"/>
      <c r="CF38" s="52"/>
    </row>
    <row r="39" spans="1:84" s="27" customFormat="1" ht="15" customHeight="1">
      <c r="A39" s="5" t="s">
        <v>76</v>
      </c>
      <c r="B39" s="6"/>
      <c r="C39" s="6"/>
      <c r="D39" s="6">
        <v>2</v>
      </c>
      <c r="E39" s="6">
        <v>442</v>
      </c>
      <c r="F39" s="6">
        <v>6</v>
      </c>
      <c r="G39" s="6">
        <v>795</v>
      </c>
      <c r="H39" s="6"/>
      <c r="I39" s="6"/>
      <c r="J39" s="6"/>
      <c r="K39" s="6"/>
      <c r="L39" s="6"/>
      <c r="M39" s="6"/>
      <c r="N39" s="6">
        <v>1</v>
      </c>
      <c r="O39" s="6">
        <v>500</v>
      </c>
      <c r="P39" s="6"/>
      <c r="Q39" s="6"/>
      <c r="R39" s="6"/>
      <c r="S39" s="6"/>
      <c r="T39" s="6"/>
      <c r="U39" s="6"/>
      <c r="V39" s="6"/>
      <c r="W39" s="6"/>
      <c r="X39" s="6"/>
      <c r="Y39" s="6"/>
      <c r="Z39" s="6">
        <v>3</v>
      </c>
      <c r="AA39" s="6">
        <v>817</v>
      </c>
      <c r="AB39" s="6"/>
      <c r="AC39" s="6"/>
      <c r="AD39" s="6">
        <v>5</v>
      </c>
      <c r="AE39" s="6">
        <v>2716</v>
      </c>
      <c r="AF39" s="6">
        <v>1</v>
      </c>
      <c r="AG39" s="6">
        <v>547</v>
      </c>
      <c r="AH39" s="6">
        <v>2</v>
      </c>
      <c r="AI39" s="6">
        <v>549</v>
      </c>
      <c r="AJ39" s="6"/>
      <c r="AK39" s="6"/>
      <c r="AL39" s="6"/>
      <c r="AM39" s="6"/>
      <c r="AN39" s="6"/>
      <c r="AO39" s="6"/>
      <c r="AP39" s="6">
        <v>8</v>
      </c>
      <c r="AQ39" s="6">
        <v>2262</v>
      </c>
      <c r="AR39" s="6">
        <v>1</v>
      </c>
      <c r="AS39" s="6">
        <v>2205</v>
      </c>
      <c r="AT39" s="6">
        <v>8</v>
      </c>
      <c r="AU39" s="6">
        <v>5351</v>
      </c>
      <c r="AV39" s="6">
        <v>1</v>
      </c>
      <c r="AW39" s="6">
        <v>544</v>
      </c>
      <c r="AX39" s="6"/>
      <c r="AY39" s="6"/>
      <c r="AZ39" s="6"/>
      <c r="BA39" s="6"/>
      <c r="BB39" s="6"/>
      <c r="BC39" s="6"/>
      <c r="BD39" s="6"/>
      <c r="BE39" s="6"/>
      <c r="BF39" s="6"/>
      <c r="BG39" s="6"/>
      <c r="BH39" s="6"/>
      <c r="BI39" s="6"/>
      <c r="BJ39" s="6">
        <v>1</v>
      </c>
      <c r="BK39" s="6">
        <v>30</v>
      </c>
      <c r="BL39" s="6"/>
      <c r="BM39" s="6"/>
      <c r="BN39" s="6"/>
      <c r="BO39" s="6"/>
      <c r="BP39" s="6"/>
      <c r="BQ39" s="6"/>
      <c r="BR39" s="6"/>
      <c r="BS39" s="6"/>
      <c r="BT39" s="6"/>
      <c r="BU39" s="6"/>
      <c r="BV39" s="6"/>
      <c r="BW39" s="6"/>
      <c r="BX39" s="6"/>
      <c r="BY39" s="6"/>
      <c r="BZ39" s="6"/>
      <c r="CA39" s="6"/>
      <c r="CB39" s="8">
        <f t="shared" si="0"/>
        <v>39</v>
      </c>
      <c r="CC39" s="8">
        <f t="shared" si="1"/>
        <v>16758</v>
      </c>
      <c r="CD39" s="52"/>
      <c r="CE39" s="52"/>
      <c r="CF39" s="52"/>
    </row>
    <row r="40" spans="1:84" s="27" customFormat="1">
      <c r="A40" s="5" t="s">
        <v>77</v>
      </c>
      <c r="B40" s="6">
        <v>5</v>
      </c>
      <c r="C40" s="6">
        <v>356</v>
      </c>
      <c r="D40" s="6">
        <v>4</v>
      </c>
      <c r="E40" s="6">
        <v>634</v>
      </c>
      <c r="F40" s="6">
        <v>8</v>
      </c>
      <c r="G40" s="6">
        <v>944</v>
      </c>
      <c r="H40" s="6">
        <v>1</v>
      </c>
      <c r="I40" s="6">
        <v>36</v>
      </c>
      <c r="J40" s="6">
        <v>4</v>
      </c>
      <c r="K40" s="6">
        <v>45</v>
      </c>
      <c r="L40" s="6">
        <v>5</v>
      </c>
      <c r="M40" s="6">
        <v>181</v>
      </c>
      <c r="N40" s="6"/>
      <c r="O40" s="6"/>
      <c r="P40" s="6"/>
      <c r="Q40" s="6"/>
      <c r="R40" s="6"/>
      <c r="S40" s="6"/>
      <c r="T40" s="6">
        <v>1</v>
      </c>
      <c r="U40" s="6">
        <v>12</v>
      </c>
      <c r="V40" s="6">
        <v>6</v>
      </c>
      <c r="W40" s="6">
        <v>470</v>
      </c>
      <c r="X40" s="6">
        <v>12</v>
      </c>
      <c r="Y40" s="6">
        <v>1425</v>
      </c>
      <c r="Z40" s="6">
        <v>57</v>
      </c>
      <c r="AA40" s="6">
        <v>16457</v>
      </c>
      <c r="AB40" s="6">
        <v>1</v>
      </c>
      <c r="AC40" s="6">
        <v>79</v>
      </c>
      <c r="AD40" s="6">
        <v>53</v>
      </c>
      <c r="AE40" s="6">
        <v>13390</v>
      </c>
      <c r="AF40" s="6">
        <v>7</v>
      </c>
      <c r="AG40" s="6">
        <v>1350</v>
      </c>
      <c r="AH40" s="6">
        <v>7</v>
      </c>
      <c r="AI40" s="6">
        <v>1205</v>
      </c>
      <c r="AJ40" s="6">
        <v>1</v>
      </c>
      <c r="AK40" s="6">
        <v>304</v>
      </c>
      <c r="AL40" s="6"/>
      <c r="AM40" s="6"/>
      <c r="AN40" s="6">
        <v>3</v>
      </c>
      <c r="AO40" s="6">
        <v>373</v>
      </c>
      <c r="AP40" s="6">
        <v>6</v>
      </c>
      <c r="AQ40" s="6">
        <v>1745</v>
      </c>
      <c r="AR40" s="6"/>
      <c r="AS40" s="6"/>
      <c r="AT40" s="6">
        <v>5</v>
      </c>
      <c r="AU40" s="6">
        <v>2281</v>
      </c>
      <c r="AV40" s="6">
        <v>1</v>
      </c>
      <c r="AW40" s="6">
        <v>266</v>
      </c>
      <c r="AX40" s="6"/>
      <c r="AY40" s="6"/>
      <c r="AZ40" s="6"/>
      <c r="BA40" s="6"/>
      <c r="BB40" s="6">
        <v>1</v>
      </c>
      <c r="BC40" s="6">
        <v>19</v>
      </c>
      <c r="BD40" s="6"/>
      <c r="BE40" s="6"/>
      <c r="BF40" s="6">
        <v>2</v>
      </c>
      <c r="BG40" s="6">
        <v>162</v>
      </c>
      <c r="BH40" s="6"/>
      <c r="BI40" s="6"/>
      <c r="BJ40" s="6">
        <v>1</v>
      </c>
      <c r="BK40" s="6">
        <v>41</v>
      </c>
      <c r="BL40" s="6">
        <v>5</v>
      </c>
      <c r="BM40" s="6">
        <v>195</v>
      </c>
      <c r="BN40" s="6">
        <v>3</v>
      </c>
      <c r="BO40" s="6">
        <v>223</v>
      </c>
      <c r="BP40" s="6"/>
      <c r="BQ40" s="6"/>
      <c r="BR40" s="6">
        <v>21</v>
      </c>
      <c r="BS40" s="6">
        <v>875</v>
      </c>
      <c r="BT40" s="6">
        <v>9</v>
      </c>
      <c r="BU40" s="6">
        <v>435</v>
      </c>
      <c r="BV40" s="6"/>
      <c r="BW40" s="6"/>
      <c r="BX40" s="6"/>
      <c r="BY40" s="6"/>
      <c r="BZ40" s="6">
        <v>8</v>
      </c>
      <c r="CA40" s="6">
        <v>130</v>
      </c>
      <c r="CB40" s="8">
        <f t="shared" si="0"/>
        <v>237</v>
      </c>
      <c r="CC40" s="8">
        <f t="shared" si="1"/>
        <v>43633</v>
      </c>
      <c r="CD40" s="52"/>
      <c r="CE40" s="52"/>
      <c r="CF40" s="52"/>
    </row>
    <row r="41" spans="1:84" s="27" customFormat="1">
      <c r="A41" s="5" t="s">
        <v>78</v>
      </c>
      <c r="B41" s="6"/>
      <c r="C41" s="6"/>
      <c r="D41" s="6"/>
      <c r="E41" s="6"/>
      <c r="F41" s="6"/>
      <c r="G41" s="6"/>
      <c r="H41" s="6"/>
      <c r="I41" s="6"/>
      <c r="J41" s="6">
        <v>3</v>
      </c>
      <c r="K41" s="6">
        <v>40</v>
      </c>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v>1</v>
      </c>
      <c r="CA41" s="6">
        <v>6</v>
      </c>
      <c r="CB41" s="8">
        <f t="shared" si="0"/>
        <v>4</v>
      </c>
      <c r="CC41" s="8">
        <f t="shared" si="1"/>
        <v>46</v>
      </c>
      <c r="CD41" s="52"/>
      <c r="CE41" s="52"/>
      <c r="CF41" s="52"/>
    </row>
    <row r="42" spans="1:84" s="27" customFormat="1">
      <c r="A42" s="5" t="s">
        <v>178</v>
      </c>
      <c r="B42" s="6"/>
      <c r="C42" s="6"/>
      <c r="D42" s="6"/>
      <c r="E42" s="6"/>
      <c r="F42" s="6"/>
      <c r="G42" s="6"/>
      <c r="H42" s="6"/>
      <c r="I42" s="6"/>
      <c r="J42" s="6">
        <v>2</v>
      </c>
      <c r="K42" s="6">
        <v>28</v>
      </c>
      <c r="L42" s="6"/>
      <c r="M42" s="6"/>
      <c r="N42" s="6"/>
      <c r="O42" s="6"/>
      <c r="P42" s="6"/>
      <c r="Q42" s="6"/>
      <c r="R42" s="6"/>
      <c r="S42" s="6"/>
      <c r="T42" s="6">
        <v>1</v>
      </c>
      <c r="U42" s="6">
        <v>11</v>
      </c>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8">
        <f t="shared" si="0"/>
        <v>3</v>
      </c>
      <c r="CC42" s="8">
        <f t="shared" si="1"/>
        <v>39</v>
      </c>
      <c r="CD42" s="52"/>
      <c r="CE42" s="52"/>
      <c r="CF42" s="52"/>
    </row>
    <row r="43" spans="1:84" s="27" customFormat="1">
      <c r="A43" s="5" t="s">
        <v>79</v>
      </c>
      <c r="B43" s="6">
        <v>8</v>
      </c>
      <c r="C43" s="6">
        <v>363</v>
      </c>
      <c r="D43" s="6">
        <v>8</v>
      </c>
      <c r="E43" s="6">
        <v>503</v>
      </c>
      <c r="F43" s="6">
        <v>15</v>
      </c>
      <c r="G43" s="6">
        <v>1532</v>
      </c>
      <c r="H43" s="6"/>
      <c r="I43" s="6"/>
      <c r="J43" s="6">
        <v>7</v>
      </c>
      <c r="K43" s="6">
        <v>99</v>
      </c>
      <c r="L43" s="6"/>
      <c r="M43" s="6"/>
      <c r="N43" s="6"/>
      <c r="O43" s="6"/>
      <c r="P43" s="6"/>
      <c r="Q43" s="6"/>
      <c r="R43" s="6"/>
      <c r="S43" s="6"/>
      <c r="T43" s="6"/>
      <c r="U43" s="6"/>
      <c r="V43" s="6"/>
      <c r="W43" s="6"/>
      <c r="X43" s="6">
        <v>1</v>
      </c>
      <c r="Y43" s="6">
        <v>38</v>
      </c>
      <c r="Z43" s="6">
        <v>7</v>
      </c>
      <c r="AA43" s="6">
        <v>899</v>
      </c>
      <c r="AB43" s="6">
        <v>1</v>
      </c>
      <c r="AC43" s="6">
        <v>56</v>
      </c>
      <c r="AD43" s="6">
        <v>5</v>
      </c>
      <c r="AE43" s="6">
        <v>1232</v>
      </c>
      <c r="AF43" s="6">
        <v>1</v>
      </c>
      <c r="AG43" s="6">
        <v>229</v>
      </c>
      <c r="AH43" s="6">
        <v>3</v>
      </c>
      <c r="AI43" s="6">
        <v>339</v>
      </c>
      <c r="AJ43" s="6"/>
      <c r="AK43" s="6"/>
      <c r="AL43" s="6"/>
      <c r="AM43" s="6"/>
      <c r="AN43" s="6"/>
      <c r="AO43" s="6"/>
      <c r="AP43" s="6">
        <v>2</v>
      </c>
      <c r="AQ43" s="6">
        <v>488</v>
      </c>
      <c r="AR43" s="6"/>
      <c r="AS43" s="6"/>
      <c r="AT43" s="6">
        <v>4</v>
      </c>
      <c r="AU43" s="6">
        <v>849</v>
      </c>
      <c r="AV43" s="6"/>
      <c r="AW43" s="6"/>
      <c r="AX43" s="6"/>
      <c r="AY43" s="6"/>
      <c r="AZ43" s="6"/>
      <c r="BA43" s="6"/>
      <c r="BB43" s="6">
        <v>1</v>
      </c>
      <c r="BC43" s="6">
        <v>39</v>
      </c>
      <c r="BD43" s="6"/>
      <c r="BE43" s="6"/>
      <c r="BF43" s="6">
        <v>1</v>
      </c>
      <c r="BG43" s="6">
        <v>12</v>
      </c>
      <c r="BH43" s="6"/>
      <c r="BI43" s="6"/>
      <c r="BJ43" s="6"/>
      <c r="BK43" s="6"/>
      <c r="BL43" s="6">
        <v>1</v>
      </c>
      <c r="BM43" s="6">
        <v>68</v>
      </c>
      <c r="BN43" s="6">
        <v>2</v>
      </c>
      <c r="BO43" s="6">
        <v>78</v>
      </c>
      <c r="BP43" s="6"/>
      <c r="BQ43" s="6"/>
      <c r="BR43" s="6">
        <v>1</v>
      </c>
      <c r="BS43" s="6">
        <v>48</v>
      </c>
      <c r="BT43" s="6">
        <v>3</v>
      </c>
      <c r="BU43" s="6">
        <v>167</v>
      </c>
      <c r="BV43" s="6"/>
      <c r="BW43" s="6"/>
      <c r="BX43" s="6">
        <v>1</v>
      </c>
      <c r="BY43" s="6">
        <v>23</v>
      </c>
      <c r="BZ43" s="6">
        <v>5</v>
      </c>
      <c r="CA43" s="6">
        <v>72</v>
      </c>
      <c r="CB43" s="8">
        <f t="shared" si="0"/>
        <v>77</v>
      </c>
      <c r="CC43" s="8">
        <f t="shared" si="1"/>
        <v>7134</v>
      </c>
      <c r="CD43" s="52"/>
      <c r="CE43" s="52"/>
      <c r="CF43" s="52"/>
    </row>
    <row r="44" spans="1:84" s="27" customFormat="1">
      <c r="A44" s="5" t="s">
        <v>80</v>
      </c>
      <c r="B44" s="6"/>
      <c r="C44" s="6"/>
      <c r="D44" s="6"/>
      <c r="E44" s="6"/>
      <c r="F44" s="6"/>
      <c r="G44" s="6"/>
      <c r="H44" s="6"/>
      <c r="I44" s="6"/>
      <c r="J44" s="6">
        <v>4</v>
      </c>
      <c r="K44" s="6">
        <v>68</v>
      </c>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v>2</v>
      </c>
      <c r="BK44" s="6">
        <v>116</v>
      </c>
      <c r="BL44" s="6"/>
      <c r="BM44" s="6"/>
      <c r="BN44" s="6"/>
      <c r="BO44" s="6"/>
      <c r="BP44" s="6"/>
      <c r="BQ44" s="6"/>
      <c r="BR44" s="6"/>
      <c r="BS44" s="6"/>
      <c r="BT44" s="6"/>
      <c r="BU44" s="6"/>
      <c r="BV44" s="6"/>
      <c r="BW44" s="6"/>
      <c r="BX44" s="6"/>
      <c r="BY44" s="6"/>
      <c r="BZ44" s="6"/>
      <c r="CA44" s="6"/>
      <c r="CB44" s="8">
        <f t="shared" si="0"/>
        <v>6</v>
      </c>
      <c r="CC44" s="8">
        <f t="shared" si="1"/>
        <v>184</v>
      </c>
      <c r="CD44" s="52"/>
      <c r="CE44" s="52"/>
      <c r="CF44" s="52"/>
    </row>
    <row r="45" spans="1:84" s="27" customFormat="1">
      <c r="A45" s="5" t="s">
        <v>81</v>
      </c>
      <c r="B45" s="6"/>
      <c r="C45" s="6"/>
      <c r="D45" s="6"/>
      <c r="E45" s="6"/>
      <c r="F45" s="6">
        <v>1</v>
      </c>
      <c r="G45" s="6">
        <v>25</v>
      </c>
      <c r="H45" s="6"/>
      <c r="I45" s="6"/>
      <c r="J45" s="6">
        <v>3</v>
      </c>
      <c r="K45" s="6">
        <v>36</v>
      </c>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v>2</v>
      </c>
      <c r="BK45" s="6">
        <v>111</v>
      </c>
      <c r="BL45" s="6"/>
      <c r="BM45" s="6"/>
      <c r="BN45" s="6"/>
      <c r="BO45" s="6"/>
      <c r="BP45" s="6"/>
      <c r="BQ45" s="6"/>
      <c r="BR45" s="6"/>
      <c r="BS45" s="6"/>
      <c r="BT45" s="6"/>
      <c r="BU45" s="6"/>
      <c r="BV45" s="6"/>
      <c r="BW45" s="6"/>
      <c r="BX45" s="6"/>
      <c r="BY45" s="6"/>
      <c r="BZ45" s="6"/>
      <c r="CA45" s="6"/>
      <c r="CB45" s="8">
        <f t="shared" si="0"/>
        <v>6</v>
      </c>
      <c r="CC45" s="8">
        <f t="shared" si="1"/>
        <v>172</v>
      </c>
      <c r="CD45" s="52"/>
      <c r="CE45" s="52"/>
      <c r="CF45" s="52"/>
    </row>
    <row r="46" spans="1:84" s="27" customFormat="1">
      <c r="A46" s="5" t="s">
        <v>179</v>
      </c>
      <c r="B46" s="6">
        <v>5</v>
      </c>
      <c r="C46" s="6">
        <v>204</v>
      </c>
      <c r="D46" s="6">
        <v>2</v>
      </c>
      <c r="E46" s="6">
        <v>75</v>
      </c>
      <c r="F46" s="6">
        <v>3</v>
      </c>
      <c r="G46" s="6">
        <v>109</v>
      </c>
      <c r="H46" s="6">
        <v>1</v>
      </c>
      <c r="I46" s="6">
        <v>24</v>
      </c>
      <c r="J46" s="6">
        <v>3</v>
      </c>
      <c r="K46" s="6">
        <v>36</v>
      </c>
      <c r="L46" s="6"/>
      <c r="M46" s="6"/>
      <c r="N46" s="6"/>
      <c r="O46" s="6"/>
      <c r="P46" s="6"/>
      <c r="Q46" s="6"/>
      <c r="R46" s="6"/>
      <c r="S46" s="6"/>
      <c r="T46" s="6"/>
      <c r="U46" s="6"/>
      <c r="V46" s="6"/>
      <c r="W46" s="6"/>
      <c r="X46" s="6"/>
      <c r="Y46" s="6"/>
      <c r="Z46" s="6">
        <v>6</v>
      </c>
      <c r="AA46" s="6">
        <v>1293</v>
      </c>
      <c r="AB46" s="6"/>
      <c r="AC46" s="6"/>
      <c r="AD46" s="6">
        <v>5</v>
      </c>
      <c r="AE46" s="6">
        <v>1583</v>
      </c>
      <c r="AF46" s="6">
        <v>3</v>
      </c>
      <c r="AG46" s="6">
        <v>404</v>
      </c>
      <c r="AH46" s="6"/>
      <c r="AI46" s="6"/>
      <c r="AJ46" s="6"/>
      <c r="AK46" s="6"/>
      <c r="AL46" s="6"/>
      <c r="AM46" s="6"/>
      <c r="AN46" s="6"/>
      <c r="AO46" s="6"/>
      <c r="AP46" s="6"/>
      <c r="AQ46" s="6"/>
      <c r="AR46" s="6"/>
      <c r="AS46" s="6"/>
      <c r="AT46" s="6">
        <v>1</v>
      </c>
      <c r="AU46" s="6">
        <v>156</v>
      </c>
      <c r="AV46" s="6"/>
      <c r="AW46" s="6"/>
      <c r="AX46" s="6"/>
      <c r="AY46" s="6"/>
      <c r="AZ46" s="6"/>
      <c r="BA46" s="6"/>
      <c r="BB46" s="6"/>
      <c r="BC46" s="6"/>
      <c r="BD46" s="6"/>
      <c r="BE46" s="6"/>
      <c r="BF46" s="6"/>
      <c r="BG46" s="6"/>
      <c r="BH46" s="6"/>
      <c r="BI46" s="6"/>
      <c r="BJ46" s="6">
        <v>1</v>
      </c>
      <c r="BK46" s="6">
        <v>34</v>
      </c>
      <c r="BL46" s="6">
        <v>3</v>
      </c>
      <c r="BM46" s="6">
        <v>79</v>
      </c>
      <c r="BN46" s="6">
        <v>1</v>
      </c>
      <c r="BO46" s="6">
        <v>15</v>
      </c>
      <c r="BP46" s="6"/>
      <c r="BQ46" s="6"/>
      <c r="BR46" s="6"/>
      <c r="BS46" s="6"/>
      <c r="BT46" s="6"/>
      <c r="BU46" s="6"/>
      <c r="BV46" s="6"/>
      <c r="BW46" s="6"/>
      <c r="BX46" s="6"/>
      <c r="BY46" s="6"/>
      <c r="BZ46" s="6"/>
      <c r="CA46" s="6"/>
      <c r="CB46" s="8">
        <f t="shared" si="0"/>
        <v>34</v>
      </c>
      <c r="CC46" s="8">
        <f t="shared" si="1"/>
        <v>4012</v>
      </c>
      <c r="CD46" s="52"/>
      <c r="CE46" s="52"/>
      <c r="CF46" s="52"/>
    </row>
    <row r="47" spans="1:84" s="27" customFormat="1">
      <c r="A47" s="5" t="s">
        <v>180</v>
      </c>
      <c r="B47" s="6">
        <v>3</v>
      </c>
      <c r="C47" s="6">
        <v>333</v>
      </c>
      <c r="D47" s="6">
        <v>5</v>
      </c>
      <c r="E47" s="6">
        <v>365</v>
      </c>
      <c r="F47" s="6">
        <v>8</v>
      </c>
      <c r="G47" s="6">
        <v>876</v>
      </c>
      <c r="H47" s="6">
        <v>1</v>
      </c>
      <c r="I47" s="6">
        <v>184</v>
      </c>
      <c r="J47" s="6">
        <v>6</v>
      </c>
      <c r="K47" s="6">
        <v>118</v>
      </c>
      <c r="L47" s="6">
        <v>3</v>
      </c>
      <c r="M47" s="6">
        <v>128</v>
      </c>
      <c r="N47" s="6"/>
      <c r="O47" s="6"/>
      <c r="P47" s="6"/>
      <c r="Q47" s="6"/>
      <c r="R47" s="6"/>
      <c r="S47" s="6"/>
      <c r="T47" s="6"/>
      <c r="U47" s="6"/>
      <c r="V47" s="6"/>
      <c r="W47" s="6"/>
      <c r="X47" s="6">
        <v>2</v>
      </c>
      <c r="Y47" s="6">
        <v>514</v>
      </c>
      <c r="Z47" s="6">
        <v>13</v>
      </c>
      <c r="AA47" s="6">
        <v>2760</v>
      </c>
      <c r="AB47" s="6"/>
      <c r="AC47" s="6"/>
      <c r="AD47" s="6">
        <v>17</v>
      </c>
      <c r="AE47" s="6">
        <v>6478</v>
      </c>
      <c r="AF47" s="6"/>
      <c r="AG47" s="6"/>
      <c r="AH47" s="6">
        <v>3</v>
      </c>
      <c r="AI47" s="6">
        <v>1042</v>
      </c>
      <c r="AJ47" s="6"/>
      <c r="AK47" s="6"/>
      <c r="AL47" s="6"/>
      <c r="AM47" s="6"/>
      <c r="AN47" s="6"/>
      <c r="AO47" s="6"/>
      <c r="AP47" s="6">
        <v>10</v>
      </c>
      <c r="AQ47" s="6">
        <v>4875</v>
      </c>
      <c r="AR47" s="6"/>
      <c r="AS47" s="6"/>
      <c r="AT47" s="6">
        <v>13</v>
      </c>
      <c r="AU47" s="6">
        <v>6613</v>
      </c>
      <c r="AV47" s="6">
        <v>1</v>
      </c>
      <c r="AW47" s="6">
        <v>518</v>
      </c>
      <c r="AX47" s="6"/>
      <c r="AY47" s="6"/>
      <c r="AZ47" s="6"/>
      <c r="BA47" s="6"/>
      <c r="BB47" s="6"/>
      <c r="BC47" s="6"/>
      <c r="BD47" s="6">
        <v>2</v>
      </c>
      <c r="BE47" s="6">
        <v>180</v>
      </c>
      <c r="BF47" s="6"/>
      <c r="BG47" s="6"/>
      <c r="BH47" s="6"/>
      <c r="BI47" s="6"/>
      <c r="BJ47" s="6">
        <v>1</v>
      </c>
      <c r="BK47" s="6">
        <v>56</v>
      </c>
      <c r="BL47" s="6"/>
      <c r="BM47" s="6"/>
      <c r="BN47" s="6">
        <v>2</v>
      </c>
      <c r="BO47" s="6">
        <v>111</v>
      </c>
      <c r="BP47" s="6"/>
      <c r="BQ47" s="6"/>
      <c r="BR47" s="6">
        <v>2</v>
      </c>
      <c r="BS47" s="6">
        <v>91</v>
      </c>
      <c r="BT47" s="6">
        <v>1</v>
      </c>
      <c r="BU47" s="6">
        <v>42</v>
      </c>
      <c r="BV47" s="6"/>
      <c r="BW47" s="6"/>
      <c r="BX47" s="6"/>
      <c r="BY47" s="6"/>
      <c r="BZ47" s="6"/>
      <c r="CA47" s="6"/>
      <c r="CB47" s="8">
        <f t="shared" si="0"/>
        <v>93</v>
      </c>
      <c r="CC47" s="8">
        <f t="shared" si="1"/>
        <v>25284</v>
      </c>
      <c r="CD47" s="52"/>
      <c r="CE47" s="52"/>
      <c r="CF47" s="52"/>
    </row>
    <row r="48" spans="1:84" s="27" customFormat="1">
      <c r="A48" s="5" t="s">
        <v>84</v>
      </c>
      <c r="B48" s="6"/>
      <c r="C48" s="6"/>
      <c r="D48" s="6"/>
      <c r="E48" s="6"/>
      <c r="F48" s="6"/>
      <c r="G48" s="6"/>
      <c r="H48" s="6"/>
      <c r="I48" s="6"/>
      <c r="J48" s="6">
        <v>1</v>
      </c>
      <c r="K48" s="6">
        <v>10</v>
      </c>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8">
        <f t="shared" si="0"/>
        <v>1</v>
      </c>
      <c r="CC48" s="8">
        <f t="shared" si="1"/>
        <v>10</v>
      </c>
      <c r="CD48" s="52"/>
      <c r="CE48" s="52"/>
      <c r="CF48" s="52"/>
    </row>
    <row r="49" spans="1:84" s="27" customFormat="1">
      <c r="A49" s="5" t="s">
        <v>85</v>
      </c>
      <c r="B49" s="6">
        <v>3</v>
      </c>
      <c r="C49" s="6">
        <v>178</v>
      </c>
      <c r="D49" s="6">
        <v>7</v>
      </c>
      <c r="E49" s="6">
        <v>339</v>
      </c>
      <c r="F49" s="6"/>
      <c r="G49" s="6"/>
      <c r="H49" s="6"/>
      <c r="I49" s="6"/>
      <c r="J49" s="6">
        <v>5</v>
      </c>
      <c r="K49" s="6">
        <v>84</v>
      </c>
      <c r="L49" s="6"/>
      <c r="M49" s="6"/>
      <c r="N49" s="6"/>
      <c r="O49" s="6"/>
      <c r="P49" s="6"/>
      <c r="Q49" s="6"/>
      <c r="R49" s="6"/>
      <c r="S49" s="6"/>
      <c r="T49" s="6"/>
      <c r="U49" s="6"/>
      <c r="V49" s="6">
        <v>2</v>
      </c>
      <c r="W49" s="6">
        <v>276</v>
      </c>
      <c r="X49" s="6">
        <v>1</v>
      </c>
      <c r="Y49" s="6">
        <v>154</v>
      </c>
      <c r="Z49" s="6">
        <v>17</v>
      </c>
      <c r="AA49" s="6">
        <v>5704</v>
      </c>
      <c r="AB49" s="6"/>
      <c r="AC49" s="6"/>
      <c r="AD49" s="6">
        <v>3</v>
      </c>
      <c r="AE49" s="6">
        <v>1200</v>
      </c>
      <c r="AF49" s="6"/>
      <c r="AG49" s="6"/>
      <c r="AH49" s="6"/>
      <c r="AI49" s="6"/>
      <c r="AJ49" s="6"/>
      <c r="AK49" s="6"/>
      <c r="AL49" s="6"/>
      <c r="AM49" s="6"/>
      <c r="AN49" s="6"/>
      <c r="AO49" s="6"/>
      <c r="AP49" s="6">
        <v>5</v>
      </c>
      <c r="AQ49" s="6">
        <v>661</v>
      </c>
      <c r="AR49" s="6"/>
      <c r="AS49" s="6"/>
      <c r="AT49" s="6">
        <v>10</v>
      </c>
      <c r="AU49" s="6">
        <v>4228</v>
      </c>
      <c r="AV49" s="6"/>
      <c r="AW49" s="6"/>
      <c r="AX49" s="6"/>
      <c r="AY49" s="6"/>
      <c r="AZ49" s="6"/>
      <c r="BA49" s="6"/>
      <c r="BB49" s="6"/>
      <c r="BC49" s="6"/>
      <c r="BD49" s="6"/>
      <c r="BE49" s="6"/>
      <c r="BF49" s="6"/>
      <c r="BG49" s="6"/>
      <c r="BH49" s="6"/>
      <c r="BI49" s="6"/>
      <c r="BJ49" s="6">
        <v>1</v>
      </c>
      <c r="BK49" s="6">
        <v>50</v>
      </c>
      <c r="BL49" s="6">
        <v>1</v>
      </c>
      <c r="BM49" s="6">
        <v>69</v>
      </c>
      <c r="BN49" s="6">
        <v>1</v>
      </c>
      <c r="BO49" s="6">
        <v>68</v>
      </c>
      <c r="BP49" s="6">
        <v>1</v>
      </c>
      <c r="BQ49" s="6">
        <v>142</v>
      </c>
      <c r="BR49" s="6">
        <v>2</v>
      </c>
      <c r="BS49" s="6">
        <v>64</v>
      </c>
      <c r="BT49" s="6"/>
      <c r="BU49" s="6"/>
      <c r="BV49" s="6"/>
      <c r="BW49" s="6"/>
      <c r="BX49" s="6"/>
      <c r="BY49" s="6"/>
      <c r="BZ49" s="6"/>
      <c r="CA49" s="6"/>
      <c r="CB49" s="8">
        <f t="shared" si="0"/>
        <v>59</v>
      </c>
      <c r="CC49" s="8">
        <f t="shared" si="1"/>
        <v>13217</v>
      </c>
      <c r="CD49" s="52"/>
      <c r="CE49" s="52"/>
      <c r="CF49" s="52"/>
    </row>
    <row r="50" spans="1:84" s="27" customFormat="1">
      <c r="A50" s="5" t="s">
        <v>86</v>
      </c>
      <c r="B50" s="6"/>
      <c r="C50" s="6"/>
      <c r="D50" s="6"/>
      <c r="E50" s="6"/>
      <c r="F50" s="6"/>
      <c r="G50" s="6"/>
      <c r="H50" s="6"/>
      <c r="I50" s="6"/>
      <c r="J50" s="6">
        <v>3</v>
      </c>
      <c r="K50" s="6">
        <v>44</v>
      </c>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v>1</v>
      </c>
      <c r="BK50" s="6">
        <v>41</v>
      </c>
      <c r="BL50" s="6"/>
      <c r="BM50" s="6"/>
      <c r="BN50" s="6"/>
      <c r="BO50" s="6"/>
      <c r="BP50" s="6"/>
      <c r="BQ50" s="6"/>
      <c r="BR50" s="6"/>
      <c r="BS50" s="6"/>
      <c r="BT50" s="6"/>
      <c r="BU50" s="6"/>
      <c r="BV50" s="6"/>
      <c r="BW50" s="6"/>
      <c r="BX50" s="6"/>
      <c r="BY50" s="6"/>
      <c r="BZ50" s="6"/>
      <c r="CA50" s="6"/>
      <c r="CB50" s="8">
        <f t="shared" si="0"/>
        <v>4</v>
      </c>
      <c r="CC50" s="8">
        <f t="shared" si="1"/>
        <v>85</v>
      </c>
      <c r="CD50" s="52"/>
      <c r="CE50" s="52"/>
      <c r="CF50" s="52"/>
    </row>
    <row r="51" spans="1:84" s="27" customFormat="1">
      <c r="A51" s="5" t="s">
        <v>87</v>
      </c>
      <c r="B51" s="6">
        <v>7</v>
      </c>
      <c r="C51" s="6">
        <v>163</v>
      </c>
      <c r="D51" s="6">
        <v>19</v>
      </c>
      <c r="E51" s="6">
        <v>2169</v>
      </c>
      <c r="F51" s="6">
        <v>10</v>
      </c>
      <c r="G51" s="6">
        <v>1471</v>
      </c>
      <c r="H51" s="6"/>
      <c r="I51" s="6"/>
      <c r="J51" s="6">
        <v>4</v>
      </c>
      <c r="K51" s="6">
        <v>58</v>
      </c>
      <c r="L51" s="6">
        <v>2</v>
      </c>
      <c r="M51" s="6">
        <v>70</v>
      </c>
      <c r="N51" s="6"/>
      <c r="O51" s="6"/>
      <c r="P51" s="6"/>
      <c r="Q51" s="6"/>
      <c r="R51" s="6"/>
      <c r="S51" s="6"/>
      <c r="T51" s="6">
        <v>2</v>
      </c>
      <c r="U51" s="6">
        <v>70</v>
      </c>
      <c r="V51" s="6">
        <v>1</v>
      </c>
      <c r="W51" s="6">
        <v>76</v>
      </c>
      <c r="X51" s="6">
        <v>3</v>
      </c>
      <c r="Y51" s="6">
        <v>268</v>
      </c>
      <c r="Z51" s="6">
        <v>11</v>
      </c>
      <c r="AA51" s="6">
        <v>2920</v>
      </c>
      <c r="AB51" s="6"/>
      <c r="AC51" s="6"/>
      <c r="AD51" s="6">
        <v>6</v>
      </c>
      <c r="AE51" s="6">
        <v>1208</v>
      </c>
      <c r="AF51" s="6"/>
      <c r="AG51" s="6"/>
      <c r="AH51" s="6">
        <v>1</v>
      </c>
      <c r="AI51" s="6">
        <v>759</v>
      </c>
      <c r="AJ51" s="6"/>
      <c r="AK51" s="6"/>
      <c r="AL51" s="6"/>
      <c r="AM51" s="6"/>
      <c r="AN51" s="6">
        <v>1</v>
      </c>
      <c r="AO51" s="6">
        <v>93</v>
      </c>
      <c r="AP51" s="6">
        <v>10</v>
      </c>
      <c r="AQ51" s="6">
        <v>3722</v>
      </c>
      <c r="AR51" s="6"/>
      <c r="AS51" s="6"/>
      <c r="AT51" s="6">
        <v>3</v>
      </c>
      <c r="AU51" s="6">
        <v>2524</v>
      </c>
      <c r="AV51" s="6">
        <v>1</v>
      </c>
      <c r="AW51" s="6">
        <v>378</v>
      </c>
      <c r="AX51" s="6">
        <v>1</v>
      </c>
      <c r="AY51" s="6">
        <v>94</v>
      </c>
      <c r="AZ51" s="6"/>
      <c r="BA51" s="6"/>
      <c r="BB51" s="6"/>
      <c r="BC51" s="6"/>
      <c r="BD51" s="6"/>
      <c r="BE51" s="6"/>
      <c r="BF51" s="6"/>
      <c r="BG51" s="6"/>
      <c r="BH51" s="6"/>
      <c r="BI51" s="6"/>
      <c r="BJ51" s="6"/>
      <c r="BK51" s="6"/>
      <c r="BL51" s="6">
        <v>8</v>
      </c>
      <c r="BM51" s="6">
        <v>325</v>
      </c>
      <c r="BN51" s="6">
        <v>5</v>
      </c>
      <c r="BO51" s="6">
        <v>274</v>
      </c>
      <c r="BP51" s="6"/>
      <c r="BQ51" s="6"/>
      <c r="BR51" s="6">
        <v>6</v>
      </c>
      <c r="BS51" s="6">
        <v>215</v>
      </c>
      <c r="BT51" s="6">
        <v>5</v>
      </c>
      <c r="BU51" s="6">
        <v>119</v>
      </c>
      <c r="BV51" s="6"/>
      <c r="BW51" s="6"/>
      <c r="BX51" s="6"/>
      <c r="BY51" s="6"/>
      <c r="BZ51" s="6">
        <v>3</v>
      </c>
      <c r="CA51" s="6">
        <v>41</v>
      </c>
      <c r="CB51" s="8">
        <f t="shared" si="0"/>
        <v>109</v>
      </c>
      <c r="CC51" s="8">
        <f t="shared" si="1"/>
        <v>17017</v>
      </c>
      <c r="CD51" s="52"/>
      <c r="CE51" s="52"/>
      <c r="CF51" s="52"/>
    </row>
    <row r="52" spans="1:84" s="27" customFormat="1">
      <c r="A52" s="5" t="s">
        <v>88</v>
      </c>
      <c r="B52" s="6"/>
      <c r="C52" s="6"/>
      <c r="D52" s="6"/>
      <c r="E52" s="6"/>
      <c r="F52" s="6"/>
      <c r="G52" s="6"/>
      <c r="H52" s="6"/>
      <c r="I52" s="6"/>
      <c r="J52" s="6">
        <v>8</v>
      </c>
      <c r="K52" s="6">
        <v>148</v>
      </c>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v>7</v>
      </c>
      <c r="CA52" s="6">
        <v>90</v>
      </c>
      <c r="CB52" s="8">
        <f t="shared" si="0"/>
        <v>15</v>
      </c>
      <c r="CC52" s="8">
        <f t="shared" si="1"/>
        <v>238</v>
      </c>
      <c r="CD52" s="52"/>
      <c r="CE52" s="52"/>
      <c r="CF52" s="52"/>
    </row>
    <row r="53" spans="1:84" s="27" customFormat="1">
      <c r="A53" s="5" t="s">
        <v>89</v>
      </c>
      <c r="B53" s="6"/>
      <c r="C53" s="6"/>
      <c r="D53" s="6"/>
      <c r="E53" s="6"/>
      <c r="F53" s="6"/>
      <c r="G53" s="6"/>
      <c r="H53" s="6"/>
      <c r="I53" s="6"/>
      <c r="J53" s="6">
        <v>4</v>
      </c>
      <c r="K53" s="6">
        <v>74</v>
      </c>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v>1</v>
      </c>
      <c r="BK53" s="6">
        <v>39</v>
      </c>
      <c r="BL53" s="6"/>
      <c r="BM53" s="6"/>
      <c r="BN53" s="6"/>
      <c r="BO53" s="6"/>
      <c r="BP53" s="6"/>
      <c r="BQ53" s="6"/>
      <c r="BR53" s="6"/>
      <c r="BS53" s="6"/>
      <c r="BT53" s="6"/>
      <c r="BU53" s="6"/>
      <c r="BV53" s="6"/>
      <c r="BW53" s="6"/>
      <c r="BX53" s="6"/>
      <c r="BY53" s="6"/>
      <c r="BZ53" s="6">
        <v>1</v>
      </c>
      <c r="CA53" s="6">
        <v>4</v>
      </c>
      <c r="CB53" s="8">
        <f t="shared" si="0"/>
        <v>6</v>
      </c>
      <c r="CC53" s="8">
        <f t="shared" si="1"/>
        <v>117</v>
      </c>
      <c r="CD53" s="52"/>
      <c r="CE53" s="52"/>
      <c r="CF53" s="52"/>
    </row>
    <row r="54" spans="1:84" s="27" customFormat="1">
      <c r="A54" s="5" t="s">
        <v>91</v>
      </c>
      <c r="B54" s="6"/>
      <c r="C54" s="6"/>
      <c r="D54" s="6"/>
      <c r="E54" s="6"/>
      <c r="F54" s="6"/>
      <c r="G54" s="6"/>
      <c r="H54" s="6"/>
      <c r="I54" s="6"/>
      <c r="J54" s="6">
        <v>1</v>
      </c>
      <c r="K54" s="6">
        <v>20</v>
      </c>
      <c r="L54" s="6"/>
      <c r="M54" s="6"/>
      <c r="N54" s="6"/>
      <c r="O54" s="6"/>
      <c r="P54" s="6"/>
      <c r="Q54" s="6"/>
      <c r="R54" s="6"/>
      <c r="S54" s="6"/>
      <c r="T54" s="6"/>
      <c r="U54" s="6"/>
      <c r="V54" s="6"/>
      <c r="W54" s="6"/>
      <c r="X54" s="6"/>
      <c r="Y54" s="6"/>
      <c r="Z54" s="6"/>
      <c r="AA54" s="6"/>
      <c r="AB54" s="6"/>
      <c r="AC54" s="6"/>
      <c r="AD54" s="6">
        <v>1</v>
      </c>
      <c r="AE54" s="6">
        <v>16</v>
      </c>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v>5</v>
      </c>
      <c r="CA54" s="6">
        <v>63</v>
      </c>
      <c r="CB54" s="8">
        <f t="shared" si="0"/>
        <v>7</v>
      </c>
      <c r="CC54" s="8">
        <f t="shared" si="1"/>
        <v>99</v>
      </c>
      <c r="CD54" s="52"/>
      <c r="CE54" s="52"/>
      <c r="CF54" s="52"/>
    </row>
    <row r="55" spans="1:84" s="27" customFormat="1">
      <c r="A55" s="5" t="s">
        <v>92</v>
      </c>
      <c r="B55" s="6"/>
      <c r="C55" s="6"/>
      <c r="D55" s="6"/>
      <c r="E55" s="6"/>
      <c r="F55" s="6">
        <v>1</v>
      </c>
      <c r="G55" s="6">
        <v>82</v>
      </c>
      <c r="H55" s="6">
        <v>1</v>
      </c>
      <c r="I55" s="6">
        <v>39</v>
      </c>
      <c r="J55" s="6">
        <v>11</v>
      </c>
      <c r="K55" s="6">
        <v>167</v>
      </c>
      <c r="L55" s="6">
        <v>1</v>
      </c>
      <c r="M55" s="6">
        <v>15</v>
      </c>
      <c r="N55" s="6"/>
      <c r="O55" s="6"/>
      <c r="P55" s="6"/>
      <c r="Q55" s="6"/>
      <c r="R55" s="6"/>
      <c r="S55" s="6"/>
      <c r="T55" s="6"/>
      <c r="U55" s="6"/>
      <c r="V55" s="6"/>
      <c r="W55" s="6"/>
      <c r="X55" s="6">
        <v>3</v>
      </c>
      <c r="Y55" s="6">
        <v>261</v>
      </c>
      <c r="Z55" s="6">
        <v>3</v>
      </c>
      <c r="AA55" s="6">
        <v>657</v>
      </c>
      <c r="AB55" s="6"/>
      <c r="AC55" s="6"/>
      <c r="AD55" s="6">
        <v>4</v>
      </c>
      <c r="AE55" s="6">
        <v>618</v>
      </c>
      <c r="AF55" s="6">
        <v>2</v>
      </c>
      <c r="AG55" s="6">
        <v>281</v>
      </c>
      <c r="AH55" s="6">
        <v>1</v>
      </c>
      <c r="AI55" s="6">
        <v>74</v>
      </c>
      <c r="AJ55" s="6">
        <v>1</v>
      </c>
      <c r="AK55" s="6">
        <v>246</v>
      </c>
      <c r="AL55" s="6"/>
      <c r="AM55" s="6"/>
      <c r="AN55" s="6"/>
      <c r="AO55" s="6"/>
      <c r="AP55" s="6">
        <v>1</v>
      </c>
      <c r="AQ55" s="6">
        <v>208</v>
      </c>
      <c r="AR55" s="6"/>
      <c r="AS55" s="6"/>
      <c r="AT55" s="6"/>
      <c r="AU55" s="6"/>
      <c r="AV55" s="6"/>
      <c r="AW55" s="6"/>
      <c r="AX55" s="6"/>
      <c r="AY55" s="6"/>
      <c r="AZ55" s="6"/>
      <c r="BA55" s="6"/>
      <c r="BB55" s="6"/>
      <c r="BC55" s="6"/>
      <c r="BD55" s="6"/>
      <c r="BE55" s="6"/>
      <c r="BF55" s="6"/>
      <c r="BG55" s="6"/>
      <c r="BH55" s="6"/>
      <c r="BI55" s="6"/>
      <c r="BJ55" s="6">
        <v>1</v>
      </c>
      <c r="BK55" s="6">
        <v>16</v>
      </c>
      <c r="BL55" s="6">
        <v>3</v>
      </c>
      <c r="BM55" s="6">
        <v>171</v>
      </c>
      <c r="BN55" s="6">
        <v>1</v>
      </c>
      <c r="BO55" s="6">
        <v>50</v>
      </c>
      <c r="BP55" s="6"/>
      <c r="BQ55" s="6"/>
      <c r="BR55" s="6"/>
      <c r="BS55" s="6"/>
      <c r="BT55" s="6"/>
      <c r="BU55" s="6"/>
      <c r="BV55" s="6"/>
      <c r="BW55" s="6"/>
      <c r="BX55" s="6"/>
      <c r="BY55" s="6"/>
      <c r="BZ55" s="6">
        <v>10</v>
      </c>
      <c r="CA55" s="6">
        <v>139</v>
      </c>
      <c r="CB55" s="8">
        <f t="shared" si="0"/>
        <v>44</v>
      </c>
      <c r="CC55" s="8">
        <f t="shared" si="1"/>
        <v>3024</v>
      </c>
      <c r="CD55" s="52"/>
      <c r="CE55" s="52"/>
      <c r="CF55" s="52"/>
    </row>
    <row r="56" spans="1:84" s="27" customFormat="1">
      <c r="A56" s="5" t="s">
        <v>93</v>
      </c>
      <c r="B56" s="6">
        <v>11</v>
      </c>
      <c r="C56" s="6">
        <v>713</v>
      </c>
      <c r="D56" s="6">
        <v>6</v>
      </c>
      <c r="E56" s="6">
        <v>573</v>
      </c>
      <c r="F56" s="6">
        <v>6</v>
      </c>
      <c r="G56" s="6">
        <v>1029</v>
      </c>
      <c r="H56" s="6">
        <v>1</v>
      </c>
      <c r="I56" s="6">
        <v>18</v>
      </c>
      <c r="J56" s="6">
        <v>4</v>
      </c>
      <c r="K56" s="6">
        <v>88</v>
      </c>
      <c r="L56" s="6">
        <v>1</v>
      </c>
      <c r="M56" s="6">
        <v>20</v>
      </c>
      <c r="N56" s="6"/>
      <c r="O56" s="6"/>
      <c r="P56" s="6"/>
      <c r="Q56" s="6"/>
      <c r="R56" s="6"/>
      <c r="S56" s="6"/>
      <c r="T56" s="6"/>
      <c r="U56" s="6"/>
      <c r="V56" s="6">
        <v>3</v>
      </c>
      <c r="W56" s="6">
        <v>526</v>
      </c>
      <c r="X56" s="6">
        <v>2</v>
      </c>
      <c r="Y56" s="6">
        <v>147</v>
      </c>
      <c r="Z56" s="6">
        <v>10</v>
      </c>
      <c r="AA56" s="6">
        <v>1935</v>
      </c>
      <c r="AB56" s="6">
        <v>1</v>
      </c>
      <c r="AC56" s="6">
        <v>319</v>
      </c>
      <c r="AD56" s="6">
        <v>4</v>
      </c>
      <c r="AE56" s="6">
        <v>1094</v>
      </c>
      <c r="AF56" s="6">
        <v>1</v>
      </c>
      <c r="AG56" s="6">
        <v>413</v>
      </c>
      <c r="AH56" s="6"/>
      <c r="AI56" s="6"/>
      <c r="AJ56" s="6"/>
      <c r="AK56" s="6"/>
      <c r="AL56" s="6"/>
      <c r="AM56" s="6"/>
      <c r="AN56" s="6"/>
      <c r="AO56" s="6"/>
      <c r="AP56" s="6">
        <v>4</v>
      </c>
      <c r="AQ56" s="6">
        <v>1042</v>
      </c>
      <c r="AR56" s="6"/>
      <c r="AS56" s="6"/>
      <c r="AT56" s="6">
        <v>8</v>
      </c>
      <c r="AU56" s="6">
        <v>2982</v>
      </c>
      <c r="AV56" s="6"/>
      <c r="AW56" s="6"/>
      <c r="AX56" s="6">
        <v>1</v>
      </c>
      <c r="AY56" s="6">
        <v>136</v>
      </c>
      <c r="AZ56" s="6"/>
      <c r="BA56" s="6"/>
      <c r="BB56" s="6"/>
      <c r="BC56" s="6"/>
      <c r="BD56" s="6"/>
      <c r="BE56" s="6"/>
      <c r="BF56" s="6"/>
      <c r="BG56" s="6"/>
      <c r="BH56" s="6"/>
      <c r="BI56" s="6"/>
      <c r="BJ56" s="6">
        <v>1</v>
      </c>
      <c r="BK56" s="6">
        <v>45</v>
      </c>
      <c r="BL56" s="6">
        <v>1</v>
      </c>
      <c r="BM56" s="6">
        <v>49</v>
      </c>
      <c r="BN56" s="6">
        <v>1</v>
      </c>
      <c r="BO56" s="6">
        <v>84</v>
      </c>
      <c r="BP56" s="6"/>
      <c r="BQ56" s="6"/>
      <c r="BR56" s="6">
        <v>4</v>
      </c>
      <c r="BS56" s="6">
        <v>169</v>
      </c>
      <c r="BT56" s="6">
        <v>2</v>
      </c>
      <c r="BU56" s="6">
        <v>114</v>
      </c>
      <c r="BV56" s="6"/>
      <c r="BW56" s="6"/>
      <c r="BX56" s="6"/>
      <c r="BY56" s="6"/>
      <c r="BZ56" s="6">
        <v>1</v>
      </c>
      <c r="CA56" s="6">
        <v>10</v>
      </c>
      <c r="CB56" s="8">
        <f t="shared" si="0"/>
        <v>73</v>
      </c>
      <c r="CC56" s="8">
        <f t="shared" si="1"/>
        <v>11506</v>
      </c>
      <c r="CD56" s="52"/>
      <c r="CE56" s="52"/>
      <c r="CF56" s="52"/>
    </row>
    <row r="57" spans="1:84" s="27" customFormat="1">
      <c r="A57" s="5" t="s">
        <v>94</v>
      </c>
      <c r="B57" s="6"/>
      <c r="C57" s="6"/>
      <c r="D57" s="6"/>
      <c r="E57" s="6"/>
      <c r="F57" s="6"/>
      <c r="G57" s="6"/>
      <c r="H57" s="6"/>
      <c r="I57" s="6"/>
      <c r="J57" s="6">
        <v>5</v>
      </c>
      <c r="K57" s="6">
        <v>87</v>
      </c>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v>1</v>
      </c>
      <c r="AO57" s="6">
        <v>110</v>
      </c>
      <c r="AP57" s="6"/>
      <c r="AQ57" s="6"/>
      <c r="AR57" s="6"/>
      <c r="AS57" s="6"/>
      <c r="AT57" s="6"/>
      <c r="AU57" s="6"/>
      <c r="AV57" s="6"/>
      <c r="AW57" s="6"/>
      <c r="AX57" s="6"/>
      <c r="AY57" s="6"/>
      <c r="AZ57" s="6"/>
      <c r="BA57" s="6"/>
      <c r="BB57" s="6"/>
      <c r="BC57" s="6"/>
      <c r="BD57" s="6"/>
      <c r="BE57" s="6"/>
      <c r="BF57" s="6"/>
      <c r="BG57" s="6"/>
      <c r="BH57" s="6"/>
      <c r="BI57" s="6"/>
      <c r="BJ57" s="6">
        <v>1</v>
      </c>
      <c r="BK57" s="6">
        <v>32</v>
      </c>
      <c r="BL57" s="6"/>
      <c r="BM57" s="6"/>
      <c r="BN57" s="6"/>
      <c r="BO57" s="6"/>
      <c r="BP57" s="6"/>
      <c r="BQ57" s="6"/>
      <c r="BR57" s="6"/>
      <c r="BS57" s="6"/>
      <c r="BT57" s="6"/>
      <c r="BU57" s="6"/>
      <c r="BV57" s="6"/>
      <c r="BW57" s="6"/>
      <c r="BX57" s="6"/>
      <c r="BY57" s="6"/>
      <c r="BZ57" s="6">
        <v>7</v>
      </c>
      <c r="CA57" s="6">
        <v>105</v>
      </c>
      <c r="CB57" s="8">
        <f t="shared" si="0"/>
        <v>14</v>
      </c>
      <c r="CC57" s="8">
        <f t="shared" si="1"/>
        <v>334</v>
      </c>
      <c r="CD57" s="52"/>
      <c r="CE57" s="52"/>
      <c r="CF57" s="52"/>
    </row>
    <row r="58" spans="1:84" s="27" customFormat="1">
      <c r="A58" s="5" t="s">
        <v>95</v>
      </c>
      <c r="B58" s="6"/>
      <c r="C58" s="6"/>
      <c r="D58" s="6"/>
      <c r="E58" s="6"/>
      <c r="F58" s="6"/>
      <c r="G58" s="6"/>
      <c r="H58" s="6"/>
      <c r="I58" s="6"/>
      <c r="J58" s="6">
        <v>1</v>
      </c>
      <c r="K58" s="6">
        <v>20</v>
      </c>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v>1</v>
      </c>
      <c r="BK58" s="6">
        <v>48</v>
      </c>
      <c r="BL58" s="6"/>
      <c r="BM58" s="6"/>
      <c r="BN58" s="6"/>
      <c r="BO58" s="6"/>
      <c r="BP58" s="6"/>
      <c r="BQ58" s="6"/>
      <c r="BR58" s="6"/>
      <c r="BS58" s="6"/>
      <c r="BT58" s="6"/>
      <c r="BU58" s="6"/>
      <c r="BV58" s="6"/>
      <c r="BW58" s="6"/>
      <c r="BX58" s="6"/>
      <c r="BY58" s="6"/>
      <c r="BZ58" s="6"/>
      <c r="CA58" s="6"/>
      <c r="CB58" s="8">
        <f t="shared" si="0"/>
        <v>2</v>
      </c>
      <c r="CC58" s="8">
        <f t="shared" si="1"/>
        <v>68</v>
      </c>
      <c r="CD58" s="52"/>
      <c r="CE58" s="52"/>
      <c r="CF58" s="52"/>
    </row>
    <row r="59" spans="1:84" s="51" customFormat="1">
      <c r="A59" s="11" t="s">
        <v>96</v>
      </c>
      <c r="B59" s="12">
        <f>SUM(B9:B58)</f>
        <v>83</v>
      </c>
      <c r="C59" s="12">
        <f t="shared" ref="C59:BJ59" si="2">SUM(C9:C58)</f>
        <v>4952</v>
      </c>
      <c r="D59" s="12">
        <f t="shared" si="2"/>
        <v>129</v>
      </c>
      <c r="E59" s="12">
        <f t="shared" si="2"/>
        <v>14347</v>
      </c>
      <c r="F59" s="12">
        <f t="shared" si="2"/>
        <v>107</v>
      </c>
      <c r="G59" s="12">
        <f t="shared" si="2"/>
        <v>18900</v>
      </c>
      <c r="H59" s="12">
        <f t="shared" si="2"/>
        <v>10</v>
      </c>
      <c r="I59" s="12">
        <f t="shared" si="2"/>
        <v>2008</v>
      </c>
      <c r="J59" s="12">
        <f t="shared" si="2"/>
        <v>223</v>
      </c>
      <c r="K59" s="12">
        <f t="shared" si="2"/>
        <v>3583</v>
      </c>
      <c r="L59" s="12">
        <f t="shared" si="2"/>
        <v>17</v>
      </c>
      <c r="M59" s="12">
        <f t="shared" si="2"/>
        <v>540</v>
      </c>
      <c r="N59" s="12">
        <f t="shared" si="2"/>
        <v>1</v>
      </c>
      <c r="O59" s="12">
        <f t="shared" si="2"/>
        <v>500</v>
      </c>
      <c r="P59" s="12">
        <f t="shared" si="2"/>
        <v>1</v>
      </c>
      <c r="Q59" s="12">
        <f t="shared" si="2"/>
        <v>660</v>
      </c>
      <c r="R59" s="12">
        <f t="shared" si="2"/>
        <v>1</v>
      </c>
      <c r="S59" s="12">
        <f t="shared" si="2"/>
        <v>1118</v>
      </c>
      <c r="T59" s="12">
        <f t="shared" si="2"/>
        <v>8</v>
      </c>
      <c r="U59" s="12">
        <f t="shared" si="2"/>
        <v>230</v>
      </c>
      <c r="V59" s="12">
        <f t="shared" si="2"/>
        <v>23</v>
      </c>
      <c r="W59" s="12">
        <f t="shared" si="2"/>
        <v>2164</v>
      </c>
      <c r="X59" s="12">
        <f t="shared" si="2"/>
        <v>46</v>
      </c>
      <c r="Y59" s="12">
        <f t="shared" si="2"/>
        <v>6891</v>
      </c>
      <c r="Z59" s="12">
        <f t="shared" si="2"/>
        <v>252</v>
      </c>
      <c r="AA59" s="12">
        <f t="shared" si="2"/>
        <v>75360</v>
      </c>
      <c r="AB59" s="12">
        <f t="shared" si="2"/>
        <v>6</v>
      </c>
      <c r="AC59" s="12">
        <f t="shared" si="2"/>
        <v>1061</v>
      </c>
      <c r="AD59" s="12">
        <f t="shared" si="2"/>
        <v>189</v>
      </c>
      <c r="AE59" s="12">
        <f t="shared" si="2"/>
        <v>57031</v>
      </c>
      <c r="AF59" s="12">
        <f t="shared" si="2"/>
        <v>22</v>
      </c>
      <c r="AG59" s="12">
        <f t="shared" si="2"/>
        <v>4696</v>
      </c>
      <c r="AH59" s="12">
        <f t="shared" si="2"/>
        <v>28</v>
      </c>
      <c r="AI59" s="12">
        <f t="shared" si="2"/>
        <v>6098</v>
      </c>
      <c r="AJ59" s="12">
        <f t="shared" si="2"/>
        <v>2</v>
      </c>
      <c r="AK59" s="12">
        <f t="shared" si="2"/>
        <v>550</v>
      </c>
      <c r="AL59" s="12">
        <f t="shared" si="2"/>
        <v>4</v>
      </c>
      <c r="AM59" s="12">
        <f t="shared" si="2"/>
        <v>153</v>
      </c>
      <c r="AN59" s="12">
        <f t="shared" si="2"/>
        <v>8</v>
      </c>
      <c r="AO59" s="12">
        <f t="shared" si="2"/>
        <v>1071</v>
      </c>
      <c r="AP59" s="12">
        <f t="shared" si="2"/>
        <v>83</v>
      </c>
      <c r="AQ59" s="12">
        <f t="shared" si="2"/>
        <v>31076</v>
      </c>
      <c r="AR59" s="12">
        <f t="shared" si="2"/>
        <v>2</v>
      </c>
      <c r="AS59" s="12">
        <f t="shared" si="2"/>
        <v>2279</v>
      </c>
      <c r="AT59" s="12">
        <f t="shared" si="2"/>
        <v>87</v>
      </c>
      <c r="AU59" s="12">
        <f t="shared" si="2"/>
        <v>39705</v>
      </c>
      <c r="AV59" s="12">
        <f t="shared" si="2"/>
        <v>5</v>
      </c>
      <c r="AW59" s="12">
        <f t="shared" si="2"/>
        <v>2546</v>
      </c>
      <c r="AX59" s="12">
        <f t="shared" si="2"/>
        <v>3</v>
      </c>
      <c r="AY59" s="12">
        <f t="shared" si="2"/>
        <v>294</v>
      </c>
      <c r="AZ59" s="12">
        <f t="shared" si="2"/>
        <v>2</v>
      </c>
      <c r="BA59" s="12">
        <f t="shared" si="2"/>
        <v>86</v>
      </c>
      <c r="BB59" s="12">
        <f t="shared" si="2"/>
        <v>3</v>
      </c>
      <c r="BC59" s="12">
        <f t="shared" si="2"/>
        <v>85</v>
      </c>
      <c r="BD59" s="12">
        <f t="shared" si="2"/>
        <v>2</v>
      </c>
      <c r="BE59" s="12">
        <f t="shared" si="2"/>
        <v>180</v>
      </c>
      <c r="BF59" s="12">
        <f t="shared" si="2"/>
        <v>3</v>
      </c>
      <c r="BG59" s="12">
        <f t="shared" si="2"/>
        <v>174</v>
      </c>
      <c r="BH59" s="12">
        <f t="shared" si="2"/>
        <v>1</v>
      </c>
      <c r="BI59" s="12">
        <f t="shared" si="2"/>
        <v>132</v>
      </c>
      <c r="BJ59" s="12">
        <f t="shared" si="2"/>
        <v>37</v>
      </c>
      <c r="BK59" s="12">
        <f t="shared" ref="BK59:CA59" si="3">SUM(BK9:BK58)</f>
        <v>1487</v>
      </c>
      <c r="BL59" s="12">
        <f t="shared" si="3"/>
        <v>42</v>
      </c>
      <c r="BM59" s="12">
        <f t="shared" si="3"/>
        <v>2016</v>
      </c>
      <c r="BN59" s="12">
        <f t="shared" si="3"/>
        <v>29</v>
      </c>
      <c r="BO59" s="12">
        <f t="shared" si="3"/>
        <v>1686</v>
      </c>
      <c r="BP59" s="12">
        <f t="shared" si="3"/>
        <v>3</v>
      </c>
      <c r="BQ59" s="12">
        <f t="shared" si="3"/>
        <v>236</v>
      </c>
      <c r="BR59" s="12">
        <f t="shared" si="3"/>
        <v>56</v>
      </c>
      <c r="BS59" s="12">
        <f t="shared" si="3"/>
        <v>2277</v>
      </c>
      <c r="BT59" s="12">
        <f t="shared" si="3"/>
        <v>32</v>
      </c>
      <c r="BU59" s="12">
        <f t="shared" si="3"/>
        <v>1338</v>
      </c>
      <c r="BV59" s="12">
        <f t="shared" si="3"/>
        <v>2</v>
      </c>
      <c r="BW59" s="12">
        <f t="shared" si="3"/>
        <v>86</v>
      </c>
      <c r="BX59" s="12">
        <f t="shared" si="3"/>
        <v>1</v>
      </c>
      <c r="BY59" s="12">
        <f t="shared" si="3"/>
        <v>23</v>
      </c>
      <c r="BZ59" s="12">
        <f t="shared" si="3"/>
        <v>88</v>
      </c>
      <c r="CA59" s="12">
        <f t="shared" si="3"/>
        <v>1212</v>
      </c>
      <c r="CB59" s="12">
        <f>B59+D59+F59+H59+J59+L59+N59+P59+R59+T59+V59+X59+Z59+AB59+AD59+AF59+AH59+AJ59+AL59+AN59+AP59+AR59+AT59+AV59+AX59+AZ59+BB59+BD59+BF59+BH59+BJ59+BL59+BN59+BP59+BR59+BT59+BV59+BX59+BZ59</f>
        <v>1641</v>
      </c>
      <c r="CC59" s="12">
        <f>C59+E59+G59+I59+K59+M59+O59+Q59+S59+U59+W59+Y59+AA59+AC59+AE59+AG59+AI59+AK59+AM59+AO59+AQ59+AS59+AU59+AW59+AY59+BA59+BC59+BE59+BG59+BI59+BK59+BM59+BO59+BQ59+BS59+BU59+BW59+BY59+CA59</f>
        <v>288831</v>
      </c>
      <c r="CD59" s="52"/>
      <c r="CE59" s="52"/>
      <c r="CF59" s="52"/>
    </row>
    <row r="60" spans="1:84" s="27" customFormat="1" ht="12.75">
      <c r="A60" s="48" t="s">
        <v>189</v>
      </c>
      <c r="CB60" s="54"/>
      <c r="CC60" s="54"/>
    </row>
    <row r="61" spans="1:84" s="27" customFormat="1" ht="12.75">
      <c r="A61" s="50" t="s">
        <v>190</v>
      </c>
      <c r="CB61" s="54"/>
      <c r="CC61" s="54"/>
    </row>
    <row r="62" spans="1:84" s="55" customFormat="1" ht="12.75">
      <c r="A62" s="50" t="s">
        <v>191</v>
      </c>
      <c r="CB62" s="56"/>
      <c r="CC62" s="57"/>
    </row>
  </sheetData>
  <sheetProtection password="C668" sheet="1"/>
  <mergeCells count="41">
    <mergeCell ref="J6:K6"/>
    <mergeCell ref="A6:A8"/>
    <mergeCell ref="B6:C6"/>
    <mergeCell ref="D6:E6"/>
    <mergeCell ref="F6:G6"/>
    <mergeCell ref="H6:I6"/>
    <mergeCell ref="AH6:AI6"/>
    <mergeCell ref="L6:M6"/>
    <mergeCell ref="N6:O6"/>
    <mergeCell ref="P6:Q6"/>
    <mergeCell ref="R6:S6"/>
    <mergeCell ref="T6:U6"/>
    <mergeCell ref="V6:W6"/>
    <mergeCell ref="X6:Y6"/>
    <mergeCell ref="Z6:AA6"/>
    <mergeCell ref="AB6:AC6"/>
    <mergeCell ref="AD6:AE6"/>
    <mergeCell ref="AF6:AG6"/>
    <mergeCell ref="AX6:AY6"/>
    <mergeCell ref="BB6:BC6"/>
    <mergeCell ref="BD6:BE6"/>
    <mergeCell ref="AJ6:AK6"/>
    <mergeCell ref="AL6:AM6"/>
    <mergeCell ref="AN6:AO6"/>
    <mergeCell ref="AP6:AQ6"/>
    <mergeCell ref="AT6:AU6"/>
    <mergeCell ref="AV6:AW6"/>
    <mergeCell ref="AR6:AS6"/>
    <mergeCell ref="AZ6:BA6"/>
    <mergeCell ref="BZ6:CA6"/>
    <mergeCell ref="CB6:CC6"/>
    <mergeCell ref="BF6:BG6"/>
    <mergeCell ref="BH6:BI6"/>
    <mergeCell ref="BJ6:BK6"/>
    <mergeCell ref="BL6:BM6"/>
    <mergeCell ref="BN6:BO6"/>
    <mergeCell ref="BP6:BQ6"/>
    <mergeCell ref="BR6:BS6"/>
    <mergeCell ref="BT6:BU6"/>
    <mergeCell ref="BV6:BW6"/>
    <mergeCell ref="BX6:BY6"/>
  </mergeCells>
  <conditionalFormatting sqref="A9:CC58 CB10:CC59">
    <cfRule type="expression" dxfId="11" priority="7" stopIfTrue="1">
      <formula>MOD(ROW(),2)=0</formula>
    </cfRule>
  </conditionalFormatting>
  <conditionalFormatting sqref="A2:XFD62">
    <cfRule type="expression" priority="11">
      <formula>SI(0," ")</formula>
    </cfRule>
  </conditionalFormatting>
  <conditionalFormatting sqref="H2">
    <cfRule type="expression" priority="10">
      <formula>SI($C$40," ")</formula>
    </cfRule>
  </conditionalFormatting>
  <pageMargins left="0.70866141732283472" right="0.70866141732283472" top="0.74803149606299213" bottom="0.74803149606299213" header="0.31496062992125984" footer="0.31496062992125984"/>
  <pageSetup paperSize="8" scale="70" orientation="landscape" r:id="rId1"/>
  <colBreaks count="4" manualBreakCount="4">
    <brk id="17" max="1048575" man="1"/>
    <brk id="33" max="1048575" man="1"/>
    <brk id="49" max="1048575" man="1"/>
    <brk id="65"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3:N54"/>
  <sheetViews>
    <sheetView showGridLines="0" workbookViewId="0"/>
  </sheetViews>
  <sheetFormatPr baseColWidth="10" defaultRowHeight="15"/>
  <cols>
    <col min="1" max="1" width="25.140625" customWidth="1"/>
    <col min="2" max="2" width="5.7109375" customWidth="1"/>
    <col min="3" max="3" width="17" bestFit="1" customWidth="1"/>
    <col min="4" max="4" width="15.140625" bestFit="1" customWidth="1"/>
    <col min="5" max="5" width="14" bestFit="1" customWidth="1"/>
    <col min="8" max="8" width="25.140625" customWidth="1"/>
    <col min="9" max="9" width="5.7109375" customWidth="1"/>
    <col min="10" max="10" width="17" customWidth="1"/>
    <col min="11" max="11" width="15.140625" customWidth="1"/>
    <col min="12" max="12" width="14" customWidth="1"/>
  </cols>
  <sheetData>
    <row r="3" spans="1:13" s="60" customFormat="1" ht="16.5">
      <c r="A3" s="58" t="s">
        <v>221</v>
      </c>
      <c r="B3" s="59"/>
      <c r="H3" s="59"/>
      <c r="I3" s="59"/>
    </row>
    <row r="4" spans="1:13" s="63" customFormat="1" ht="16.5">
      <c r="A4" s="61" t="s">
        <v>222</v>
      </c>
      <c r="B4" s="62"/>
      <c r="H4" s="62"/>
      <c r="I4" s="62"/>
      <c r="L4" s="64"/>
    </row>
    <row r="5" spans="1:13" s="63" customFormat="1" ht="16.5">
      <c r="A5" s="61" t="s">
        <v>223</v>
      </c>
      <c r="B5" s="62"/>
      <c r="H5" s="62"/>
      <c r="I5" s="62"/>
    </row>
    <row r="6" spans="1:13" s="63" customFormat="1" ht="16.5">
      <c r="A6" s="61"/>
      <c r="B6" s="62"/>
      <c r="H6" s="62"/>
      <c r="I6" s="62"/>
    </row>
    <row r="7" spans="1:13" s="60" customFormat="1" ht="12.75">
      <c r="A7" s="59"/>
      <c r="B7" s="59"/>
      <c r="H7" s="59"/>
      <c r="I7" s="59"/>
    </row>
    <row r="8" spans="1:13" s="60" customFormat="1" ht="12.75">
      <c r="A8" s="130" t="s">
        <v>104</v>
      </c>
      <c r="B8" s="130"/>
      <c r="C8" s="103" t="s">
        <v>105</v>
      </c>
      <c r="D8" s="103" t="s">
        <v>106</v>
      </c>
      <c r="E8" s="103" t="s">
        <v>107</v>
      </c>
      <c r="F8" s="103" t="s">
        <v>108</v>
      </c>
      <c r="G8" s="104"/>
      <c r="H8" s="130" t="s">
        <v>104</v>
      </c>
      <c r="I8" s="130"/>
      <c r="J8" s="103" t="s">
        <v>105</v>
      </c>
      <c r="K8" s="103" t="s">
        <v>106</v>
      </c>
      <c r="L8" s="103" t="s">
        <v>107</v>
      </c>
      <c r="M8" s="103" t="s">
        <v>108</v>
      </c>
    </row>
    <row r="9" spans="1:13" s="63" customFormat="1" ht="12.75">
      <c r="A9" s="131" t="s">
        <v>109</v>
      </c>
      <c r="B9" s="131"/>
      <c r="C9" s="105" t="s">
        <v>110</v>
      </c>
      <c r="D9" s="105" t="s">
        <v>111</v>
      </c>
      <c r="E9" s="105" t="s">
        <v>112</v>
      </c>
      <c r="F9" s="105" t="s">
        <v>113</v>
      </c>
      <c r="G9" s="106"/>
      <c r="H9" s="131" t="s">
        <v>109</v>
      </c>
      <c r="I9" s="131"/>
      <c r="J9" s="105" t="s">
        <v>110</v>
      </c>
      <c r="K9" s="105" t="s">
        <v>111</v>
      </c>
      <c r="L9" s="105" t="s">
        <v>112</v>
      </c>
      <c r="M9" s="105" t="s">
        <v>113</v>
      </c>
    </row>
    <row r="10" spans="1:13" s="63" customFormat="1" ht="12.75">
      <c r="A10" s="131" t="s">
        <v>114</v>
      </c>
      <c r="B10" s="131"/>
      <c r="C10" s="105" t="s">
        <v>115</v>
      </c>
      <c r="D10" s="105" t="s">
        <v>116</v>
      </c>
      <c r="E10" s="105" t="s">
        <v>117</v>
      </c>
      <c r="F10" s="105" t="s">
        <v>118</v>
      </c>
      <c r="G10" s="106"/>
      <c r="H10" s="131" t="s">
        <v>114</v>
      </c>
      <c r="I10" s="131"/>
      <c r="J10" s="105" t="s">
        <v>115</v>
      </c>
      <c r="K10" s="105" t="s">
        <v>116</v>
      </c>
      <c r="L10" s="105" t="s">
        <v>117</v>
      </c>
      <c r="M10" s="105" t="s">
        <v>118</v>
      </c>
    </row>
    <row r="11" spans="1:13" s="60" customFormat="1">
      <c r="A11" s="132" t="s">
        <v>119</v>
      </c>
      <c r="B11" s="132"/>
      <c r="C11" s="66">
        <v>92</v>
      </c>
      <c r="D11" s="66">
        <v>1676</v>
      </c>
      <c r="E11" s="66">
        <v>5329</v>
      </c>
      <c r="F11" s="67">
        <f>E11/E$15</f>
        <v>0.13143096729640408</v>
      </c>
      <c r="G11" s="68"/>
      <c r="H11" s="132" t="s">
        <v>25</v>
      </c>
      <c r="I11" s="132"/>
      <c r="J11" s="66">
        <v>2</v>
      </c>
      <c r="K11" s="66">
        <v>33</v>
      </c>
      <c r="L11" s="66">
        <v>106</v>
      </c>
      <c r="M11" s="67">
        <f>L11/L$19</f>
        <v>1.395783679865162E-3</v>
      </c>
    </row>
    <row r="12" spans="1:13" s="60" customFormat="1">
      <c r="A12" s="132" t="s">
        <v>120</v>
      </c>
      <c r="B12" s="132"/>
      <c r="C12" s="66">
        <v>134</v>
      </c>
      <c r="D12" s="66">
        <v>5555</v>
      </c>
      <c r="E12" s="66">
        <v>14960</v>
      </c>
      <c r="F12" s="67">
        <f>E12/E$15</f>
        <v>0.36896364622897448</v>
      </c>
      <c r="G12" s="68"/>
      <c r="H12" s="132" t="s">
        <v>26</v>
      </c>
      <c r="I12" s="132"/>
      <c r="J12" s="66">
        <v>9</v>
      </c>
      <c r="K12" s="66">
        <v>426</v>
      </c>
      <c r="L12" s="66">
        <v>1113</v>
      </c>
      <c r="M12" s="67">
        <f>L12/L$19</f>
        <v>1.4655728638584201E-2</v>
      </c>
    </row>
    <row r="13" spans="1:13" s="60" customFormat="1">
      <c r="A13" s="132" t="s">
        <v>121</v>
      </c>
      <c r="B13" s="132"/>
      <c r="C13" s="66">
        <v>103</v>
      </c>
      <c r="D13" s="66">
        <v>7062</v>
      </c>
      <c r="E13" s="66">
        <v>18118</v>
      </c>
      <c r="F13" s="67">
        <f>E13/E$15</f>
        <v>0.44685049080057221</v>
      </c>
      <c r="G13" s="68"/>
      <c r="H13" s="132" t="s">
        <v>27</v>
      </c>
      <c r="I13" s="132"/>
      <c r="J13" s="66">
        <v>83</v>
      </c>
      <c r="K13" s="66">
        <v>14464</v>
      </c>
      <c r="L13" s="66">
        <v>33289</v>
      </c>
      <c r="M13" s="67">
        <f>L13/L$19</f>
        <v>0.43834191433048469</v>
      </c>
    </row>
    <row r="14" spans="1:13" s="60" customFormat="1">
      <c r="A14" s="132" t="s">
        <v>122</v>
      </c>
      <c r="B14" s="132"/>
      <c r="C14" s="66">
        <v>9</v>
      </c>
      <c r="D14" s="66">
        <v>661</v>
      </c>
      <c r="E14" s="66">
        <v>2139</v>
      </c>
      <c r="F14" s="67">
        <f>E14/E$15</f>
        <v>5.2754895674049229E-2</v>
      </c>
      <c r="G14" s="68"/>
      <c r="H14" s="132" t="s">
        <v>209</v>
      </c>
      <c r="I14" s="132"/>
      <c r="J14" s="66"/>
      <c r="K14" s="66"/>
      <c r="L14" s="66"/>
      <c r="M14" s="67"/>
    </row>
    <row r="15" spans="1:13" s="60" customFormat="1">
      <c r="A15" s="133" t="s">
        <v>123</v>
      </c>
      <c r="B15" s="133"/>
      <c r="C15" s="69">
        <v>338</v>
      </c>
      <c r="D15" s="69">
        <v>14954</v>
      </c>
      <c r="E15" s="69">
        <v>40546</v>
      </c>
      <c r="F15" s="70">
        <v>0.99999999999999989</v>
      </c>
      <c r="G15" s="68"/>
      <c r="H15" s="132" t="s">
        <v>28</v>
      </c>
      <c r="I15" s="132"/>
      <c r="J15" s="66">
        <v>87</v>
      </c>
      <c r="K15" s="66">
        <v>17519</v>
      </c>
      <c r="L15" s="66">
        <v>38973</v>
      </c>
      <c r="M15" s="67">
        <f>L15/L$19</f>
        <v>0.51318752222061281</v>
      </c>
    </row>
    <row r="16" spans="1:13" s="60" customFormat="1">
      <c r="A16" s="132"/>
      <c r="B16" s="132"/>
      <c r="C16" s="66"/>
      <c r="D16" s="66"/>
      <c r="E16" s="66"/>
      <c r="F16" s="67"/>
      <c r="G16" s="68"/>
      <c r="H16" s="132" t="s">
        <v>210</v>
      </c>
      <c r="I16" s="132"/>
      <c r="J16" s="66">
        <v>4</v>
      </c>
      <c r="K16" s="66">
        <v>1031</v>
      </c>
      <c r="L16" s="66">
        <v>2168</v>
      </c>
      <c r="M16" s="67">
        <f>L16/L$19</f>
        <v>2.8547726584411993E-2</v>
      </c>
    </row>
    <row r="17" spans="1:14" s="60" customFormat="1">
      <c r="A17" s="133" t="s">
        <v>7</v>
      </c>
      <c r="B17" s="133"/>
      <c r="C17" s="69">
        <v>35</v>
      </c>
      <c r="D17" s="69">
        <v>732</v>
      </c>
      <c r="E17" s="69">
        <v>1443</v>
      </c>
      <c r="F17" s="70">
        <v>1</v>
      </c>
      <c r="G17" s="68"/>
      <c r="H17" s="132" t="s">
        <v>29</v>
      </c>
      <c r="I17" s="132"/>
      <c r="J17" s="66">
        <v>3</v>
      </c>
      <c r="K17" s="66">
        <v>149</v>
      </c>
      <c r="L17" s="66">
        <v>294</v>
      </c>
      <c r="M17" s="67">
        <f>L17/L$19</f>
        <v>3.8713245460411097E-3</v>
      </c>
    </row>
    <row r="18" spans="1:14" s="60" customFormat="1">
      <c r="A18" s="133" t="s">
        <v>167</v>
      </c>
      <c r="B18" s="133"/>
      <c r="C18" s="69">
        <v>201</v>
      </c>
      <c r="D18" s="69">
        <v>1519</v>
      </c>
      <c r="E18" s="69">
        <v>3164</v>
      </c>
      <c r="F18" s="70">
        <v>1</v>
      </c>
      <c r="G18" s="68"/>
      <c r="H18" s="132" t="s">
        <v>211</v>
      </c>
      <c r="I18" s="132"/>
      <c r="J18" s="66"/>
      <c r="K18" s="66"/>
      <c r="L18" s="66"/>
      <c r="M18" s="67"/>
    </row>
    <row r="19" spans="1:14" s="60" customFormat="1">
      <c r="A19" s="133" t="s">
        <v>8</v>
      </c>
      <c r="B19" s="133"/>
      <c r="C19" s="69">
        <v>79</v>
      </c>
      <c r="D19" s="69">
        <v>531</v>
      </c>
      <c r="E19" s="69">
        <v>1037</v>
      </c>
      <c r="F19" s="70">
        <v>1</v>
      </c>
      <c r="G19" s="68"/>
      <c r="H19" s="133" t="s">
        <v>124</v>
      </c>
      <c r="I19" s="133"/>
      <c r="J19" s="69">
        <v>188</v>
      </c>
      <c r="K19" s="69">
        <v>33622</v>
      </c>
      <c r="L19" s="69">
        <v>75943</v>
      </c>
      <c r="M19" s="70">
        <v>0.99999999999999989</v>
      </c>
    </row>
    <row r="20" spans="1:14" s="60" customFormat="1">
      <c r="A20" s="133" t="s">
        <v>207</v>
      </c>
      <c r="B20" s="133"/>
      <c r="C20" s="69">
        <v>1</v>
      </c>
      <c r="D20" s="69"/>
      <c r="E20" s="69">
        <v>500</v>
      </c>
      <c r="F20" s="70">
        <v>1</v>
      </c>
      <c r="G20" s="68"/>
      <c r="H20" s="66"/>
      <c r="I20" s="66"/>
      <c r="J20" s="66"/>
      <c r="K20" s="66"/>
      <c r="L20" s="66"/>
      <c r="M20" s="66"/>
    </row>
    <row r="21" spans="1:14" s="60" customFormat="1">
      <c r="A21" s="132"/>
      <c r="B21" s="132"/>
      <c r="C21" s="66"/>
      <c r="D21" s="66"/>
      <c r="E21" s="66"/>
      <c r="F21" s="67"/>
      <c r="G21" s="68"/>
      <c r="H21" s="132" t="s">
        <v>30</v>
      </c>
      <c r="I21" s="132"/>
      <c r="J21" s="66"/>
      <c r="K21" s="66"/>
      <c r="L21" s="66"/>
      <c r="M21" s="67"/>
      <c r="N21" s="79"/>
    </row>
    <row r="22" spans="1:14" s="60" customFormat="1">
      <c r="A22" s="132" t="s">
        <v>12</v>
      </c>
      <c r="B22" s="132"/>
      <c r="C22" s="66"/>
      <c r="D22" s="66"/>
      <c r="E22" s="66"/>
      <c r="F22" s="67"/>
      <c r="G22" s="68"/>
      <c r="H22" s="132" t="s">
        <v>31</v>
      </c>
      <c r="I22" s="132"/>
      <c r="J22" s="66"/>
      <c r="K22" s="66"/>
      <c r="L22" s="66"/>
      <c r="M22" s="67"/>
    </row>
    <row r="23" spans="1:14" s="60" customFormat="1">
      <c r="A23" s="132" t="s">
        <v>13</v>
      </c>
      <c r="B23" s="132"/>
      <c r="C23" s="66">
        <v>1</v>
      </c>
      <c r="D23" s="66">
        <v>324</v>
      </c>
      <c r="E23" s="66">
        <v>660</v>
      </c>
      <c r="F23" s="67">
        <f>E23/E$25</f>
        <v>0.37120359955005622</v>
      </c>
      <c r="G23" s="68"/>
      <c r="H23" s="132" t="s">
        <v>32</v>
      </c>
      <c r="I23" s="132"/>
      <c r="J23" s="66"/>
      <c r="K23" s="66"/>
      <c r="L23" s="66"/>
      <c r="M23" s="67"/>
    </row>
    <row r="24" spans="1:14" s="60" customFormat="1">
      <c r="A24" s="132" t="s">
        <v>14</v>
      </c>
      <c r="B24" s="132"/>
      <c r="C24" s="66">
        <v>1</v>
      </c>
      <c r="D24" s="66">
        <v>413</v>
      </c>
      <c r="E24" s="66">
        <v>1118</v>
      </c>
      <c r="F24" s="67">
        <f>E24/E$25</f>
        <v>0.62879640044994378</v>
      </c>
      <c r="G24" s="68"/>
      <c r="H24" s="132" t="s">
        <v>33</v>
      </c>
      <c r="I24" s="132"/>
      <c r="J24" s="66"/>
      <c r="K24" s="66"/>
      <c r="L24" s="66"/>
      <c r="M24" s="67"/>
    </row>
    <row r="25" spans="1:14" s="60" customFormat="1">
      <c r="A25" s="133" t="s">
        <v>129</v>
      </c>
      <c r="B25" s="133"/>
      <c r="C25" s="69">
        <v>2</v>
      </c>
      <c r="D25" s="69">
        <v>737</v>
      </c>
      <c r="E25" s="69">
        <v>1778</v>
      </c>
      <c r="F25" s="70">
        <v>1</v>
      </c>
      <c r="G25" s="68"/>
      <c r="H25" s="133" t="s">
        <v>125</v>
      </c>
      <c r="I25" s="133"/>
      <c r="J25" s="69"/>
      <c r="K25" s="69"/>
      <c r="L25" s="69"/>
      <c r="M25" s="70"/>
    </row>
    <row r="26" spans="1:14" s="60" customFormat="1">
      <c r="A26" s="132"/>
      <c r="B26" s="132"/>
      <c r="C26" s="66"/>
      <c r="D26" s="66"/>
      <c r="E26" s="66"/>
      <c r="F26" s="67"/>
      <c r="G26" s="68"/>
      <c r="H26" s="134"/>
      <c r="I26" s="134"/>
      <c r="J26" s="71"/>
      <c r="K26" s="71"/>
      <c r="L26" s="71"/>
      <c r="M26" s="72"/>
      <c r="N26" s="79"/>
    </row>
    <row r="27" spans="1:14" s="60" customFormat="1">
      <c r="A27" s="132" t="s">
        <v>15</v>
      </c>
      <c r="B27" s="132"/>
      <c r="C27" s="66">
        <v>24</v>
      </c>
      <c r="D27" s="66">
        <v>1129</v>
      </c>
      <c r="E27" s="66">
        <v>2059</v>
      </c>
      <c r="F27" s="67">
        <f t="shared" ref="F27:F34" si="0">E27/E$35</f>
        <v>1.3283699565166901E-2</v>
      </c>
      <c r="G27" s="68"/>
      <c r="H27" s="132" t="s">
        <v>35</v>
      </c>
      <c r="I27" s="132"/>
      <c r="J27" s="66">
        <v>42</v>
      </c>
      <c r="K27" s="66">
        <v>1071</v>
      </c>
      <c r="L27" s="66">
        <v>2006</v>
      </c>
      <c r="M27" s="67">
        <f>L27/L$30</f>
        <v>0.48998534440644848</v>
      </c>
    </row>
    <row r="28" spans="1:14" s="60" customFormat="1">
      <c r="A28" s="132" t="s">
        <v>16</v>
      </c>
      <c r="B28" s="132"/>
      <c r="C28" s="66">
        <v>51</v>
      </c>
      <c r="D28" s="66">
        <v>4084</v>
      </c>
      <c r="E28" s="66">
        <v>7666</v>
      </c>
      <c r="F28" s="67">
        <f t="shared" si="0"/>
        <v>4.945742635578896E-2</v>
      </c>
      <c r="G28" s="68"/>
      <c r="H28" s="132" t="s">
        <v>36</v>
      </c>
      <c r="I28" s="132"/>
      <c r="J28" s="66">
        <v>31</v>
      </c>
      <c r="K28" s="66">
        <v>978</v>
      </c>
      <c r="L28" s="66">
        <v>1852</v>
      </c>
      <c r="M28" s="67">
        <f>L28/L$30</f>
        <v>0.45236932095749877</v>
      </c>
    </row>
    <row r="29" spans="1:14" s="60" customFormat="1">
      <c r="A29" s="132" t="s">
        <v>17</v>
      </c>
      <c r="B29" s="132"/>
      <c r="C29" s="66">
        <v>262</v>
      </c>
      <c r="D29" s="66">
        <v>41614</v>
      </c>
      <c r="E29" s="66">
        <v>78432</v>
      </c>
      <c r="F29" s="67">
        <f t="shared" si="0"/>
        <v>0.50600637411130178</v>
      </c>
      <c r="G29" s="68"/>
      <c r="H29" s="132" t="s">
        <v>37</v>
      </c>
      <c r="I29" s="132"/>
      <c r="J29" s="66">
        <v>3</v>
      </c>
      <c r="K29" s="66">
        <v>128</v>
      </c>
      <c r="L29" s="66">
        <v>236</v>
      </c>
      <c r="M29" s="67">
        <f>L29/L$30</f>
        <v>5.7645334636052759E-2</v>
      </c>
    </row>
    <row r="30" spans="1:14" s="60" customFormat="1">
      <c r="A30" s="132" t="s">
        <v>208</v>
      </c>
      <c r="B30" s="132"/>
      <c r="C30" s="66">
        <v>7</v>
      </c>
      <c r="D30" s="66">
        <v>821</v>
      </c>
      <c r="E30" s="66">
        <v>1561</v>
      </c>
      <c r="F30" s="67">
        <f t="shared" si="0"/>
        <v>1.0070837795641347E-2</v>
      </c>
      <c r="G30" s="68"/>
      <c r="H30" s="133" t="s">
        <v>128</v>
      </c>
      <c r="I30" s="133"/>
      <c r="J30" s="69">
        <v>76</v>
      </c>
      <c r="K30" s="69">
        <v>2177</v>
      </c>
      <c r="L30" s="69">
        <v>4094</v>
      </c>
      <c r="M30" s="70">
        <v>1</v>
      </c>
    </row>
    <row r="31" spans="1:14" s="60" customFormat="1">
      <c r="A31" s="132" t="s">
        <v>168</v>
      </c>
      <c r="B31" s="132"/>
      <c r="C31" s="66">
        <v>178</v>
      </c>
      <c r="D31" s="66">
        <v>28425</v>
      </c>
      <c r="E31" s="66">
        <v>54587</v>
      </c>
      <c r="F31" s="67">
        <f t="shared" si="0"/>
        <v>0.35216964942387841</v>
      </c>
      <c r="G31" s="68"/>
      <c r="H31" s="134"/>
      <c r="I31" s="134"/>
      <c r="J31" s="71"/>
      <c r="K31" s="71"/>
      <c r="L31" s="71"/>
      <c r="M31" s="72"/>
    </row>
    <row r="32" spans="1:14" s="60" customFormat="1">
      <c r="A32" s="132" t="s">
        <v>200</v>
      </c>
      <c r="B32" s="132"/>
      <c r="C32" s="66">
        <v>19</v>
      </c>
      <c r="D32" s="66">
        <v>1998</v>
      </c>
      <c r="E32" s="66">
        <v>4063</v>
      </c>
      <c r="F32" s="67">
        <f t="shared" si="0"/>
        <v>2.62125649991613E-2</v>
      </c>
      <c r="G32" s="68"/>
      <c r="H32" s="132" t="s">
        <v>38</v>
      </c>
      <c r="I32" s="132"/>
      <c r="J32" s="66">
        <v>56</v>
      </c>
      <c r="K32" s="66">
        <v>1219</v>
      </c>
      <c r="L32" s="66">
        <v>2267</v>
      </c>
      <c r="M32" s="67">
        <f>L32/L$35</f>
        <v>0.614196694662693</v>
      </c>
    </row>
    <row r="33" spans="1:13" s="60" customFormat="1">
      <c r="A33" s="132" t="s">
        <v>19</v>
      </c>
      <c r="B33" s="132"/>
      <c r="C33" s="66">
        <v>28</v>
      </c>
      <c r="D33" s="66">
        <v>3010</v>
      </c>
      <c r="E33" s="66">
        <v>6088</v>
      </c>
      <c r="F33" s="67">
        <f t="shared" si="0"/>
        <v>3.927691255596702E-2</v>
      </c>
      <c r="G33" s="68"/>
      <c r="H33" s="132" t="s">
        <v>39</v>
      </c>
      <c r="I33" s="132"/>
      <c r="J33" s="66">
        <v>32</v>
      </c>
      <c r="K33" s="66">
        <v>728</v>
      </c>
      <c r="L33" s="66">
        <v>1338</v>
      </c>
      <c r="M33" s="67">
        <f>L33/L$35</f>
        <v>0.36250338661609322</v>
      </c>
    </row>
    <row r="34" spans="1:13" s="60" customFormat="1">
      <c r="A34" s="132" t="s">
        <v>169</v>
      </c>
      <c r="B34" s="135"/>
      <c r="C34" s="66">
        <v>2</v>
      </c>
      <c r="D34" s="66">
        <v>291</v>
      </c>
      <c r="E34" s="66">
        <v>546</v>
      </c>
      <c r="F34" s="67">
        <f t="shared" si="0"/>
        <v>3.5225351930942826E-3</v>
      </c>
      <c r="G34" s="68"/>
      <c r="H34" s="132" t="s">
        <v>40</v>
      </c>
      <c r="I34" s="132"/>
      <c r="J34" s="66">
        <v>2</v>
      </c>
      <c r="K34" s="66">
        <v>46</v>
      </c>
      <c r="L34" s="66">
        <v>86</v>
      </c>
      <c r="M34" s="67">
        <f>L34/L$35</f>
        <v>2.3299918721213762E-2</v>
      </c>
    </row>
    <row r="35" spans="1:13" s="60" customFormat="1">
      <c r="A35" s="133" t="s">
        <v>131</v>
      </c>
      <c r="B35" s="133"/>
      <c r="C35" s="69">
        <f>SUM(C27:C34)</f>
        <v>571</v>
      </c>
      <c r="D35" s="69">
        <f>SUM(D27:D34)</f>
        <v>81372</v>
      </c>
      <c r="E35" s="69">
        <f>SUM(E27:E34)</f>
        <v>155002</v>
      </c>
      <c r="F35" s="70">
        <v>0.99999999999999989</v>
      </c>
      <c r="G35" s="68"/>
      <c r="H35" s="133" t="s">
        <v>130</v>
      </c>
      <c r="I35" s="133"/>
      <c r="J35" s="69">
        <v>90</v>
      </c>
      <c r="K35" s="69">
        <v>1993</v>
      </c>
      <c r="L35" s="69">
        <v>3691</v>
      </c>
      <c r="M35" s="70">
        <v>1</v>
      </c>
    </row>
    <row r="36" spans="1:13" s="60" customFormat="1">
      <c r="A36" s="134"/>
      <c r="B36" s="134"/>
      <c r="C36" s="71"/>
      <c r="D36" s="71"/>
      <c r="E36" s="71"/>
      <c r="F36" s="72"/>
      <c r="G36" s="68"/>
      <c r="H36" s="136"/>
      <c r="I36" s="136"/>
      <c r="J36" s="73"/>
      <c r="K36" s="73"/>
      <c r="L36" s="73"/>
      <c r="M36" s="74"/>
    </row>
    <row r="37" spans="1:13" s="60" customFormat="1">
      <c r="A37" s="132" t="s">
        <v>20</v>
      </c>
      <c r="B37" s="132"/>
      <c r="C37" s="66">
        <v>3</v>
      </c>
      <c r="D37" s="66">
        <v>47</v>
      </c>
      <c r="E37" s="66">
        <v>85</v>
      </c>
      <c r="F37" s="67">
        <f>E37/E$42</f>
        <v>0.14886164623467601</v>
      </c>
      <c r="G37" s="68"/>
      <c r="H37" s="133" t="s">
        <v>42</v>
      </c>
      <c r="I37" s="133"/>
      <c r="J37" s="69">
        <v>18</v>
      </c>
      <c r="K37" s="69">
        <v>293</v>
      </c>
      <c r="L37" s="69">
        <v>556</v>
      </c>
      <c r="M37" s="70">
        <v>1</v>
      </c>
    </row>
    <row r="38" spans="1:13" s="60" customFormat="1">
      <c r="A38" s="132" t="s">
        <v>21</v>
      </c>
      <c r="B38" s="132"/>
      <c r="C38" s="66">
        <v>2</v>
      </c>
      <c r="D38" s="66">
        <v>94</v>
      </c>
      <c r="E38" s="66">
        <v>180</v>
      </c>
      <c r="F38" s="67">
        <f>E38/E$42</f>
        <v>0.31523642732049034</v>
      </c>
      <c r="G38" s="68"/>
      <c r="H38" s="133" t="s">
        <v>43</v>
      </c>
      <c r="I38" s="133"/>
      <c r="J38" s="69">
        <v>8</v>
      </c>
      <c r="K38" s="69">
        <v>129</v>
      </c>
      <c r="L38" s="69">
        <v>230</v>
      </c>
      <c r="M38" s="70">
        <v>1</v>
      </c>
    </row>
    <row r="39" spans="1:13" s="60" customFormat="1">
      <c r="A39" s="132" t="s">
        <v>22</v>
      </c>
      <c r="B39" s="132"/>
      <c r="C39" s="66">
        <v>3</v>
      </c>
      <c r="D39" s="66">
        <v>96</v>
      </c>
      <c r="E39" s="66">
        <v>174</v>
      </c>
      <c r="F39" s="67">
        <f>E39/E$42</f>
        <v>0.30472854640980734</v>
      </c>
      <c r="G39" s="68"/>
      <c r="H39" s="133" t="s">
        <v>44</v>
      </c>
      <c r="I39" s="133"/>
      <c r="J39" s="69">
        <v>1</v>
      </c>
      <c r="K39" s="69">
        <v>12</v>
      </c>
      <c r="L39" s="69">
        <v>23</v>
      </c>
      <c r="M39" s="70">
        <v>1</v>
      </c>
    </row>
    <row r="40" spans="1:13" s="60" customFormat="1">
      <c r="A40" s="132" t="s">
        <v>172</v>
      </c>
      <c r="B40" s="132"/>
      <c r="C40" s="66"/>
      <c r="D40" s="66"/>
      <c r="E40" s="66"/>
      <c r="F40" s="67"/>
      <c r="G40" s="68"/>
      <c r="H40" s="65"/>
      <c r="I40" s="65"/>
      <c r="J40" s="65"/>
      <c r="K40" s="65"/>
      <c r="L40" s="65"/>
      <c r="M40" s="65"/>
    </row>
    <row r="41" spans="1:13" s="60" customFormat="1">
      <c r="A41" s="132" t="s">
        <v>24</v>
      </c>
      <c r="B41" s="132"/>
      <c r="C41" s="66">
        <v>1</v>
      </c>
      <c r="D41" s="66">
        <v>67</v>
      </c>
      <c r="E41" s="66">
        <v>132</v>
      </c>
      <c r="F41" s="67">
        <f>E41/E$42</f>
        <v>0.23117338003502627</v>
      </c>
      <c r="G41" s="68"/>
      <c r="H41" s="65"/>
      <c r="I41" s="65"/>
      <c r="J41" s="65"/>
      <c r="K41" s="65"/>
      <c r="L41" s="65"/>
      <c r="M41" s="65"/>
    </row>
    <row r="42" spans="1:13" s="60" customFormat="1">
      <c r="A42" s="133" t="s">
        <v>132</v>
      </c>
      <c r="B42" s="133"/>
      <c r="C42" s="69">
        <v>9</v>
      </c>
      <c r="D42" s="69">
        <v>304</v>
      </c>
      <c r="E42" s="69">
        <v>571</v>
      </c>
      <c r="F42" s="70">
        <v>1</v>
      </c>
      <c r="G42" s="68"/>
      <c r="H42" s="133" t="s">
        <v>45</v>
      </c>
      <c r="I42" s="133"/>
      <c r="J42" s="69">
        <f>C15+C17+C18+C19+C20+C25+C35+C42+J19+J25+J30+J35+J37+J38+J39</f>
        <v>1617</v>
      </c>
      <c r="K42" s="69">
        <f>D15+D17+D18+D19+D20+D25+D35+D42+K19+K25+K30+K35+K37+K38+K39</f>
        <v>138375</v>
      </c>
      <c r="L42" s="69">
        <f>E15+E17+E18+E19+E20+E25+E35+E42+L19+L25+L30+L35+L37+L38+L39</f>
        <v>288578</v>
      </c>
      <c r="M42" s="65"/>
    </row>
    <row r="43" spans="1:13" s="60" customFormat="1" ht="14.25">
      <c r="G43" s="68"/>
    </row>
    <row r="44" spans="1:13" s="60" customFormat="1">
      <c r="A44" s="132"/>
      <c r="B44" s="132"/>
      <c r="C44" s="66"/>
      <c r="D44" s="66"/>
      <c r="E44" s="66"/>
      <c r="F44" s="67"/>
      <c r="G44" s="68"/>
    </row>
    <row r="45" spans="1:13" s="60" customFormat="1">
      <c r="A45" s="132"/>
      <c r="B45" s="132"/>
      <c r="C45" s="66"/>
      <c r="D45" s="66"/>
      <c r="E45" s="66"/>
      <c r="F45" s="67"/>
      <c r="G45" s="68"/>
    </row>
    <row r="46" spans="1:13" s="60" customFormat="1">
      <c r="A46" s="132"/>
      <c r="B46" s="132"/>
      <c r="C46" s="66"/>
      <c r="D46" s="66"/>
      <c r="E46" s="66"/>
      <c r="F46" s="67"/>
      <c r="G46" s="68"/>
    </row>
    <row r="47" spans="1:13" s="60" customFormat="1">
      <c r="A47" s="132"/>
      <c r="B47" s="132"/>
      <c r="C47" s="66"/>
      <c r="D47" s="66"/>
      <c r="E47" s="66"/>
      <c r="F47" s="67"/>
      <c r="G47" s="68"/>
    </row>
    <row r="48" spans="1:13" s="60" customFormat="1">
      <c r="A48" s="132"/>
      <c r="B48" s="132"/>
      <c r="C48" s="66"/>
      <c r="D48" s="66"/>
      <c r="E48" s="66"/>
      <c r="F48" s="67"/>
    </row>
    <row r="49" spans="1:13" s="60" customFormat="1" ht="12.75"/>
    <row r="50" spans="1:13" s="60" customFormat="1" ht="12.75"/>
    <row r="51" spans="1:13" s="60" customFormat="1">
      <c r="H51"/>
      <c r="I51"/>
      <c r="J51"/>
      <c r="K51"/>
      <c r="L51"/>
      <c r="M51"/>
    </row>
    <row r="52" spans="1:13" s="60" customFormat="1">
      <c r="H52"/>
      <c r="I52"/>
      <c r="J52"/>
      <c r="K52"/>
      <c r="L52"/>
      <c r="M52"/>
    </row>
    <row r="53" spans="1:13">
      <c r="A53" s="60"/>
      <c r="B53" s="60"/>
      <c r="C53" s="60"/>
      <c r="D53" s="60"/>
      <c r="E53" s="60"/>
      <c r="F53" s="60"/>
      <c r="G53" s="60"/>
    </row>
    <row r="54" spans="1:13">
      <c r="A54" s="60"/>
      <c r="B54" s="60"/>
      <c r="C54" s="60"/>
      <c r="D54" s="60"/>
      <c r="E54" s="60"/>
      <c r="F54" s="60"/>
      <c r="G54" s="60"/>
    </row>
  </sheetData>
  <sheetProtection algorithmName="SHA-512" hashValue="FFSC07jjrdU3emXQR3vojRrYc+Rs0qcW8KF3n4Bqh9R3Hiy5DzXMSK+wVuOZ15A3TisRbAd+IlB4knQtf2q6tA==" saltValue="HcnLV4AHVf76UIibP+JkBQ==" spinCount="100000" sheet="1"/>
  <mergeCells count="72">
    <mergeCell ref="A47:B47"/>
    <mergeCell ref="A38:B38"/>
    <mergeCell ref="H37:I37"/>
    <mergeCell ref="A39:B39"/>
    <mergeCell ref="A48:B48"/>
    <mergeCell ref="H39:I39"/>
    <mergeCell ref="A41:B41"/>
    <mergeCell ref="A42:B42"/>
    <mergeCell ref="A44:B44"/>
    <mergeCell ref="H42:I42"/>
    <mergeCell ref="A45:B45"/>
    <mergeCell ref="H38:I38"/>
    <mergeCell ref="A40:B40"/>
    <mergeCell ref="A46:B46"/>
    <mergeCell ref="H32:I32"/>
    <mergeCell ref="A37:B37"/>
    <mergeCell ref="H33:I33"/>
    <mergeCell ref="H34:I34"/>
    <mergeCell ref="A35:B35"/>
    <mergeCell ref="A36:B36"/>
    <mergeCell ref="H35:I35"/>
    <mergeCell ref="H36:I36"/>
    <mergeCell ref="A34:B34"/>
    <mergeCell ref="A32:B32"/>
    <mergeCell ref="A33:B33"/>
    <mergeCell ref="A22:B22"/>
    <mergeCell ref="A23:B23"/>
    <mergeCell ref="H29:I29"/>
    <mergeCell ref="H28:I28"/>
    <mergeCell ref="A28:B28"/>
    <mergeCell ref="A29:B29"/>
    <mergeCell ref="A26:B26"/>
    <mergeCell ref="H25:I25"/>
    <mergeCell ref="A27:B27"/>
    <mergeCell ref="H24:I24"/>
    <mergeCell ref="H23:I23"/>
    <mergeCell ref="H22:I22"/>
    <mergeCell ref="A24:B24"/>
    <mergeCell ref="H30:I30"/>
    <mergeCell ref="A31:B31"/>
    <mergeCell ref="H31:I31"/>
    <mergeCell ref="A25:B25"/>
    <mergeCell ref="H26:I26"/>
    <mergeCell ref="H27:I27"/>
    <mergeCell ref="A30:B30"/>
    <mergeCell ref="A15:B15"/>
    <mergeCell ref="A16:B16"/>
    <mergeCell ref="H15:I15"/>
    <mergeCell ref="H16:I16"/>
    <mergeCell ref="H17:I17"/>
    <mergeCell ref="H19:I19"/>
    <mergeCell ref="H18:I18"/>
    <mergeCell ref="H21:I21"/>
    <mergeCell ref="A17:B17"/>
    <mergeCell ref="A18:B18"/>
    <mergeCell ref="A19:B19"/>
    <mergeCell ref="A20:B20"/>
    <mergeCell ref="A21:B21"/>
    <mergeCell ref="A8:B8"/>
    <mergeCell ref="H8:I8"/>
    <mergeCell ref="A9:B9"/>
    <mergeCell ref="H9:I9"/>
    <mergeCell ref="A10:B10"/>
    <mergeCell ref="A11:B11"/>
    <mergeCell ref="A12:B12"/>
    <mergeCell ref="A13:B13"/>
    <mergeCell ref="H10:I10"/>
    <mergeCell ref="A14:B14"/>
    <mergeCell ref="H11:I11"/>
    <mergeCell ref="H12:I12"/>
    <mergeCell ref="H13:I13"/>
    <mergeCell ref="H14:I14"/>
  </mergeCells>
  <printOptions horizontalCentered="1" verticalCentered="1"/>
  <pageMargins left="0" right="0" top="0" bottom="0" header="0.31496062992125984" footer="0.31496062992125984"/>
  <pageSetup paperSize="9" scale="76"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DB62"/>
  <sheetViews>
    <sheetView showGridLines="0" zoomScaleNormal="100" workbookViewId="0"/>
  </sheetViews>
  <sheetFormatPr baseColWidth="10" defaultRowHeight="15"/>
  <cols>
    <col min="1" max="1" width="79.85546875" customWidth="1"/>
    <col min="38" max="49" width="11.42578125" customWidth="1"/>
  </cols>
  <sheetData>
    <row r="2" spans="1:106" s="27" customFormat="1" ht="16.5">
      <c r="A2" s="1" t="s">
        <v>224</v>
      </c>
      <c r="BX2" s="51"/>
      <c r="BY2" s="51"/>
    </row>
    <row r="3" spans="1:106" s="27" customFormat="1" ht="16.5">
      <c r="A3" s="3" t="s">
        <v>225</v>
      </c>
      <c r="BX3" s="51"/>
      <c r="BY3" s="51"/>
    </row>
    <row r="4" spans="1:106" s="27" customFormat="1" ht="16.5">
      <c r="A4" s="3" t="s">
        <v>226</v>
      </c>
      <c r="BX4" s="51"/>
      <c r="BY4" s="51"/>
    </row>
    <row r="5" spans="1:106" s="27" customFormat="1" ht="12.75">
      <c r="BX5" s="51"/>
      <c r="BY5" s="51"/>
    </row>
    <row r="6" spans="1:106" s="51" customFormat="1">
      <c r="A6" s="138" t="s">
        <v>187</v>
      </c>
      <c r="B6" s="137" t="s">
        <v>119</v>
      </c>
      <c r="C6" s="137"/>
      <c r="D6" s="137" t="s">
        <v>120</v>
      </c>
      <c r="E6" s="137"/>
      <c r="F6" s="137" t="s">
        <v>121</v>
      </c>
      <c r="G6" s="137"/>
      <c r="H6" s="137" t="s">
        <v>122</v>
      </c>
      <c r="I6" s="137"/>
      <c r="J6" s="137" t="s">
        <v>167</v>
      </c>
      <c r="K6" s="137"/>
      <c r="L6" s="137" t="s">
        <v>42</v>
      </c>
      <c r="M6" s="137"/>
      <c r="N6" s="137" t="s">
        <v>198</v>
      </c>
      <c r="O6" s="137"/>
      <c r="P6" s="137" t="s">
        <v>13</v>
      </c>
      <c r="Q6" s="137"/>
      <c r="R6" s="137" t="s">
        <v>14</v>
      </c>
      <c r="S6" s="137"/>
      <c r="T6" s="137" t="s">
        <v>43</v>
      </c>
      <c r="U6" s="137"/>
      <c r="V6" s="137" t="s">
        <v>15</v>
      </c>
      <c r="W6" s="137"/>
      <c r="X6" s="137" t="s">
        <v>16</v>
      </c>
      <c r="Y6" s="137"/>
      <c r="Z6" s="137" t="s">
        <v>17</v>
      </c>
      <c r="AA6" s="137"/>
      <c r="AB6" s="137" t="s">
        <v>199</v>
      </c>
      <c r="AC6" s="137"/>
      <c r="AD6" s="137" t="s">
        <v>168</v>
      </c>
      <c r="AE6" s="137"/>
      <c r="AF6" s="137" t="s">
        <v>200</v>
      </c>
      <c r="AG6" s="137"/>
      <c r="AH6" s="137" t="s">
        <v>19</v>
      </c>
      <c r="AI6" s="137"/>
      <c r="AJ6" s="137" t="s">
        <v>169</v>
      </c>
      <c r="AK6" s="137"/>
      <c r="AL6" s="137" t="s">
        <v>25</v>
      </c>
      <c r="AM6" s="137"/>
      <c r="AN6" s="137" t="s">
        <v>26</v>
      </c>
      <c r="AO6" s="137"/>
      <c r="AP6" s="137" t="s">
        <v>27</v>
      </c>
      <c r="AQ6" s="137"/>
      <c r="AR6" s="137" t="s">
        <v>28</v>
      </c>
      <c r="AS6" s="137"/>
      <c r="AT6" s="137" t="s">
        <v>210</v>
      </c>
      <c r="AU6" s="137"/>
      <c r="AV6" s="137" t="s">
        <v>29</v>
      </c>
      <c r="AW6" s="137"/>
      <c r="AX6" s="137" t="s">
        <v>171</v>
      </c>
      <c r="AY6" s="137"/>
      <c r="AZ6" s="137" t="s">
        <v>21</v>
      </c>
      <c r="BA6" s="137"/>
      <c r="BB6" s="137" t="s">
        <v>22</v>
      </c>
      <c r="BC6" s="137"/>
      <c r="BD6" s="137" t="s">
        <v>24</v>
      </c>
      <c r="BE6" s="137"/>
      <c r="BF6" s="137" t="s">
        <v>7</v>
      </c>
      <c r="BG6" s="137"/>
      <c r="BH6" s="137" t="s">
        <v>35</v>
      </c>
      <c r="BI6" s="137"/>
      <c r="BJ6" s="137" t="s">
        <v>36</v>
      </c>
      <c r="BK6" s="137"/>
      <c r="BL6" s="137" t="s">
        <v>37</v>
      </c>
      <c r="BM6" s="137"/>
      <c r="BN6" s="137" t="s">
        <v>38</v>
      </c>
      <c r="BO6" s="137"/>
      <c r="BP6" s="137" t="s">
        <v>39</v>
      </c>
      <c r="BQ6" s="137"/>
      <c r="BR6" s="137" t="s">
        <v>40</v>
      </c>
      <c r="BS6" s="137"/>
      <c r="BT6" s="137" t="s">
        <v>44</v>
      </c>
      <c r="BU6" s="137"/>
      <c r="BV6" s="137" t="s">
        <v>8</v>
      </c>
      <c r="BW6" s="137"/>
      <c r="BX6" s="137" t="s">
        <v>45</v>
      </c>
      <c r="BY6" s="137"/>
    </row>
    <row r="7" spans="1:106" s="51" customFormat="1">
      <c r="A7" s="138"/>
      <c r="B7" s="4"/>
      <c r="C7" s="4" t="s">
        <v>176</v>
      </c>
      <c r="D7" s="4"/>
      <c r="E7" s="4"/>
      <c r="F7" s="4"/>
      <c r="G7" s="4"/>
      <c r="H7" s="4"/>
      <c r="I7" s="4" t="s">
        <v>176</v>
      </c>
      <c r="J7" s="4"/>
      <c r="K7" s="4" t="s">
        <v>176</v>
      </c>
      <c r="L7" s="4"/>
      <c r="M7" s="4" t="s">
        <v>176</v>
      </c>
      <c r="N7" s="4"/>
      <c r="O7" s="4" t="s">
        <v>176</v>
      </c>
      <c r="P7" s="4"/>
      <c r="Q7" s="4" t="s">
        <v>176</v>
      </c>
      <c r="R7" s="4"/>
      <c r="S7" s="4" t="s">
        <v>176</v>
      </c>
      <c r="T7" s="4"/>
      <c r="U7" s="4" t="s">
        <v>176</v>
      </c>
      <c r="V7" s="4"/>
      <c r="W7" s="4" t="s">
        <v>176</v>
      </c>
      <c r="X7" s="4"/>
      <c r="Y7" s="4" t="s">
        <v>176</v>
      </c>
      <c r="Z7" s="4"/>
      <c r="AA7" s="4" t="s">
        <v>176</v>
      </c>
      <c r="AB7" s="4"/>
      <c r="AC7" s="4" t="s">
        <v>176</v>
      </c>
      <c r="AD7" s="4"/>
      <c r="AE7" s="4" t="s">
        <v>176</v>
      </c>
      <c r="AF7" s="4"/>
      <c r="AG7" s="4" t="s">
        <v>176</v>
      </c>
      <c r="AH7" s="4"/>
      <c r="AI7" s="4" t="s">
        <v>176</v>
      </c>
      <c r="AJ7" s="4"/>
      <c r="AK7" s="4" t="s">
        <v>176</v>
      </c>
      <c r="AL7" s="4"/>
      <c r="AM7" s="4" t="s">
        <v>176</v>
      </c>
      <c r="AN7" s="4"/>
      <c r="AO7" s="4" t="s">
        <v>176</v>
      </c>
      <c r="AP7" s="4"/>
      <c r="AQ7" s="4" t="s">
        <v>176</v>
      </c>
      <c r="AR7" s="4"/>
      <c r="AS7" s="4" t="s">
        <v>176</v>
      </c>
      <c r="AT7" s="4"/>
      <c r="AU7" s="4" t="s">
        <v>176</v>
      </c>
      <c r="AV7" s="4"/>
      <c r="AW7" s="4" t="s">
        <v>176</v>
      </c>
      <c r="AX7" s="4"/>
      <c r="AY7" s="4" t="s">
        <v>176</v>
      </c>
      <c r="AZ7" s="4"/>
      <c r="BA7" s="4" t="s">
        <v>176</v>
      </c>
      <c r="BB7" s="4"/>
      <c r="BC7" s="4" t="s">
        <v>176</v>
      </c>
      <c r="BD7" s="4"/>
      <c r="BE7" s="4" t="s">
        <v>176</v>
      </c>
      <c r="BF7" s="4"/>
      <c r="BG7" s="4" t="s">
        <v>176</v>
      </c>
      <c r="BH7" s="4"/>
      <c r="BI7" s="4" t="s">
        <v>176</v>
      </c>
      <c r="BJ7" s="4"/>
      <c r="BK7" s="4" t="s">
        <v>176</v>
      </c>
      <c r="BL7" s="4"/>
      <c r="BM7" s="4" t="s">
        <v>176</v>
      </c>
      <c r="BN7" s="4"/>
      <c r="BO7" s="4" t="s">
        <v>176</v>
      </c>
      <c r="BP7" s="4"/>
      <c r="BQ7" s="4" t="s">
        <v>176</v>
      </c>
      <c r="BR7" s="4"/>
      <c r="BS7" s="4" t="s">
        <v>176</v>
      </c>
      <c r="BT7" s="4"/>
      <c r="BU7" s="4" t="s">
        <v>176</v>
      </c>
      <c r="BV7" s="4"/>
      <c r="BW7" s="4" t="s">
        <v>176</v>
      </c>
      <c r="BX7" s="4"/>
      <c r="BY7" s="4"/>
    </row>
    <row r="8" spans="1:106" s="51" customFormat="1">
      <c r="A8" s="138" t="s">
        <v>188</v>
      </c>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46</v>
      </c>
      <c r="BC8" s="4" t="s">
        <v>47</v>
      </c>
      <c r="BD8" s="4" t="s">
        <v>201</v>
      </c>
      <c r="BE8" s="4" t="s">
        <v>202</v>
      </c>
      <c r="BF8" s="4" t="s">
        <v>201</v>
      </c>
      <c r="BG8" s="4" t="s">
        <v>202</v>
      </c>
      <c r="BH8" s="4" t="s">
        <v>46</v>
      </c>
      <c r="BI8" s="4" t="s">
        <v>47</v>
      </c>
      <c r="BJ8" s="4" t="s">
        <v>46</v>
      </c>
      <c r="BK8" s="4" t="s">
        <v>47</v>
      </c>
      <c r="BL8" s="4" t="s">
        <v>46</v>
      </c>
      <c r="BM8" s="4" t="s">
        <v>47</v>
      </c>
      <c r="BN8" s="4" t="s">
        <v>46</v>
      </c>
      <c r="BO8" s="4" t="s">
        <v>47</v>
      </c>
      <c r="BP8" s="4" t="s">
        <v>46</v>
      </c>
      <c r="BQ8" s="4" t="s">
        <v>47</v>
      </c>
      <c r="BR8" s="4" t="s">
        <v>46</v>
      </c>
      <c r="BS8" s="4" t="s">
        <v>47</v>
      </c>
      <c r="BT8" s="4" t="s">
        <v>46</v>
      </c>
      <c r="BU8" s="4" t="s">
        <v>47</v>
      </c>
      <c r="BV8" s="4" t="s">
        <v>46</v>
      </c>
      <c r="BW8" s="4" t="s">
        <v>47</v>
      </c>
      <c r="BX8" s="4" t="s">
        <v>46</v>
      </c>
      <c r="BY8" s="4" t="s">
        <v>47</v>
      </c>
    </row>
    <row r="9" spans="1:106" s="27" customFormat="1">
      <c r="A9" s="5" t="s">
        <v>48</v>
      </c>
      <c r="B9" s="6"/>
      <c r="C9" s="6"/>
      <c r="D9" s="6"/>
      <c r="E9" s="6"/>
      <c r="F9" s="6"/>
      <c r="G9" s="6"/>
      <c r="H9" s="6"/>
      <c r="I9" s="6"/>
      <c r="J9" s="6">
        <v>2</v>
      </c>
      <c r="K9" s="6">
        <v>16</v>
      </c>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v>1</v>
      </c>
      <c r="BG9" s="6">
        <v>50</v>
      </c>
      <c r="BH9" s="6"/>
      <c r="BI9" s="6"/>
      <c r="BJ9" s="6"/>
      <c r="BK9" s="6"/>
      <c r="BL9" s="6"/>
      <c r="BM9" s="6"/>
      <c r="BN9" s="6"/>
      <c r="BO9" s="6"/>
      <c r="BP9" s="6">
        <v>1</v>
      </c>
      <c r="BQ9" s="6">
        <v>21</v>
      </c>
      <c r="BR9" s="6"/>
      <c r="BS9" s="6"/>
      <c r="BT9" s="6"/>
      <c r="BU9" s="6"/>
      <c r="BV9" s="6">
        <v>4</v>
      </c>
      <c r="BW9" s="6">
        <v>50</v>
      </c>
      <c r="BX9" s="8">
        <f>B9+D9+F9+H9+J9+L9+N9+P9+R9+T9+V9+X9+Z9+AB9+AD9+AF9+AH9+AJ9+AL9+AN9+AP9+AR9+AT9+AV9+AX9+AZ9+BB9+BD9+BF9+BH9+BJ9+BL9+BN9+BP9+BR9+BT9+BV9</f>
        <v>8</v>
      </c>
      <c r="BY9" s="8">
        <f>C9+E9+G9+I9+K9+M9+O9+Q9+S9+U9+W9+Y9+AA9+AC9+AE9+AG9+AI9+AK9+AM9+AO9+AQ9+AS9+AU9+AW9+AY9+BA9+BC9+BE9+BG9+BI9+BK9+BM9+BO9+BQ9+BS9+BU9+BW9</f>
        <v>137</v>
      </c>
      <c r="BZ9" s="52"/>
      <c r="CA9" s="52"/>
      <c r="CB9" s="52"/>
      <c r="DB9" s="53"/>
    </row>
    <row r="10" spans="1:106" s="27" customFormat="1">
      <c r="A10" s="10" t="s">
        <v>49</v>
      </c>
      <c r="B10" s="6">
        <v>5</v>
      </c>
      <c r="C10" s="6">
        <v>273</v>
      </c>
      <c r="D10" s="6">
        <v>19</v>
      </c>
      <c r="E10" s="6">
        <v>2949</v>
      </c>
      <c r="F10" s="6">
        <v>6</v>
      </c>
      <c r="G10" s="6">
        <v>4752</v>
      </c>
      <c r="H10" s="6"/>
      <c r="I10" s="6"/>
      <c r="J10" s="6">
        <v>4</v>
      </c>
      <c r="K10" s="6">
        <v>54</v>
      </c>
      <c r="L10" s="6"/>
      <c r="M10" s="6"/>
      <c r="N10" s="6"/>
      <c r="O10" s="6"/>
      <c r="P10" s="6"/>
      <c r="Q10" s="6"/>
      <c r="R10" s="6"/>
      <c r="S10" s="6"/>
      <c r="T10" s="6">
        <v>1</v>
      </c>
      <c r="U10" s="6">
        <v>32</v>
      </c>
      <c r="V10" s="6"/>
      <c r="W10" s="6"/>
      <c r="X10" s="6"/>
      <c r="Y10" s="6"/>
      <c r="Z10" s="6">
        <v>17</v>
      </c>
      <c r="AA10" s="6">
        <v>7983</v>
      </c>
      <c r="AB10" s="6"/>
      <c r="AC10" s="6"/>
      <c r="AD10" s="6">
        <v>4</v>
      </c>
      <c r="AE10" s="6">
        <v>2429</v>
      </c>
      <c r="AF10" s="6"/>
      <c r="AG10" s="6"/>
      <c r="AH10" s="6"/>
      <c r="AI10" s="6"/>
      <c r="AJ10" s="6"/>
      <c r="AK10" s="6"/>
      <c r="AL10" s="6"/>
      <c r="AM10" s="6"/>
      <c r="AN10" s="6"/>
      <c r="AO10" s="6"/>
      <c r="AP10" s="6">
        <v>9</v>
      </c>
      <c r="AQ10" s="6">
        <v>3721</v>
      </c>
      <c r="AR10" s="6">
        <v>11</v>
      </c>
      <c r="AS10" s="6">
        <v>3916</v>
      </c>
      <c r="AT10" s="6"/>
      <c r="AU10" s="6"/>
      <c r="AV10" s="6"/>
      <c r="AW10" s="6"/>
      <c r="AX10" s="6"/>
      <c r="AY10" s="6"/>
      <c r="AZ10" s="6"/>
      <c r="BA10" s="6"/>
      <c r="BB10" s="6"/>
      <c r="BC10" s="6"/>
      <c r="BD10" s="6"/>
      <c r="BE10" s="6"/>
      <c r="BF10" s="6"/>
      <c r="BG10" s="6"/>
      <c r="BH10" s="6">
        <v>2</v>
      </c>
      <c r="BI10" s="6">
        <v>76</v>
      </c>
      <c r="BJ10" s="6"/>
      <c r="BK10" s="6"/>
      <c r="BL10" s="6"/>
      <c r="BM10" s="6"/>
      <c r="BN10" s="6">
        <v>1</v>
      </c>
      <c r="BO10" s="6">
        <v>55</v>
      </c>
      <c r="BP10" s="6">
        <v>1</v>
      </c>
      <c r="BQ10" s="6">
        <v>39</v>
      </c>
      <c r="BR10" s="6"/>
      <c r="BS10" s="6"/>
      <c r="BT10" s="6"/>
      <c r="BU10" s="6"/>
      <c r="BV10" s="6">
        <v>6</v>
      </c>
      <c r="BW10" s="6">
        <v>68</v>
      </c>
      <c r="BX10" s="8">
        <f t="shared" ref="BX10:BX59" si="0">B10+D10+F10+H10+J10+L10+N10+P10+R10+T10+V10+X10+Z10+AB10+AD10+AF10+AH10+AJ10+AL10+AN10+AP10+AR10+AT10+AV10+AX10+AZ10+BB10+BD10+BF10+BH10+BJ10+BL10+BN10+BP10+BR10+BT10+BV10</f>
        <v>86</v>
      </c>
      <c r="BY10" s="8">
        <f t="shared" ref="BY10:BY59" si="1">C10+E10+G10+I10+K10+M10+O10+Q10+S10+U10+W10+Y10+AA10+AC10+AE10+AG10+AI10+AK10+AM10+AO10+AQ10+AS10+AU10+AW10+AY10+BA10+BC10+BE10+BG10+BI10+BK10+BM10+BO10+BQ10+BS10+BU10+BW10</f>
        <v>26347</v>
      </c>
      <c r="BZ10" s="52"/>
      <c r="CA10" s="52"/>
      <c r="CB10" s="52"/>
    </row>
    <row r="11" spans="1:106" s="27" customFormat="1">
      <c r="A11" s="5" t="s">
        <v>50</v>
      </c>
      <c r="B11" s="6"/>
      <c r="C11" s="6"/>
      <c r="D11" s="6"/>
      <c r="E11" s="6"/>
      <c r="F11" s="6"/>
      <c r="G11" s="6"/>
      <c r="H11" s="6"/>
      <c r="I11" s="6"/>
      <c r="J11" s="6">
        <v>1</v>
      </c>
      <c r="K11" s="6">
        <v>24</v>
      </c>
      <c r="L11" s="6"/>
      <c r="M11" s="6"/>
      <c r="N11" s="6"/>
      <c r="O11" s="6"/>
      <c r="P11" s="6"/>
      <c r="Q11" s="6"/>
      <c r="R11" s="6"/>
      <c r="S11" s="6"/>
      <c r="T11" s="6"/>
      <c r="U11" s="6"/>
      <c r="V11" s="6"/>
      <c r="W11" s="6"/>
      <c r="X11" s="6"/>
      <c r="Y11" s="6"/>
      <c r="Z11" s="6">
        <v>1</v>
      </c>
      <c r="AA11" s="6">
        <v>28</v>
      </c>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v>1</v>
      </c>
      <c r="BG11" s="6">
        <v>31</v>
      </c>
      <c r="BH11" s="6"/>
      <c r="BI11" s="6"/>
      <c r="BJ11" s="6"/>
      <c r="BK11" s="6"/>
      <c r="BL11" s="6"/>
      <c r="BM11" s="6"/>
      <c r="BN11" s="6"/>
      <c r="BO11" s="6"/>
      <c r="BP11" s="6"/>
      <c r="BQ11" s="6"/>
      <c r="BR11" s="6"/>
      <c r="BS11" s="6"/>
      <c r="BT11" s="6"/>
      <c r="BU11" s="6"/>
      <c r="BV11" s="6">
        <v>2</v>
      </c>
      <c r="BW11" s="6">
        <v>26</v>
      </c>
      <c r="BX11" s="8">
        <f t="shared" si="0"/>
        <v>5</v>
      </c>
      <c r="BY11" s="8">
        <f t="shared" si="1"/>
        <v>109</v>
      </c>
      <c r="BZ11" s="52"/>
      <c r="CA11" s="52"/>
      <c r="CB11" s="52"/>
    </row>
    <row r="12" spans="1:106" s="27" customFormat="1">
      <c r="A12" s="5" t="s">
        <v>51</v>
      </c>
      <c r="B12" s="6">
        <v>1</v>
      </c>
      <c r="C12" s="6">
        <v>54</v>
      </c>
      <c r="D12" s="6">
        <v>1</v>
      </c>
      <c r="E12" s="6">
        <v>98</v>
      </c>
      <c r="F12" s="6">
        <v>1</v>
      </c>
      <c r="G12" s="6">
        <v>414</v>
      </c>
      <c r="H12" s="6"/>
      <c r="I12" s="6"/>
      <c r="J12" s="6">
        <v>1</v>
      </c>
      <c r="K12" s="6">
        <v>14</v>
      </c>
      <c r="L12" s="6"/>
      <c r="M12" s="6"/>
      <c r="N12" s="6"/>
      <c r="O12" s="6"/>
      <c r="P12" s="6"/>
      <c r="Q12" s="6"/>
      <c r="R12" s="6"/>
      <c r="S12" s="6"/>
      <c r="T12" s="6"/>
      <c r="U12" s="6"/>
      <c r="V12" s="6"/>
      <c r="W12" s="6"/>
      <c r="X12" s="6"/>
      <c r="Y12" s="6"/>
      <c r="Z12" s="6">
        <v>2</v>
      </c>
      <c r="AA12" s="6">
        <v>309</v>
      </c>
      <c r="AB12" s="6"/>
      <c r="AC12" s="6"/>
      <c r="AD12" s="6">
        <v>4</v>
      </c>
      <c r="AE12" s="6">
        <v>1703</v>
      </c>
      <c r="AF12" s="6">
        <v>1</v>
      </c>
      <c r="AG12" s="6">
        <v>42</v>
      </c>
      <c r="AH12" s="6">
        <v>1</v>
      </c>
      <c r="AI12" s="6">
        <v>330</v>
      </c>
      <c r="AJ12" s="6"/>
      <c r="AK12" s="6"/>
      <c r="AL12" s="6"/>
      <c r="AM12" s="6"/>
      <c r="AN12" s="6"/>
      <c r="AO12" s="6"/>
      <c r="AP12" s="6"/>
      <c r="AQ12" s="6"/>
      <c r="AR12" s="6">
        <v>3</v>
      </c>
      <c r="AS12" s="6">
        <v>546</v>
      </c>
      <c r="AT12" s="6"/>
      <c r="AU12" s="6"/>
      <c r="AV12" s="6"/>
      <c r="AW12" s="6"/>
      <c r="AX12" s="6"/>
      <c r="AY12" s="6"/>
      <c r="AZ12" s="6"/>
      <c r="BA12" s="6"/>
      <c r="BB12" s="6"/>
      <c r="BC12" s="6"/>
      <c r="BD12" s="6"/>
      <c r="BE12" s="6"/>
      <c r="BF12" s="6"/>
      <c r="BG12" s="6"/>
      <c r="BH12" s="6">
        <v>1</v>
      </c>
      <c r="BI12" s="6">
        <v>40</v>
      </c>
      <c r="BJ12" s="6"/>
      <c r="BK12" s="6"/>
      <c r="BL12" s="6"/>
      <c r="BM12" s="6"/>
      <c r="BN12" s="6"/>
      <c r="BO12" s="6"/>
      <c r="BP12" s="6">
        <v>1</v>
      </c>
      <c r="BQ12" s="6">
        <v>28</v>
      </c>
      <c r="BR12" s="6"/>
      <c r="BS12" s="6"/>
      <c r="BT12" s="6"/>
      <c r="BU12" s="6"/>
      <c r="BV12" s="6">
        <v>1</v>
      </c>
      <c r="BW12" s="6">
        <v>8</v>
      </c>
      <c r="BX12" s="8">
        <f t="shared" si="0"/>
        <v>18</v>
      </c>
      <c r="BY12" s="8">
        <f t="shared" si="1"/>
        <v>3586</v>
      </c>
      <c r="BZ12" s="52"/>
      <c r="CA12" s="52"/>
      <c r="CB12" s="52"/>
    </row>
    <row r="13" spans="1:106" s="27" customFormat="1">
      <c r="A13" s="5" t="s">
        <v>203</v>
      </c>
      <c r="B13" s="6"/>
      <c r="C13" s="6"/>
      <c r="D13" s="6"/>
      <c r="E13" s="6"/>
      <c r="F13" s="6"/>
      <c r="G13" s="6"/>
      <c r="H13" s="6"/>
      <c r="I13" s="6"/>
      <c r="J13" s="6">
        <v>1</v>
      </c>
      <c r="K13" s="6">
        <v>10</v>
      </c>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v>1</v>
      </c>
      <c r="BW13" s="6">
        <v>32</v>
      </c>
      <c r="BX13" s="8">
        <f t="shared" si="0"/>
        <v>2</v>
      </c>
      <c r="BY13" s="8">
        <f t="shared" si="1"/>
        <v>42</v>
      </c>
      <c r="BZ13" s="52"/>
      <c r="CA13" s="52"/>
      <c r="CB13" s="52"/>
    </row>
    <row r="14" spans="1:106" s="27" customFormat="1">
      <c r="A14" s="5" t="s">
        <v>52</v>
      </c>
      <c r="B14" s="6">
        <v>1</v>
      </c>
      <c r="C14" s="6">
        <v>38</v>
      </c>
      <c r="D14" s="6"/>
      <c r="E14" s="6"/>
      <c r="F14" s="6"/>
      <c r="G14" s="6"/>
      <c r="H14" s="6"/>
      <c r="I14" s="6"/>
      <c r="J14" s="6">
        <v>6</v>
      </c>
      <c r="K14" s="6">
        <v>61</v>
      </c>
      <c r="L14" s="6"/>
      <c r="M14" s="6"/>
      <c r="N14" s="6"/>
      <c r="O14" s="6"/>
      <c r="P14" s="6"/>
      <c r="Q14" s="6"/>
      <c r="R14" s="6"/>
      <c r="S14" s="6"/>
      <c r="T14" s="6"/>
      <c r="U14" s="6"/>
      <c r="V14" s="6"/>
      <c r="W14" s="6"/>
      <c r="X14" s="6"/>
      <c r="Y14" s="6"/>
      <c r="Z14" s="6"/>
      <c r="AA14" s="6"/>
      <c r="AB14" s="6"/>
      <c r="AC14" s="6"/>
      <c r="AD14" s="6">
        <v>1</v>
      </c>
      <c r="AE14" s="6">
        <v>16</v>
      </c>
      <c r="AF14" s="6"/>
      <c r="AG14" s="6"/>
      <c r="AH14" s="6"/>
      <c r="AI14" s="6"/>
      <c r="AJ14" s="6"/>
      <c r="AK14" s="6"/>
      <c r="AL14" s="6"/>
      <c r="AM14" s="6"/>
      <c r="AN14" s="6"/>
      <c r="AO14" s="6"/>
      <c r="AP14" s="6"/>
      <c r="AQ14" s="6"/>
      <c r="AR14" s="6">
        <v>1</v>
      </c>
      <c r="AS14" s="6">
        <v>89</v>
      </c>
      <c r="AT14" s="6"/>
      <c r="AU14" s="6"/>
      <c r="AV14" s="6"/>
      <c r="AW14" s="6"/>
      <c r="AX14" s="6"/>
      <c r="AY14" s="6"/>
      <c r="AZ14" s="6"/>
      <c r="BA14" s="6"/>
      <c r="BB14" s="6"/>
      <c r="BC14" s="6"/>
      <c r="BD14" s="6"/>
      <c r="BE14" s="6"/>
      <c r="BF14" s="6">
        <v>1</v>
      </c>
      <c r="BG14" s="6">
        <v>50</v>
      </c>
      <c r="BH14" s="6">
        <v>1</v>
      </c>
      <c r="BI14" s="6">
        <v>15</v>
      </c>
      <c r="BJ14" s="6">
        <v>1</v>
      </c>
      <c r="BK14" s="6">
        <v>12</v>
      </c>
      <c r="BL14" s="6"/>
      <c r="BM14" s="6"/>
      <c r="BN14" s="6"/>
      <c r="BO14" s="6"/>
      <c r="BP14" s="6"/>
      <c r="BQ14" s="6"/>
      <c r="BR14" s="6"/>
      <c r="BS14" s="6"/>
      <c r="BT14" s="6"/>
      <c r="BU14" s="6"/>
      <c r="BV14" s="6">
        <v>5</v>
      </c>
      <c r="BW14" s="6">
        <v>63</v>
      </c>
      <c r="BX14" s="8">
        <f t="shared" si="0"/>
        <v>17</v>
      </c>
      <c r="BY14" s="8">
        <f t="shared" si="1"/>
        <v>344</v>
      </c>
      <c r="BZ14" s="52"/>
      <c r="CA14" s="52"/>
      <c r="CB14" s="52"/>
    </row>
    <row r="15" spans="1:106" s="27" customFormat="1">
      <c r="A15" s="5" t="s">
        <v>53</v>
      </c>
      <c r="B15" s="6"/>
      <c r="C15" s="6"/>
      <c r="D15" s="6"/>
      <c r="E15" s="6"/>
      <c r="F15" s="6"/>
      <c r="G15" s="6"/>
      <c r="H15" s="6"/>
      <c r="I15" s="6"/>
      <c r="J15" s="6"/>
      <c r="K15" s="6"/>
      <c r="L15" s="6"/>
      <c r="M15" s="6"/>
      <c r="N15" s="6"/>
      <c r="O15" s="6"/>
      <c r="P15" s="6"/>
      <c r="Q15" s="6"/>
      <c r="R15" s="6"/>
      <c r="S15" s="6"/>
      <c r="T15" s="6"/>
      <c r="U15" s="6"/>
      <c r="V15" s="6"/>
      <c r="W15" s="6"/>
      <c r="X15" s="6"/>
      <c r="Y15" s="6"/>
      <c r="Z15" s="6">
        <v>2</v>
      </c>
      <c r="AA15" s="6">
        <v>121</v>
      </c>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v>1</v>
      </c>
      <c r="BK15" s="6">
        <v>75</v>
      </c>
      <c r="BL15" s="6"/>
      <c r="BM15" s="6"/>
      <c r="BN15" s="6"/>
      <c r="BO15" s="6"/>
      <c r="BP15" s="6"/>
      <c r="BQ15" s="6"/>
      <c r="BR15" s="6"/>
      <c r="BS15" s="6"/>
      <c r="BT15" s="6"/>
      <c r="BU15" s="6"/>
      <c r="BV15" s="6">
        <v>3</v>
      </c>
      <c r="BW15" s="6">
        <v>35</v>
      </c>
      <c r="BX15" s="8">
        <f t="shared" si="0"/>
        <v>6</v>
      </c>
      <c r="BY15" s="8">
        <f t="shared" si="1"/>
        <v>231</v>
      </c>
      <c r="BZ15" s="52"/>
      <c r="CA15" s="52"/>
      <c r="CB15" s="52"/>
    </row>
    <row r="16" spans="1:106" s="27" customFormat="1">
      <c r="A16" s="5" t="s">
        <v>54</v>
      </c>
      <c r="B16" s="6"/>
      <c r="C16" s="6"/>
      <c r="D16" s="6"/>
      <c r="E16" s="6"/>
      <c r="F16" s="6"/>
      <c r="G16" s="6"/>
      <c r="H16" s="6"/>
      <c r="I16" s="6"/>
      <c r="J16" s="6">
        <v>2</v>
      </c>
      <c r="K16" s="6">
        <v>43</v>
      </c>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8">
        <f t="shared" si="0"/>
        <v>2</v>
      </c>
      <c r="BY16" s="8">
        <f t="shared" si="1"/>
        <v>43</v>
      </c>
      <c r="BZ16" s="52"/>
      <c r="CA16" s="52"/>
      <c r="CB16" s="52"/>
    </row>
    <row r="17" spans="1:80" s="27" customFormat="1">
      <c r="A17" s="5" t="s">
        <v>55</v>
      </c>
      <c r="B17" s="6"/>
      <c r="C17" s="6"/>
      <c r="D17" s="6"/>
      <c r="E17" s="6"/>
      <c r="F17" s="6"/>
      <c r="G17" s="6"/>
      <c r="H17" s="6"/>
      <c r="I17" s="6"/>
      <c r="J17" s="6">
        <v>1</v>
      </c>
      <c r="K17" s="6">
        <v>12</v>
      </c>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8">
        <f t="shared" si="0"/>
        <v>1</v>
      </c>
      <c r="BY17" s="8">
        <f t="shared" si="1"/>
        <v>12</v>
      </c>
      <c r="BZ17" s="52"/>
      <c r="CA17" s="52"/>
      <c r="CB17" s="52"/>
    </row>
    <row r="18" spans="1:80" s="27" customFormat="1">
      <c r="A18" s="5" t="s">
        <v>56</v>
      </c>
      <c r="B18" s="6"/>
      <c r="C18" s="6"/>
      <c r="D18" s="6"/>
      <c r="E18" s="6"/>
      <c r="F18" s="6"/>
      <c r="G18" s="6"/>
      <c r="H18" s="6"/>
      <c r="I18" s="6"/>
      <c r="J18" s="6">
        <v>11</v>
      </c>
      <c r="K18" s="6">
        <v>148</v>
      </c>
      <c r="L18" s="6"/>
      <c r="M18" s="6"/>
      <c r="N18" s="6"/>
      <c r="O18" s="6"/>
      <c r="P18" s="6"/>
      <c r="Q18" s="6"/>
      <c r="R18" s="6"/>
      <c r="S18" s="6"/>
      <c r="T18" s="6"/>
      <c r="U18" s="6"/>
      <c r="V18" s="6"/>
      <c r="W18" s="6"/>
      <c r="X18" s="6"/>
      <c r="Y18" s="6"/>
      <c r="Z18" s="6"/>
      <c r="AA18" s="6"/>
      <c r="AB18" s="6"/>
      <c r="AC18" s="6"/>
      <c r="AD18" s="6">
        <v>1</v>
      </c>
      <c r="AE18" s="6">
        <v>38</v>
      </c>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v>1</v>
      </c>
      <c r="BQ18" s="6">
        <v>30</v>
      </c>
      <c r="BR18" s="6"/>
      <c r="BS18" s="6"/>
      <c r="BT18" s="6"/>
      <c r="BU18" s="6"/>
      <c r="BV18" s="6"/>
      <c r="BW18" s="6"/>
      <c r="BX18" s="8">
        <f t="shared" si="0"/>
        <v>13</v>
      </c>
      <c r="BY18" s="8">
        <f t="shared" si="1"/>
        <v>216</v>
      </c>
      <c r="BZ18" s="52"/>
      <c r="CA18" s="52"/>
      <c r="CB18" s="52"/>
    </row>
    <row r="19" spans="1:80" s="27" customFormat="1">
      <c r="A19" s="5" t="s">
        <v>57</v>
      </c>
      <c r="B19" s="6">
        <v>11</v>
      </c>
      <c r="C19" s="6">
        <v>674</v>
      </c>
      <c r="D19" s="6">
        <v>28</v>
      </c>
      <c r="E19" s="6">
        <v>4423</v>
      </c>
      <c r="F19" s="6">
        <v>27</v>
      </c>
      <c r="G19" s="6">
        <v>4505</v>
      </c>
      <c r="H19" s="6">
        <v>5</v>
      </c>
      <c r="I19" s="6">
        <v>977</v>
      </c>
      <c r="J19" s="6">
        <v>5</v>
      </c>
      <c r="K19" s="6">
        <v>77</v>
      </c>
      <c r="L19" s="6">
        <v>2</v>
      </c>
      <c r="M19" s="6">
        <v>32</v>
      </c>
      <c r="N19" s="6"/>
      <c r="O19" s="6"/>
      <c r="P19" s="6"/>
      <c r="Q19" s="6"/>
      <c r="R19" s="6">
        <v>1</v>
      </c>
      <c r="S19" s="6">
        <v>1118</v>
      </c>
      <c r="T19" s="6"/>
      <c r="U19" s="6"/>
      <c r="V19" s="6">
        <v>4</v>
      </c>
      <c r="W19" s="6">
        <v>278</v>
      </c>
      <c r="X19" s="6">
        <v>8</v>
      </c>
      <c r="Y19" s="6">
        <v>1490</v>
      </c>
      <c r="Z19" s="6">
        <v>56</v>
      </c>
      <c r="AA19" s="6">
        <v>18102</v>
      </c>
      <c r="AB19" s="6"/>
      <c r="AC19" s="6"/>
      <c r="AD19" s="6">
        <v>45</v>
      </c>
      <c r="AE19" s="6">
        <v>14330</v>
      </c>
      <c r="AF19" s="6">
        <v>3</v>
      </c>
      <c r="AG19" s="6">
        <v>456</v>
      </c>
      <c r="AH19" s="6">
        <v>5</v>
      </c>
      <c r="AI19" s="6">
        <v>840</v>
      </c>
      <c r="AJ19" s="6"/>
      <c r="AK19" s="6"/>
      <c r="AL19" s="6"/>
      <c r="AM19" s="6"/>
      <c r="AN19" s="6">
        <v>2</v>
      </c>
      <c r="AO19" s="6">
        <v>159</v>
      </c>
      <c r="AP19" s="6">
        <v>16</v>
      </c>
      <c r="AQ19" s="6">
        <v>7650</v>
      </c>
      <c r="AR19" s="6">
        <v>8</v>
      </c>
      <c r="AS19" s="6">
        <v>3621</v>
      </c>
      <c r="AT19" s="6"/>
      <c r="AU19" s="6"/>
      <c r="AV19" s="6"/>
      <c r="AW19" s="6"/>
      <c r="AX19" s="6">
        <v>1</v>
      </c>
      <c r="AY19" s="6">
        <v>27</v>
      </c>
      <c r="AZ19" s="6"/>
      <c r="BA19" s="6"/>
      <c r="BB19" s="6"/>
      <c r="BC19" s="6"/>
      <c r="BD19" s="6"/>
      <c r="BE19" s="6"/>
      <c r="BF19" s="6">
        <v>1</v>
      </c>
      <c r="BG19" s="6">
        <v>82</v>
      </c>
      <c r="BH19" s="6">
        <v>3</v>
      </c>
      <c r="BI19" s="6">
        <v>95</v>
      </c>
      <c r="BJ19" s="6">
        <v>6</v>
      </c>
      <c r="BK19" s="6">
        <v>371</v>
      </c>
      <c r="BL19" s="6">
        <v>1</v>
      </c>
      <c r="BM19" s="6">
        <v>72</v>
      </c>
      <c r="BN19" s="6">
        <v>9</v>
      </c>
      <c r="BO19" s="6">
        <v>359</v>
      </c>
      <c r="BP19" s="6">
        <v>4</v>
      </c>
      <c r="BQ19" s="6">
        <v>180</v>
      </c>
      <c r="BR19" s="6">
        <v>2</v>
      </c>
      <c r="BS19" s="6">
        <v>86</v>
      </c>
      <c r="BT19" s="6"/>
      <c r="BU19" s="6"/>
      <c r="BV19" s="6"/>
      <c r="BW19" s="6"/>
      <c r="BX19" s="8">
        <f t="shared" si="0"/>
        <v>253</v>
      </c>
      <c r="BY19" s="8">
        <f t="shared" si="1"/>
        <v>60004</v>
      </c>
      <c r="BZ19" s="52"/>
      <c r="CA19" s="52"/>
      <c r="CB19" s="52"/>
    </row>
    <row r="20" spans="1:80" s="27" customFormat="1">
      <c r="A20" s="5" t="s">
        <v>58</v>
      </c>
      <c r="B20" s="6"/>
      <c r="C20" s="6"/>
      <c r="D20" s="6"/>
      <c r="E20" s="6"/>
      <c r="F20" s="6"/>
      <c r="G20" s="6"/>
      <c r="H20" s="6"/>
      <c r="I20" s="6"/>
      <c r="J20" s="6">
        <v>2</v>
      </c>
      <c r="K20" s="6">
        <v>53</v>
      </c>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v>1</v>
      </c>
      <c r="BG20" s="6">
        <v>64</v>
      </c>
      <c r="BH20" s="6"/>
      <c r="BI20" s="6"/>
      <c r="BJ20" s="6"/>
      <c r="BK20" s="6"/>
      <c r="BL20" s="6"/>
      <c r="BM20" s="6"/>
      <c r="BN20" s="6"/>
      <c r="BO20" s="6"/>
      <c r="BP20" s="6"/>
      <c r="BQ20" s="6"/>
      <c r="BR20" s="6"/>
      <c r="BS20" s="6"/>
      <c r="BT20" s="6"/>
      <c r="BU20" s="6"/>
      <c r="BV20" s="6">
        <v>1</v>
      </c>
      <c r="BW20" s="6">
        <v>12</v>
      </c>
      <c r="BX20" s="8">
        <f t="shared" si="0"/>
        <v>4</v>
      </c>
      <c r="BY20" s="8">
        <f t="shared" si="1"/>
        <v>129</v>
      </c>
      <c r="BZ20" s="52"/>
      <c r="CA20" s="52"/>
      <c r="CB20" s="52"/>
    </row>
    <row r="21" spans="1:80" s="27" customFormat="1">
      <c r="A21" s="5" t="s">
        <v>59</v>
      </c>
      <c r="B21" s="6"/>
      <c r="C21" s="6"/>
      <c r="D21" s="6"/>
      <c r="E21" s="6"/>
      <c r="F21" s="6"/>
      <c r="G21" s="6"/>
      <c r="H21" s="6"/>
      <c r="I21" s="6"/>
      <c r="J21" s="6">
        <v>22</v>
      </c>
      <c r="K21" s="6">
        <v>403</v>
      </c>
      <c r="L21" s="6"/>
      <c r="M21" s="6"/>
      <c r="N21" s="6"/>
      <c r="O21" s="6"/>
      <c r="P21" s="6"/>
      <c r="Q21" s="6"/>
      <c r="R21" s="6"/>
      <c r="S21" s="6"/>
      <c r="T21" s="6"/>
      <c r="U21" s="6"/>
      <c r="V21" s="6"/>
      <c r="W21" s="6"/>
      <c r="X21" s="6">
        <v>1</v>
      </c>
      <c r="Y21" s="6">
        <v>37</v>
      </c>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v>2</v>
      </c>
      <c r="BG21" s="6">
        <v>54</v>
      </c>
      <c r="BH21" s="6"/>
      <c r="BI21" s="6"/>
      <c r="BJ21" s="6"/>
      <c r="BK21" s="6"/>
      <c r="BL21" s="6"/>
      <c r="BM21" s="6"/>
      <c r="BN21" s="6">
        <v>1</v>
      </c>
      <c r="BO21" s="6">
        <v>41</v>
      </c>
      <c r="BP21" s="6"/>
      <c r="BQ21" s="6"/>
      <c r="BR21" s="6"/>
      <c r="BS21" s="6"/>
      <c r="BT21" s="6"/>
      <c r="BU21" s="6"/>
      <c r="BV21" s="6">
        <v>1</v>
      </c>
      <c r="BW21" s="6">
        <v>16</v>
      </c>
      <c r="BX21" s="8">
        <f t="shared" si="0"/>
        <v>27</v>
      </c>
      <c r="BY21" s="8">
        <f t="shared" si="1"/>
        <v>551</v>
      </c>
      <c r="BZ21" s="52"/>
      <c r="CA21" s="52"/>
      <c r="CB21" s="52"/>
    </row>
    <row r="22" spans="1:80" s="27" customFormat="1">
      <c r="A22" s="5" t="s">
        <v>60</v>
      </c>
      <c r="B22" s="6">
        <v>12</v>
      </c>
      <c r="C22" s="6">
        <v>664</v>
      </c>
      <c r="D22" s="6">
        <v>11</v>
      </c>
      <c r="E22" s="6">
        <v>582</v>
      </c>
      <c r="F22" s="6">
        <v>8</v>
      </c>
      <c r="G22" s="6">
        <v>1232</v>
      </c>
      <c r="H22" s="6"/>
      <c r="I22" s="6"/>
      <c r="J22" s="6">
        <v>2</v>
      </c>
      <c r="K22" s="6">
        <v>40</v>
      </c>
      <c r="L22" s="6"/>
      <c r="M22" s="6"/>
      <c r="N22" s="6"/>
      <c r="O22" s="6"/>
      <c r="P22" s="6"/>
      <c r="Q22" s="6"/>
      <c r="R22" s="6"/>
      <c r="S22" s="6"/>
      <c r="T22" s="6">
        <v>1</v>
      </c>
      <c r="U22" s="6">
        <v>68</v>
      </c>
      <c r="V22" s="6">
        <v>6</v>
      </c>
      <c r="W22" s="6">
        <v>312</v>
      </c>
      <c r="X22" s="6">
        <v>1</v>
      </c>
      <c r="Y22" s="6">
        <v>188</v>
      </c>
      <c r="Z22" s="6">
        <v>16</v>
      </c>
      <c r="AA22" s="6">
        <v>3691</v>
      </c>
      <c r="AB22" s="6">
        <v>2</v>
      </c>
      <c r="AC22" s="6">
        <v>310</v>
      </c>
      <c r="AD22" s="6">
        <v>14</v>
      </c>
      <c r="AE22" s="6">
        <v>3976</v>
      </c>
      <c r="AF22" s="6">
        <v>1</v>
      </c>
      <c r="AG22" s="6">
        <v>393</v>
      </c>
      <c r="AH22" s="6">
        <v>2</v>
      </c>
      <c r="AI22" s="6">
        <v>447</v>
      </c>
      <c r="AJ22" s="6"/>
      <c r="AK22" s="6"/>
      <c r="AL22" s="6">
        <v>2</v>
      </c>
      <c r="AM22" s="6">
        <v>106</v>
      </c>
      <c r="AN22" s="6"/>
      <c r="AO22" s="6"/>
      <c r="AP22" s="6">
        <v>6</v>
      </c>
      <c r="AQ22" s="6">
        <v>1431</v>
      </c>
      <c r="AR22" s="6">
        <v>6</v>
      </c>
      <c r="AS22" s="6">
        <v>2808</v>
      </c>
      <c r="AT22" s="6">
        <v>1</v>
      </c>
      <c r="AU22" s="6">
        <v>840</v>
      </c>
      <c r="AV22" s="6">
        <v>1</v>
      </c>
      <c r="AW22" s="6">
        <v>64</v>
      </c>
      <c r="AX22" s="6"/>
      <c r="AY22" s="6"/>
      <c r="AZ22" s="6"/>
      <c r="BA22" s="6"/>
      <c r="BB22" s="6"/>
      <c r="BC22" s="6"/>
      <c r="BD22" s="6"/>
      <c r="BE22" s="6"/>
      <c r="BF22" s="6">
        <v>2</v>
      </c>
      <c r="BG22" s="6">
        <v>84</v>
      </c>
      <c r="BH22" s="6">
        <v>6</v>
      </c>
      <c r="BI22" s="6">
        <v>487</v>
      </c>
      <c r="BJ22" s="6">
        <v>4</v>
      </c>
      <c r="BK22" s="6">
        <v>279</v>
      </c>
      <c r="BL22" s="6">
        <v>1</v>
      </c>
      <c r="BM22" s="6">
        <v>22</v>
      </c>
      <c r="BN22" s="6">
        <v>4</v>
      </c>
      <c r="BO22" s="6">
        <v>132</v>
      </c>
      <c r="BP22" s="6">
        <v>2</v>
      </c>
      <c r="BQ22" s="6">
        <v>83</v>
      </c>
      <c r="BR22" s="6"/>
      <c r="BS22" s="6"/>
      <c r="BT22" s="6"/>
      <c r="BU22" s="6"/>
      <c r="BV22" s="6"/>
      <c r="BW22" s="6"/>
      <c r="BX22" s="8">
        <f t="shared" si="0"/>
        <v>111</v>
      </c>
      <c r="BY22" s="8">
        <f t="shared" si="1"/>
        <v>18239</v>
      </c>
      <c r="BZ22" s="52"/>
      <c r="CA22" s="52"/>
      <c r="CB22" s="52"/>
    </row>
    <row r="23" spans="1:80" s="27" customFormat="1">
      <c r="A23" s="5" t="s">
        <v>218</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v>1</v>
      </c>
      <c r="BG23" s="6">
        <v>50</v>
      </c>
      <c r="BH23" s="6"/>
      <c r="BI23" s="6"/>
      <c r="BJ23" s="6"/>
      <c r="BK23" s="6"/>
      <c r="BL23" s="6"/>
      <c r="BM23" s="6"/>
      <c r="BN23" s="6"/>
      <c r="BO23" s="6"/>
      <c r="BP23" s="6"/>
      <c r="BQ23" s="6"/>
      <c r="BR23" s="6"/>
      <c r="BS23" s="6"/>
      <c r="BT23" s="6"/>
      <c r="BU23" s="6"/>
      <c r="BV23" s="6"/>
      <c r="BW23" s="6"/>
      <c r="BX23" s="8">
        <f t="shared" si="0"/>
        <v>1</v>
      </c>
      <c r="BY23" s="8">
        <f t="shared" si="1"/>
        <v>50</v>
      </c>
      <c r="BZ23" s="52"/>
      <c r="CA23" s="52"/>
      <c r="CB23" s="52"/>
    </row>
    <row r="24" spans="1:80" s="27" customFormat="1">
      <c r="A24" s="5" t="s">
        <v>61</v>
      </c>
      <c r="B24" s="6"/>
      <c r="C24" s="6"/>
      <c r="D24" s="6"/>
      <c r="E24" s="6"/>
      <c r="F24" s="6"/>
      <c r="G24" s="6"/>
      <c r="H24" s="6"/>
      <c r="I24" s="6"/>
      <c r="J24" s="6">
        <v>1</v>
      </c>
      <c r="K24" s="6">
        <v>15</v>
      </c>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v>1</v>
      </c>
      <c r="BW24" s="6">
        <v>16</v>
      </c>
      <c r="BX24" s="8">
        <f t="shared" si="0"/>
        <v>2</v>
      </c>
      <c r="BY24" s="8">
        <f t="shared" si="1"/>
        <v>31</v>
      </c>
      <c r="BZ24" s="52"/>
      <c r="CA24" s="52"/>
      <c r="CB24" s="52"/>
    </row>
    <row r="25" spans="1:80" s="27" customFormat="1">
      <c r="A25" s="5" t="s">
        <v>62</v>
      </c>
      <c r="B25" s="6"/>
      <c r="C25" s="6"/>
      <c r="D25" s="6"/>
      <c r="E25" s="6"/>
      <c r="F25" s="6"/>
      <c r="G25" s="6"/>
      <c r="H25" s="6"/>
      <c r="I25" s="6"/>
      <c r="J25" s="6">
        <v>1</v>
      </c>
      <c r="K25" s="6">
        <v>16</v>
      </c>
      <c r="L25" s="6"/>
      <c r="M25" s="6"/>
      <c r="N25" s="6"/>
      <c r="O25" s="6"/>
      <c r="P25" s="6"/>
      <c r="Q25" s="6"/>
      <c r="R25" s="6"/>
      <c r="S25" s="6"/>
      <c r="T25" s="6">
        <v>1</v>
      </c>
      <c r="U25" s="6">
        <v>17</v>
      </c>
      <c r="V25" s="6"/>
      <c r="W25" s="6"/>
      <c r="X25" s="6"/>
      <c r="Y25" s="6"/>
      <c r="Z25" s="6">
        <v>1</v>
      </c>
      <c r="AA25" s="6">
        <v>79</v>
      </c>
      <c r="AB25" s="6"/>
      <c r="AC25" s="6"/>
      <c r="AD25" s="6">
        <v>1</v>
      </c>
      <c r="AE25" s="6">
        <v>165</v>
      </c>
      <c r="AF25" s="6"/>
      <c r="AG25" s="6"/>
      <c r="AH25" s="6"/>
      <c r="AI25" s="6"/>
      <c r="AJ25" s="6"/>
      <c r="AK25" s="6"/>
      <c r="AL25" s="6"/>
      <c r="AM25" s="6"/>
      <c r="AN25" s="6"/>
      <c r="AO25" s="6"/>
      <c r="AP25" s="6"/>
      <c r="AQ25" s="6"/>
      <c r="AR25" s="6"/>
      <c r="AS25" s="6"/>
      <c r="AT25" s="6"/>
      <c r="AU25" s="6"/>
      <c r="AV25" s="6"/>
      <c r="AW25" s="6"/>
      <c r="AX25" s="6"/>
      <c r="AY25" s="6"/>
      <c r="AZ25" s="6"/>
      <c r="BA25" s="6"/>
      <c r="BB25" s="6"/>
      <c r="BC25" s="6"/>
      <c r="BD25" s="6">
        <v>1</v>
      </c>
      <c r="BE25" s="6">
        <v>132</v>
      </c>
      <c r="BF25" s="6"/>
      <c r="BG25" s="6"/>
      <c r="BH25" s="6">
        <v>1</v>
      </c>
      <c r="BI25" s="6">
        <v>14</v>
      </c>
      <c r="BJ25" s="6"/>
      <c r="BK25" s="6"/>
      <c r="BL25" s="6"/>
      <c r="BM25" s="6"/>
      <c r="BN25" s="6"/>
      <c r="BO25" s="6"/>
      <c r="BP25" s="6"/>
      <c r="BQ25" s="6"/>
      <c r="BR25" s="6"/>
      <c r="BS25" s="6"/>
      <c r="BT25" s="6"/>
      <c r="BU25" s="6"/>
      <c r="BV25" s="6">
        <v>1</v>
      </c>
      <c r="BW25" s="6">
        <v>16</v>
      </c>
      <c r="BX25" s="8">
        <f t="shared" si="0"/>
        <v>7</v>
      </c>
      <c r="BY25" s="8">
        <f t="shared" si="1"/>
        <v>439</v>
      </c>
      <c r="BZ25" s="52"/>
      <c r="CA25" s="52"/>
      <c r="CB25" s="52"/>
    </row>
    <row r="26" spans="1:80" s="27" customFormat="1">
      <c r="A26" s="5" t="s">
        <v>63</v>
      </c>
      <c r="B26" s="6"/>
      <c r="C26" s="6"/>
      <c r="D26" s="6"/>
      <c r="E26" s="6"/>
      <c r="F26" s="6"/>
      <c r="G26" s="6"/>
      <c r="H26" s="6"/>
      <c r="I26" s="6"/>
      <c r="J26" s="6">
        <v>7</v>
      </c>
      <c r="K26" s="6">
        <v>131</v>
      </c>
      <c r="L26" s="6"/>
      <c r="M26" s="6"/>
      <c r="N26" s="6"/>
      <c r="O26" s="6"/>
      <c r="P26" s="6"/>
      <c r="Q26" s="6"/>
      <c r="R26" s="6"/>
      <c r="S26" s="6"/>
      <c r="T26" s="6"/>
      <c r="U26" s="6"/>
      <c r="V26" s="6"/>
      <c r="W26" s="6"/>
      <c r="X26" s="6"/>
      <c r="Y26" s="6"/>
      <c r="Z26" s="6"/>
      <c r="AA26" s="6"/>
      <c r="AB26" s="6"/>
      <c r="AC26" s="6"/>
      <c r="AD26" s="6">
        <v>1</v>
      </c>
      <c r="AE26" s="6">
        <v>37</v>
      </c>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v>1</v>
      </c>
      <c r="BI26" s="6">
        <v>16</v>
      </c>
      <c r="BJ26" s="6"/>
      <c r="BK26" s="6"/>
      <c r="BL26" s="6"/>
      <c r="BM26" s="6"/>
      <c r="BN26" s="6"/>
      <c r="BO26" s="6"/>
      <c r="BP26" s="6"/>
      <c r="BQ26" s="6"/>
      <c r="BR26" s="6"/>
      <c r="BS26" s="6"/>
      <c r="BT26" s="6"/>
      <c r="BU26" s="6"/>
      <c r="BV26" s="6"/>
      <c r="BW26" s="6"/>
      <c r="BX26" s="8">
        <f t="shared" si="0"/>
        <v>9</v>
      </c>
      <c r="BY26" s="8">
        <f t="shared" si="1"/>
        <v>184</v>
      </c>
      <c r="BZ26" s="52"/>
      <c r="CA26" s="52"/>
      <c r="CB26" s="52"/>
    </row>
    <row r="27" spans="1:80" s="27" customFormat="1">
      <c r="A27" s="5" t="s">
        <v>64</v>
      </c>
      <c r="B27" s="6"/>
      <c r="C27" s="6"/>
      <c r="D27" s="6"/>
      <c r="E27" s="6"/>
      <c r="F27" s="6"/>
      <c r="G27" s="6"/>
      <c r="H27" s="6"/>
      <c r="I27" s="6"/>
      <c r="J27" s="6">
        <v>1</v>
      </c>
      <c r="K27" s="6">
        <v>10</v>
      </c>
      <c r="L27" s="6"/>
      <c r="M27" s="6"/>
      <c r="N27" s="6"/>
      <c r="O27" s="6"/>
      <c r="P27" s="6"/>
      <c r="Q27" s="6"/>
      <c r="R27" s="6"/>
      <c r="S27" s="6"/>
      <c r="T27" s="6"/>
      <c r="U27" s="6"/>
      <c r="V27" s="6"/>
      <c r="W27" s="6"/>
      <c r="X27" s="6"/>
      <c r="Y27" s="6"/>
      <c r="Z27" s="6"/>
      <c r="AA27" s="6"/>
      <c r="AB27" s="6"/>
      <c r="AC27" s="6"/>
      <c r="AD27" s="6">
        <v>1</v>
      </c>
      <c r="AE27" s="6">
        <v>111</v>
      </c>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v>3</v>
      </c>
      <c r="BW27" s="6">
        <v>32</v>
      </c>
      <c r="BX27" s="8">
        <f t="shared" si="0"/>
        <v>5</v>
      </c>
      <c r="BY27" s="8">
        <f t="shared" si="1"/>
        <v>153</v>
      </c>
      <c r="BZ27" s="52"/>
      <c r="CA27" s="52"/>
      <c r="CB27" s="52"/>
    </row>
    <row r="28" spans="1:80" s="27" customFormat="1">
      <c r="A28" s="5" t="s">
        <v>65</v>
      </c>
      <c r="B28" s="6">
        <v>9</v>
      </c>
      <c r="C28" s="6">
        <v>245</v>
      </c>
      <c r="D28" s="6">
        <v>13</v>
      </c>
      <c r="E28" s="6">
        <v>937</v>
      </c>
      <c r="F28" s="6">
        <v>3</v>
      </c>
      <c r="G28" s="6">
        <v>555</v>
      </c>
      <c r="H28" s="6"/>
      <c r="I28" s="6"/>
      <c r="J28" s="6">
        <v>10</v>
      </c>
      <c r="K28" s="6">
        <v>153</v>
      </c>
      <c r="L28" s="6"/>
      <c r="M28" s="6"/>
      <c r="N28" s="6"/>
      <c r="O28" s="6"/>
      <c r="P28" s="6"/>
      <c r="Q28" s="6"/>
      <c r="R28" s="6"/>
      <c r="S28" s="6"/>
      <c r="T28" s="6"/>
      <c r="U28" s="6"/>
      <c r="V28" s="6">
        <v>1</v>
      </c>
      <c r="W28" s="6">
        <v>48</v>
      </c>
      <c r="X28" s="6">
        <v>2</v>
      </c>
      <c r="Y28" s="6">
        <v>152</v>
      </c>
      <c r="Z28" s="6">
        <v>5</v>
      </c>
      <c r="AA28" s="6">
        <v>1642</v>
      </c>
      <c r="AB28" s="6"/>
      <c r="AC28" s="6"/>
      <c r="AD28" s="6">
        <v>3</v>
      </c>
      <c r="AE28" s="6">
        <v>1452</v>
      </c>
      <c r="AF28" s="6"/>
      <c r="AG28" s="6"/>
      <c r="AH28" s="6">
        <v>1</v>
      </c>
      <c r="AI28" s="6">
        <v>20</v>
      </c>
      <c r="AJ28" s="6"/>
      <c r="AK28" s="6"/>
      <c r="AL28" s="6"/>
      <c r="AM28" s="6"/>
      <c r="AN28" s="6">
        <v>1</v>
      </c>
      <c r="AO28" s="6">
        <v>336</v>
      </c>
      <c r="AP28" s="6"/>
      <c r="AQ28" s="6"/>
      <c r="AR28" s="6">
        <v>1</v>
      </c>
      <c r="AS28" s="6">
        <v>606</v>
      </c>
      <c r="AT28" s="6"/>
      <c r="AU28" s="6"/>
      <c r="AV28" s="6"/>
      <c r="AW28" s="6"/>
      <c r="AX28" s="6"/>
      <c r="AY28" s="6"/>
      <c r="AZ28" s="6"/>
      <c r="BA28" s="6"/>
      <c r="BB28" s="6"/>
      <c r="BC28" s="6"/>
      <c r="BD28" s="6"/>
      <c r="BE28" s="6"/>
      <c r="BF28" s="6">
        <v>3</v>
      </c>
      <c r="BG28" s="6">
        <v>86</v>
      </c>
      <c r="BH28" s="6">
        <v>1</v>
      </c>
      <c r="BI28" s="6">
        <v>35</v>
      </c>
      <c r="BJ28" s="6"/>
      <c r="BK28" s="6"/>
      <c r="BL28" s="6"/>
      <c r="BM28" s="6"/>
      <c r="BN28" s="6">
        <v>2</v>
      </c>
      <c r="BO28" s="6">
        <v>75</v>
      </c>
      <c r="BP28" s="6"/>
      <c r="BQ28" s="6"/>
      <c r="BR28" s="6"/>
      <c r="BS28" s="6"/>
      <c r="BT28" s="6"/>
      <c r="BU28" s="6"/>
      <c r="BV28" s="6"/>
      <c r="BW28" s="6"/>
      <c r="BX28" s="8">
        <f t="shared" si="0"/>
        <v>55</v>
      </c>
      <c r="BY28" s="8">
        <f t="shared" si="1"/>
        <v>6342</v>
      </c>
      <c r="BZ28" s="52"/>
      <c r="CA28" s="52"/>
      <c r="CB28" s="52"/>
    </row>
    <row r="29" spans="1:80" s="27" customFormat="1">
      <c r="A29" s="5" t="s">
        <v>66</v>
      </c>
      <c r="B29" s="6"/>
      <c r="C29" s="6"/>
      <c r="D29" s="6"/>
      <c r="E29" s="6"/>
      <c r="F29" s="6"/>
      <c r="G29" s="6"/>
      <c r="H29" s="6"/>
      <c r="I29" s="6"/>
      <c r="J29" s="6">
        <v>2</v>
      </c>
      <c r="K29" s="6">
        <v>25</v>
      </c>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v>2</v>
      </c>
      <c r="AS29" s="6">
        <v>62</v>
      </c>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v>2</v>
      </c>
      <c r="BW29" s="6">
        <v>34</v>
      </c>
      <c r="BX29" s="8">
        <f t="shared" si="0"/>
        <v>6</v>
      </c>
      <c r="BY29" s="8">
        <f t="shared" si="1"/>
        <v>121</v>
      </c>
      <c r="BZ29" s="52"/>
      <c r="CA29" s="52"/>
      <c r="CB29" s="52"/>
    </row>
    <row r="30" spans="1:80" s="27" customFormat="1">
      <c r="A30" s="5" t="s">
        <v>67</v>
      </c>
      <c r="B30" s="6"/>
      <c r="C30" s="6"/>
      <c r="D30" s="6"/>
      <c r="E30" s="6"/>
      <c r="F30" s="6"/>
      <c r="G30" s="6"/>
      <c r="H30" s="6"/>
      <c r="I30" s="6"/>
      <c r="J30" s="6">
        <v>3</v>
      </c>
      <c r="K30" s="6">
        <v>28</v>
      </c>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v>1</v>
      </c>
      <c r="BG30" s="6">
        <v>30</v>
      </c>
      <c r="BH30" s="6"/>
      <c r="BI30" s="6"/>
      <c r="BJ30" s="6"/>
      <c r="BK30" s="6"/>
      <c r="BL30" s="6"/>
      <c r="BM30" s="6"/>
      <c r="BN30" s="6"/>
      <c r="BO30" s="6"/>
      <c r="BP30" s="6"/>
      <c r="BQ30" s="6"/>
      <c r="BR30" s="6"/>
      <c r="BS30" s="6"/>
      <c r="BT30" s="6"/>
      <c r="BU30" s="6"/>
      <c r="BV30" s="6"/>
      <c r="BW30" s="6"/>
      <c r="BX30" s="8">
        <f t="shared" si="0"/>
        <v>4</v>
      </c>
      <c r="BY30" s="8">
        <f t="shared" si="1"/>
        <v>58</v>
      </c>
      <c r="BZ30" s="52"/>
      <c r="CA30" s="52"/>
      <c r="CB30" s="52"/>
    </row>
    <row r="31" spans="1:80" s="27" customFormat="1">
      <c r="A31" s="5" t="s">
        <v>68</v>
      </c>
      <c r="B31" s="6"/>
      <c r="C31" s="6"/>
      <c r="D31" s="6"/>
      <c r="E31" s="6"/>
      <c r="F31" s="6"/>
      <c r="G31" s="6"/>
      <c r="H31" s="6"/>
      <c r="I31" s="6"/>
      <c r="J31" s="6">
        <v>2</v>
      </c>
      <c r="K31" s="6">
        <v>38</v>
      </c>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8">
        <f t="shared" si="0"/>
        <v>2</v>
      </c>
      <c r="BY31" s="8">
        <f t="shared" si="1"/>
        <v>38</v>
      </c>
      <c r="BZ31" s="52"/>
      <c r="CA31" s="52"/>
      <c r="CB31" s="52"/>
    </row>
    <row r="32" spans="1:80" s="27" customFormat="1">
      <c r="A32" s="5" t="s">
        <v>69</v>
      </c>
      <c r="B32" s="6"/>
      <c r="C32" s="6"/>
      <c r="D32" s="6"/>
      <c r="E32" s="6"/>
      <c r="F32" s="6"/>
      <c r="G32" s="6"/>
      <c r="H32" s="6"/>
      <c r="I32" s="6"/>
      <c r="J32" s="6">
        <v>1</v>
      </c>
      <c r="K32" s="6">
        <v>9</v>
      </c>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v>1</v>
      </c>
      <c r="BW32" s="6">
        <v>16</v>
      </c>
      <c r="BX32" s="8">
        <f t="shared" si="0"/>
        <v>2</v>
      </c>
      <c r="BY32" s="8">
        <f t="shared" si="1"/>
        <v>25</v>
      </c>
      <c r="BZ32" s="52"/>
      <c r="CA32" s="52"/>
      <c r="CB32" s="52"/>
    </row>
    <row r="33" spans="1:80" s="27" customFormat="1">
      <c r="A33" s="5" t="s">
        <v>177</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v>4</v>
      </c>
      <c r="BW33" s="6">
        <v>30</v>
      </c>
      <c r="BX33" s="8">
        <f t="shared" si="0"/>
        <v>4</v>
      </c>
      <c r="BY33" s="8">
        <f t="shared" si="1"/>
        <v>30</v>
      </c>
      <c r="BZ33" s="52"/>
      <c r="CA33" s="52"/>
      <c r="CB33" s="52"/>
    </row>
    <row r="34" spans="1:80" s="27" customFormat="1">
      <c r="A34" s="5" t="s">
        <v>71</v>
      </c>
      <c r="B34" s="6"/>
      <c r="C34" s="6"/>
      <c r="D34" s="6">
        <v>1</v>
      </c>
      <c r="E34" s="6">
        <v>120</v>
      </c>
      <c r="F34" s="6"/>
      <c r="G34" s="6"/>
      <c r="H34" s="6">
        <v>1</v>
      </c>
      <c r="I34" s="6">
        <v>936</v>
      </c>
      <c r="J34" s="6">
        <v>16</v>
      </c>
      <c r="K34" s="6">
        <v>303</v>
      </c>
      <c r="L34" s="6"/>
      <c r="M34" s="6"/>
      <c r="N34" s="6"/>
      <c r="O34" s="6"/>
      <c r="P34" s="6">
        <v>1</v>
      </c>
      <c r="Q34" s="6">
        <v>660</v>
      </c>
      <c r="R34" s="6"/>
      <c r="S34" s="6"/>
      <c r="T34" s="6">
        <v>1</v>
      </c>
      <c r="U34" s="6">
        <v>20</v>
      </c>
      <c r="V34" s="6"/>
      <c r="W34" s="6"/>
      <c r="X34" s="6">
        <v>9</v>
      </c>
      <c r="Y34" s="6">
        <v>1866</v>
      </c>
      <c r="Z34" s="6">
        <v>20</v>
      </c>
      <c r="AA34" s="6">
        <v>6613</v>
      </c>
      <c r="AB34" s="6">
        <v>1</v>
      </c>
      <c r="AC34" s="6">
        <v>297</v>
      </c>
      <c r="AD34" s="6">
        <v>4</v>
      </c>
      <c r="AE34" s="6">
        <v>1436</v>
      </c>
      <c r="AF34" s="6"/>
      <c r="AG34" s="6"/>
      <c r="AH34" s="6">
        <v>2</v>
      </c>
      <c r="AI34" s="6">
        <v>493</v>
      </c>
      <c r="AJ34" s="6"/>
      <c r="AK34" s="6"/>
      <c r="AL34" s="6"/>
      <c r="AM34" s="6"/>
      <c r="AN34" s="6"/>
      <c r="AO34" s="6"/>
      <c r="AP34" s="6">
        <v>1</v>
      </c>
      <c r="AQ34" s="6">
        <v>346</v>
      </c>
      <c r="AR34" s="6"/>
      <c r="AS34" s="6"/>
      <c r="AT34" s="6"/>
      <c r="AU34" s="6"/>
      <c r="AV34" s="6"/>
      <c r="AW34" s="6"/>
      <c r="AX34" s="6"/>
      <c r="AY34" s="6"/>
      <c r="AZ34" s="6"/>
      <c r="BA34" s="6"/>
      <c r="BB34" s="6"/>
      <c r="BC34" s="6"/>
      <c r="BD34" s="6"/>
      <c r="BE34" s="6"/>
      <c r="BF34" s="6">
        <v>1</v>
      </c>
      <c r="BG34" s="6">
        <v>4</v>
      </c>
      <c r="BH34" s="6">
        <v>3</v>
      </c>
      <c r="BI34" s="6">
        <v>161</v>
      </c>
      <c r="BJ34" s="6"/>
      <c r="BK34" s="6"/>
      <c r="BL34" s="6"/>
      <c r="BM34" s="6"/>
      <c r="BN34" s="6">
        <v>3</v>
      </c>
      <c r="BO34" s="6">
        <v>153</v>
      </c>
      <c r="BP34" s="6">
        <v>2</v>
      </c>
      <c r="BQ34" s="6">
        <v>80</v>
      </c>
      <c r="BR34" s="6"/>
      <c r="BS34" s="6"/>
      <c r="BT34" s="6"/>
      <c r="BU34" s="6"/>
      <c r="BV34" s="6"/>
      <c r="BW34" s="6"/>
      <c r="BX34" s="8">
        <f t="shared" si="0"/>
        <v>66</v>
      </c>
      <c r="BY34" s="8">
        <f t="shared" si="1"/>
        <v>13488</v>
      </c>
      <c r="BZ34" s="52"/>
      <c r="CA34" s="52"/>
      <c r="CB34" s="52"/>
    </row>
    <row r="35" spans="1:80" s="27" customFormat="1">
      <c r="A35" s="5" t="s">
        <v>72</v>
      </c>
      <c r="B35" s="6">
        <v>4</v>
      </c>
      <c r="C35" s="6">
        <v>901</v>
      </c>
      <c r="D35" s="6">
        <v>5</v>
      </c>
      <c r="E35" s="6">
        <v>479</v>
      </c>
      <c r="F35" s="6">
        <v>3</v>
      </c>
      <c r="G35" s="6">
        <v>123</v>
      </c>
      <c r="H35" s="6"/>
      <c r="I35" s="6"/>
      <c r="J35" s="6">
        <v>20</v>
      </c>
      <c r="K35" s="6">
        <v>310</v>
      </c>
      <c r="L35" s="6">
        <v>3</v>
      </c>
      <c r="M35" s="6">
        <v>94</v>
      </c>
      <c r="N35" s="6"/>
      <c r="O35" s="6"/>
      <c r="P35" s="6"/>
      <c r="Q35" s="6"/>
      <c r="R35" s="6"/>
      <c r="S35" s="6"/>
      <c r="T35" s="6"/>
      <c r="U35" s="6"/>
      <c r="V35" s="6">
        <v>1</v>
      </c>
      <c r="W35" s="6">
        <v>222</v>
      </c>
      <c r="X35" s="6">
        <v>2</v>
      </c>
      <c r="Y35" s="6">
        <v>441</v>
      </c>
      <c r="Z35" s="6">
        <v>14</v>
      </c>
      <c r="AA35" s="6">
        <v>5463</v>
      </c>
      <c r="AB35" s="6"/>
      <c r="AC35" s="6"/>
      <c r="AD35" s="6">
        <v>2</v>
      </c>
      <c r="AE35" s="6">
        <v>695</v>
      </c>
      <c r="AF35" s="6"/>
      <c r="AG35" s="6"/>
      <c r="AH35" s="6"/>
      <c r="AI35" s="6"/>
      <c r="AJ35" s="6"/>
      <c r="AK35" s="6"/>
      <c r="AL35" s="6"/>
      <c r="AM35" s="6"/>
      <c r="AN35" s="6"/>
      <c r="AO35" s="6"/>
      <c r="AP35" s="6">
        <v>4</v>
      </c>
      <c r="AQ35" s="6">
        <v>2662</v>
      </c>
      <c r="AR35" s="6">
        <v>2</v>
      </c>
      <c r="AS35" s="6">
        <v>2957</v>
      </c>
      <c r="AT35" s="6"/>
      <c r="AU35" s="6"/>
      <c r="AV35" s="6"/>
      <c r="AW35" s="6"/>
      <c r="AX35" s="6"/>
      <c r="AY35" s="6"/>
      <c r="AZ35" s="6"/>
      <c r="BA35" s="6"/>
      <c r="BB35" s="6"/>
      <c r="BC35" s="6"/>
      <c r="BD35" s="6"/>
      <c r="BE35" s="6"/>
      <c r="BF35" s="6">
        <v>3</v>
      </c>
      <c r="BG35" s="6">
        <v>104</v>
      </c>
      <c r="BH35" s="6">
        <v>1</v>
      </c>
      <c r="BI35" s="6">
        <v>111</v>
      </c>
      <c r="BJ35" s="6">
        <v>1</v>
      </c>
      <c r="BK35" s="6">
        <v>46</v>
      </c>
      <c r="BL35" s="6"/>
      <c r="BM35" s="6"/>
      <c r="BN35" s="6"/>
      <c r="BO35" s="6"/>
      <c r="BP35" s="6"/>
      <c r="BQ35" s="6"/>
      <c r="BR35" s="6"/>
      <c r="BS35" s="6"/>
      <c r="BT35" s="6"/>
      <c r="BU35" s="6"/>
      <c r="BV35" s="6"/>
      <c r="BW35" s="6"/>
      <c r="BX35" s="8">
        <f t="shared" si="0"/>
        <v>65</v>
      </c>
      <c r="BY35" s="8">
        <f t="shared" si="1"/>
        <v>14608</v>
      </c>
      <c r="BZ35" s="52"/>
      <c r="CA35" s="52"/>
      <c r="CB35" s="52"/>
    </row>
    <row r="36" spans="1:80" s="27" customFormat="1">
      <c r="A36" s="5" t="s">
        <v>73</v>
      </c>
      <c r="B36" s="6"/>
      <c r="C36" s="6"/>
      <c r="D36" s="6"/>
      <c r="E36" s="6"/>
      <c r="F36" s="6"/>
      <c r="G36" s="6"/>
      <c r="H36" s="6"/>
      <c r="I36" s="6"/>
      <c r="J36" s="6">
        <v>4</v>
      </c>
      <c r="K36" s="6">
        <v>28</v>
      </c>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v>1</v>
      </c>
      <c r="BW36" s="6">
        <v>16</v>
      </c>
      <c r="BX36" s="8">
        <f t="shared" si="0"/>
        <v>5</v>
      </c>
      <c r="BY36" s="8">
        <f t="shared" si="1"/>
        <v>44</v>
      </c>
      <c r="BZ36" s="52"/>
      <c r="CA36" s="52"/>
      <c r="CB36" s="52"/>
    </row>
    <row r="37" spans="1:80" s="27" customFormat="1">
      <c r="A37" s="5" t="s">
        <v>74</v>
      </c>
      <c r="B37" s="6"/>
      <c r="C37" s="6"/>
      <c r="D37" s="6"/>
      <c r="E37" s="6"/>
      <c r="F37" s="6"/>
      <c r="G37" s="6"/>
      <c r="H37" s="6"/>
      <c r="I37" s="6"/>
      <c r="J37" s="6">
        <v>1</v>
      </c>
      <c r="K37" s="6">
        <v>16</v>
      </c>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8">
        <f t="shared" si="0"/>
        <v>1</v>
      </c>
      <c r="BY37" s="8">
        <f t="shared" si="1"/>
        <v>16</v>
      </c>
      <c r="BZ37" s="52"/>
      <c r="CA37" s="52"/>
      <c r="CB37" s="52"/>
    </row>
    <row r="38" spans="1:80" s="27" customFormat="1">
      <c r="A38" s="5" t="s">
        <v>75</v>
      </c>
      <c r="B38" s="6"/>
      <c r="C38" s="6"/>
      <c r="D38" s="6"/>
      <c r="E38" s="6"/>
      <c r="F38" s="6"/>
      <c r="G38" s="6"/>
      <c r="H38" s="6"/>
      <c r="I38" s="6"/>
      <c r="J38" s="6">
        <v>3</v>
      </c>
      <c r="K38" s="6">
        <v>47</v>
      </c>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v>2</v>
      </c>
      <c r="BG38" s="6">
        <v>95</v>
      </c>
      <c r="BH38" s="6"/>
      <c r="BI38" s="6"/>
      <c r="BJ38" s="6"/>
      <c r="BK38" s="6"/>
      <c r="BL38" s="6"/>
      <c r="BM38" s="6"/>
      <c r="BN38" s="6"/>
      <c r="BO38" s="6"/>
      <c r="BP38" s="6"/>
      <c r="BQ38" s="6"/>
      <c r="BR38" s="6"/>
      <c r="BS38" s="6"/>
      <c r="BT38" s="6"/>
      <c r="BU38" s="6"/>
      <c r="BV38" s="6"/>
      <c r="BW38" s="6"/>
      <c r="BX38" s="8">
        <f t="shared" si="0"/>
        <v>5</v>
      </c>
      <c r="BY38" s="8">
        <f t="shared" si="1"/>
        <v>142</v>
      </c>
      <c r="BZ38" s="52"/>
      <c r="CA38" s="52"/>
      <c r="CB38" s="52"/>
    </row>
    <row r="39" spans="1:80" s="27" customFormat="1">
      <c r="A39" s="5" t="s">
        <v>76</v>
      </c>
      <c r="B39" s="6"/>
      <c r="C39" s="6"/>
      <c r="D39" s="6">
        <v>2</v>
      </c>
      <c r="E39" s="6">
        <v>426</v>
      </c>
      <c r="F39" s="6">
        <v>6</v>
      </c>
      <c r="G39" s="6">
        <v>795</v>
      </c>
      <c r="H39" s="6"/>
      <c r="I39" s="6"/>
      <c r="J39" s="6"/>
      <c r="K39" s="6"/>
      <c r="L39" s="6"/>
      <c r="M39" s="6"/>
      <c r="N39" s="6">
        <v>1</v>
      </c>
      <c r="O39" s="6">
        <v>500</v>
      </c>
      <c r="P39" s="6"/>
      <c r="Q39" s="6"/>
      <c r="R39" s="6"/>
      <c r="S39" s="6"/>
      <c r="T39" s="6"/>
      <c r="U39" s="6"/>
      <c r="V39" s="6"/>
      <c r="W39" s="6"/>
      <c r="X39" s="6"/>
      <c r="Y39" s="6"/>
      <c r="Z39" s="6">
        <v>3</v>
      </c>
      <c r="AA39" s="6">
        <v>817</v>
      </c>
      <c r="AB39" s="6"/>
      <c r="AC39" s="6"/>
      <c r="AD39" s="6">
        <v>7</v>
      </c>
      <c r="AE39" s="6">
        <v>3571</v>
      </c>
      <c r="AF39" s="6">
        <v>1</v>
      </c>
      <c r="AG39" s="6">
        <v>547</v>
      </c>
      <c r="AH39" s="6">
        <v>2</v>
      </c>
      <c r="AI39" s="6">
        <v>549</v>
      </c>
      <c r="AJ39" s="6"/>
      <c r="AK39" s="6"/>
      <c r="AL39" s="6"/>
      <c r="AM39" s="6"/>
      <c r="AN39" s="6"/>
      <c r="AO39" s="6"/>
      <c r="AP39" s="6">
        <v>10</v>
      </c>
      <c r="AQ39" s="6">
        <v>4809</v>
      </c>
      <c r="AR39" s="6">
        <v>8</v>
      </c>
      <c r="AS39" s="6">
        <v>4496</v>
      </c>
      <c r="AT39" s="6">
        <v>1</v>
      </c>
      <c r="AU39" s="6">
        <v>544</v>
      </c>
      <c r="AV39" s="6"/>
      <c r="AW39" s="6"/>
      <c r="AX39" s="6"/>
      <c r="AY39" s="6"/>
      <c r="AZ39" s="6"/>
      <c r="BA39" s="6"/>
      <c r="BB39" s="6"/>
      <c r="BC39" s="6"/>
      <c r="BD39" s="6"/>
      <c r="BE39" s="6"/>
      <c r="BF39" s="6">
        <v>1</v>
      </c>
      <c r="BG39" s="6">
        <v>30</v>
      </c>
      <c r="BH39" s="6"/>
      <c r="BI39" s="6"/>
      <c r="BJ39" s="6"/>
      <c r="BK39" s="6"/>
      <c r="BL39" s="6"/>
      <c r="BM39" s="6"/>
      <c r="BN39" s="6"/>
      <c r="BO39" s="6"/>
      <c r="BP39" s="6"/>
      <c r="BQ39" s="6"/>
      <c r="BR39" s="6"/>
      <c r="BS39" s="6"/>
      <c r="BT39" s="6"/>
      <c r="BU39" s="6"/>
      <c r="BV39" s="6"/>
      <c r="BW39" s="6"/>
      <c r="BX39" s="8">
        <f t="shared" si="0"/>
        <v>42</v>
      </c>
      <c r="BY39" s="8">
        <f t="shared" si="1"/>
        <v>17084</v>
      </c>
      <c r="BZ39" s="52"/>
      <c r="CA39" s="52"/>
      <c r="CB39" s="52"/>
    </row>
    <row r="40" spans="1:80" s="27" customFormat="1">
      <c r="A40" s="5" t="s">
        <v>77</v>
      </c>
      <c r="B40" s="6">
        <v>5</v>
      </c>
      <c r="C40" s="6">
        <v>356</v>
      </c>
      <c r="D40" s="6">
        <v>6</v>
      </c>
      <c r="E40" s="6">
        <v>873</v>
      </c>
      <c r="F40" s="6">
        <v>6</v>
      </c>
      <c r="G40" s="6">
        <v>705</v>
      </c>
      <c r="H40" s="6"/>
      <c r="I40" s="6"/>
      <c r="J40" s="6">
        <v>1</v>
      </c>
      <c r="K40" s="6">
        <v>6</v>
      </c>
      <c r="L40" s="6">
        <v>6</v>
      </c>
      <c r="M40" s="6">
        <v>197</v>
      </c>
      <c r="N40" s="6"/>
      <c r="O40" s="6"/>
      <c r="P40" s="6"/>
      <c r="Q40" s="6"/>
      <c r="R40" s="6"/>
      <c r="S40" s="6"/>
      <c r="T40" s="6">
        <v>1</v>
      </c>
      <c r="U40" s="6">
        <v>12</v>
      </c>
      <c r="V40" s="6">
        <v>6</v>
      </c>
      <c r="W40" s="6">
        <v>489</v>
      </c>
      <c r="X40" s="6">
        <v>13</v>
      </c>
      <c r="Y40" s="6">
        <v>1748</v>
      </c>
      <c r="Z40" s="6">
        <v>58</v>
      </c>
      <c r="AA40" s="6">
        <v>16731</v>
      </c>
      <c r="AB40" s="6">
        <v>2</v>
      </c>
      <c r="AC40" s="6">
        <v>579</v>
      </c>
      <c r="AD40" s="6">
        <v>47</v>
      </c>
      <c r="AE40" s="6">
        <v>12071</v>
      </c>
      <c r="AF40" s="6">
        <v>6</v>
      </c>
      <c r="AG40" s="6">
        <v>1298</v>
      </c>
      <c r="AH40" s="6">
        <v>7</v>
      </c>
      <c r="AI40" s="6">
        <v>1205</v>
      </c>
      <c r="AJ40" s="6">
        <v>1</v>
      </c>
      <c r="AK40" s="6">
        <v>304</v>
      </c>
      <c r="AL40" s="6"/>
      <c r="AM40" s="6"/>
      <c r="AN40" s="6">
        <v>4</v>
      </c>
      <c r="AO40" s="6">
        <v>415</v>
      </c>
      <c r="AP40" s="6">
        <v>5</v>
      </c>
      <c r="AQ40" s="6">
        <v>1680</v>
      </c>
      <c r="AR40" s="6">
        <v>5</v>
      </c>
      <c r="AS40" s="6">
        <v>2281</v>
      </c>
      <c r="AT40" s="6">
        <v>1</v>
      </c>
      <c r="AU40" s="6">
        <v>266</v>
      </c>
      <c r="AV40" s="6"/>
      <c r="AW40" s="6"/>
      <c r="AX40" s="6">
        <v>1</v>
      </c>
      <c r="AY40" s="6">
        <v>19</v>
      </c>
      <c r="AZ40" s="6"/>
      <c r="BA40" s="6"/>
      <c r="BB40" s="6">
        <v>2</v>
      </c>
      <c r="BC40" s="6">
        <v>162</v>
      </c>
      <c r="BD40" s="6"/>
      <c r="BE40" s="6"/>
      <c r="BF40" s="6">
        <v>1</v>
      </c>
      <c r="BG40" s="6">
        <v>41</v>
      </c>
      <c r="BH40" s="6">
        <v>5</v>
      </c>
      <c r="BI40" s="6">
        <v>195</v>
      </c>
      <c r="BJ40" s="6">
        <v>5</v>
      </c>
      <c r="BK40" s="6">
        <v>389</v>
      </c>
      <c r="BL40" s="6"/>
      <c r="BM40" s="6"/>
      <c r="BN40" s="6">
        <v>21</v>
      </c>
      <c r="BO40" s="6">
        <v>877</v>
      </c>
      <c r="BP40" s="6">
        <v>9</v>
      </c>
      <c r="BQ40" s="6">
        <v>435</v>
      </c>
      <c r="BR40" s="6"/>
      <c r="BS40" s="6"/>
      <c r="BT40" s="6"/>
      <c r="BU40" s="6"/>
      <c r="BV40" s="6">
        <v>6</v>
      </c>
      <c r="BW40" s="6">
        <v>104</v>
      </c>
      <c r="BX40" s="8">
        <f t="shared" si="0"/>
        <v>230</v>
      </c>
      <c r="BY40" s="8">
        <f t="shared" si="1"/>
        <v>43438</v>
      </c>
      <c r="BZ40" s="52"/>
      <c r="CA40" s="52"/>
      <c r="CB40" s="52"/>
    </row>
    <row r="41" spans="1:80" s="27" customFormat="1">
      <c r="A41" s="5" t="s">
        <v>78</v>
      </c>
      <c r="B41" s="6"/>
      <c r="C41" s="6"/>
      <c r="D41" s="6"/>
      <c r="E41" s="6"/>
      <c r="F41" s="6"/>
      <c r="G41" s="6"/>
      <c r="H41" s="6"/>
      <c r="I41" s="6"/>
      <c r="J41" s="6">
        <v>3</v>
      </c>
      <c r="K41" s="6">
        <v>40</v>
      </c>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v>1</v>
      </c>
      <c r="BW41" s="6">
        <v>6</v>
      </c>
      <c r="BX41" s="8">
        <f t="shared" si="0"/>
        <v>4</v>
      </c>
      <c r="BY41" s="8">
        <f t="shared" si="1"/>
        <v>46</v>
      </c>
      <c r="BZ41" s="52"/>
      <c r="CA41" s="52"/>
      <c r="CB41" s="52"/>
    </row>
    <row r="42" spans="1:80" s="27" customFormat="1">
      <c r="A42" s="5" t="s">
        <v>178</v>
      </c>
      <c r="B42" s="6"/>
      <c r="C42" s="6"/>
      <c r="D42" s="6"/>
      <c r="E42" s="6"/>
      <c r="F42" s="6"/>
      <c r="G42" s="6"/>
      <c r="H42" s="6"/>
      <c r="I42" s="6"/>
      <c r="J42" s="6">
        <v>2</v>
      </c>
      <c r="K42" s="6">
        <v>28</v>
      </c>
      <c r="L42" s="6"/>
      <c r="M42" s="6"/>
      <c r="N42" s="6"/>
      <c r="O42" s="6"/>
      <c r="P42" s="6"/>
      <c r="Q42" s="6"/>
      <c r="R42" s="6"/>
      <c r="S42" s="6"/>
      <c r="T42" s="6">
        <v>1</v>
      </c>
      <c r="U42" s="6">
        <v>11</v>
      </c>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8">
        <f t="shared" si="0"/>
        <v>3</v>
      </c>
      <c r="BY42" s="8">
        <f t="shared" si="1"/>
        <v>39</v>
      </c>
      <c r="BZ42" s="52"/>
      <c r="CA42" s="52"/>
      <c r="CB42" s="52"/>
    </row>
    <row r="43" spans="1:80" s="27" customFormat="1">
      <c r="A43" s="5" t="s">
        <v>79</v>
      </c>
      <c r="B43" s="6">
        <v>8</v>
      </c>
      <c r="C43" s="6">
        <v>363</v>
      </c>
      <c r="D43" s="6">
        <v>9</v>
      </c>
      <c r="E43" s="6">
        <v>564</v>
      </c>
      <c r="F43" s="6">
        <v>14</v>
      </c>
      <c r="G43" s="6">
        <v>1451</v>
      </c>
      <c r="H43" s="6"/>
      <c r="I43" s="6"/>
      <c r="J43" s="6">
        <v>6</v>
      </c>
      <c r="K43" s="6">
        <v>92</v>
      </c>
      <c r="L43" s="6"/>
      <c r="M43" s="6"/>
      <c r="N43" s="6"/>
      <c r="O43" s="6"/>
      <c r="P43" s="6"/>
      <c r="Q43" s="6"/>
      <c r="R43" s="6"/>
      <c r="S43" s="6"/>
      <c r="T43" s="6"/>
      <c r="U43" s="6"/>
      <c r="V43" s="6">
        <v>1</v>
      </c>
      <c r="W43" s="6">
        <v>47</v>
      </c>
      <c r="X43" s="6">
        <v>2</v>
      </c>
      <c r="Y43" s="6">
        <v>190</v>
      </c>
      <c r="Z43" s="6">
        <v>6</v>
      </c>
      <c r="AA43" s="6">
        <v>1307</v>
      </c>
      <c r="AB43" s="6">
        <v>1</v>
      </c>
      <c r="AC43" s="6">
        <v>56</v>
      </c>
      <c r="AD43" s="6">
        <v>4</v>
      </c>
      <c r="AE43" s="6">
        <v>625</v>
      </c>
      <c r="AF43" s="6">
        <v>1</v>
      </c>
      <c r="AG43" s="6">
        <v>229</v>
      </c>
      <c r="AH43" s="6">
        <v>3</v>
      </c>
      <c r="AI43" s="6">
        <v>329</v>
      </c>
      <c r="AJ43" s="6"/>
      <c r="AK43" s="6"/>
      <c r="AL43" s="6"/>
      <c r="AM43" s="6"/>
      <c r="AN43" s="6"/>
      <c r="AO43" s="6"/>
      <c r="AP43" s="6">
        <v>2</v>
      </c>
      <c r="AQ43" s="6">
        <v>488</v>
      </c>
      <c r="AR43" s="6">
        <v>4</v>
      </c>
      <c r="AS43" s="6">
        <v>849</v>
      </c>
      <c r="AT43" s="6"/>
      <c r="AU43" s="6"/>
      <c r="AV43" s="6"/>
      <c r="AW43" s="6"/>
      <c r="AX43" s="6">
        <v>1</v>
      </c>
      <c r="AY43" s="6">
        <v>39</v>
      </c>
      <c r="AZ43" s="6"/>
      <c r="BA43" s="6"/>
      <c r="BB43" s="6">
        <v>1</v>
      </c>
      <c r="BC43" s="6">
        <v>12</v>
      </c>
      <c r="BD43" s="6"/>
      <c r="BE43" s="6"/>
      <c r="BF43" s="6"/>
      <c r="BG43" s="6"/>
      <c r="BH43" s="6">
        <v>1</v>
      </c>
      <c r="BI43" s="6">
        <v>68</v>
      </c>
      <c r="BJ43" s="6">
        <v>2</v>
      </c>
      <c r="BK43" s="6">
        <v>78</v>
      </c>
      <c r="BL43" s="6"/>
      <c r="BM43" s="6"/>
      <c r="BN43" s="6">
        <v>1</v>
      </c>
      <c r="BO43" s="6">
        <v>48</v>
      </c>
      <c r="BP43" s="6">
        <v>3</v>
      </c>
      <c r="BQ43" s="6">
        <v>167</v>
      </c>
      <c r="BR43" s="6"/>
      <c r="BS43" s="6"/>
      <c r="BT43" s="6">
        <v>1</v>
      </c>
      <c r="BU43" s="6">
        <v>23</v>
      </c>
      <c r="BV43" s="6">
        <v>5</v>
      </c>
      <c r="BW43" s="6">
        <v>72</v>
      </c>
      <c r="BX43" s="8">
        <f t="shared" si="0"/>
        <v>76</v>
      </c>
      <c r="BY43" s="8">
        <f t="shared" si="1"/>
        <v>7097</v>
      </c>
      <c r="BZ43" s="52"/>
      <c r="CA43" s="52"/>
      <c r="CB43" s="52"/>
    </row>
    <row r="44" spans="1:80" s="27" customFormat="1">
      <c r="A44" s="5" t="s">
        <v>80</v>
      </c>
      <c r="B44" s="6"/>
      <c r="C44" s="6"/>
      <c r="D44" s="6"/>
      <c r="E44" s="6"/>
      <c r="F44" s="6"/>
      <c r="G44" s="6"/>
      <c r="H44" s="6"/>
      <c r="I44" s="6"/>
      <c r="J44" s="6">
        <v>4</v>
      </c>
      <c r="K44" s="6">
        <v>68</v>
      </c>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v>2</v>
      </c>
      <c r="BG44" s="6">
        <v>116</v>
      </c>
      <c r="BH44" s="6"/>
      <c r="BI44" s="6"/>
      <c r="BJ44" s="6"/>
      <c r="BK44" s="6"/>
      <c r="BL44" s="6"/>
      <c r="BM44" s="6"/>
      <c r="BN44" s="6"/>
      <c r="BO44" s="6"/>
      <c r="BP44" s="6"/>
      <c r="BQ44" s="6"/>
      <c r="BR44" s="6"/>
      <c r="BS44" s="6"/>
      <c r="BT44" s="6"/>
      <c r="BU44" s="6"/>
      <c r="BV44" s="6"/>
      <c r="BW44" s="6"/>
      <c r="BX44" s="8">
        <f t="shared" si="0"/>
        <v>6</v>
      </c>
      <c r="BY44" s="8">
        <f t="shared" si="1"/>
        <v>184</v>
      </c>
      <c r="BZ44" s="52"/>
      <c r="CA44" s="52"/>
      <c r="CB44" s="52"/>
    </row>
    <row r="45" spans="1:80" s="27" customFormat="1">
      <c r="A45" s="5" t="s">
        <v>81</v>
      </c>
      <c r="B45" s="6"/>
      <c r="C45" s="6"/>
      <c r="D45" s="6"/>
      <c r="E45" s="6"/>
      <c r="F45" s="6">
        <v>1</v>
      </c>
      <c r="G45" s="6">
        <v>25</v>
      </c>
      <c r="H45" s="6"/>
      <c r="I45" s="6"/>
      <c r="J45" s="6">
        <v>3</v>
      </c>
      <c r="K45" s="6">
        <v>36</v>
      </c>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v>2</v>
      </c>
      <c r="BG45" s="6">
        <v>111</v>
      </c>
      <c r="BH45" s="6"/>
      <c r="BI45" s="6"/>
      <c r="BJ45" s="6"/>
      <c r="BK45" s="6"/>
      <c r="BL45" s="6"/>
      <c r="BM45" s="6"/>
      <c r="BN45" s="6"/>
      <c r="BO45" s="6"/>
      <c r="BP45" s="6"/>
      <c r="BQ45" s="6"/>
      <c r="BR45" s="6"/>
      <c r="BS45" s="6"/>
      <c r="BT45" s="6"/>
      <c r="BU45" s="6"/>
      <c r="BV45" s="6"/>
      <c r="BW45" s="6"/>
      <c r="BX45" s="8">
        <f t="shared" si="0"/>
        <v>6</v>
      </c>
      <c r="BY45" s="8">
        <f t="shared" si="1"/>
        <v>172</v>
      </c>
      <c r="BZ45" s="52"/>
      <c r="CA45" s="52"/>
      <c r="CB45" s="52"/>
    </row>
    <row r="46" spans="1:80" s="27" customFormat="1">
      <c r="A46" s="5" t="s">
        <v>179</v>
      </c>
      <c r="B46" s="6">
        <v>6</v>
      </c>
      <c r="C46" s="6">
        <v>210</v>
      </c>
      <c r="D46" s="6">
        <v>2</v>
      </c>
      <c r="E46" s="6">
        <v>75</v>
      </c>
      <c r="F46" s="6">
        <v>3</v>
      </c>
      <c r="G46" s="6">
        <v>109</v>
      </c>
      <c r="H46" s="6">
        <v>1</v>
      </c>
      <c r="I46" s="6">
        <v>24</v>
      </c>
      <c r="J46" s="6">
        <v>3</v>
      </c>
      <c r="K46" s="6">
        <v>36</v>
      </c>
      <c r="L46" s="6"/>
      <c r="M46" s="6"/>
      <c r="N46" s="6"/>
      <c r="O46" s="6"/>
      <c r="P46" s="6"/>
      <c r="Q46" s="6"/>
      <c r="R46" s="6"/>
      <c r="S46" s="6"/>
      <c r="T46" s="6"/>
      <c r="U46" s="6"/>
      <c r="V46" s="6"/>
      <c r="W46" s="6"/>
      <c r="X46" s="6"/>
      <c r="Y46" s="6"/>
      <c r="Z46" s="6">
        <v>6</v>
      </c>
      <c r="AA46" s="6">
        <v>1293</v>
      </c>
      <c r="AB46" s="6"/>
      <c r="AC46" s="6"/>
      <c r="AD46" s="6">
        <v>5</v>
      </c>
      <c r="AE46" s="6">
        <v>1583</v>
      </c>
      <c r="AF46" s="6">
        <v>3</v>
      </c>
      <c r="AG46" s="6">
        <v>404</v>
      </c>
      <c r="AH46" s="6"/>
      <c r="AI46" s="6"/>
      <c r="AJ46" s="6"/>
      <c r="AK46" s="6"/>
      <c r="AL46" s="6"/>
      <c r="AM46" s="6"/>
      <c r="AN46" s="6"/>
      <c r="AO46" s="6"/>
      <c r="AP46" s="6"/>
      <c r="AQ46" s="6"/>
      <c r="AR46" s="6">
        <v>1</v>
      </c>
      <c r="AS46" s="6">
        <v>156</v>
      </c>
      <c r="AT46" s="6"/>
      <c r="AU46" s="6"/>
      <c r="AV46" s="6"/>
      <c r="AW46" s="6"/>
      <c r="AX46" s="6"/>
      <c r="AY46" s="6"/>
      <c r="AZ46" s="6"/>
      <c r="BA46" s="6"/>
      <c r="BB46" s="6"/>
      <c r="BC46" s="6"/>
      <c r="BD46" s="6"/>
      <c r="BE46" s="6"/>
      <c r="BF46" s="6">
        <v>1</v>
      </c>
      <c r="BG46" s="6">
        <v>34</v>
      </c>
      <c r="BH46" s="6">
        <v>3</v>
      </c>
      <c r="BI46" s="6">
        <v>79</v>
      </c>
      <c r="BJ46" s="6">
        <v>1</v>
      </c>
      <c r="BK46" s="6">
        <v>15</v>
      </c>
      <c r="BL46" s="6"/>
      <c r="BM46" s="6"/>
      <c r="BN46" s="6"/>
      <c r="BO46" s="6"/>
      <c r="BP46" s="6"/>
      <c r="BQ46" s="6"/>
      <c r="BR46" s="6"/>
      <c r="BS46" s="6"/>
      <c r="BT46" s="6"/>
      <c r="BU46" s="6"/>
      <c r="BV46" s="6"/>
      <c r="BW46" s="6"/>
      <c r="BX46" s="8">
        <f t="shared" si="0"/>
        <v>35</v>
      </c>
      <c r="BY46" s="8">
        <f t="shared" si="1"/>
        <v>4018</v>
      </c>
      <c r="BZ46" s="52"/>
      <c r="CA46" s="52"/>
      <c r="CB46" s="52"/>
    </row>
    <row r="47" spans="1:80" s="27" customFormat="1">
      <c r="A47" s="5" t="s">
        <v>180</v>
      </c>
      <c r="B47" s="6">
        <v>4</v>
      </c>
      <c r="C47" s="6">
        <v>384</v>
      </c>
      <c r="D47" s="6">
        <v>5</v>
      </c>
      <c r="E47" s="6">
        <v>365</v>
      </c>
      <c r="F47" s="6">
        <v>8</v>
      </c>
      <c r="G47" s="6">
        <v>870</v>
      </c>
      <c r="H47" s="6">
        <v>1</v>
      </c>
      <c r="I47" s="6">
        <v>184</v>
      </c>
      <c r="J47" s="6">
        <v>4</v>
      </c>
      <c r="K47" s="6">
        <v>74</v>
      </c>
      <c r="L47" s="6">
        <v>3</v>
      </c>
      <c r="M47" s="6">
        <v>128</v>
      </c>
      <c r="N47" s="6"/>
      <c r="O47" s="6"/>
      <c r="P47" s="6"/>
      <c r="Q47" s="6"/>
      <c r="R47" s="6"/>
      <c r="S47" s="6"/>
      <c r="T47" s="6"/>
      <c r="U47" s="6"/>
      <c r="V47" s="6"/>
      <c r="W47" s="6"/>
      <c r="X47" s="6">
        <v>2</v>
      </c>
      <c r="Y47" s="6">
        <v>514</v>
      </c>
      <c r="Z47" s="6">
        <v>13</v>
      </c>
      <c r="AA47" s="6">
        <v>2760</v>
      </c>
      <c r="AB47" s="6"/>
      <c r="AC47" s="6"/>
      <c r="AD47" s="6">
        <v>17</v>
      </c>
      <c r="AE47" s="6">
        <v>6446</v>
      </c>
      <c r="AF47" s="6"/>
      <c r="AG47" s="6"/>
      <c r="AH47" s="6">
        <v>3</v>
      </c>
      <c r="AI47" s="6">
        <v>1042</v>
      </c>
      <c r="AJ47" s="6"/>
      <c r="AK47" s="6"/>
      <c r="AL47" s="6"/>
      <c r="AM47" s="6"/>
      <c r="AN47" s="6"/>
      <c r="AO47" s="6"/>
      <c r="AP47" s="6">
        <v>10</v>
      </c>
      <c r="AQ47" s="6">
        <v>4875</v>
      </c>
      <c r="AR47" s="6">
        <v>13</v>
      </c>
      <c r="AS47" s="6">
        <v>6601</v>
      </c>
      <c r="AT47" s="6">
        <v>1</v>
      </c>
      <c r="AU47" s="6">
        <v>518</v>
      </c>
      <c r="AV47" s="6"/>
      <c r="AW47" s="6"/>
      <c r="AX47" s="6"/>
      <c r="AY47" s="6"/>
      <c r="AZ47" s="6">
        <v>2</v>
      </c>
      <c r="BA47" s="6">
        <v>180</v>
      </c>
      <c r="BB47" s="6"/>
      <c r="BC47" s="6"/>
      <c r="BD47" s="6"/>
      <c r="BE47" s="6"/>
      <c r="BF47" s="6">
        <v>1</v>
      </c>
      <c r="BG47" s="6">
        <v>56</v>
      </c>
      <c r="BH47" s="6"/>
      <c r="BI47" s="6"/>
      <c r="BJ47" s="6">
        <v>2</v>
      </c>
      <c r="BK47" s="6">
        <v>111</v>
      </c>
      <c r="BL47" s="6"/>
      <c r="BM47" s="6"/>
      <c r="BN47" s="6">
        <v>2</v>
      </c>
      <c r="BO47" s="6">
        <v>79</v>
      </c>
      <c r="BP47" s="6">
        <v>1</v>
      </c>
      <c r="BQ47" s="6">
        <v>42</v>
      </c>
      <c r="BR47" s="6"/>
      <c r="BS47" s="6"/>
      <c r="BT47" s="6"/>
      <c r="BU47" s="6"/>
      <c r="BV47" s="6"/>
      <c r="BW47" s="6"/>
      <c r="BX47" s="8">
        <f t="shared" si="0"/>
        <v>92</v>
      </c>
      <c r="BY47" s="8">
        <f t="shared" si="1"/>
        <v>25229</v>
      </c>
      <c r="BZ47" s="52"/>
      <c r="CA47" s="52"/>
      <c r="CB47" s="52"/>
    </row>
    <row r="48" spans="1:80" s="27" customFormat="1">
      <c r="A48" s="5" t="s">
        <v>84</v>
      </c>
      <c r="B48" s="6"/>
      <c r="C48" s="6"/>
      <c r="D48" s="6"/>
      <c r="E48" s="6"/>
      <c r="F48" s="6"/>
      <c r="G48" s="6"/>
      <c r="H48" s="6"/>
      <c r="I48" s="6"/>
      <c r="J48" s="6">
        <v>1</v>
      </c>
      <c r="K48" s="6">
        <v>10</v>
      </c>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8">
        <f t="shared" si="0"/>
        <v>1</v>
      </c>
      <c r="BY48" s="8">
        <f t="shared" si="1"/>
        <v>10</v>
      </c>
      <c r="BZ48" s="52"/>
      <c r="CA48" s="52"/>
      <c r="CB48" s="52"/>
    </row>
    <row r="49" spans="1:80" s="27" customFormat="1">
      <c r="A49" s="5" t="s">
        <v>85</v>
      </c>
      <c r="B49" s="6">
        <v>3</v>
      </c>
      <c r="C49" s="6">
        <v>178</v>
      </c>
      <c r="D49" s="6">
        <v>7</v>
      </c>
      <c r="E49" s="6">
        <v>339</v>
      </c>
      <c r="F49" s="6"/>
      <c r="G49" s="6"/>
      <c r="H49" s="6"/>
      <c r="I49" s="6"/>
      <c r="J49" s="6">
        <v>5</v>
      </c>
      <c r="K49" s="6">
        <v>84</v>
      </c>
      <c r="L49" s="6"/>
      <c r="M49" s="6"/>
      <c r="N49" s="6"/>
      <c r="O49" s="6"/>
      <c r="P49" s="6"/>
      <c r="Q49" s="6"/>
      <c r="R49" s="6"/>
      <c r="S49" s="6"/>
      <c r="T49" s="6"/>
      <c r="U49" s="6"/>
      <c r="V49" s="6">
        <v>2</v>
      </c>
      <c r="W49" s="6">
        <v>276</v>
      </c>
      <c r="X49" s="6">
        <v>1</v>
      </c>
      <c r="Y49" s="6">
        <v>154</v>
      </c>
      <c r="Z49" s="6">
        <v>17</v>
      </c>
      <c r="AA49" s="6">
        <v>5704</v>
      </c>
      <c r="AB49" s="6"/>
      <c r="AC49" s="6"/>
      <c r="AD49" s="6">
        <v>3</v>
      </c>
      <c r="AE49" s="6">
        <v>1200</v>
      </c>
      <c r="AF49" s="6"/>
      <c r="AG49" s="6"/>
      <c r="AH49" s="6"/>
      <c r="AI49" s="6"/>
      <c r="AJ49" s="6"/>
      <c r="AK49" s="6"/>
      <c r="AL49" s="6"/>
      <c r="AM49" s="6"/>
      <c r="AN49" s="6"/>
      <c r="AO49" s="6"/>
      <c r="AP49" s="6">
        <v>5</v>
      </c>
      <c r="AQ49" s="6">
        <v>661</v>
      </c>
      <c r="AR49" s="6">
        <v>10</v>
      </c>
      <c r="AS49" s="6">
        <v>4228</v>
      </c>
      <c r="AT49" s="6"/>
      <c r="AU49" s="6"/>
      <c r="AV49" s="6"/>
      <c r="AW49" s="6"/>
      <c r="AX49" s="6"/>
      <c r="AY49" s="6"/>
      <c r="AZ49" s="6"/>
      <c r="BA49" s="6"/>
      <c r="BB49" s="6"/>
      <c r="BC49" s="6"/>
      <c r="BD49" s="6"/>
      <c r="BE49" s="6"/>
      <c r="BF49" s="6">
        <v>1</v>
      </c>
      <c r="BG49" s="6">
        <v>50</v>
      </c>
      <c r="BH49" s="6">
        <v>1</v>
      </c>
      <c r="BI49" s="6">
        <v>69</v>
      </c>
      <c r="BJ49" s="6">
        <v>1</v>
      </c>
      <c r="BK49" s="6">
        <v>68</v>
      </c>
      <c r="BL49" s="6">
        <v>1</v>
      </c>
      <c r="BM49" s="6">
        <v>142</v>
      </c>
      <c r="BN49" s="6">
        <v>2</v>
      </c>
      <c r="BO49" s="6">
        <v>64</v>
      </c>
      <c r="BP49" s="6"/>
      <c r="BQ49" s="6"/>
      <c r="BR49" s="6"/>
      <c r="BS49" s="6"/>
      <c r="BT49" s="6"/>
      <c r="BU49" s="6"/>
      <c r="BV49" s="6"/>
      <c r="BW49" s="6"/>
      <c r="BX49" s="8">
        <f t="shared" si="0"/>
        <v>59</v>
      </c>
      <c r="BY49" s="8">
        <f t="shared" si="1"/>
        <v>13217</v>
      </c>
      <c r="BZ49" s="52"/>
      <c r="CA49" s="52"/>
      <c r="CB49" s="52"/>
    </row>
    <row r="50" spans="1:80" s="27" customFormat="1">
      <c r="A50" s="5" t="s">
        <v>86</v>
      </c>
      <c r="B50" s="6"/>
      <c r="C50" s="6"/>
      <c r="D50" s="6"/>
      <c r="E50" s="6"/>
      <c r="F50" s="6"/>
      <c r="G50" s="6"/>
      <c r="H50" s="6"/>
      <c r="I50" s="6"/>
      <c r="J50" s="6">
        <v>3</v>
      </c>
      <c r="K50" s="6">
        <v>36</v>
      </c>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v>1</v>
      </c>
      <c r="BG50" s="6">
        <v>41</v>
      </c>
      <c r="BH50" s="6"/>
      <c r="BI50" s="6"/>
      <c r="BJ50" s="6"/>
      <c r="BK50" s="6"/>
      <c r="BL50" s="6"/>
      <c r="BM50" s="6"/>
      <c r="BN50" s="6"/>
      <c r="BO50" s="6"/>
      <c r="BP50" s="6"/>
      <c r="BQ50" s="6"/>
      <c r="BR50" s="6"/>
      <c r="BS50" s="6"/>
      <c r="BT50" s="6"/>
      <c r="BU50" s="6"/>
      <c r="BV50" s="6"/>
      <c r="BW50" s="6"/>
      <c r="BX50" s="8">
        <f t="shared" si="0"/>
        <v>4</v>
      </c>
      <c r="BY50" s="8">
        <f t="shared" si="1"/>
        <v>77</v>
      </c>
      <c r="BZ50" s="52"/>
      <c r="CA50" s="52"/>
      <c r="CB50" s="52"/>
    </row>
    <row r="51" spans="1:80" s="27" customFormat="1">
      <c r="A51" s="5" t="s">
        <v>87</v>
      </c>
      <c r="B51" s="6">
        <v>7</v>
      </c>
      <c r="C51" s="6">
        <v>163</v>
      </c>
      <c r="D51" s="6">
        <v>19</v>
      </c>
      <c r="E51" s="6">
        <v>2166</v>
      </c>
      <c r="F51" s="6">
        <v>10</v>
      </c>
      <c r="G51" s="6">
        <v>1471</v>
      </c>
      <c r="H51" s="6"/>
      <c r="I51" s="6"/>
      <c r="J51" s="6">
        <v>4</v>
      </c>
      <c r="K51" s="6">
        <v>56</v>
      </c>
      <c r="L51" s="6">
        <v>2</v>
      </c>
      <c r="M51" s="6">
        <v>70</v>
      </c>
      <c r="N51" s="6"/>
      <c r="O51" s="6"/>
      <c r="P51" s="6"/>
      <c r="Q51" s="6"/>
      <c r="R51" s="6"/>
      <c r="S51" s="6"/>
      <c r="T51" s="6">
        <v>2</v>
      </c>
      <c r="U51" s="6">
        <v>70</v>
      </c>
      <c r="V51" s="6">
        <v>1</v>
      </c>
      <c r="W51" s="6">
        <v>76</v>
      </c>
      <c r="X51" s="6">
        <v>3</v>
      </c>
      <c r="Y51" s="6">
        <v>268</v>
      </c>
      <c r="Z51" s="6">
        <v>11</v>
      </c>
      <c r="AA51" s="6">
        <v>2920</v>
      </c>
      <c r="AB51" s="6"/>
      <c r="AC51" s="6"/>
      <c r="AD51" s="6">
        <v>6</v>
      </c>
      <c r="AE51" s="6">
        <v>1208</v>
      </c>
      <c r="AF51" s="6"/>
      <c r="AG51" s="6"/>
      <c r="AH51" s="6">
        <v>1</v>
      </c>
      <c r="AI51" s="6">
        <v>759</v>
      </c>
      <c r="AJ51" s="6"/>
      <c r="AK51" s="6"/>
      <c r="AL51" s="6"/>
      <c r="AM51" s="6"/>
      <c r="AN51" s="6">
        <v>1</v>
      </c>
      <c r="AO51" s="6">
        <v>93</v>
      </c>
      <c r="AP51" s="6">
        <v>10</v>
      </c>
      <c r="AQ51" s="6">
        <v>3722</v>
      </c>
      <c r="AR51" s="6">
        <v>4</v>
      </c>
      <c r="AS51" s="6">
        <v>2779</v>
      </c>
      <c r="AT51" s="6"/>
      <c r="AU51" s="6"/>
      <c r="AV51" s="6">
        <v>1</v>
      </c>
      <c r="AW51" s="6">
        <v>94</v>
      </c>
      <c r="AX51" s="6"/>
      <c r="AY51" s="6"/>
      <c r="AZ51" s="6"/>
      <c r="BA51" s="6"/>
      <c r="BB51" s="6"/>
      <c r="BC51" s="6"/>
      <c r="BD51" s="6"/>
      <c r="BE51" s="6"/>
      <c r="BF51" s="6"/>
      <c r="BG51" s="6"/>
      <c r="BH51" s="6">
        <v>8</v>
      </c>
      <c r="BI51" s="6">
        <v>325</v>
      </c>
      <c r="BJ51" s="6">
        <v>5</v>
      </c>
      <c r="BK51" s="6">
        <v>274</v>
      </c>
      <c r="BL51" s="6"/>
      <c r="BM51" s="6"/>
      <c r="BN51" s="6">
        <v>6</v>
      </c>
      <c r="BO51" s="6">
        <v>215</v>
      </c>
      <c r="BP51" s="6">
        <v>5</v>
      </c>
      <c r="BQ51" s="6">
        <v>119</v>
      </c>
      <c r="BR51" s="6"/>
      <c r="BS51" s="6"/>
      <c r="BT51" s="6"/>
      <c r="BU51" s="6"/>
      <c r="BV51" s="6">
        <v>3</v>
      </c>
      <c r="BW51" s="6">
        <v>41</v>
      </c>
      <c r="BX51" s="8">
        <f t="shared" si="0"/>
        <v>109</v>
      </c>
      <c r="BY51" s="8">
        <f t="shared" si="1"/>
        <v>16889</v>
      </c>
      <c r="BZ51" s="52"/>
      <c r="CA51" s="52"/>
      <c r="CB51" s="52"/>
    </row>
    <row r="52" spans="1:80" s="27" customFormat="1">
      <c r="A52" s="5" t="s">
        <v>88</v>
      </c>
      <c r="B52" s="6"/>
      <c r="C52" s="6"/>
      <c r="D52" s="6"/>
      <c r="E52" s="6"/>
      <c r="F52" s="6"/>
      <c r="G52" s="6"/>
      <c r="H52" s="6"/>
      <c r="I52" s="6"/>
      <c r="J52" s="6">
        <v>7</v>
      </c>
      <c r="K52" s="6">
        <v>132</v>
      </c>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v>6</v>
      </c>
      <c r="BW52" s="6">
        <v>78</v>
      </c>
      <c r="BX52" s="8">
        <f t="shared" si="0"/>
        <v>13</v>
      </c>
      <c r="BY52" s="8">
        <f t="shared" si="1"/>
        <v>210</v>
      </c>
      <c r="BZ52" s="52"/>
      <c r="CA52" s="52"/>
      <c r="CB52" s="52"/>
    </row>
    <row r="53" spans="1:80" s="27" customFormat="1">
      <c r="A53" s="5" t="s">
        <v>89</v>
      </c>
      <c r="B53" s="6"/>
      <c r="C53" s="6"/>
      <c r="D53" s="6"/>
      <c r="E53" s="6"/>
      <c r="F53" s="6"/>
      <c r="G53" s="6"/>
      <c r="H53" s="6"/>
      <c r="I53" s="6"/>
      <c r="J53" s="6">
        <v>2</v>
      </c>
      <c r="K53" s="6">
        <v>38</v>
      </c>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v>1</v>
      </c>
      <c r="BG53" s="6">
        <v>39</v>
      </c>
      <c r="BH53" s="6"/>
      <c r="BI53" s="6"/>
      <c r="BJ53" s="6"/>
      <c r="BK53" s="6"/>
      <c r="BL53" s="6"/>
      <c r="BM53" s="6"/>
      <c r="BN53" s="6"/>
      <c r="BO53" s="6"/>
      <c r="BP53" s="6"/>
      <c r="BQ53" s="6"/>
      <c r="BR53" s="6"/>
      <c r="BS53" s="6"/>
      <c r="BT53" s="6"/>
      <c r="BU53" s="6"/>
      <c r="BV53" s="6">
        <v>1</v>
      </c>
      <c r="BW53" s="6">
        <v>4</v>
      </c>
      <c r="BX53" s="8">
        <f t="shared" si="0"/>
        <v>4</v>
      </c>
      <c r="BY53" s="8">
        <f t="shared" si="1"/>
        <v>81</v>
      </c>
      <c r="BZ53" s="52"/>
      <c r="CA53" s="52"/>
      <c r="CB53" s="52"/>
    </row>
    <row r="54" spans="1:80" s="27" customFormat="1">
      <c r="A54" s="5" t="s">
        <v>91</v>
      </c>
      <c r="B54" s="6"/>
      <c r="C54" s="6"/>
      <c r="D54" s="6"/>
      <c r="E54" s="6"/>
      <c r="F54" s="6"/>
      <c r="G54" s="6"/>
      <c r="H54" s="6"/>
      <c r="I54" s="6"/>
      <c r="J54" s="6">
        <v>1</v>
      </c>
      <c r="K54" s="6">
        <v>20</v>
      </c>
      <c r="L54" s="6"/>
      <c r="M54" s="6"/>
      <c r="N54" s="6"/>
      <c r="O54" s="6"/>
      <c r="P54" s="6"/>
      <c r="Q54" s="6"/>
      <c r="R54" s="6"/>
      <c r="S54" s="6"/>
      <c r="T54" s="6"/>
      <c r="U54" s="6"/>
      <c r="V54" s="6"/>
      <c r="W54" s="6"/>
      <c r="X54" s="6"/>
      <c r="Y54" s="6"/>
      <c r="Z54" s="6"/>
      <c r="AA54" s="6"/>
      <c r="AB54" s="6"/>
      <c r="AC54" s="6"/>
      <c r="AD54" s="6">
        <v>1</v>
      </c>
      <c r="AE54" s="6">
        <v>16</v>
      </c>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v>5</v>
      </c>
      <c r="BW54" s="6">
        <v>63</v>
      </c>
      <c r="BX54" s="8">
        <f t="shared" si="0"/>
        <v>7</v>
      </c>
      <c r="BY54" s="8">
        <f t="shared" si="1"/>
        <v>99</v>
      </c>
      <c r="BZ54" s="52"/>
      <c r="CA54" s="52"/>
      <c r="CB54" s="52"/>
    </row>
    <row r="55" spans="1:80" s="27" customFormat="1">
      <c r="A55" s="5" t="s">
        <v>92</v>
      </c>
      <c r="B55" s="6"/>
      <c r="C55" s="6"/>
      <c r="D55" s="6"/>
      <c r="E55" s="6"/>
      <c r="F55" s="6">
        <v>1</v>
      </c>
      <c r="G55" s="6">
        <v>82</v>
      </c>
      <c r="H55" s="6"/>
      <c r="I55" s="6"/>
      <c r="J55" s="6">
        <v>10</v>
      </c>
      <c r="K55" s="6">
        <v>131</v>
      </c>
      <c r="L55" s="6">
        <v>1</v>
      </c>
      <c r="M55" s="6">
        <v>15</v>
      </c>
      <c r="N55" s="6"/>
      <c r="O55" s="6"/>
      <c r="P55" s="6"/>
      <c r="Q55" s="6"/>
      <c r="R55" s="6"/>
      <c r="S55" s="6"/>
      <c r="T55" s="6"/>
      <c r="U55" s="6"/>
      <c r="V55" s="6"/>
      <c r="W55" s="6"/>
      <c r="X55" s="6">
        <v>5</v>
      </c>
      <c r="Y55" s="6">
        <v>471</v>
      </c>
      <c r="Z55" s="6">
        <v>3</v>
      </c>
      <c r="AA55" s="6">
        <v>728</v>
      </c>
      <c r="AB55" s="6"/>
      <c r="AC55" s="6"/>
      <c r="AD55" s="6">
        <v>3</v>
      </c>
      <c r="AE55" s="6">
        <v>385</v>
      </c>
      <c r="AF55" s="6">
        <v>2</v>
      </c>
      <c r="AG55" s="6">
        <v>281</v>
      </c>
      <c r="AH55" s="6">
        <v>1</v>
      </c>
      <c r="AI55" s="6">
        <v>74</v>
      </c>
      <c r="AJ55" s="6">
        <v>1</v>
      </c>
      <c r="AK55" s="6">
        <v>242</v>
      </c>
      <c r="AL55" s="6"/>
      <c r="AM55" s="6"/>
      <c r="AN55" s="6"/>
      <c r="AO55" s="6"/>
      <c r="AP55" s="6">
        <v>1</v>
      </c>
      <c r="AQ55" s="6">
        <v>208</v>
      </c>
      <c r="AR55" s="6"/>
      <c r="AS55" s="6"/>
      <c r="AT55" s="6"/>
      <c r="AU55" s="6"/>
      <c r="AV55" s="6"/>
      <c r="AW55" s="6"/>
      <c r="AX55" s="6"/>
      <c r="AY55" s="6"/>
      <c r="AZ55" s="6"/>
      <c r="BA55" s="6"/>
      <c r="BB55" s="6"/>
      <c r="BC55" s="6"/>
      <c r="BD55" s="6"/>
      <c r="BE55" s="6"/>
      <c r="BF55" s="6">
        <v>1</v>
      </c>
      <c r="BG55" s="6">
        <v>16</v>
      </c>
      <c r="BH55" s="6">
        <v>3</v>
      </c>
      <c r="BI55" s="6">
        <v>171</v>
      </c>
      <c r="BJ55" s="6">
        <v>1</v>
      </c>
      <c r="BK55" s="6">
        <v>50</v>
      </c>
      <c r="BL55" s="6"/>
      <c r="BM55" s="6"/>
      <c r="BN55" s="6"/>
      <c r="BO55" s="6"/>
      <c r="BP55" s="6"/>
      <c r="BQ55" s="6"/>
      <c r="BR55" s="6"/>
      <c r="BS55" s="6"/>
      <c r="BT55" s="6"/>
      <c r="BU55" s="6"/>
      <c r="BV55" s="6">
        <v>10</v>
      </c>
      <c r="BW55" s="6">
        <v>139</v>
      </c>
      <c r="BX55" s="8">
        <f t="shared" si="0"/>
        <v>43</v>
      </c>
      <c r="BY55" s="8">
        <f t="shared" si="1"/>
        <v>2993</v>
      </c>
      <c r="BZ55" s="52"/>
      <c r="CA55" s="52"/>
      <c r="CB55" s="52"/>
    </row>
    <row r="56" spans="1:80" s="27" customFormat="1">
      <c r="A56" s="5" t="s">
        <v>93</v>
      </c>
      <c r="B56" s="6">
        <v>16</v>
      </c>
      <c r="C56" s="6">
        <v>826</v>
      </c>
      <c r="D56" s="6">
        <v>6</v>
      </c>
      <c r="E56" s="6">
        <v>564</v>
      </c>
      <c r="F56" s="6">
        <v>6</v>
      </c>
      <c r="G56" s="6">
        <v>1029</v>
      </c>
      <c r="H56" s="6">
        <v>1</v>
      </c>
      <c r="I56" s="6">
        <v>18</v>
      </c>
      <c r="J56" s="6">
        <v>4</v>
      </c>
      <c r="K56" s="6">
        <v>88</v>
      </c>
      <c r="L56" s="6">
        <v>1</v>
      </c>
      <c r="M56" s="6">
        <v>20</v>
      </c>
      <c r="N56" s="6"/>
      <c r="O56" s="6"/>
      <c r="P56" s="6"/>
      <c r="Q56" s="6"/>
      <c r="R56" s="6"/>
      <c r="S56" s="6"/>
      <c r="T56" s="6"/>
      <c r="U56" s="6"/>
      <c r="V56" s="6">
        <v>2</v>
      </c>
      <c r="W56" s="6">
        <v>311</v>
      </c>
      <c r="X56" s="6">
        <v>2</v>
      </c>
      <c r="Y56" s="6">
        <v>147</v>
      </c>
      <c r="Z56" s="6">
        <v>11</v>
      </c>
      <c r="AA56" s="6">
        <v>2141</v>
      </c>
      <c r="AB56" s="6">
        <v>1</v>
      </c>
      <c r="AC56" s="6">
        <v>319</v>
      </c>
      <c r="AD56" s="6">
        <v>4</v>
      </c>
      <c r="AE56" s="6">
        <v>1094</v>
      </c>
      <c r="AF56" s="6">
        <v>1</v>
      </c>
      <c r="AG56" s="6">
        <v>413</v>
      </c>
      <c r="AH56" s="6"/>
      <c r="AI56" s="6"/>
      <c r="AJ56" s="6"/>
      <c r="AK56" s="6"/>
      <c r="AL56" s="6"/>
      <c r="AM56" s="6"/>
      <c r="AN56" s="6"/>
      <c r="AO56" s="6"/>
      <c r="AP56" s="6">
        <v>4</v>
      </c>
      <c r="AQ56" s="6">
        <v>1036</v>
      </c>
      <c r="AR56" s="6">
        <v>8</v>
      </c>
      <c r="AS56" s="6">
        <v>2978</v>
      </c>
      <c r="AT56" s="6"/>
      <c r="AU56" s="6"/>
      <c r="AV56" s="6">
        <v>1</v>
      </c>
      <c r="AW56" s="6">
        <v>136</v>
      </c>
      <c r="AX56" s="6"/>
      <c r="AY56" s="6"/>
      <c r="AZ56" s="6"/>
      <c r="BA56" s="6"/>
      <c r="BB56" s="6"/>
      <c r="BC56" s="6"/>
      <c r="BD56" s="6"/>
      <c r="BE56" s="6"/>
      <c r="BF56" s="6">
        <v>1</v>
      </c>
      <c r="BG56" s="6">
        <v>45</v>
      </c>
      <c r="BH56" s="6">
        <v>1</v>
      </c>
      <c r="BI56" s="6">
        <v>49</v>
      </c>
      <c r="BJ56" s="6">
        <v>1</v>
      </c>
      <c r="BK56" s="6">
        <v>84</v>
      </c>
      <c r="BL56" s="6"/>
      <c r="BM56" s="6"/>
      <c r="BN56" s="6">
        <v>4</v>
      </c>
      <c r="BO56" s="6">
        <v>169</v>
      </c>
      <c r="BP56" s="6">
        <v>2</v>
      </c>
      <c r="BQ56" s="6">
        <v>114</v>
      </c>
      <c r="BR56" s="6"/>
      <c r="BS56" s="6"/>
      <c r="BT56" s="6"/>
      <c r="BU56" s="6"/>
      <c r="BV56" s="6">
        <v>1</v>
      </c>
      <c r="BW56" s="6">
        <v>10</v>
      </c>
      <c r="BX56" s="8">
        <f t="shared" si="0"/>
        <v>78</v>
      </c>
      <c r="BY56" s="8">
        <f t="shared" si="1"/>
        <v>11591</v>
      </c>
      <c r="BZ56" s="52"/>
      <c r="CA56" s="52"/>
      <c r="CB56" s="52"/>
    </row>
    <row r="57" spans="1:80" s="27" customFormat="1">
      <c r="A57" s="5" t="s">
        <v>94</v>
      </c>
      <c r="B57" s="6"/>
      <c r="C57" s="6"/>
      <c r="D57" s="6"/>
      <c r="E57" s="6"/>
      <c r="F57" s="6"/>
      <c r="G57" s="6"/>
      <c r="H57" s="6"/>
      <c r="I57" s="6"/>
      <c r="J57" s="6">
        <v>5</v>
      </c>
      <c r="K57" s="6">
        <v>85</v>
      </c>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v>1</v>
      </c>
      <c r="AO57" s="6">
        <v>110</v>
      </c>
      <c r="AP57" s="6"/>
      <c r="AQ57" s="6"/>
      <c r="AR57" s="6"/>
      <c r="AS57" s="6"/>
      <c r="AT57" s="6"/>
      <c r="AU57" s="6"/>
      <c r="AV57" s="6"/>
      <c r="AW57" s="6"/>
      <c r="AX57" s="6"/>
      <c r="AY57" s="6"/>
      <c r="AZ57" s="6"/>
      <c r="BA57" s="6"/>
      <c r="BB57" s="6"/>
      <c r="BC57" s="6"/>
      <c r="BD57" s="6"/>
      <c r="BE57" s="6"/>
      <c r="BF57" s="6">
        <v>1</v>
      </c>
      <c r="BG57" s="6">
        <v>32</v>
      </c>
      <c r="BH57" s="6"/>
      <c r="BI57" s="6"/>
      <c r="BJ57" s="6"/>
      <c r="BK57" s="6"/>
      <c r="BL57" s="6"/>
      <c r="BM57" s="6"/>
      <c r="BN57" s="6"/>
      <c r="BO57" s="6"/>
      <c r="BP57" s="6"/>
      <c r="BQ57" s="6"/>
      <c r="BR57" s="6"/>
      <c r="BS57" s="6"/>
      <c r="BT57" s="6"/>
      <c r="BU57" s="6"/>
      <c r="BV57" s="6">
        <v>4</v>
      </c>
      <c r="BW57" s="6">
        <v>50</v>
      </c>
      <c r="BX57" s="8">
        <f t="shared" si="0"/>
        <v>11</v>
      </c>
      <c r="BY57" s="8">
        <f t="shared" si="1"/>
        <v>277</v>
      </c>
      <c r="BZ57" s="52"/>
      <c r="CA57" s="52"/>
      <c r="CB57" s="52"/>
    </row>
    <row r="58" spans="1:80" s="27" customFormat="1">
      <c r="A58" s="5" t="s">
        <v>95</v>
      </c>
      <c r="B58" s="6"/>
      <c r="C58" s="6"/>
      <c r="D58" s="6"/>
      <c r="E58" s="6"/>
      <c r="F58" s="6"/>
      <c r="G58" s="6"/>
      <c r="H58" s="6"/>
      <c r="I58" s="6"/>
      <c r="J58" s="6">
        <v>1</v>
      </c>
      <c r="K58" s="6">
        <v>20</v>
      </c>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v>1</v>
      </c>
      <c r="BG58" s="6">
        <v>48</v>
      </c>
      <c r="BH58" s="6"/>
      <c r="BI58" s="6"/>
      <c r="BJ58" s="6"/>
      <c r="BK58" s="6"/>
      <c r="BL58" s="6"/>
      <c r="BM58" s="6"/>
      <c r="BN58" s="6"/>
      <c r="BO58" s="6"/>
      <c r="BP58" s="6"/>
      <c r="BQ58" s="6"/>
      <c r="BR58" s="6"/>
      <c r="BS58" s="6"/>
      <c r="BT58" s="6"/>
      <c r="BU58" s="6"/>
      <c r="BV58" s="6"/>
      <c r="BW58" s="6"/>
      <c r="BX58" s="8">
        <f t="shared" si="0"/>
        <v>2</v>
      </c>
      <c r="BY58" s="8">
        <f t="shared" si="1"/>
        <v>68</v>
      </c>
      <c r="BZ58" s="52"/>
      <c r="CA58" s="52"/>
      <c r="CB58" s="52"/>
    </row>
    <row r="59" spans="1:80" s="51" customFormat="1">
      <c r="A59" s="11" t="s">
        <v>96</v>
      </c>
      <c r="B59" s="12">
        <f>SUM(B9:B58)</f>
        <v>92</v>
      </c>
      <c r="C59" s="12">
        <f t="shared" ref="C59:BN59" si="2">SUM(C9:C58)</f>
        <v>5329</v>
      </c>
      <c r="D59" s="12">
        <f t="shared" si="2"/>
        <v>134</v>
      </c>
      <c r="E59" s="12">
        <f t="shared" si="2"/>
        <v>14960</v>
      </c>
      <c r="F59" s="12">
        <f t="shared" si="2"/>
        <v>103</v>
      </c>
      <c r="G59" s="12">
        <f t="shared" si="2"/>
        <v>18118</v>
      </c>
      <c r="H59" s="12">
        <f t="shared" si="2"/>
        <v>9</v>
      </c>
      <c r="I59" s="12">
        <f t="shared" si="2"/>
        <v>2139</v>
      </c>
      <c r="J59" s="12">
        <f t="shared" si="2"/>
        <v>201</v>
      </c>
      <c r="K59" s="12">
        <f t="shared" si="2"/>
        <v>3164</v>
      </c>
      <c r="L59" s="12">
        <f t="shared" si="2"/>
        <v>18</v>
      </c>
      <c r="M59" s="12">
        <f t="shared" si="2"/>
        <v>556</v>
      </c>
      <c r="N59" s="12">
        <f t="shared" si="2"/>
        <v>1</v>
      </c>
      <c r="O59" s="12">
        <f t="shared" si="2"/>
        <v>500</v>
      </c>
      <c r="P59" s="12">
        <f t="shared" si="2"/>
        <v>1</v>
      </c>
      <c r="Q59" s="12">
        <f t="shared" si="2"/>
        <v>660</v>
      </c>
      <c r="R59" s="12">
        <f t="shared" si="2"/>
        <v>1</v>
      </c>
      <c r="S59" s="12">
        <f t="shared" si="2"/>
        <v>1118</v>
      </c>
      <c r="T59" s="12">
        <f t="shared" si="2"/>
        <v>8</v>
      </c>
      <c r="U59" s="12">
        <f t="shared" si="2"/>
        <v>230</v>
      </c>
      <c r="V59" s="12">
        <f t="shared" si="2"/>
        <v>24</v>
      </c>
      <c r="W59" s="12">
        <f t="shared" si="2"/>
        <v>2059</v>
      </c>
      <c r="X59" s="12">
        <f t="shared" si="2"/>
        <v>51</v>
      </c>
      <c r="Y59" s="12">
        <f t="shared" si="2"/>
        <v>7666</v>
      </c>
      <c r="Z59" s="12">
        <f t="shared" si="2"/>
        <v>262</v>
      </c>
      <c r="AA59" s="12">
        <f t="shared" si="2"/>
        <v>78432</v>
      </c>
      <c r="AB59" s="12">
        <f t="shared" si="2"/>
        <v>7</v>
      </c>
      <c r="AC59" s="12">
        <f t="shared" si="2"/>
        <v>1561</v>
      </c>
      <c r="AD59" s="12">
        <f t="shared" si="2"/>
        <v>178</v>
      </c>
      <c r="AE59" s="12">
        <f t="shared" si="2"/>
        <v>54587</v>
      </c>
      <c r="AF59" s="12">
        <f t="shared" si="2"/>
        <v>19</v>
      </c>
      <c r="AG59" s="12">
        <f t="shared" si="2"/>
        <v>4063</v>
      </c>
      <c r="AH59" s="12">
        <f t="shared" si="2"/>
        <v>28</v>
      </c>
      <c r="AI59" s="12">
        <f t="shared" si="2"/>
        <v>6088</v>
      </c>
      <c r="AJ59" s="12">
        <f t="shared" si="2"/>
        <v>2</v>
      </c>
      <c r="AK59" s="12">
        <f t="shared" si="2"/>
        <v>546</v>
      </c>
      <c r="AL59" s="12">
        <f t="shared" si="2"/>
        <v>2</v>
      </c>
      <c r="AM59" s="12">
        <f t="shared" si="2"/>
        <v>106</v>
      </c>
      <c r="AN59" s="12">
        <f t="shared" si="2"/>
        <v>9</v>
      </c>
      <c r="AO59" s="12">
        <f t="shared" si="2"/>
        <v>1113</v>
      </c>
      <c r="AP59" s="12">
        <f t="shared" si="2"/>
        <v>83</v>
      </c>
      <c r="AQ59" s="12">
        <f t="shared" si="2"/>
        <v>33289</v>
      </c>
      <c r="AR59" s="12">
        <f t="shared" si="2"/>
        <v>87</v>
      </c>
      <c r="AS59" s="12">
        <f t="shared" si="2"/>
        <v>38973</v>
      </c>
      <c r="AT59" s="12">
        <f t="shared" si="2"/>
        <v>4</v>
      </c>
      <c r="AU59" s="12">
        <f t="shared" si="2"/>
        <v>2168</v>
      </c>
      <c r="AV59" s="12">
        <f t="shared" si="2"/>
        <v>3</v>
      </c>
      <c r="AW59" s="12">
        <f t="shared" si="2"/>
        <v>294</v>
      </c>
      <c r="AX59" s="12">
        <f t="shared" si="2"/>
        <v>3</v>
      </c>
      <c r="AY59" s="12">
        <f t="shared" si="2"/>
        <v>85</v>
      </c>
      <c r="AZ59" s="12">
        <f t="shared" si="2"/>
        <v>2</v>
      </c>
      <c r="BA59" s="12">
        <f t="shared" si="2"/>
        <v>180</v>
      </c>
      <c r="BB59" s="12">
        <f t="shared" si="2"/>
        <v>3</v>
      </c>
      <c r="BC59" s="12">
        <f t="shared" si="2"/>
        <v>174</v>
      </c>
      <c r="BD59" s="12">
        <f t="shared" si="2"/>
        <v>1</v>
      </c>
      <c r="BE59" s="12">
        <f t="shared" si="2"/>
        <v>132</v>
      </c>
      <c r="BF59" s="12">
        <f t="shared" si="2"/>
        <v>35</v>
      </c>
      <c r="BG59" s="12">
        <f t="shared" si="2"/>
        <v>1443</v>
      </c>
      <c r="BH59" s="12">
        <f t="shared" si="2"/>
        <v>42</v>
      </c>
      <c r="BI59" s="12">
        <f t="shared" si="2"/>
        <v>2006</v>
      </c>
      <c r="BJ59" s="12">
        <f t="shared" si="2"/>
        <v>31</v>
      </c>
      <c r="BK59" s="12">
        <f t="shared" si="2"/>
        <v>1852</v>
      </c>
      <c r="BL59" s="12">
        <f t="shared" si="2"/>
        <v>3</v>
      </c>
      <c r="BM59" s="12">
        <f t="shared" si="2"/>
        <v>236</v>
      </c>
      <c r="BN59" s="12">
        <f t="shared" si="2"/>
        <v>56</v>
      </c>
      <c r="BO59" s="12">
        <f t="shared" ref="BO59:BW59" si="3">SUM(BO9:BO58)</f>
        <v>2267</v>
      </c>
      <c r="BP59" s="12">
        <f t="shared" si="3"/>
        <v>32</v>
      </c>
      <c r="BQ59" s="12">
        <f t="shared" si="3"/>
        <v>1338</v>
      </c>
      <c r="BR59" s="12">
        <f t="shared" si="3"/>
        <v>2</v>
      </c>
      <c r="BS59" s="12">
        <f t="shared" si="3"/>
        <v>86</v>
      </c>
      <c r="BT59" s="12">
        <f t="shared" si="3"/>
        <v>1</v>
      </c>
      <c r="BU59" s="12">
        <f t="shared" si="3"/>
        <v>23</v>
      </c>
      <c r="BV59" s="12">
        <f t="shared" si="3"/>
        <v>79</v>
      </c>
      <c r="BW59" s="12">
        <f t="shared" si="3"/>
        <v>1037</v>
      </c>
      <c r="BX59" s="12">
        <f t="shared" si="0"/>
        <v>1617</v>
      </c>
      <c r="BY59" s="12">
        <f t="shared" si="1"/>
        <v>288578</v>
      </c>
      <c r="BZ59" s="52"/>
      <c r="CA59" s="52"/>
      <c r="CB59" s="52"/>
    </row>
    <row r="60" spans="1:80" s="27" customFormat="1" ht="12.75">
      <c r="A60" s="48" t="s">
        <v>189</v>
      </c>
      <c r="BX60" s="54"/>
      <c r="BY60" s="54"/>
    </row>
    <row r="61" spans="1:80" s="27" customFormat="1" ht="12.75">
      <c r="A61" s="50" t="s">
        <v>190</v>
      </c>
      <c r="BX61" s="54"/>
      <c r="BY61" s="54"/>
    </row>
    <row r="62" spans="1:80" s="55" customFormat="1" ht="12.75">
      <c r="A62" s="50" t="s">
        <v>191</v>
      </c>
      <c r="BX62" s="56"/>
      <c r="BY62" s="57"/>
    </row>
  </sheetData>
  <sheetProtection password="C668" sheet="1"/>
  <mergeCells count="39">
    <mergeCell ref="BT6:BU6"/>
    <mergeCell ref="BV6:BW6"/>
    <mergeCell ref="BX6:BY6"/>
    <mergeCell ref="BF6:BG6"/>
    <mergeCell ref="BH6:BI6"/>
    <mergeCell ref="BJ6:BK6"/>
    <mergeCell ref="BL6:BM6"/>
    <mergeCell ref="BN6:BO6"/>
    <mergeCell ref="BP6:BQ6"/>
    <mergeCell ref="AX6:AY6"/>
    <mergeCell ref="AZ6:BA6"/>
    <mergeCell ref="BB6:BC6"/>
    <mergeCell ref="BD6:BE6"/>
    <mergeCell ref="BR6:BS6"/>
    <mergeCell ref="V6:W6"/>
    <mergeCell ref="X6:Y6"/>
    <mergeCell ref="R6:S6"/>
    <mergeCell ref="AV6:AW6"/>
    <mergeCell ref="Z6:AA6"/>
    <mergeCell ref="AB6:AC6"/>
    <mergeCell ref="AD6:AE6"/>
    <mergeCell ref="AF6:AG6"/>
    <mergeCell ref="AH6:AI6"/>
    <mergeCell ref="AJ6:AK6"/>
    <mergeCell ref="AL6:AM6"/>
    <mergeCell ref="AN6:AO6"/>
    <mergeCell ref="AP6:AQ6"/>
    <mergeCell ref="AR6:AS6"/>
    <mergeCell ref="AT6:AU6"/>
    <mergeCell ref="J6:K6"/>
    <mergeCell ref="L6:M6"/>
    <mergeCell ref="N6:O6"/>
    <mergeCell ref="P6:Q6"/>
    <mergeCell ref="T6:U6"/>
    <mergeCell ref="A6:A8"/>
    <mergeCell ref="B6:C6"/>
    <mergeCell ref="D6:E6"/>
    <mergeCell ref="F6:G6"/>
    <mergeCell ref="H6:I6"/>
  </mergeCells>
  <conditionalFormatting sqref="A9:BY58 BX10:BY59">
    <cfRule type="expression" dxfId="10" priority="7" stopIfTrue="1">
      <formula>MOD(ROW(),2)=0</formula>
    </cfRule>
  </conditionalFormatting>
  <conditionalFormatting sqref="A2:XFD62">
    <cfRule type="expression" priority="11">
      <formula>SI(0," ")</formula>
    </cfRule>
  </conditionalFormatting>
  <conditionalFormatting sqref="H2">
    <cfRule type="expression" priority="10">
      <formula>SI($C$40," ")</formula>
    </cfRule>
  </conditionalFormatting>
  <pageMargins left="0.70866141732283472" right="0.70866141732283472" top="0.74803149606299213" bottom="0.74803149606299213" header="0.31496062992125984" footer="0.31496062992125984"/>
  <pageSetup paperSize="8" scale="70" orientation="landscape" r:id="rId1"/>
  <colBreaks count="4" manualBreakCount="4">
    <brk id="17" max="1048575" man="1"/>
    <brk id="33" max="1048575" man="1"/>
    <brk id="49" max="1048575" man="1"/>
    <brk id="65"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3:N52"/>
  <sheetViews>
    <sheetView showGridLines="0" workbookViewId="0"/>
  </sheetViews>
  <sheetFormatPr baseColWidth="10" defaultRowHeight="15"/>
  <cols>
    <col min="1" max="1" width="25.140625" customWidth="1"/>
    <col min="2" max="2" width="5.7109375" customWidth="1"/>
    <col min="3" max="3" width="17" bestFit="1" customWidth="1"/>
    <col min="4" max="4" width="15.140625" bestFit="1" customWidth="1"/>
    <col min="5" max="5" width="14" bestFit="1" customWidth="1"/>
    <col min="8" max="8" width="25.140625" customWidth="1"/>
    <col min="9" max="9" width="5.7109375" customWidth="1"/>
    <col min="10" max="10" width="17" customWidth="1"/>
    <col min="11" max="11" width="15.140625" customWidth="1"/>
    <col min="12" max="12" width="14.140625" customWidth="1"/>
  </cols>
  <sheetData>
    <row r="3" spans="1:13" s="60" customFormat="1" ht="16.5">
      <c r="A3" s="58" t="s">
        <v>215</v>
      </c>
      <c r="B3" s="59"/>
      <c r="H3" s="59"/>
      <c r="I3" s="59"/>
    </row>
    <row r="4" spans="1:13" s="63" customFormat="1" ht="16.5">
      <c r="A4" s="61" t="s">
        <v>216</v>
      </c>
      <c r="B4" s="62"/>
      <c r="H4" s="62"/>
      <c r="I4" s="62"/>
      <c r="L4" s="64"/>
    </row>
    <row r="5" spans="1:13" s="63" customFormat="1" ht="16.5">
      <c r="A5" s="61" t="s">
        <v>217</v>
      </c>
      <c r="B5" s="62"/>
      <c r="H5" s="62"/>
      <c r="I5" s="62"/>
    </row>
    <row r="6" spans="1:13" s="63" customFormat="1" ht="16.5">
      <c r="A6" s="61"/>
      <c r="B6" s="62"/>
      <c r="H6" s="62"/>
      <c r="I6" s="62"/>
    </row>
    <row r="7" spans="1:13" s="60" customFormat="1" ht="12.75">
      <c r="A7" s="59"/>
      <c r="B7" s="59"/>
      <c r="H7" s="59"/>
      <c r="I7" s="59"/>
    </row>
    <row r="8" spans="1:13" s="60" customFormat="1" ht="12.75">
      <c r="A8" s="130" t="s">
        <v>104</v>
      </c>
      <c r="B8" s="130"/>
      <c r="C8" s="103" t="s">
        <v>105</v>
      </c>
      <c r="D8" s="103" t="s">
        <v>106</v>
      </c>
      <c r="E8" s="103" t="s">
        <v>107</v>
      </c>
      <c r="F8" s="103" t="s">
        <v>108</v>
      </c>
      <c r="G8" s="104"/>
      <c r="H8" s="130" t="s">
        <v>104</v>
      </c>
      <c r="I8" s="130"/>
      <c r="J8" s="103" t="s">
        <v>105</v>
      </c>
      <c r="K8" s="103" t="s">
        <v>106</v>
      </c>
      <c r="L8" s="103" t="s">
        <v>107</v>
      </c>
      <c r="M8" s="103" t="s">
        <v>108</v>
      </c>
    </row>
    <row r="9" spans="1:13" s="63" customFormat="1" ht="12.75">
      <c r="A9" s="131" t="s">
        <v>109</v>
      </c>
      <c r="B9" s="131"/>
      <c r="C9" s="105" t="s">
        <v>110</v>
      </c>
      <c r="D9" s="105" t="s">
        <v>111</v>
      </c>
      <c r="E9" s="105" t="s">
        <v>112</v>
      </c>
      <c r="F9" s="105" t="s">
        <v>113</v>
      </c>
      <c r="G9" s="106"/>
      <c r="H9" s="131" t="s">
        <v>109</v>
      </c>
      <c r="I9" s="131"/>
      <c r="J9" s="105" t="s">
        <v>110</v>
      </c>
      <c r="K9" s="105" t="s">
        <v>111</v>
      </c>
      <c r="L9" s="105" t="s">
        <v>112</v>
      </c>
      <c r="M9" s="105" t="s">
        <v>113</v>
      </c>
    </row>
    <row r="10" spans="1:13" s="63" customFormat="1" ht="12.75">
      <c r="A10" s="131" t="s">
        <v>114</v>
      </c>
      <c r="B10" s="131"/>
      <c r="C10" s="105" t="s">
        <v>115</v>
      </c>
      <c r="D10" s="105" t="s">
        <v>116</v>
      </c>
      <c r="E10" s="105" t="s">
        <v>117</v>
      </c>
      <c r="F10" s="105" t="s">
        <v>118</v>
      </c>
      <c r="G10" s="106"/>
      <c r="H10" s="131" t="s">
        <v>114</v>
      </c>
      <c r="I10" s="131"/>
      <c r="J10" s="105" t="s">
        <v>115</v>
      </c>
      <c r="K10" s="105" t="s">
        <v>116</v>
      </c>
      <c r="L10" s="105" t="s">
        <v>117</v>
      </c>
      <c r="M10" s="105" t="s">
        <v>118</v>
      </c>
    </row>
    <row r="11" spans="1:13" s="60" customFormat="1">
      <c r="A11" s="132" t="s">
        <v>119</v>
      </c>
      <c r="B11" s="132"/>
      <c r="C11" s="66">
        <v>102</v>
      </c>
      <c r="D11" s="66">
        <v>1807</v>
      </c>
      <c r="E11" s="66">
        <v>5755</v>
      </c>
      <c r="F11" s="67">
        <f>E11/E$15</f>
        <v>0.13991539434017311</v>
      </c>
      <c r="G11" s="68"/>
      <c r="H11" s="132" t="s">
        <v>25</v>
      </c>
      <c r="I11" s="132"/>
      <c r="J11" s="66">
        <v>2</v>
      </c>
      <c r="K11" s="66">
        <v>33</v>
      </c>
      <c r="L11" s="66">
        <v>106</v>
      </c>
      <c r="M11" s="67">
        <f>L11/L$19</f>
        <v>1.3681656254840209E-3</v>
      </c>
    </row>
    <row r="12" spans="1:13" s="60" customFormat="1">
      <c r="A12" s="132" t="s">
        <v>120</v>
      </c>
      <c r="B12" s="132"/>
      <c r="C12" s="66">
        <v>129</v>
      </c>
      <c r="D12" s="66">
        <v>5537</v>
      </c>
      <c r="E12" s="66">
        <v>14966</v>
      </c>
      <c r="F12" s="67">
        <f>E12/E$15</f>
        <v>0.36385296119809396</v>
      </c>
      <c r="G12" s="68"/>
      <c r="H12" s="132" t="s">
        <v>26</v>
      </c>
      <c r="I12" s="132"/>
      <c r="J12" s="66">
        <v>8</v>
      </c>
      <c r="K12" s="66">
        <v>396</v>
      </c>
      <c r="L12" s="66">
        <v>1071</v>
      </c>
      <c r="M12" s="67">
        <f t="shared" ref="M12:M17" si="0">L12/L$19</f>
        <v>1.382363570654138E-2</v>
      </c>
    </row>
    <row r="13" spans="1:13" s="60" customFormat="1">
      <c r="A13" s="132" t="s">
        <v>121</v>
      </c>
      <c r="B13" s="132"/>
      <c r="C13" s="66">
        <v>104</v>
      </c>
      <c r="D13" s="66">
        <v>7147</v>
      </c>
      <c r="E13" s="66">
        <v>18290</v>
      </c>
      <c r="F13" s="67">
        <f>E13/E$15</f>
        <v>0.44466595351551103</v>
      </c>
      <c r="G13" s="68"/>
      <c r="H13" s="132" t="s">
        <v>27</v>
      </c>
      <c r="I13" s="132"/>
      <c r="J13" s="66">
        <v>88</v>
      </c>
      <c r="K13" s="66">
        <v>16184</v>
      </c>
      <c r="L13" s="66">
        <v>37693</v>
      </c>
      <c r="M13" s="67">
        <f t="shared" si="0"/>
        <v>0.48651195208838866</v>
      </c>
    </row>
    <row r="14" spans="1:13" s="60" customFormat="1">
      <c r="A14" s="132" t="s">
        <v>122</v>
      </c>
      <c r="B14" s="132"/>
      <c r="C14" s="66">
        <v>8</v>
      </c>
      <c r="D14" s="66">
        <v>655</v>
      </c>
      <c r="E14" s="66">
        <v>2121</v>
      </c>
      <c r="F14" s="67">
        <f>E14/E$15</f>
        <v>5.1565690946221918E-2</v>
      </c>
      <c r="G14" s="68"/>
      <c r="H14" s="132" t="s">
        <v>209</v>
      </c>
      <c r="I14" s="132"/>
      <c r="J14" s="66"/>
      <c r="K14" s="66"/>
      <c r="L14" s="66"/>
      <c r="M14" s="67"/>
    </row>
    <row r="15" spans="1:13" s="60" customFormat="1">
      <c r="A15" s="133" t="s">
        <v>123</v>
      </c>
      <c r="B15" s="133"/>
      <c r="C15" s="69">
        <v>343</v>
      </c>
      <c r="D15" s="69">
        <v>15146</v>
      </c>
      <c r="E15" s="69">
        <v>41132</v>
      </c>
      <c r="F15" s="70">
        <v>1</v>
      </c>
      <c r="G15" s="68"/>
      <c r="H15" s="132" t="s">
        <v>28</v>
      </c>
      <c r="I15" s="132"/>
      <c r="J15" s="66">
        <v>83</v>
      </c>
      <c r="K15" s="66">
        <v>16712</v>
      </c>
      <c r="L15" s="66">
        <v>36984</v>
      </c>
      <c r="M15" s="67">
        <f t="shared" si="0"/>
        <v>0.47736073106510402</v>
      </c>
    </row>
    <row r="16" spans="1:13" s="60" customFormat="1">
      <c r="A16" s="132"/>
      <c r="B16" s="132"/>
      <c r="C16" s="66"/>
      <c r="D16" s="66"/>
      <c r="E16" s="66"/>
      <c r="F16" s="67"/>
      <c r="G16" s="68"/>
      <c r="H16" s="132" t="s">
        <v>210</v>
      </c>
      <c r="I16" s="132"/>
      <c r="J16" s="66">
        <v>3</v>
      </c>
      <c r="K16" s="66">
        <v>610</v>
      </c>
      <c r="L16" s="66">
        <v>1328</v>
      </c>
      <c r="M16" s="67">
        <f t="shared" si="0"/>
        <v>1.7140791987196036E-2</v>
      </c>
    </row>
    <row r="17" spans="1:14" s="60" customFormat="1">
      <c r="A17" s="133" t="s">
        <v>7</v>
      </c>
      <c r="B17" s="133"/>
      <c r="C17" s="69">
        <v>33</v>
      </c>
      <c r="D17" s="69">
        <v>648</v>
      </c>
      <c r="E17" s="69">
        <v>1270</v>
      </c>
      <c r="F17" s="70">
        <v>1</v>
      </c>
      <c r="G17" s="68"/>
      <c r="H17" s="132" t="s">
        <v>29</v>
      </c>
      <c r="I17" s="132"/>
      <c r="J17" s="66">
        <v>3</v>
      </c>
      <c r="K17" s="66">
        <v>149</v>
      </c>
      <c r="L17" s="66">
        <v>294</v>
      </c>
      <c r="M17" s="67">
        <f t="shared" si="0"/>
        <v>3.7947235272858693E-3</v>
      </c>
    </row>
    <row r="18" spans="1:14" s="60" customFormat="1">
      <c r="A18" s="133" t="s">
        <v>167</v>
      </c>
      <c r="B18" s="133"/>
      <c r="C18" s="69">
        <v>182</v>
      </c>
      <c r="D18" s="69">
        <v>1344</v>
      </c>
      <c r="E18" s="69">
        <v>2783</v>
      </c>
      <c r="F18" s="70">
        <v>1</v>
      </c>
      <c r="G18" s="68"/>
      <c r="H18" s="132" t="s">
        <v>211</v>
      </c>
      <c r="I18" s="132"/>
      <c r="J18" s="66"/>
      <c r="K18" s="66"/>
      <c r="L18" s="66"/>
      <c r="M18" s="67"/>
    </row>
    <row r="19" spans="1:14" s="60" customFormat="1">
      <c r="A19" s="133" t="s">
        <v>8</v>
      </c>
      <c r="B19" s="133"/>
      <c r="C19" s="69">
        <v>77</v>
      </c>
      <c r="D19" s="69">
        <v>515</v>
      </c>
      <c r="E19" s="69">
        <v>993</v>
      </c>
      <c r="F19" s="70">
        <v>1</v>
      </c>
      <c r="G19" s="68"/>
      <c r="H19" s="133" t="s">
        <v>124</v>
      </c>
      <c r="I19" s="133"/>
      <c r="J19" s="69">
        <v>187</v>
      </c>
      <c r="K19" s="69">
        <v>34084</v>
      </c>
      <c r="L19" s="69">
        <v>77476</v>
      </c>
      <c r="M19" s="70">
        <v>1</v>
      </c>
    </row>
    <row r="20" spans="1:14" s="60" customFormat="1">
      <c r="A20" s="133" t="s">
        <v>207</v>
      </c>
      <c r="B20" s="133"/>
      <c r="C20" s="69">
        <v>1</v>
      </c>
      <c r="D20" s="69"/>
      <c r="E20" s="69">
        <v>500</v>
      </c>
      <c r="F20" s="70">
        <v>1</v>
      </c>
      <c r="G20" s="68"/>
      <c r="H20" s="66"/>
      <c r="I20" s="66"/>
      <c r="J20" s="66"/>
      <c r="K20" s="66"/>
      <c r="L20" s="66"/>
      <c r="M20" s="66"/>
    </row>
    <row r="21" spans="1:14" s="60" customFormat="1">
      <c r="A21" s="132"/>
      <c r="B21" s="132"/>
      <c r="C21" s="66"/>
      <c r="D21" s="66"/>
      <c r="E21" s="66"/>
      <c r="F21" s="67"/>
      <c r="G21" s="68"/>
      <c r="H21" s="132" t="s">
        <v>30</v>
      </c>
      <c r="I21" s="132"/>
      <c r="J21" s="66"/>
      <c r="K21" s="66"/>
      <c r="L21" s="66"/>
      <c r="M21" s="67"/>
      <c r="N21" s="79"/>
    </row>
    <row r="22" spans="1:14" s="60" customFormat="1">
      <c r="A22" s="132" t="s">
        <v>12</v>
      </c>
      <c r="B22" s="132"/>
      <c r="C22" s="66"/>
      <c r="D22" s="66"/>
      <c r="E22" s="66"/>
      <c r="F22" s="67"/>
      <c r="G22" s="68"/>
      <c r="H22" s="132" t="s">
        <v>31</v>
      </c>
      <c r="I22" s="132"/>
      <c r="J22" s="66"/>
      <c r="K22" s="66"/>
      <c r="L22" s="66"/>
      <c r="M22" s="67"/>
    </row>
    <row r="23" spans="1:14" s="60" customFormat="1">
      <c r="A23" s="132" t="s">
        <v>13</v>
      </c>
      <c r="B23" s="132"/>
      <c r="C23" s="66">
        <v>1</v>
      </c>
      <c r="D23" s="66">
        <v>324</v>
      </c>
      <c r="E23" s="66">
        <v>660</v>
      </c>
      <c r="F23" s="78">
        <f>E23/E$25</f>
        <v>1</v>
      </c>
      <c r="G23" s="68"/>
      <c r="H23" s="132" t="s">
        <v>32</v>
      </c>
      <c r="I23" s="132"/>
      <c r="J23" s="66"/>
      <c r="K23" s="66"/>
      <c r="L23" s="66"/>
      <c r="M23" s="67"/>
    </row>
    <row r="24" spans="1:14" s="60" customFormat="1">
      <c r="A24" s="132" t="s">
        <v>14</v>
      </c>
      <c r="B24" s="132"/>
      <c r="C24" s="66"/>
      <c r="D24" s="66"/>
      <c r="E24" s="66"/>
      <c r="F24" s="67"/>
      <c r="G24" s="68"/>
      <c r="H24" s="132" t="s">
        <v>33</v>
      </c>
      <c r="I24" s="132"/>
      <c r="J24" s="66"/>
      <c r="K24" s="66"/>
      <c r="L24" s="66"/>
      <c r="M24" s="67"/>
    </row>
    <row r="25" spans="1:14" s="60" customFormat="1">
      <c r="A25" s="133" t="s">
        <v>129</v>
      </c>
      <c r="B25" s="133"/>
      <c r="C25" s="69">
        <v>1</v>
      </c>
      <c r="D25" s="69">
        <v>324</v>
      </c>
      <c r="E25" s="69">
        <v>660</v>
      </c>
      <c r="F25" s="70">
        <v>1</v>
      </c>
      <c r="G25" s="68"/>
      <c r="H25" s="133" t="s">
        <v>125</v>
      </c>
      <c r="I25" s="133"/>
      <c r="J25" s="69"/>
      <c r="K25" s="69"/>
      <c r="L25" s="69"/>
      <c r="M25" s="70"/>
    </row>
    <row r="26" spans="1:14" s="60" customFormat="1">
      <c r="A26" s="132"/>
      <c r="B26" s="132"/>
      <c r="C26" s="66"/>
      <c r="D26" s="66"/>
      <c r="E26" s="66"/>
      <c r="F26" s="67"/>
      <c r="G26" s="68"/>
      <c r="H26" s="134"/>
      <c r="I26" s="134"/>
      <c r="J26" s="71"/>
      <c r="K26" s="71"/>
      <c r="L26" s="71"/>
      <c r="M26" s="72"/>
      <c r="N26" s="79"/>
    </row>
    <row r="27" spans="1:14" s="60" customFormat="1">
      <c r="A27" s="132" t="s">
        <v>15</v>
      </c>
      <c r="B27" s="132"/>
      <c r="C27" s="66">
        <v>27</v>
      </c>
      <c r="D27" s="66">
        <v>1330</v>
      </c>
      <c r="E27" s="66">
        <v>2448</v>
      </c>
      <c r="F27" s="67">
        <f t="shared" ref="F27:F34" si="1">E27/E$35</f>
        <v>1.6028495102404273E-2</v>
      </c>
      <c r="G27" s="68"/>
      <c r="H27" s="132" t="s">
        <v>35</v>
      </c>
      <c r="I27" s="132"/>
      <c r="J27" s="66">
        <v>42</v>
      </c>
      <c r="K27" s="66">
        <v>1057</v>
      </c>
      <c r="L27" s="66">
        <v>1988</v>
      </c>
      <c r="M27" s="67">
        <f>L27/L$30</f>
        <v>0.49588426041406836</v>
      </c>
    </row>
    <row r="28" spans="1:14" s="60" customFormat="1">
      <c r="A28" s="132" t="s">
        <v>16</v>
      </c>
      <c r="B28" s="132"/>
      <c r="C28" s="66">
        <v>53</v>
      </c>
      <c r="D28" s="66">
        <v>4267</v>
      </c>
      <c r="E28" s="66">
        <v>8000</v>
      </c>
      <c r="F28" s="67">
        <f t="shared" si="1"/>
        <v>5.2380702949033575E-2</v>
      </c>
      <c r="G28" s="68"/>
      <c r="H28" s="132" t="s">
        <v>36</v>
      </c>
      <c r="I28" s="132"/>
      <c r="J28" s="66">
        <v>30</v>
      </c>
      <c r="K28" s="66">
        <v>942</v>
      </c>
      <c r="L28" s="66">
        <v>1785</v>
      </c>
      <c r="M28" s="67">
        <f>L28/L$30</f>
        <v>0.44524819156896983</v>
      </c>
    </row>
    <row r="29" spans="1:14" s="60" customFormat="1">
      <c r="A29" s="132" t="s">
        <v>17</v>
      </c>
      <c r="B29" s="132"/>
      <c r="C29" s="66">
        <v>265</v>
      </c>
      <c r="D29" s="66">
        <v>42166</v>
      </c>
      <c r="E29" s="66">
        <v>79498</v>
      </c>
      <c r="F29" s="67">
        <f t="shared" si="1"/>
        <v>0.52052014038028394</v>
      </c>
      <c r="G29" s="68"/>
      <c r="H29" s="132" t="s">
        <v>37</v>
      </c>
      <c r="I29" s="132"/>
      <c r="J29" s="66">
        <v>3</v>
      </c>
      <c r="K29" s="66">
        <v>128</v>
      </c>
      <c r="L29" s="66">
        <v>236</v>
      </c>
      <c r="M29" s="67">
        <f>L29/L$30</f>
        <v>5.8867548016961833E-2</v>
      </c>
    </row>
    <row r="30" spans="1:14" s="60" customFormat="1">
      <c r="A30" s="132" t="s">
        <v>208</v>
      </c>
      <c r="B30" s="132"/>
      <c r="C30" s="66">
        <v>3</v>
      </c>
      <c r="D30" s="66">
        <v>461</v>
      </c>
      <c r="E30" s="66">
        <v>867</v>
      </c>
      <c r="F30" s="67">
        <f t="shared" si="1"/>
        <v>5.6767586821015138E-3</v>
      </c>
      <c r="G30" s="68"/>
      <c r="H30" s="133" t="s">
        <v>128</v>
      </c>
      <c r="I30" s="133"/>
      <c r="J30" s="69">
        <v>75</v>
      </c>
      <c r="K30" s="69">
        <v>2127</v>
      </c>
      <c r="L30" s="69">
        <v>4009</v>
      </c>
      <c r="M30" s="70">
        <v>1</v>
      </c>
    </row>
    <row r="31" spans="1:14" s="60" customFormat="1">
      <c r="A31" s="132" t="s">
        <v>168</v>
      </c>
      <c r="B31" s="132"/>
      <c r="C31" s="66">
        <v>175</v>
      </c>
      <c r="D31" s="66">
        <v>27854</v>
      </c>
      <c r="E31" s="66">
        <v>53165</v>
      </c>
      <c r="F31" s="67">
        <f t="shared" si="1"/>
        <v>0.34810250903567125</v>
      </c>
      <c r="G31" s="68"/>
      <c r="H31" s="134"/>
      <c r="I31" s="134"/>
      <c r="J31" s="71"/>
      <c r="K31" s="71"/>
      <c r="L31" s="71"/>
      <c r="M31" s="72"/>
    </row>
    <row r="32" spans="1:14" s="60" customFormat="1">
      <c r="A32" s="132" t="s">
        <v>200</v>
      </c>
      <c r="B32" s="132"/>
      <c r="C32" s="66">
        <v>10</v>
      </c>
      <c r="D32" s="66">
        <v>1141</v>
      </c>
      <c r="E32" s="66">
        <v>2162</v>
      </c>
      <c r="F32" s="67">
        <f t="shared" si="1"/>
        <v>1.4155884971976325E-2</v>
      </c>
      <c r="G32" s="68"/>
      <c r="H32" s="132" t="s">
        <v>38</v>
      </c>
      <c r="I32" s="132"/>
      <c r="J32" s="66">
        <v>55</v>
      </c>
      <c r="K32" s="66">
        <v>1205</v>
      </c>
      <c r="L32" s="66">
        <v>2244</v>
      </c>
      <c r="M32" s="67">
        <f>L32/L$35</f>
        <v>0.60485175202156338</v>
      </c>
    </row>
    <row r="33" spans="1:13" s="60" customFormat="1">
      <c r="A33" s="132" t="s">
        <v>19</v>
      </c>
      <c r="B33" s="132"/>
      <c r="C33" s="66">
        <v>25</v>
      </c>
      <c r="D33" s="66">
        <v>2692</v>
      </c>
      <c r="E33" s="66">
        <v>5447</v>
      </c>
      <c r="F33" s="67">
        <f t="shared" si="1"/>
        <v>3.5664711120423236E-2</v>
      </c>
      <c r="G33" s="68"/>
      <c r="H33" s="132" t="s">
        <v>39</v>
      </c>
      <c r="I33" s="132"/>
      <c r="J33" s="66">
        <v>33</v>
      </c>
      <c r="K33" s="66">
        <v>746</v>
      </c>
      <c r="L33" s="66">
        <v>1380</v>
      </c>
      <c r="M33" s="67">
        <f>L33/L$35</f>
        <v>0.3719676549865229</v>
      </c>
    </row>
    <row r="34" spans="1:13" s="60" customFormat="1">
      <c r="A34" s="132" t="s">
        <v>169</v>
      </c>
      <c r="B34" s="135"/>
      <c r="C34" s="66">
        <v>4</v>
      </c>
      <c r="D34" s="66">
        <v>590</v>
      </c>
      <c r="E34" s="66">
        <v>1141</v>
      </c>
      <c r="F34" s="67">
        <f t="shared" si="1"/>
        <v>7.4707977581059135E-3</v>
      </c>
      <c r="G34" s="68"/>
      <c r="H34" s="132" t="s">
        <v>40</v>
      </c>
      <c r="I34" s="132"/>
      <c r="J34" s="66">
        <v>2</v>
      </c>
      <c r="K34" s="66">
        <v>46</v>
      </c>
      <c r="L34" s="66">
        <v>86</v>
      </c>
      <c r="M34" s="67">
        <f>L34/L$35</f>
        <v>2.3180592991913745E-2</v>
      </c>
    </row>
    <row r="35" spans="1:13" s="60" customFormat="1">
      <c r="A35" s="133" t="s">
        <v>131</v>
      </c>
      <c r="B35" s="133"/>
      <c r="C35" s="69">
        <f>SUM(C27:C34)</f>
        <v>562</v>
      </c>
      <c r="D35" s="69">
        <f>SUM(D27:D34)</f>
        <v>80501</v>
      </c>
      <c r="E35" s="69">
        <f>SUM(E27:E34)</f>
        <v>152728</v>
      </c>
      <c r="F35" s="70">
        <v>1</v>
      </c>
      <c r="G35" s="68"/>
      <c r="H35" s="133" t="s">
        <v>130</v>
      </c>
      <c r="I35" s="133"/>
      <c r="J35" s="69">
        <v>90</v>
      </c>
      <c r="K35" s="69">
        <v>1997</v>
      </c>
      <c r="L35" s="69">
        <v>3710</v>
      </c>
      <c r="M35" s="70">
        <v>1</v>
      </c>
    </row>
    <row r="36" spans="1:13" s="60" customFormat="1">
      <c r="A36" s="134"/>
      <c r="B36" s="134"/>
      <c r="C36" s="71"/>
      <c r="D36" s="71"/>
      <c r="E36" s="71"/>
      <c r="F36" s="72"/>
      <c r="G36" s="68"/>
      <c r="H36" s="136"/>
      <c r="I36" s="136"/>
      <c r="J36" s="73"/>
      <c r="K36" s="73"/>
      <c r="L36" s="73"/>
      <c r="M36" s="74"/>
    </row>
    <row r="37" spans="1:13" s="60" customFormat="1">
      <c r="A37" s="132" t="s">
        <v>20</v>
      </c>
      <c r="B37" s="132"/>
      <c r="C37" s="66">
        <v>4</v>
      </c>
      <c r="D37" s="66">
        <v>71</v>
      </c>
      <c r="E37" s="66">
        <v>130</v>
      </c>
      <c r="F37" s="67">
        <f>E37/E$42</f>
        <v>0.16455696202531644</v>
      </c>
      <c r="G37" s="68"/>
      <c r="H37" s="133" t="s">
        <v>42</v>
      </c>
      <c r="I37" s="133"/>
      <c r="J37" s="69">
        <v>18</v>
      </c>
      <c r="K37" s="69">
        <v>290</v>
      </c>
      <c r="L37" s="69">
        <v>550</v>
      </c>
      <c r="M37" s="70">
        <v>1</v>
      </c>
    </row>
    <row r="38" spans="1:13" s="60" customFormat="1">
      <c r="A38" s="132" t="s">
        <v>21</v>
      </c>
      <c r="B38" s="132"/>
      <c r="C38" s="66">
        <v>3</v>
      </c>
      <c r="D38" s="66">
        <v>129</v>
      </c>
      <c r="E38" s="66">
        <v>244</v>
      </c>
      <c r="F38" s="67">
        <f>E38/E$42</f>
        <v>0.30886075949367087</v>
      </c>
      <c r="G38" s="68"/>
      <c r="H38" s="133" t="s">
        <v>43</v>
      </c>
      <c r="I38" s="133"/>
      <c r="J38" s="69">
        <v>8</v>
      </c>
      <c r="K38" s="69">
        <v>129</v>
      </c>
      <c r="L38" s="69">
        <v>230</v>
      </c>
      <c r="M38" s="70">
        <v>1</v>
      </c>
    </row>
    <row r="39" spans="1:13" s="60" customFormat="1">
      <c r="A39" s="132" t="s">
        <v>22</v>
      </c>
      <c r="B39" s="132"/>
      <c r="C39" s="66">
        <v>3</v>
      </c>
      <c r="D39" s="66">
        <v>138</v>
      </c>
      <c r="E39" s="66">
        <v>251</v>
      </c>
      <c r="F39" s="67">
        <f>E39/E$42</f>
        <v>0.31772151898734174</v>
      </c>
      <c r="G39" s="68"/>
      <c r="H39" s="133" t="s">
        <v>44</v>
      </c>
      <c r="I39" s="133"/>
      <c r="J39" s="69">
        <v>1</v>
      </c>
      <c r="K39" s="69">
        <v>12</v>
      </c>
      <c r="L39" s="69">
        <v>23</v>
      </c>
      <c r="M39" s="70">
        <v>1</v>
      </c>
    </row>
    <row r="40" spans="1:13" s="60" customFormat="1">
      <c r="A40" s="132" t="s">
        <v>172</v>
      </c>
      <c r="B40" s="132"/>
      <c r="C40" s="66">
        <v>1</v>
      </c>
      <c r="D40" s="66">
        <v>18</v>
      </c>
      <c r="E40" s="66">
        <v>33</v>
      </c>
      <c r="F40" s="67">
        <f>E40/E$42</f>
        <v>4.1772151898734178E-2</v>
      </c>
      <c r="G40" s="68"/>
      <c r="H40" s="65"/>
      <c r="I40" s="65"/>
      <c r="J40" s="65"/>
      <c r="K40" s="65"/>
      <c r="L40" s="65"/>
      <c r="M40" s="65"/>
    </row>
    <row r="41" spans="1:13" s="60" customFormat="1">
      <c r="A41" s="132" t="s">
        <v>24</v>
      </c>
      <c r="B41" s="132"/>
      <c r="C41" s="66">
        <v>1</v>
      </c>
      <c r="D41" s="66">
        <v>67</v>
      </c>
      <c r="E41" s="66">
        <v>132</v>
      </c>
      <c r="F41" s="67">
        <f>E41/E$42</f>
        <v>0.16708860759493671</v>
      </c>
      <c r="G41" s="68"/>
      <c r="H41" s="65"/>
      <c r="I41" s="65"/>
      <c r="J41" s="65"/>
      <c r="K41" s="65"/>
      <c r="L41" s="65"/>
      <c r="M41" s="65"/>
    </row>
    <row r="42" spans="1:13" s="60" customFormat="1">
      <c r="A42" s="133" t="s">
        <v>132</v>
      </c>
      <c r="B42" s="133"/>
      <c r="C42" s="69">
        <v>12</v>
      </c>
      <c r="D42" s="69">
        <v>423</v>
      </c>
      <c r="E42" s="69">
        <v>790</v>
      </c>
      <c r="F42" s="70">
        <v>1</v>
      </c>
      <c r="G42" s="68"/>
      <c r="H42" s="133" t="s">
        <v>45</v>
      </c>
      <c r="I42" s="133"/>
      <c r="J42" s="69">
        <f>C15+C17+C18+C19+C20+C25+C35+C42+J19+J25+J30+J35+J37+J38+J39</f>
        <v>1590</v>
      </c>
      <c r="K42" s="69">
        <f>D15+D17+D18+D19+D20+D25+D35+D42+K19+K25+K30+K35+K37+K38+K39</f>
        <v>137540</v>
      </c>
      <c r="L42" s="69">
        <f>E15+E17+E18+E19+E20+E25+E35+E42+L19+L25+L30+L35+L37+L38+L39</f>
        <v>286854</v>
      </c>
      <c r="M42" s="65"/>
    </row>
    <row r="43" spans="1:13" s="60" customFormat="1" ht="14.25">
      <c r="G43" s="68"/>
    </row>
    <row r="44" spans="1:13" s="60" customFormat="1">
      <c r="A44" s="132"/>
      <c r="B44" s="132"/>
      <c r="C44" s="66"/>
      <c r="D44" s="66"/>
      <c r="E44" s="66"/>
      <c r="F44" s="67"/>
      <c r="G44" s="68"/>
    </row>
    <row r="45" spans="1:13" s="60" customFormat="1">
      <c r="A45" s="132"/>
      <c r="B45" s="132"/>
      <c r="C45" s="66"/>
      <c r="D45" s="66"/>
      <c r="E45" s="66"/>
      <c r="F45" s="67"/>
      <c r="G45" s="68"/>
    </row>
    <row r="46" spans="1:13" s="60" customFormat="1">
      <c r="A46" s="132"/>
      <c r="B46" s="132"/>
      <c r="C46" s="66"/>
      <c r="D46" s="66"/>
      <c r="E46" s="66"/>
      <c r="F46" s="67"/>
      <c r="G46" s="68"/>
    </row>
    <row r="47" spans="1:13" s="60" customFormat="1">
      <c r="A47" s="132"/>
      <c r="B47" s="132"/>
      <c r="C47" s="66"/>
      <c r="D47" s="66"/>
      <c r="E47" s="66"/>
      <c r="F47" s="67"/>
      <c r="G47" s="68"/>
    </row>
    <row r="48" spans="1:13" s="60" customFormat="1">
      <c r="A48" s="132"/>
      <c r="B48" s="132"/>
      <c r="C48" s="66"/>
      <c r="D48" s="66"/>
      <c r="E48" s="66"/>
      <c r="F48" s="67"/>
    </row>
    <row r="49" spans="1:13" s="60" customFormat="1">
      <c r="A49" s="132"/>
      <c r="B49" s="132"/>
      <c r="C49" s="66"/>
      <c r="D49" s="66"/>
      <c r="E49" s="66"/>
      <c r="F49" s="67"/>
    </row>
    <row r="50" spans="1:13" s="60" customFormat="1">
      <c r="A50" s="132"/>
      <c r="B50" s="132"/>
      <c r="C50" s="66"/>
      <c r="D50" s="66"/>
      <c r="E50" s="66"/>
      <c r="F50" s="67"/>
    </row>
    <row r="51" spans="1:13" s="60" customFormat="1">
      <c r="A51" s="132"/>
      <c r="B51" s="132"/>
      <c r="C51" s="66"/>
      <c r="D51" s="66"/>
      <c r="E51" s="66"/>
      <c r="F51" s="67"/>
      <c r="H51"/>
      <c r="I51"/>
      <c r="J51"/>
      <c r="K51"/>
      <c r="L51"/>
      <c r="M51"/>
    </row>
    <row r="52" spans="1:13" s="60" customFormat="1">
      <c r="A52"/>
      <c r="B52"/>
      <c r="C52"/>
      <c r="D52"/>
      <c r="E52"/>
      <c r="F52"/>
      <c r="G52"/>
      <c r="H52"/>
      <c r="I52"/>
      <c r="J52"/>
      <c r="K52"/>
      <c r="L52"/>
      <c r="M52"/>
    </row>
  </sheetData>
  <sheetProtection algorithmName="SHA-512" hashValue="pV/BwSSWeunE7qLhgu0xsd38DvPrvHpGPU55cVzMhn4Ur9MJh+eTjPNH1Utdl6oUvQK1vJBOM+UaE/AhWxRP7g==" saltValue="pcTx5yTZxB60agJCPP2VQw==" spinCount="100000" sheet="1"/>
  <mergeCells count="75">
    <mergeCell ref="A8:B8"/>
    <mergeCell ref="H8:I8"/>
    <mergeCell ref="A9:B9"/>
    <mergeCell ref="H9:I9"/>
    <mergeCell ref="A10:B10"/>
    <mergeCell ref="H10:I10"/>
    <mergeCell ref="A11:B11"/>
    <mergeCell ref="H21:I21"/>
    <mergeCell ref="A12:B12"/>
    <mergeCell ref="H22:I22"/>
    <mergeCell ref="A13:B13"/>
    <mergeCell ref="H11:I11"/>
    <mergeCell ref="H12:I12"/>
    <mergeCell ref="H13:I13"/>
    <mergeCell ref="A14:B14"/>
    <mergeCell ref="A15:B15"/>
    <mergeCell ref="A16:B16"/>
    <mergeCell ref="A19:B19"/>
    <mergeCell ref="H14:I14"/>
    <mergeCell ref="H15:I15"/>
    <mergeCell ref="H16:I16"/>
    <mergeCell ref="A24:B24"/>
    <mergeCell ref="H23:I23"/>
    <mergeCell ref="H17:I17"/>
    <mergeCell ref="H18:I18"/>
    <mergeCell ref="H19:I19"/>
    <mergeCell ref="A20:B20"/>
    <mergeCell ref="H24:I24"/>
    <mergeCell ref="A21:B21"/>
    <mergeCell ref="A22:B22"/>
    <mergeCell ref="A17:B17"/>
    <mergeCell ref="A18:B18"/>
    <mergeCell ref="A23:B23"/>
    <mergeCell ref="H26:I26"/>
    <mergeCell ref="A25:B25"/>
    <mergeCell ref="H27:I27"/>
    <mergeCell ref="A29:B29"/>
    <mergeCell ref="H28:I28"/>
    <mergeCell ref="H29:I29"/>
    <mergeCell ref="A26:B26"/>
    <mergeCell ref="H25:I25"/>
    <mergeCell ref="H36:I36"/>
    <mergeCell ref="H30:I30"/>
    <mergeCell ref="H35:I35"/>
    <mergeCell ref="A27:B27"/>
    <mergeCell ref="A35:B35"/>
    <mergeCell ref="A36:B36"/>
    <mergeCell ref="H31:I31"/>
    <mergeCell ref="A28:B28"/>
    <mergeCell ref="H32:I32"/>
    <mergeCell ref="A30:B30"/>
    <mergeCell ref="A31:B31"/>
    <mergeCell ref="A32:B32"/>
    <mergeCell ref="A33:B33"/>
    <mergeCell ref="A34:B34"/>
    <mergeCell ref="H33:I33"/>
    <mergeCell ref="H34:I34"/>
    <mergeCell ref="A46:B46"/>
    <mergeCell ref="A38:B38"/>
    <mergeCell ref="H37:I37"/>
    <mergeCell ref="A39:B39"/>
    <mergeCell ref="H38:I38"/>
    <mergeCell ref="A40:B40"/>
    <mergeCell ref="H39:I39"/>
    <mergeCell ref="A37:B37"/>
    <mergeCell ref="A41:B41"/>
    <mergeCell ref="A42:B42"/>
    <mergeCell ref="A44:B44"/>
    <mergeCell ref="H42:I42"/>
    <mergeCell ref="A45:B45"/>
    <mergeCell ref="A47:B47"/>
    <mergeCell ref="A48:B48"/>
    <mergeCell ref="A49:B49"/>
    <mergeCell ref="A50:B50"/>
    <mergeCell ref="A51:B51"/>
  </mergeCells>
  <printOptions horizontalCentered="1" verticalCentered="1"/>
  <pageMargins left="0" right="0" top="0" bottom="0" header="0.31496062992125984" footer="0.31496062992125984"/>
  <pageSetup paperSize="9" scale="75"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DB62"/>
  <sheetViews>
    <sheetView showGridLines="0" zoomScaleNormal="100" workbookViewId="0"/>
  </sheetViews>
  <sheetFormatPr baseColWidth="10" defaultRowHeight="15"/>
  <cols>
    <col min="1" max="1" width="79.85546875" customWidth="1"/>
    <col min="36" max="47" width="11.42578125" customWidth="1"/>
    <col min="76" max="76" width="13.140625" bestFit="1" customWidth="1"/>
  </cols>
  <sheetData>
    <row r="2" spans="1:106" s="27" customFormat="1" ht="16.5">
      <c r="A2" s="1" t="s">
        <v>212</v>
      </c>
      <c r="BX2" s="51"/>
      <c r="BY2" s="51"/>
    </row>
    <row r="3" spans="1:106" s="27" customFormat="1" ht="16.5">
      <c r="A3" s="3" t="s">
        <v>213</v>
      </c>
      <c r="BX3" s="51"/>
      <c r="BY3" s="51"/>
    </row>
    <row r="4" spans="1:106" s="27" customFormat="1" ht="16.5">
      <c r="A4" s="3" t="s">
        <v>214</v>
      </c>
      <c r="BX4" s="51"/>
      <c r="BY4" s="51"/>
    </row>
    <row r="5" spans="1:106" s="27" customFormat="1" ht="12.75">
      <c r="BX5" s="51"/>
      <c r="BY5" s="51"/>
    </row>
    <row r="6" spans="1:106" s="51" customFormat="1" ht="15" customHeight="1">
      <c r="A6" s="138" t="s">
        <v>187</v>
      </c>
      <c r="B6" s="137" t="s">
        <v>119</v>
      </c>
      <c r="C6" s="137"/>
      <c r="D6" s="137" t="s">
        <v>120</v>
      </c>
      <c r="E6" s="137"/>
      <c r="F6" s="137" t="s">
        <v>121</v>
      </c>
      <c r="G6" s="137"/>
      <c r="H6" s="137" t="s">
        <v>122</v>
      </c>
      <c r="I6" s="137"/>
      <c r="J6" s="137" t="s">
        <v>167</v>
      </c>
      <c r="K6" s="137"/>
      <c r="L6" s="137" t="s">
        <v>42</v>
      </c>
      <c r="M6" s="137"/>
      <c r="N6" s="137" t="s">
        <v>198</v>
      </c>
      <c r="O6" s="137"/>
      <c r="P6" s="137" t="s">
        <v>13</v>
      </c>
      <c r="Q6" s="137"/>
      <c r="R6" s="137" t="s">
        <v>43</v>
      </c>
      <c r="S6" s="137"/>
      <c r="T6" s="137" t="s">
        <v>15</v>
      </c>
      <c r="U6" s="137"/>
      <c r="V6" s="137" t="s">
        <v>16</v>
      </c>
      <c r="W6" s="137"/>
      <c r="X6" s="137" t="s">
        <v>17</v>
      </c>
      <c r="Y6" s="137"/>
      <c r="Z6" s="137" t="s">
        <v>199</v>
      </c>
      <c r="AA6" s="137"/>
      <c r="AB6" s="137" t="s">
        <v>168</v>
      </c>
      <c r="AC6" s="137"/>
      <c r="AD6" s="137" t="s">
        <v>200</v>
      </c>
      <c r="AE6" s="137"/>
      <c r="AF6" s="137" t="s">
        <v>19</v>
      </c>
      <c r="AG6" s="137"/>
      <c r="AH6" s="137" t="s">
        <v>169</v>
      </c>
      <c r="AI6" s="137"/>
      <c r="AJ6" s="137" t="s">
        <v>25</v>
      </c>
      <c r="AK6" s="137"/>
      <c r="AL6" s="137" t="s">
        <v>26</v>
      </c>
      <c r="AM6" s="137"/>
      <c r="AN6" s="137" t="s">
        <v>27</v>
      </c>
      <c r="AO6" s="137"/>
      <c r="AP6" s="137" t="s">
        <v>28</v>
      </c>
      <c r="AQ6" s="137"/>
      <c r="AR6" s="137" t="s">
        <v>210</v>
      </c>
      <c r="AS6" s="137"/>
      <c r="AT6" s="137" t="s">
        <v>29</v>
      </c>
      <c r="AU6" s="137"/>
      <c r="AV6" s="137" t="s">
        <v>171</v>
      </c>
      <c r="AW6" s="137"/>
      <c r="AX6" s="137" t="s">
        <v>21</v>
      </c>
      <c r="AY6" s="137"/>
      <c r="AZ6" s="137" t="s">
        <v>22</v>
      </c>
      <c r="BA6" s="137"/>
      <c r="BB6" s="137" t="s">
        <v>172</v>
      </c>
      <c r="BC6" s="137"/>
      <c r="BD6" s="137" t="s">
        <v>24</v>
      </c>
      <c r="BE6" s="137"/>
      <c r="BF6" s="137" t="s">
        <v>7</v>
      </c>
      <c r="BG6" s="137"/>
      <c r="BH6" s="137" t="s">
        <v>35</v>
      </c>
      <c r="BI6" s="137"/>
      <c r="BJ6" s="137" t="s">
        <v>36</v>
      </c>
      <c r="BK6" s="137"/>
      <c r="BL6" s="137" t="s">
        <v>37</v>
      </c>
      <c r="BM6" s="137"/>
      <c r="BN6" s="137" t="s">
        <v>38</v>
      </c>
      <c r="BO6" s="137"/>
      <c r="BP6" s="137" t="s">
        <v>39</v>
      </c>
      <c r="BQ6" s="137"/>
      <c r="BR6" s="137" t="s">
        <v>40</v>
      </c>
      <c r="BS6" s="137"/>
      <c r="BT6" s="137" t="s">
        <v>44</v>
      </c>
      <c r="BU6" s="137"/>
      <c r="BV6" s="137" t="s">
        <v>8</v>
      </c>
      <c r="BW6" s="137"/>
      <c r="BX6" s="137" t="s">
        <v>45</v>
      </c>
      <c r="BY6" s="137"/>
    </row>
    <row r="7" spans="1:106" s="51" customFormat="1">
      <c r="A7" s="138"/>
      <c r="B7" s="4"/>
      <c r="C7" s="4" t="s">
        <v>176</v>
      </c>
      <c r="D7" s="4"/>
      <c r="E7" s="4"/>
      <c r="F7" s="4"/>
      <c r="G7" s="4"/>
      <c r="H7" s="4"/>
      <c r="I7" s="4" t="s">
        <v>176</v>
      </c>
      <c r="J7" s="4"/>
      <c r="K7" s="4" t="s">
        <v>176</v>
      </c>
      <c r="L7" s="4"/>
      <c r="M7" s="4" t="s">
        <v>176</v>
      </c>
      <c r="N7" s="4"/>
      <c r="O7" s="4" t="s">
        <v>176</v>
      </c>
      <c r="P7" s="4"/>
      <c r="Q7" s="4" t="s">
        <v>176</v>
      </c>
      <c r="R7" s="4"/>
      <c r="S7" s="4" t="s">
        <v>176</v>
      </c>
      <c r="T7" s="4"/>
      <c r="U7" s="4" t="s">
        <v>176</v>
      </c>
      <c r="V7" s="4"/>
      <c r="W7" s="4" t="s">
        <v>176</v>
      </c>
      <c r="X7" s="4"/>
      <c r="Y7" s="4" t="s">
        <v>176</v>
      </c>
      <c r="Z7" s="4"/>
      <c r="AA7" s="4" t="s">
        <v>176</v>
      </c>
      <c r="AB7" s="4"/>
      <c r="AC7" s="4" t="s">
        <v>176</v>
      </c>
      <c r="AD7" s="4"/>
      <c r="AE7" s="4" t="s">
        <v>176</v>
      </c>
      <c r="AF7" s="4"/>
      <c r="AG7" s="4" t="s">
        <v>176</v>
      </c>
      <c r="AH7" s="4"/>
      <c r="AI7" s="4" t="s">
        <v>176</v>
      </c>
      <c r="AJ7" s="4"/>
      <c r="AK7" s="4" t="s">
        <v>176</v>
      </c>
      <c r="AL7" s="4"/>
      <c r="AM7" s="4" t="s">
        <v>176</v>
      </c>
      <c r="AN7" s="4"/>
      <c r="AO7" s="4" t="s">
        <v>176</v>
      </c>
      <c r="AP7" s="4"/>
      <c r="AQ7" s="4" t="s">
        <v>176</v>
      </c>
      <c r="AR7" s="4"/>
      <c r="AS7" s="4" t="s">
        <v>176</v>
      </c>
      <c r="AT7" s="4"/>
      <c r="AU7" s="4" t="s">
        <v>176</v>
      </c>
      <c r="AV7" s="4"/>
      <c r="AW7" s="4" t="s">
        <v>176</v>
      </c>
      <c r="AX7" s="4"/>
      <c r="AY7" s="4" t="s">
        <v>176</v>
      </c>
      <c r="AZ7" s="4"/>
      <c r="BA7" s="4" t="s">
        <v>176</v>
      </c>
      <c r="BB7" s="4"/>
      <c r="BC7" s="4" t="s">
        <v>176</v>
      </c>
      <c r="BD7" s="4"/>
      <c r="BE7" s="4" t="s">
        <v>176</v>
      </c>
      <c r="BF7" s="4"/>
      <c r="BG7" s="4" t="s">
        <v>176</v>
      </c>
      <c r="BH7" s="4"/>
      <c r="BI7" s="4" t="s">
        <v>176</v>
      </c>
      <c r="BJ7" s="4"/>
      <c r="BK7" s="4" t="s">
        <v>176</v>
      </c>
      <c r="BL7" s="4"/>
      <c r="BM7" s="4" t="s">
        <v>176</v>
      </c>
      <c r="BN7" s="4"/>
      <c r="BO7" s="4" t="s">
        <v>176</v>
      </c>
      <c r="BP7" s="4"/>
      <c r="BQ7" s="4" t="s">
        <v>176</v>
      </c>
      <c r="BR7" s="4"/>
      <c r="BS7" s="4" t="s">
        <v>176</v>
      </c>
      <c r="BT7" s="4"/>
      <c r="BU7" s="4" t="s">
        <v>176</v>
      </c>
      <c r="BV7" s="4"/>
      <c r="BW7" s="4" t="s">
        <v>176</v>
      </c>
      <c r="BX7" s="4"/>
      <c r="BY7" s="4"/>
    </row>
    <row r="8" spans="1:106" s="51" customFormat="1">
      <c r="A8" s="138" t="s">
        <v>188</v>
      </c>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46</v>
      </c>
      <c r="BC8" s="4" t="s">
        <v>47</v>
      </c>
      <c r="BD8" s="4" t="s">
        <v>201</v>
      </c>
      <c r="BE8" s="4" t="s">
        <v>202</v>
      </c>
      <c r="BF8" s="4" t="s">
        <v>201</v>
      </c>
      <c r="BG8" s="4" t="s">
        <v>202</v>
      </c>
      <c r="BH8" s="4" t="s">
        <v>46</v>
      </c>
      <c r="BI8" s="4" t="s">
        <v>47</v>
      </c>
      <c r="BJ8" s="4" t="s">
        <v>46</v>
      </c>
      <c r="BK8" s="4" t="s">
        <v>47</v>
      </c>
      <c r="BL8" s="4" t="s">
        <v>46</v>
      </c>
      <c r="BM8" s="4" t="s">
        <v>47</v>
      </c>
      <c r="BN8" s="4" t="s">
        <v>46</v>
      </c>
      <c r="BO8" s="4" t="s">
        <v>47</v>
      </c>
      <c r="BP8" s="4" t="s">
        <v>46</v>
      </c>
      <c r="BQ8" s="4" t="s">
        <v>47</v>
      </c>
      <c r="BR8" s="4" t="s">
        <v>46</v>
      </c>
      <c r="BS8" s="4" t="s">
        <v>47</v>
      </c>
      <c r="BT8" s="4" t="s">
        <v>46</v>
      </c>
      <c r="BU8" s="4" t="s">
        <v>47</v>
      </c>
      <c r="BV8" s="4" t="s">
        <v>46</v>
      </c>
      <c r="BW8" s="4" t="s">
        <v>47</v>
      </c>
      <c r="BX8" s="4" t="s">
        <v>46</v>
      </c>
      <c r="BY8" s="4" t="s">
        <v>47</v>
      </c>
    </row>
    <row r="9" spans="1:106" s="27" customFormat="1">
      <c r="A9" s="5" t="s">
        <v>48</v>
      </c>
      <c r="B9" s="6"/>
      <c r="C9" s="6"/>
      <c r="D9" s="6"/>
      <c r="E9" s="6"/>
      <c r="F9" s="6"/>
      <c r="G9" s="6"/>
      <c r="H9" s="6"/>
      <c r="I9" s="6"/>
      <c r="J9" s="6">
        <v>2</v>
      </c>
      <c r="K9" s="6">
        <v>16</v>
      </c>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v>1</v>
      </c>
      <c r="BG9" s="6">
        <v>50</v>
      </c>
      <c r="BH9" s="6"/>
      <c r="BI9" s="6"/>
      <c r="BJ9" s="6"/>
      <c r="BK9" s="6"/>
      <c r="BL9" s="6"/>
      <c r="BM9" s="6"/>
      <c r="BN9" s="6"/>
      <c r="BO9" s="6"/>
      <c r="BP9" s="6">
        <v>1</v>
      </c>
      <c r="BQ9" s="6">
        <v>21</v>
      </c>
      <c r="BR9" s="6"/>
      <c r="BS9" s="6"/>
      <c r="BT9" s="6"/>
      <c r="BU9" s="6"/>
      <c r="BV9" s="6">
        <v>4</v>
      </c>
      <c r="BW9" s="6">
        <v>50</v>
      </c>
      <c r="BX9" s="8">
        <f>B9+D9+F9+H9+J9+L9+N9+P9+R9+T9+V9+X9+Z9+AB9+AD9+AF9+AH9+AJ9+AL9+AN9+AP9+AR9+AT9+AV9+AX9+AZ9+BB9+BD9+BF9+BH9+BJ9+BL9+BN9+BP9+BR9+BT9+BV9</f>
        <v>8</v>
      </c>
      <c r="BY9" s="8">
        <f>C9+E9+G9+I9+K9+M9+O9+Q9+S9+U9+W9+Y9+AA9+AC9+AE9+AG9+AI9+AK9+AM9+AO9+AQ9+AS9+AU9+AW9+AY9+BA9+BC9+BE9+BG9+BI9+BK9+BM9+BO9+BQ9+BS9+BU9+BW9</f>
        <v>137</v>
      </c>
      <c r="BZ9" s="52"/>
      <c r="CA9" s="52"/>
      <c r="CB9" s="52"/>
      <c r="DB9" s="53"/>
    </row>
    <row r="10" spans="1:106" s="27" customFormat="1">
      <c r="A10" s="10" t="s">
        <v>49</v>
      </c>
      <c r="B10" s="6">
        <v>5</v>
      </c>
      <c r="C10" s="6">
        <v>273</v>
      </c>
      <c r="D10" s="6">
        <v>19</v>
      </c>
      <c r="E10" s="6">
        <v>2949</v>
      </c>
      <c r="F10" s="6">
        <v>6</v>
      </c>
      <c r="G10" s="6">
        <v>4752</v>
      </c>
      <c r="H10" s="6"/>
      <c r="I10" s="6"/>
      <c r="J10" s="6">
        <v>4</v>
      </c>
      <c r="K10" s="6">
        <v>54</v>
      </c>
      <c r="L10" s="6"/>
      <c r="M10" s="6"/>
      <c r="N10" s="6"/>
      <c r="O10" s="6"/>
      <c r="P10" s="6"/>
      <c r="Q10" s="6"/>
      <c r="R10" s="6">
        <v>1</v>
      </c>
      <c r="S10" s="6">
        <v>32</v>
      </c>
      <c r="T10" s="6"/>
      <c r="U10" s="6"/>
      <c r="V10" s="6"/>
      <c r="W10" s="6"/>
      <c r="X10" s="6">
        <v>17</v>
      </c>
      <c r="Y10" s="6">
        <v>7983</v>
      </c>
      <c r="Z10" s="6"/>
      <c r="AA10" s="6"/>
      <c r="AB10" s="6">
        <v>4</v>
      </c>
      <c r="AC10" s="6">
        <v>2429</v>
      </c>
      <c r="AD10" s="6"/>
      <c r="AE10" s="6"/>
      <c r="AF10" s="6"/>
      <c r="AG10" s="6"/>
      <c r="AH10" s="6"/>
      <c r="AI10" s="6"/>
      <c r="AJ10" s="6"/>
      <c r="AK10" s="6"/>
      <c r="AL10" s="6"/>
      <c r="AM10" s="6"/>
      <c r="AN10" s="6">
        <v>9</v>
      </c>
      <c r="AO10" s="6">
        <v>3698</v>
      </c>
      <c r="AP10" s="6">
        <v>11</v>
      </c>
      <c r="AQ10" s="6">
        <v>3916</v>
      </c>
      <c r="AR10" s="6"/>
      <c r="AS10" s="6"/>
      <c r="AT10" s="6"/>
      <c r="AU10" s="6"/>
      <c r="AV10" s="6"/>
      <c r="AW10" s="6"/>
      <c r="AX10" s="6"/>
      <c r="AY10" s="6"/>
      <c r="AZ10" s="6"/>
      <c r="BA10" s="6"/>
      <c r="BB10" s="6"/>
      <c r="BC10" s="6"/>
      <c r="BD10" s="6"/>
      <c r="BE10" s="6"/>
      <c r="BF10" s="6"/>
      <c r="BG10" s="6"/>
      <c r="BH10" s="6">
        <v>2</v>
      </c>
      <c r="BI10" s="6">
        <v>76</v>
      </c>
      <c r="BJ10" s="6"/>
      <c r="BK10" s="6"/>
      <c r="BL10" s="6"/>
      <c r="BM10" s="6"/>
      <c r="BN10" s="6">
        <v>1</v>
      </c>
      <c r="BO10" s="6">
        <v>55</v>
      </c>
      <c r="BP10" s="6">
        <v>1</v>
      </c>
      <c r="BQ10" s="6">
        <v>39</v>
      </c>
      <c r="BR10" s="6"/>
      <c r="BS10" s="6"/>
      <c r="BT10" s="6"/>
      <c r="BU10" s="6"/>
      <c r="BV10" s="6">
        <v>6</v>
      </c>
      <c r="BW10" s="6">
        <v>68</v>
      </c>
      <c r="BX10" s="8">
        <f>B10+D10+F10+H10+J10+L10+N10+P10+R10+T10+V10+X10+Z10+AB10+AD10+AF10+AH10+AJ10+AL10+AN10+AP10+AR10+AT10+AV10+AX10+AZ10+BB10+BD10+BF10+BH10+BJ10+BL10+BN10+BP10+BR10+BT10+BV10</f>
        <v>86</v>
      </c>
      <c r="BY10" s="8">
        <f>C10+E10+G10+I10+K10+M10+O10+Q10+S10+U10+W10+Y10+AA10+AC10+AE10+AG10+AI10+AK10+AM10+AO10+AQ10+AS10+AU10+AW10+AY10+BA10+BC10+BE10+BG10+BI10+BK10+BM10+BO10+BQ10+BS10+BU10+BW10</f>
        <v>26324</v>
      </c>
      <c r="BZ10" s="52"/>
      <c r="CA10" s="52"/>
      <c r="CB10" s="52"/>
    </row>
    <row r="11" spans="1:106" s="27" customFormat="1">
      <c r="A11" s="5" t="s">
        <v>50</v>
      </c>
      <c r="B11" s="6"/>
      <c r="C11" s="6"/>
      <c r="D11" s="6"/>
      <c r="E11" s="6"/>
      <c r="F11" s="6"/>
      <c r="G11" s="6"/>
      <c r="H11" s="6"/>
      <c r="I11" s="6"/>
      <c r="J11" s="6">
        <v>1</v>
      </c>
      <c r="K11" s="6">
        <v>24</v>
      </c>
      <c r="L11" s="6"/>
      <c r="M11" s="6"/>
      <c r="N11" s="6"/>
      <c r="O11" s="6"/>
      <c r="P11" s="6"/>
      <c r="Q11" s="6"/>
      <c r="R11" s="6"/>
      <c r="S11" s="6"/>
      <c r="T11" s="6"/>
      <c r="U11" s="6"/>
      <c r="V11" s="6"/>
      <c r="W11" s="6"/>
      <c r="X11" s="6">
        <v>1</v>
      </c>
      <c r="Y11" s="6">
        <v>28</v>
      </c>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v>1</v>
      </c>
      <c r="BG11" s="6">
        <v>31</v>
      </c>
      <c r="BH11" s="6"/>
      <c r="BI11" s="6"/>
      <c r="BJ11" s="6"/>
      <c r="BK11" s="6"/>
      <c r="BL11" s="6"/>
      <c r="BM11" s="6"/>
      <c r="BN11" s="6"/>
      <c r="BO11" s="6"/>
      <c r="BP11" s="6"/>
      <c r="BQ11" s="6"/>
      <c r="BR11" s="6"/>
      <c r="BS11" s="6"/>
      <c r="BT11" s="6"/>
      <c r="BU11" s="6"/>
      <c r="BV11" s="6">
        <v>2</v>
      </c>
      <c r="BW11" s="6">
        <v>26</v>
      </c>
      <c r="BX11" s="8">
        <f t="shared" ref="BX11:BX59" si="0">B11+D11+F11+H11+J11+L11+N11+P11+R11+T11+V11+X11+Z11+AB11+AD11+AF11+AH11+AJ11+AL11+AN11+AP11+AR11+AT11+AV11+AX11+AZ11+BB11+BD11+BF11+BH11+BJ11+BL11+BN11+BP11+BR11+BT11+BV11</f>
        <v>5</v>
      </c>
      <c r="BY11" s="8">
        <f t="shared" ref="BY11:BY59" si="1">C11+E11+G11+I11+K11+M11+O11+Q11+S11+U11+W11+Y11+AA11+AC11+AE11+AG11+AI11+AK11+AM11+AO11+AQ11+AS11+AU11+AW11+AY11+BA11+BC11+BE11+BG11+BI11+BK11+BM11+BO11+BQ11+BS11+BU11+BW11</f>
        <v>109</v>
      </c>
      <c r="BZ11" s="52"/>
      <c r="CA11" s="52"/>
      <c r="CB11" s="52"/>
    </row>
    <row r="12" spans="1:106" s="27" customFormat="1">
      <c r="A12" s="5" t="s">
        <v>51</v>
      </c>
      <c r="B12" s="6">
        <v>1</v>
      </c>
      <c r="C12" s="6">
        <v>54</v>
      </c>
      <c r="D12" s="6">
        <v>1</v>
      </c>
      <c r="E12" s="6">
        <v>98</v>
      </c>
      <c r="F12" s="6">
        <v>2</v>
      </c>
      <c r="G12" s="6">
        <v>456</v>
      </c>
      <c r="H12" s="6"/>
      <c r="I12" s="6"/>
      <c r="J12" s="6">
        <v>1</v>
      </c>
      <c r="K12" s="6">
        <v>14</v>
      </c>
      <c r="L12" s="6"/>
      <c r="M12" s="6"/>
      <c r="N12" s="6"/>
      <c r="O12" s="6"/>
      <c r="P12" s="6"/>
      <c r="Q12" s="6"/>
      <c r="R12" s="6"/>
      <c r="S12" s="6"/>
      <c r="T12" s="6"/>
      <c r="U12" s="6"/>
      <c r="V12" s="6"/>
      <c r="W12" s="6"/>
      <c r="X12" s="6">
        <v>2</v>
      </c>
      <c r="Y12" s="6">
        <v>309</v>
      </c>
      <c r="Z12" s="6"/>
      <c r="AA12" s="6"/>
      <c r="AB12" s="6">
        <v>4</v>
      </c>
      <c r="AC12" s="6">
        <v>1703</v>
      </c>
      <c r="AD12" s="6"/>
      <c r="AE12" s="6"/>
      <c r="AF12" s="6">
        <v>1</v>
      </c>
      <c r="AG12" s="6">
        <v>330</v>
      </c>
      <c r="AH12" s="6"/>
      <c r="AI12" s="6"/>
      <c r="AJ12" s="6"/>
      <c r="AK12" s="6"/>
      <c r="AL12" s="6"/>
      <c r="AM12" s="6"/>
      <c r="AN12" s="6"/>
      <c r="AO12" s="6"/>
      <c r="AP12" s="6">
        <v>3</v>
      </c>
      <c r="AQ12" s="6">
        <v>546</v>
      </c>
      <c r="AR12" s="6"/>
      <c r="AS12" s="6"/>
      <c r="AT12" s="6"/>
      <c r="AU12" s="6"/>
      <c r="AV12" s="6"/>
      <c r="AW12" s="6"/>
      <c r="AX12" s="6"/>
      <c r="AY12" s="6"/>
      <c r="AZ12" s="6"/>
      <c r="BA12" s="6"/>
      <c r="BB12" s="6"/>
      <c r="BC12" s="6"/>
      <c r="BD12" s="6"/>
      <c r="BE12" s="6"/>
      <c r="BF12" s="6"/>
      <c r="BG12" s="6"/>
      <c r="BH12" s="6">
        <v>1</v>
      </c>
      <c r="BI12" s="6">
        <v>40</v>
      </c>
      <c r="BJ12" s="6"/>
      <c r="BK12" s="6"/>
      <c r="BL12" s="6"/>
      <c r="BM12" s="6"/>
      <c r="BN12" s="6"/>
      <c r="BO12" s="6"/>
      <c r="BP12" s="6">
        <v>1</v>
      </c>
      <c r="BQ12" s="6">
        <v>28</v>
      </c>
      <c r="BR12" s="6"/>
      <c r="BS12" s="6"/>
      <c r="BT12" s="6"/>
      <c r="BU12" s="6"/>
      <c r="BV12" s="6">
        <v>1</v>
      </c>
      <c r="BW12" s="6">
        <v>8</v>
      </c>
      <c r="BX12" s="8">
        <f t="shared" si="0"/>
        <v>18</v>
      </c>
      <c r="BY12" s="8">
        <f t="shared" si="1"/>
        <v>3586</v>
      </c>
      <c r="BZ12" s="52"/>
      <c r="CA12" s="52"/>
      <c r="CB12" s="52"/>
    </row>
    <row r="13" spans="1:106" s="27" customFormat="1">
      <c r="A13" s="5" t="s">
        <v>203</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v>1</v>
      </c>
      <c r="BW13" s="6">
        <v>8</v>
      </c>
      <c r="BX13" s="8">
        <f t="shared" si="0"/>
        <v>1</v>
      </c>
      <c r="BY13" s="8">
        <f t="shared" si="1"/>
        <v>8</v>
      </c>
      <c r="BZ13" s="52"/>
      <c r="CA13" s="52"/>
      <c r="CB13" s="52"/>
    </row>
    <row r="14" spans="1:106" s="27" customFormat="1">
      <c r="A14" s="5" t="s">
        <v>52</v>
      </c>
      <c r="B14" s="6">
        <v>1</v>
      </c>
      <c r="C14" s="6">
        <v>38</v>
      </c>
      <c r="D14" s="6"/>
      <c r="E14" s="6"/>
      <c r="F14" s="6"/>
      <c r="G14" s="6"/>
      <c r="H14" s="6"/>
      <c r="I14" s="6"/>
      <c r="J14" s="6">
        <v>6</v>
      </c>
      <c r="K14" s="6">
        <v>61</v>
      </c>
      <c r="L14" s="6"/>
      <c r="M14" s="6"/>
      <c r="N14" s="6"/>
      <c r="O14" s="6"/>
      <c r="P14" s="6"/>
      <c r="Q14" s="6"/>
      <c r="R14" s="6"/>
      <c r="S14" s="6"/>
      <c r="T14" s="6"/>
      <c r="U14" s="6"/>
      <c r="V14" s="6"/>
      <c r="W14" s="6"/>
      <c r="X14" s="6"/>
      <c r="Y14" s="6"/>
      <c r="Z14" s="6"/>
      <c r="AA14" s="6"/>
      <c r="AB14" s="6">
        <v>1</v>
      </c>
      <c r="AC14" s="6">
        <v>16</v>
      </c>
      <c r="AD14" s="6"/>
      <c r="AE14" s="6"/>
      <c r="AF14" s="6"/>
      <c r="AG14" s="6"/>
      <c r="AH14" s="6"/>
      <c r="AI14" s="6"/>
      <c r="AJ14" s="6"/>
      <c r="AK14" s="6"/>
      <c r="AL14" s="6"/>
      <c r="AM14" s="6"/>
      <c r="AN14" s="6"/>
      <c r="AO14" s="6"/>
      <c r="AP14" s="6">
        <v>1</v>
      </c>
      <c r="AQ14" s="6">
        <v>89</v>
      </c>
      <c r="AR14" s="6"/>
      <c r="AS14" s="6"/>
      <c r="AT14" s="6"/>
      <c r="AU14" s="6"/>
      <c r="AV14" s="6"/>
      <c r="AW14" s="6"/>
      <c r="AX14" s="6"/>
      <c r="AY14" s="6"/>
      <c r="AZ14" s="6"/>
      <c r="BA14" s="6"/>
      <c r="BB14" s="6"/>
      <c r="BC14" s="6"/>
      <c r="BD14" s="6"/>
      <c r="BE14" s="6"/>
      <c r="BF14" s="6">
        <v>1</v>
      </c>
      <c r="BG14" s="6">
        <v>50</v>
      </c>
      <c r="BH14" s="6">
        <v>1</v>
      </c>
      <c r="BI14" s="6">
        <v>15</v>
      </c>
      <c r="BJ14" s="6">
        <v>1</v>
      </c>
      <c r="BK14" s="6">
        <v>12</v>
      </c>
      <c r="BL14" s="6"/>
      <c r="BM14" s="6"/>
      <c r="BN14" s="6"/>
      <c r="BO14" s="6"/>
      <c r="BP14" s="6"/>
      <c r="BQ14" s="6"/>
      <c r="BR14" s="6"/>
      <c r="BS14" s="6"/>
      <c r="BT14" s="6"/>
      <c r="BU14" s="6"/>
      <c r="BV14" s="6">
        <v>5</v>
      </c>
      <c r="BW14" s="6">
        <v>63</v>
      </c>
      <c r="BX14" s="8">
        <f t="shared" si="0"/>
        <v>17</v>
      </c>
      <c r="BY14" s="8">
        <f t="shared" si="1"/>
        <v>344</v>
      </c>
      <c r="BZ14" s="52"/>
      <c r="CA14" s="52"/>
      <c r="CB14" s="52"/>
    </row>
    <row r="15" spans="1:106" s="27" customFormat="1">
      <c r="A15" s="5" t="s">
        <v>53</v>
      </c>
      <c r="B15" s="6"/>
      <c r="C15" s="6"/>
      <c r="D15" s="6"/>
      <c r="E15" s="6"/>
      <c r="F15" s="6"/>
      <c r="G15" s="6"/>
      <c r="H15" s="6"/>
      <c r="I15" s="6"/>
      <c r="J15" s="6"/>
      <c r="K15" s="6"/>
      <c r="L15" s="6"/>
      <c r="M15" s="6"/>
      <c r="N15" s="6"/>
      <c r="O15" s="6"/>
      <c r="P15" s="6"/>
      <c r="Q15" s="6"/>
      <c r="R15" s="6"/>
      <c r="S15" s="6"/>
      <c r="T15" s="6"/>
      <c r="U15" s="6"/>
      <c r="V15" s="6"/>
      <c r="W15" s="6"/>
      <c r="X15" s="6">
        <v>2</v>
      </c>
      <c r="Y15" s="6">
        <v>121</v>
      </c>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v>1</v>
      </c>
      <c r="BK15" s="6">
        <v>75</v>
      </c>
      <c r="BL15" s="6"/>
      <c r="BM15" s="6"/>
      <c r="BN15" s="6"/>
      <c r="BO15" s="6"/>
      <c r="BP15" s="6"/>
      <c r="BQ15" s="6"/>
      <c r="BR15" s="6"/>
      <c r="BS15" s="6"/>
      <c r="BT15" s="6"/>
      <c r="BU15" s="6"/>
      <c r="BV15" s="6">
        <v>3</v>
      </c>
      <c r="BW15" s="6">
        <v>35</v>
      </c>
      <c r="BX15" s="8">
        <f t="shared" si="0"/>
        <v>6</v>
      </c>
      <c r="BY15" s="8">
        <f t="shared" si="1"/>
        <v>231</v>
      </c>
      <c r="BZ15" s="52"/>
      <c r="CA15" s="52"/>
      <c r="CB15" s="52"/>
    </row>
    <row r="16" spans="1:106" s="27" customFormat="1">
      <c r="A16" s="5" t="s">
        <v>54</v>
      </c>
      <c r="B16" s="6"/>
      <c r="C16" s="6"/>
      <c r="D16" s="6"/>
      <c r="E16" s="6"/>
      <c r="F16" s="6"/>
      <c r="G16" s="6"/>
      <c r="H16" s="6"/>
      <c r="I16" s="6"/>
      <c r="J16" s="6">
        <v>2</v>
      </c>
      <c r="K16" s="6">
        <v>43</v>
      </c>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v>1</v>
      </c>
      <c r="BC16" s="6">
        <v>33</v>
      </c>
      <c r="BD16" s="6"/>
      <c r="BE16" s="6"/>
      <c r="BF16" s="6"/>
      <c r="BG16" s="6"/>
      <c r="BH16" s="6"/>
      <c r="BI16" s="6"/>
      <c r="BJ16" s="6"/>
      <c r="BK16" s="6"/>
      <c r="BL16" s="6"/>
      <c r="BM16" s="6"/>
      <c r="BN16" s="6"/>
      <c r="BO16" s="6"/>
      <c r="BP16" s="6"/>
      <c r="BQ16" s="6"/>
      <c r="BR16" s="6"/>
      <c r="BS16" s="6"/>
      <c r="BT16" s="6"/>
      <c r="BU16" s="6"/>
      <c r="BV16" s="6"/>
      <c r="BW16" s="6"/>
      <c r="BX16" s="8">
        <f t="shared" si="0"/>
        <v>3</v>
      </c>
      <c r="BY16" s="8">
        <f t="shared" si="1"/>
        <v>76</v>
      </c>
      <c r="BZ16" s="52"/>
      <c r="CA16" s="52"/>
      <c r="CB16" s="52"/>
    </row>
    <row r="17" spans="1:80" s="27" customFormat="1">
      <c r="A17" s="5" t="s">
        <v>55</v>
      </c>
      <c r="B17" s="6"/>
      <c r="C17" s="6"/>
      <c r="D17" s="6"/>
      <c r="E17" s="6"/>
      <c r="F17" s="6"/>
      <c r="G17" s="6"/>
      <c r="H17" s="6"/>
      <c r="I17" s="6"/>
      <c r="J17" s="6">
        <v>1</v>
      </c>
      <c r="K17" s="6">
        <v>12</v>
      </c>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8">
        <f t="shared" si="0"/>
        <v>1</v>
      </c>
      <c r="BY17" s="8">
        <f t="shared" si="1"/>
        <v>12</v>
      </c>
      <c r="BZ17" s="52"/>
      <c r="CA17" s="52"/>
      <c r="CB17" s="52"/>
    </row>
    <row r="18" spans="1:80" s="27" customFormat="1">
      <c r="A18" s="5" t="s">
        <v>56</v>
      </c>
      <c r="B18" s="6"/>
      <c r="C18" s="6"/>
      <c r="D18" s="6"/>
      <c r="E18" s="6"/>
      <c r="F18" s="6"/>
      <c r="G18" s="6"/>
      <c r="H18" s="6"/>
      <c r="I18" s="6"/>
      <c r="J18" s="6">
        <v>11</v>
      </c>
      <c r="K18" s="6">
        <v>146</v>
      </c>
      <c r="L18" s="6"/>
      <c r="M18" s="6"/>
      <c r="N18" s="6"/>
      <c r="O18" s="6"/>
      <c r="P18" s="6"/>
      <c r="Q18" s="6"/>
      <c r="R18" s="6"/>
      <c r="S18" s="6"/>
      <c r="T18" s="6"/>
      <c r="U18" s="6"/>
      <c r="V18" s="6"/>
      <c r="W18" s="6"/>
      <c r="X18" s="6"/>
      <c r="Y18" s="6"/>
      <c r="Z18" s="6"/>
      <c r="AA18" s="6"/>
      <c r="AB18" s="6">
        <v>1</v>
      </c>
      <c r="AC18" s="6">
        <v>38</v>
      </c>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v>1</v>
      </c>
      <c r="BQ18" s="6">
        <v>30</v>
      </c>
      <c r="BR18" s="6"/>
      <c r="BS18" s="6"/>
      <c r="BT18" s="6"/>
      <c r="BU18" s="6"/>
      <c r="BV18" s="6"/>
      <c r="BW18" s="6"/>
      <c r="BX18" s="8">
        <f t="shared" si="0"/>
        <v>13</v>
      </c>
      <c r="BY18" s="8">
        <f t="shared" si="1"/>
        <v>214</v>
      </c>
      <c r="BZ18" s="52"/>
      <c r="CA18" s="52"/>
      <c r="CB18" s="52"/>
    </row>
    <row r="19" spans="1:80" s="27" customFormat="1">
      <c r="A19" s="5" t="s">
        <v>57</v>
      </c>
      <c r="B19" s="6">
        <v>13</v>
      </c>
      <c r="C19" s="6">
        <v>806</v>
      </c>
      <c r="D19" s="6">
        <v>27</v>
      </c>
      <c r="E19" s="6">
        <v>4386</v>
      </c>
      <c r="F19" s="6">
        <v>26</v>
      </c>
      <c r="G19" s="6">
        <v>4418</v>
      </c>
      <c r="H19" s="6">
        <v>5</v>
      </c>
      <c r="I19" s="6">
        <v>977</v>
      </c>
      <c r="J19" s="6">
        <v>5</v>
      </c>
      <c r="K19" s="6">
        <v>77</v>
      </c>
      <c r="L19" s="6">
        <v>2</v>
      </c>
      <c r="M19" s="6">
        <v>32</v>
      </c>
      <c r="N19" s="6"/>
      <c r="O19" s="6"/>
      <c r="P19" s="6"/>
      <c r="Q19" s="6"/>
      <c r="R19" s="6"/>
      <c r="S19" s="6"/>
      <c r="T19" s="6">
        <v>4</v>
      </c>
      <c r="U19" s="6">
        <v>278</v>
      </c>
      <c r="V19" s="6">
        <v>8</v>
      </c>
      <c r="W19" s="6">
        <v>1490</v>
      </c>
      <c r="X19" s="6">
        <v>57</v>
      </c>
      <c r="Y19" s="6">
        <v>18693</v>
      </c>
      <c r="Z19" s="6"/>
      <c r="AA19" s="6"/>
      <c r="AB19" s="6">
        <v>42</v>
      </c>
      <c r="AC19" s="6">
        <v>12939</v>
      </c>
      <c r="AD19" s="6">
        <v>2</v>
      </c>
      <c r="AE19" s="6">
        <v>288</v>
      </c>
      <c r="AF19" s="6">
        <v>4</v>
      </c>
      <c r="AG19" s="6">
        <v>578</v>
      </c>
      <c r="AH19" s="6">
        <v>1</v>
      </c>
      <c r="AI19" s="6">
        <v>262</v>
      </c>
      <c r="AJ19" s="6"/>
      <c r="AK19" s="6"/>
      <c r="AL19" s="6">
        <v>2</v>
      </c>
      <c r="AM19" s="6">
        <v>159</v>
      </c>
      <c r="AN19" s="6">
        <v>19</v>
      </c>
      <c r="AO19" s="6">
        <v>9686</v>
      </c>
      <c r="AP19" s="6">
        <v>7</v>
      </c>
      <c r="AQ19" s="6">
        <v>3226</v>
      </c>
      <c r="AR19" s="6"/>
      <c r="AS19" s="6"/>
      <c r="AT19" s="6"/>
      <c r="AU19" s="6"/>
      <c r="AV19" s="6">
        <v>1</v>
      </c>
      <c r="AW19" s="6">
        <v>27</v>
      </c>
      <c r="AX19" s="6"/>
      <c r="AY19" s="6"/>
      <c r="AZ19" s="6"/>
      <c r="BA19" s="6"/>
      <c r="BB19" s="6"/>
      <c r="BC19" s="6"/>
      <c r="BD19" s="6"/>
      <c r="BE19" s="6"/>
      <c r="BF19" s="6"/>
      <c r="BG19" s="6"/>
      <c r="BH19" s="6">
        <v>3</v>
      </c>
      <c r="BI19" s="6">
        <v>95</v>
      </c>
      <c r="BJ19" s="6">
        <v>6</v>
      </c>
      <c r="BK19" s="6">
        <v>371</v>
      </c>
      <c r="BL19" s="6">
        <v>1</v>
      </c>
      <c r="BM19" s="6">
        <v>72</v>
      </c>
      <c r="BN19" s="6">
        <v>9</v>
      </c>
      <c r="BO19" s="6">
        <v>359</v>
      </c>
      <c r="BP19" s="6">
        <v>4</v>
      </c>
      <c r="BQ19" s="6">
        <v>180</v>
      </c>
      <c r="BR19" s="6">
        <v>2</v>
      </c>
      <c r="BS19" s="6">
        <v>86</v>
      </c>
      <c r="BT19" s="6"/>
      <c r="BU19" s="6"/>
      <c r="BV19" s="6"/>
      <c r="BW19" s="6"/>
      <c r="BX19" s="8">
        <f t="shared" si="0"/>
        <v>250</v>
      </c>
      <c r="BY19" s="8">
        <f t="shared" si="1"/>
        <v>59485</v>
      </c>
      <c r="BZ19" s="52"/>
      <c r="CA19" s="52"/>
      <c r="CB19" s="52"/>
    </row>
    <row r="20" spans="1:80" s="27" customFormat="1">
      <c r="A20" s="5" t="s">
        <v>58</v>
      </c>
      <c r="B20" s="6"/>
      <c r="C20" s="6"/>
      <c r="D20" s="6"/>
      <c r="E20" s="6"/>
      <c r="F20" s="6"/>
      <c r="G20" s="6"/>
      <c r="H20" s="6"/>
      <c r="I20" s="6"/>
      <c r="J20" s="6">
        <v>2</v>
      </c>
      <c r="K20" s="6">
        <v>53</v>
      </c>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v>1</v>
      </c>
      <c r="BG20" s="6">
        <v>50</v>
      </c>
      <c r="BH20" s="6"/>
      <c r="BI20" s="6"/>
      <c r="BJ20" s="6"/>
      <c r="BK20" s="6"/>
      <c r="BL20" s="6"/>
      <c r="BM20" s="6"/>
      <c r="BN20" s="6"/>
      <c r="BO20" s="6"/>
      <c r="BP20" s="6"/>
      <c r="BQ20" s="6"/>
      <c r="BR20" s="6"/>
      <c r="BS20" s="6"/>
      <c r="BT20" s="6"/>
      <c r="BU20" s="6"/>
      <c r="BV20" s="6">
        <v>1</v>
      </c>
      <c r="BW20" s="6">
        <v>12</v>
      </c>
      <c r="BX20" s="8">
        <f t="shared" si="0"/>
        <v>4</v>
      </c>
      <c r="BY20" s="8">
        <f t="shared" si="1"/>
        <v>115</v>
      </c>
      <c r="BZ20" s="52"/>
      <c r="CA20" s="52"/>
      <c r="CB20" s="52"/>
    </row>
    <row r="21" spans="1:80" s="27" customFormat="1">
      <c r="A21" s="5" t="s">
        <v>59</v>
      </c>
      <c r="B21" s="6"/>
      <c r="C21" s="6"/>
      <c r="D21" s="6"/>
      <c r="E21" s="6"/>
      <c r="F21" s="6"/>
      <c r="G21" s="6"/>
      <c r="H21" s="6"/>
      <c r="I21" s="6"/>
      <c r="J21" s="6">
        <v>19</v>
      </c>
      <c r="K21" s="6">
        <v>299</v>
      </c>
      <c r="L21" s="6"/>
      <c r="M21" s="6"/>
      <c r="N21" s="6"/>
      <c r="O21" s="6"/>
      <c r="P21" s="6"/>
      <c r="Q21" s="6"/>
      <c r="R21" s="6"/>
      <c r="S21" s="6"/>
      <c r="T21" s="6"/>
      <c r="U21" s="6"/>
      <c r="V21" s="6">
        <v>1</v>
      </c>
      <c r="W21" s="6">
        <v>37</v>
      </c>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v>1</v>
      </c>
      <c r="BG21" s="6">
        <v>20</v>
      </c>
      <c r="BH21" s="6"/>
      <c r="BI21" s="6"/>
      <c r="BJ21" s="6"/>
      <c r="BK21" s="6"/>
      <c r="BL21" s="6"/>
      <c r="BM21" s="6"/>
      <c r="BN21" s="6">
        <v>1</v>
      </c>
      <c r="BO21" s="6">
        <v>41</v>
      </c>
      <c r="BP21" s="6"/>
      <c r="BQ21" s="6"/>
      <c r="BR21" s="6"/>
      <c r="BS21" s="6"/>
      <c r="BT21" s="6"/>
      <c r="BU21" s="6"/>
      <c r="BV21" s="6">
        <v>1</v>
      </c>
      <c r="BW21" s="6">
        <v>16</v>
      </c>
      <c r="BX21" s="8">
        <f t="shared" si="0"/>
        <v>23</v>
      </c>
      <c r="BY21" s="8">
        <f t="shared" si="1"/>
        <v>413</v>
      </c>
      <c r="BZ21" s="52"/>
      <c r="CA21" s="52"/>
      <c r="CB21" s="52"/>
    </row>
    <row r="22" spans="1:80" s="27" customFormat="1">
      <c r="A22" s="5" t="s">
        <v>60</v>
      </c>
      <c r="B22" s="6">
        <v>12</v>
      </c>
      <c r="C22" s="6">
        <v>654</v>
      </c>
      <c r="D22" s="6">
        <v>11</v>
      </c>
      <c r="E22" s="6">
        <v>582</v>
      </c>
      <c r="F22" s="6">
        <v>8</v>
      </c>
      <c r="G22" s="6">
        <v>1232</v>
      </c>
      <c r="H22" s="6"/>
      <c r="I22" s="6"/>
      <c r="J22" s="6">
        <v>2</v>
      </c>
      <c r="K22" s="6">
        <v>32</v>
      </c>
      <c r="L22" s="6"/>
      <c r="M22" s="6"/>
      <c r="N22" s="6"/>
      <c r="O22" s="6"/>
      <c r="P22" s="6"/>
      <c r="Q22" s="6"/>
      <c r="R22" s="6">
        <v>1</v>
      </c>
      <c r="S22" s="6">
        <v>68</v>
      </c>
      <c r="T22" s="6">
        <v>6</v>
      </c>
      <c r="U22" s="6">
        <v>305</v>
      </c>
      <c r="V22" s="6">
        <v>1</v>
      </c>
      <c r="W22" s="6">
        <v>188</v>
      </c>
      <c r="X22" s="6">
        <v>17</v>
      </c>
      <c r="Y22" s="6">
        <v>3929</v>
      </c>
      <c r="Z22" s="6">
        <v>1</v>
      </c>
      <c r="AA22" s="6">
        <v>48</v>
      </c>
      <c r="AB22" s="6">
        <v>14</v>
      </c>
      <c r="AC22" s="6">
        <v>3822</v>
      </c>
      <c r="AD22" s="6"/>
      <c r="AE22" s="6"/>
      <c r="AF22" s="6">
        <v>2</v>
      </c>
      <c r="AG22" s="6">
        <v>437</v>
      </c>
      <c r="AH22" s="6"/>
      <c r="AI22" s="6"/>
      <c r="AJ22" s="6">
        <v>2</v>
      </c>
      <c r="AK22" s="6">
        <v>106</v>
      </c>
      <c r="AL22" s="6"/>
      <c r="AM22" s="6"/>
      <c r="AN22" s="6">
        <v>7</v>
      </c>
      <c r="AO22" s="6">
        <v>1974</v>
      </c>
      <c r="AP22" s="6">
        <v>7</v>
      </c>
      <c r="AQ22" s="6">
        <v>3648</v>
      </c>
      <c r="AR22" s="6"/>
      <c r="AS22" s="6"/>
      <c r="AT22" s="6">
        <v>1</v>
      </c>
      <c r="AU22" s="6">
        <v>64</v>
      </c>
      <c r="AV22" s="6"/>
      <c r="AW22" s="6"/>
      <c r="AX22" s="6"/>
      <c r="AY22" s="6"/>
      <c r="AZ22" s="6"/>
      <c r="BA22" s="6"/>
      <c r="BB22" s="6"/>
      <c r="BC22" s="6"/>
      <c r="BD22" s="6"/>
      <c r="BE22" s="6"/>
      <c r="BF22" s="6">
        <v>2</v>
      </c>
      <c r="BG22" s="6">
        <v>84</v>
      </c>
      <c r="BH22" s="6">
        <v>6</v>
      </c>
      <c r="BI22" s="6">
        <v>487</v>
      </c>
      <c r="BJ22" s="6">
        <v>4</v>
      </c>
      <c r="BK22" s="6">
        <v>279</v>
      </c>
      <c r="BL22" s="6">
        <v>1</v>
      </c>
      <c r="BM22" s="6">
        <v>22</v>
      </c>
      <c r="BN22" s="6">
        <v>5</v>
      </c>
      <c r="BO22" s="6">
        <v>156</v>
      </c>
      <c r="BP22" s="6">
        <v>2</v>
      </c>
      <c r="BQ22" s="6">
        <v>83</v>
      </c>
      <c r="BR22" s="6"/>
      <c r="BS22" s="6"/>
      <c r="BT22" s="6"/>
      <c r="BU22" s="6"/>
      <c r="BV22" s="6"/>
      <c r="BW22" s="6"/>
      <c r="BX22" s="8">
        <f t="shared" si="0"/>
        <v>112</v>
      </c>
      <c r="BY22" s="8">
        <f t="shared" si="1"/>
        <v>18200</v>
      </c>
      <c r="BZ22" s="52"/>
      <c r="CA22" s="52"/>
      <c r="CB22" s="52"/>
    </row>
    <row r="23" spans="1:80" s="27" customFormat="1">
      <c r="A23" s="5" t="s">
        <v>218</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v>1</v>
      </c>
      <c r="BG23" s="6">
        <v>50</v>
      </c>
      <c r="BH23" s="6"/>
      <c r="BI23" s="6"/>
      <c r="BJ23" s="6"/>
      <c r="BK23" s="6"/>
      <c r="BL23" s="6"/>
      <c r="BM23" s="6"/>
      <c r="BN23" s="6"/>
      <c r="BO23" s="6"/>
      <c r="BP23" s="6"/>
      <c r="BQ23" s="6"/>
      <c r="BR23" s="6"/>
      <c r="BS23" s="6"/>
      <c r="BT23" s="6"/>
      <c r="BU23" s="6"/>
      <c r="BV23" s="6"/>
      <c r="BW23" s="6"/>
      <c r="BX23" s="8">
        <f t="shared" si="0"/>
        <v>1</v>
      </c>
      <c r="BY23" s="8">
        <f t="shared" si="1"/>
        <v>50</v>
      </c>
      <c r="BZ23" s="52"/>
      <c r="CA23" s="52"/>
      <c r="CB23" s="52"/>
    </row>
    <row r="24" spans="1:80" s="27" customFormat="1">
      <c r="A24" s="5" t="s">
        <v>61</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v>1</v>
      </c>
      <c r="BW24" s="6">
        <v>16</v>
      </c>
      <c r="BX24" s="8">
        <f t="shared" si="0"/>
        <v>1</v>
      </c>
      <c r="BY24" s="8">
        <f t="shared" si="1"/>
        <v>16</v>
      </c>
      <c r="BZ24" s="52"/>
      <c r="CA24" s="52"/>
      <c r="CB24" s="52"/>
    </row>
    <row r="25" spans="1:80" s="27" customFormat="1">
      <c r="A25" s="5" t="s">
        <v>62</v>
      </c>
      <c r="B25" s="6"/>
      <c r="C25" s="6"/>
      <c r="D25" s="6"/>
      <c r="E25" s="6"/>
      <c r="F25" s="6"/>
      <c r="G25" s="6"/>
      <c r="H25" s="6"/>
      <c r="I25" s="6"/>
      <c r="J25" s="6">
        <v>1</v>
      </c>
      <c r="K25" s="6">
        <v>16</v>
      </c>
      <c r="L25" s="6"/>
      <c r="M25" s="6"/>
      <c r="N25" s="6"/>
      <c r="O25" s="6"/>
      <c r="P25" s="6"/>
      <c r="Q25" s="6"/>
      <c r="R25" s="6">
        <v>1</v>
      </c>
      <c r="S25" s="6">
        <v>17</v>
      </c>
      <c r="T25" s="6"/>
      <c r="U25" s="6"/>
      <c r="V25" s="6"/>
      <c r="W25" s="6"/>
      <c r="X25" s="6">
        <v>1</v>
      </c>
      <c r="Y25" s="6">
        <v>79</v>
      </c>
      <c r="Z25" s="6"/>
      <c r="AA25" s="6"/>
      <c r="AB25" s="6">
        <v>1</v>
      </c>
      <c r="AC25" s="6">
        <v>165</v>
      </c>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v>1</v>
      </c>
      <c r="BE25" s="6">
        <v>132</v>
      </c>
      <c r="BF25" s="6"/>
      <c r="BG25" s="6"/>
      <c r="BH25" s="6">
        <v>1</v>
      </c>
      <c r="BI25" s="6">
        <v>14</v>
      </c>
      <c r="BJ25" s="6"/>
      <c r="BK25" s="6"/>
      <c r="BL25" s="6"/>
      <c r="BM25" s="6"/>
      <c r="BN25" s="6"/>
      <c r="BO25" s="6"/>
      <c r="BP25" s="6"/>
      <c r="BQ25" s="6"/>
      <c r="BR25" s="6"/>
      <c r="BS25" s="6"/>
      <c r="BT25" s="6"/>
      <c r="BU25" s="6"/>
      <c r="BV25" s="6">
        <v>1</v>
      </c>
      <c r="BW25" s="6">
        <v>16</v>
      </c>
      <c r="BX25" s="8">
        <f t="shared" si="0"/>
        <v>7</v>
      </c>
      <c r="BY25" s="8">
        <f t="shared" si="1"/>
        <v>439</v>
      </c>
      <c r="BZ25" s="52"/>
      <c r="CA25" s="52"/>
      <c r="CB25" s="52"/>
    </row>
    <row r="26" spans="1:80" s="27" customFormat="1">
      <c r="A26" s="5" t="s">
        <v>63</v>
      </c>
      <c r="B26" s="6"/>
      <c r="C26" s="6"/>
      <c r="D26" s="6"/>
      <c r="E26" s="6"/>
      <c r="F26" s="6"/>
      <c r="G26" s="6"/>
      <c r="H26" s="6"/>
      <c r="I26" s="6"/>
      <c r="J26" s="6">
        <v>6</v>
      </c>
      <c r="K26" s="6">
        <v>111</v>
      </c>
      <c r="L26" s="6"/>
      <c r="M26" s="6"/>
      <c r="N26" s="6"/>
      <c r="O26" s="6"/>
      <c r="P26" s="6"/>
      <c r="Q26" s="6"/>
      <c r="R26" s="6"/>
      <c r="S26" s="6"/>
      <c r="T26" s="6"/>
      <c r="U26" s="6"/>
      <c r="V26" s="6"/>
      <c r="W26" s="6"/>
      <c r="X26" s="6"/>
      <c r="Y26" s="6"/>
      <c r="Z26" s="6"/>
      <c r="AA26" s="6"/>
      <c r="AB26" s="6">
        <v>1</v>
      </c>
      <c r="AC26" s="6">
        <v>37</v>
      </c>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v>1</v>
      </c>
      <c r="BI26" s="6">
        <v>16</v>
      </c>
      <c r="BJ26" s="6"/>
      <c r="BK26" s="6"/>
      <c r="BL26" s="6"/>
      <c r="BM26" s="6"/>
      <c r="BN26" s="6"/>
      <c r="BO26" s="6"/>
      <c r="BP26" s="6"/>
      <c r="BQ26" s="6"/>
      <c r="BR26" s="6"/>
      <c r="BS26" s="6"/>
      <c r="BT26" s="6"/>
      <c r="BU26" s="6"/>
      <c r="BV26" s="6"/>
      <c r="BW26" s="6"/>
      <c r="BX26" s="8">
        <f t="shared" si="0"/>
        <v>8</v>
      </c>
      <c r="BY26" s="8">
        <f t="shared" si="1"/>
        <v>164</v>
      </c>
      <c r="BZ26" s="52"/>
      <c r="CA26" s="52"/>
      <c r="CB26" s="52"/>
    </row>
    <row r="27" spans="1:80" s="27" customFormat="1">
      <c r="A27" s="5" t="s">
        <v>64</v>
      </c>
      <c r="B27" s="6"/>
      <c r="C27" s="6"/>
      <c r="D27" s="6"/>
      <c r="E27" s="6"/>
      <c r="F27" s="6"/>
      <c r="G27" s="6"/>
      <c r="H27" s="6"/>
      <c r="I27" s="6"/>
      <c r="J27" s="6">
        <v>1</v>
      </c>
      <c r="K27" s="6">
        <v>10</v>
      </c>
      <c r="L27" s="6"/>
      <c r="M27" s="6"/>
      <c r="N27" s="6"/>
      <c r="O27" s="6"/>
      <c r="P27" s="6"/>
      <c r="Q27" s="6"/>
      <c r="R27" s="6"/>
      <c r="S27" s="6"/>
      <c r="T27" s="6"/>
      <c r="U27" s="6"/>
      <c r="V27" s="6"/>
      <c r="W27" s="6"/>
      <c r="X27" s="6"/>
      <c r="Y27" s="6"/>
      <c r="Z27" s="6"/>
      <c r="AA27" s="6"/>
      <c r="AB27" s="6">
        <v>1</v>
      </c>
      <c r="AC27" s="6">
        <v>111</v>
      </c>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v>3</v>
      </c>
      <c r="BW27" s="6">
        <v>32</v>
      </c>
      <c r="BX27" s="8">
        <f t="shared" si="0"/>
        <v>5</v>
      </c>
      <c r="BY27" s="8">
        <f t="shared" si="1"/>
        <v>153</v>
      </c>
      <c r="BZ27" s="52"/>
      <c r="CA27" s="52"/>
      <c r="CB27" s="52"/>
    </row>
    <row r="28" spans="1:80" s="27" customFormat="1">
      <c r="A28" s="5" t="s">
        <v>65</v>
      </c>
      <c r="B28" s="6">
        <v>10</v>
      </c>
      <c r="C28" s="6">
        <v>292</v>
      </c>
      <c r="D28" s="6">
        <v>13</v>
      </c>
      <c r="E28" s="6">
        <v>1226</v>
      </c>
      <c r="F28" s="6">
        <v>3</v>
      </c>
      <c r="G28" s="6">
        <v>555</v>
      </c>
      <c r="H28" s="6"/>
      <c r="I28" s="6"/>
      <c r="J28" s="6">
        <v>10</v>
      </c>
      <c r="K28" s="6">
        <v>153</v>
      </c>
      <c r="L28" s="6"/>
      <c r="M28" s="6"/>
      <c r="N28" s="6"/>
      <c r="O28" s="6"/>
      <c r="P28" s="6"/>
      <c r="Q28" s="6"/>
      <c r="R28" s="6"/>
      <c r="S28" s="6"/>
      <c r="T28" s="6">
        <v>1</v>
      </c>
      <c r="U28" s="6">
        <v>48</v>
      </c>
      <c r="V28" s="6">
        <v>2</v>
      </c>
      <c r="W28" s="6">
        <v>152</v>
      </c>
      <c r="X28" s="6">
        <v>5</v>
      </c>
      <c r="Y28" s="6">
        <v>1630</v>
      </c>
      <c r="Z28" s="6"/>
      <c r="AA28" s="6"/>
      <c r="AB28" s="6">
        <v>3</v>
      </c>
      <c r="AC28" s="6">
        <v>1419</v>
      </c>
      <c r="AD28" s="6"/>
      <c r="AE28" s="6"/>
      <c r="AF28" s="6">
        <v>1</v>
      </c>
      <c r="AG28" s="6">
        <v>20</v>
      </c>
      <c r="AH28" s="6"/>
      <c r="AI28" s="6"/>
      <c r="AJ28" s="6"/>
      <c r="AK28" s="6"/>
      <c r="AL28" s="6">
        <v>1</v>
      </c>
      <c r="AM28" s="6">
        <v>336</v>
      </c>
      <c r="AN28" s="6"/>
      <c r="AO28" s="6"/>
      <c r="AP28" s="6">
        <v>1</v>
      </c>
      <c r="AQ28" s="6">
        <v>606</v>
      </c>
      <c r="AR28" s="6"/>
      <c r="AS28" s="6"/>
      <c r="AT28" s="6"/>
      <c r="AU28" s="6"/>
      <c r="AV28" s="6"/>
      <c r="AW28" s="6"/>
      <c r="AX28" s="6"/>
      <c r="AY28" s="6"/>
      <c r="AZ28" s="6"/>
      <c r="BA28" s="6"/>
      <c r="BB28" s="6"/>
      <c r="BC28" s="6"/>
      <c r="BD28" s="6"/>
      <c r="BE28" s="6"/>
      <c r="BF28" s="6">
        <v>3</v>
      </c>
      <c r="BG28" s="6">
        <v>86</v>
      </c>
      <c r="BH28" s="6">
        <v>1</v>
      </c>
      <c r="BI28" s="6">
        <v>35</v>
      </c>
      <c r="BJ28" s="6"/>
      <c r="BK28" s="6"/>
      <c r="BL28" s="6"/>
      <c r="BM28" s="6"/>
      <c r="BN28" s="6">
        <v>2</v>
      </c>
      <c r="BO28" s="6">
        <v>75</v>
      </c>
      <c r="BP28" s="6"/>
      <c r="BQ28" s="6"/>
      <c r="BR28" s="6"/>
      <c r="BS28" s="6"/>
      <c r="BT28" s="6"/>
      <c r="BU28" s="6"/>
      <c r="BV28" s="6"/>
      <c r="BW28" s="6"/>
      <c r="BX28" s="8">
        <f t="shared" si="0"/>
        <v>56</v>
      </c>
      <c r="BY28" s="8">
        <f t="shared" si="1"/>
        <v>6633</v>
      </c>
      <c r="BZ28" s="52"/>
      <c r="CA28" s="52"/>
      <c r="CB28" s="52"/>
    </row>
    <row r="29" spans="1:80" s="27" customFormat="1">
      <c r="A29" s="5" t="s">
        <v>66</v>
      </c>
      <c r="B29" s="6"/>
      <c r="C29" s="6"/>
      <c r="D29" s="6"/>
      <c r="E29" s="6"/>
      <c r="F29" s="6"/>
      <c r="G29" s="6"/>
      <c r="H29" s="6"/>
      <c r="I29" s="6"/>
      <c r="J29" s="6">
        <v>2</v>
      </c>
      <c r="K29" s="6">
        <v>25</v>
      </c>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v>2</v>
      </c>
      <c r="AQ29" s="6">
        <v>62</v>
      </c>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v>2</v>
      </c>
      <c r="BW29" s="6">
        <v>34</v>
      </c>
      <c r="BX29" s="8">
        <f t="shared" si="0"/>
        <v>6</v>
      </c>
      <c r="BY29" s="8">
        <f t="shared" si="1"/>
        <v>121</v>
      </c>
      <c r="BZ29" s="52"/>
      <c r="CA29" s="52"/>
      <c r="CB29" s="52"/>
    </row>
    <row r="30" spans="1:80" s="27" customFormat="1">
      <c r="A30" s="5" t="s">
        <v>67</v>
      </c>
      <c r="B30" s="6"/>
      <c r="C30" s="6"/>
      <c r="D30" s="6"/>
      <c r="E30" s="6"/>
      <c r="F30" s="6"/>
      <c r="G30" s="6"/>
      <c r="H30" s="6"/>
      <c r="I30" s="6"/>
      <c r="J30" s="6">
        <v>1</v>
      </c>
      <c r="K30" s="6">
        <v>8</v>
      </c>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v>1</v>
      </c>
      <c r="BG30" s="6">
        <v>30</v>
      </c>
      <c r="BH30" s="6"/>
      <c r="BI30" s="6"/>
      <c r="BJ30" s="6"/>
      <c r="BK30" s="6"/>
      <c r="BL30" s="6"/>
      <c r="BM30" s="6"/>
      <c r="BN30" s="6"/>
      <c r="BO30" s="6"/>
      <c r="BP30" s="6"/>
      <c r="BQ30" s="6"/>
      <c r="BR30" s="6"/>
      <c r="BS30" s="6"/>
      <c r="BT30" s="6"/>
      <c r="BU30" s="6"/>
      <c r="BV30" s="6"/>
      <c r="BW30" s="6"/>
      <c r="BX30" s="8">
        <f t="shared" si="0"/>
        <v>2</v>
      </c>
      <c r="BY30" s="8">
        <f t="shared" si="1"/>
        <v>38</v>
      </c>
      <c r="BZ30" s="52"/>
      <c r="CA30" s="52"/>
      <c r="CB30" s="52"/>
    </row>
    <row r="31" spans="1:80" s="27" customFormat="1">
      <c r="A31" s="5" t="s">
        <v>68</v>
      </c>
      <c r="B31" s="6"/>
      <c r="C31" s="6"/>
      <c r="D31" s="6"/>
      <c r="E31" s="6"/>
      <c r="F31" s="6"/>
      <c r="G31" s="6"/>
      <c r="H31" s="6"/>
      <c r="I31" s="6"/>
      <c r="J31" s="6">
        <v>2</v>
      </c>
      <c r="K31" s="6">
        <v>38</v>
      </c>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8">
        <f t="shared" si="0"/>
        <v>2</v>
      </c>
      <c r="BY31" s="8">
        <f t="shared" si="1"/>
        <v>38</v>
      </c>
      <c r="BZ31" s="52"/>
      <c r="CA31" s="52"/>
      <c r="CB31" s="52"/>
    </row>
    <row r="32" spans="1:80" s="27" customFormat="1">
      <c r="A32" s="5" t="s">
        <v>69</v>
      </c>
      <c r="B32" s="6"/>
      <c r="C32" s="6"/>
      <c r="D32" s="6"/>
      <c r="E32" s="6"/>
      <c r="F32" s="6"/>
      <c r="G32" s="6"/>
      <c r="H32" s="6"/>
      <c r="I32" s="6"/>
      <c r="J32" s="6">
        <v>1</v>
      </c>
      <c r="K32" s="6">
        <v>9</v>
      </c>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v>1</v>
      </c>
      <c r="BW32" s="6">
        <v>16</v>
      </c>
      <c r="BX32" s="8">
        <f t="shared" si="0"/>
        <v>2</v>
      </c>
      <c r="BY32" s="8">
        <f t="shared" si="1"/>
        <v>25</v>
      </c>
      <c r="BZ32" s="52"/>
      <c r="CA32" s="52"/>
      <c r="CB32" s="52"/>
    </row>
    <row r="33" spans="1:80" s="27" customFormat="1">
      <c r="A33" s="5" t="s">
        <v>177</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v>4</v>
      </c>
      <c r="BW33" s="6">
        <v>30</v>
      </c>
      <c r="BX33" s="8">
        <f t="shared" si="0"/>
        <v>4</v>
      </c>
      <c r="BY33" s="8">
        <f t="shared" si="1"/>
        <v>30</v>
      </c>
      <c r="BZ33" s="52"/>
      <c r="CA33" s="52"/>
      <c r="CB33" s="52"/>
    </row>
    <row r="34" spans="1:80" s="27" customFormat="1">
      <c r="A34" s="5" t="s">
        <v>71</v>
      </c>
      <c r="B34" s="6">
        <v>1</v>
      </c>
      <c r="C34" s="6">
        <v>120</v>
      </c>
      <c r="D34" s="6"/>
      <c r="E34" s="6"/>
      <c r="F34" s="6"/>
      <c r="G34" s="6"/>
      <c r="H34" s="6">
        <v>1</v>
      </c>
      <c r="I34" s="6">
        <v>936</v>
      </c>
      <c r="J34" s="6">
        <v>14</v>
      </c>
      <c r="K34" s="6">
        <v>212</v>
      </c>
      <c r="L34" s="6"/>
      <c r="M34" s="6"/>
      <c r="N34" s="6"/>
      <c r="O34" s="6"/>
      <c r="P34" s="6">
        <v>1</v>
      </c>
      <c r="Q34" s="6">
        <v>660</v>
      </c>
      <c r="R34" s="6">
        <v>1</v>
      </c>
      <c r="S34" s="6">
        <v>20</v>
      </c>
      <c r="T34" s="6"/>
      <c r="U34" s="6"/>
      <c r="V34" s="6">
        <v>9</v>
      </c>
      <c r="W34" s="6">
        <v>1866</v>
      </c>
      <c r="X34" s="6">
        <v>21</v>
      </c>
      <c r="Y34" s="6">
        <v>7086</v>
      </c>
      <c r="Z34" s="6"/>
      <c r="AA34" s="6"/>
      <c r="AB34" s="6">
        <v>4</v>
      </c>
      <c r="AC34" s="6">
        <v>1436</v>
      </c>
      <c r="AD34" s="6"/>
      <c r="AE34" s="6"/>
      <c r="AF34" s="6">
        <v>2</v>
      </c>
      <c r="AG34" s="6">
        <v>493</v>
      </c>
      <c r="AH34" s="6"/>
      <c r="AI34" s="6"/>
      <c r="AJ34" s="6"/>
      <c r="AK34" s="6"/>
      <c r="AL34" s="6"/>
      <c r="AM34" s="6"/>
      <c r="AN34" s="6">
        <v>1</v>
      </c>
      <c r="AO34" s="6">
        <v>346</v>
      </c>
      <c r="AP34" s="6"/>
      <c r="AQ34" s="6"/>
      <c r="AR34" s="6"/>
      <c r="AS34" s="6"/>
      <c r="AT34" s="6"/>
      <c r="AU34" s="6"/>
      <c r="AV34" s="6"/>
      <c r="AW34" s="6"/>
      <c r="AX34" s="6"/>
      <c r="AY34" s="6"/>
      <c r="AZ34" s="6"/>
      <c r="BA34" s="6"/>
      <c r="BB34" s="6"/>
      <c r="BC34" s="6"/>
      <c r="BD34" s="6"/>
      <c r="BE34" s="6"/>
      <c r="BF34" s="6">
        <v>1</v>
      </c>
      <c r="BG34" s="6">
        <v>4</v>
      </c>
      <c r="BH34" s="6">
        <v>3</v>
      </c>
      <c r="BI34" s="6">
        <v>161</v>
      </c>
      <c r="BJ34" s="6"/>
      <c r="BK34" s="6"/>
      <c r="BL34" s="6"/>
      <c r="BM34" s="6"/>
      <c r="BN34" s="6">
        <v>3</v>
      </c>
      <c r="BO34" s="6">
        <v>153</v>
      </c>
      <c r="BP34" s="6">
        <v>2</v>
      </c>
      <c r="BQ34" s="6">
        <v>80</v>
      </c>
      <c r="BR34" s="6"/>
      <c r="BS34" s="6"/>
      <c r="BT34" s="6"/>
      <c r="BU34" s="6"/>
      <c r="BV34" s="6"/>
      <c r="BW34" s="6"/>
      <c r="BX34" s="8">
        <f t="shared" si="0"/>
        <v>64</v>
      </c>
      <c r="BY34" s="8">
        <f t="shared" si="1"/>
        <v>13573</v>
      </c>
      <c r="BZ34" s="52"/>
      <c r="CA34" s="52"/>
      <c r="CB34" s="52"/>
    </row>
    <row r="35" spans="1:80" s="27" customFormat="1">
      <c r="A35" s="5" t="s">
        <v>72</v>
      </c>
      <c r="B35" s="6">
        <v>4</v>
      </c>
      <c r="C35" s="6">
        <v>901</v>
      </c>
      <c r="D35" s="6">
        <v>5</v>
      </c>
      <c r="E35" s="6">
        <v>479</v>
      </c>
      <c r="F35" s="6">
        <v>3</v>
      </c>
      <c r="G35" s="6">
        <v>123</v>
      </c>
      <c r="H35" s="6"/>
      <c r="I35" s="6"/>
      <c r="J35" s="6">
        <v>19</v>
      </c>
      <c r="K35" s="6">
        <v>289</v>
      </c>
      <c r="L35" s="6">
        <v>3</v>
      </c>
      <c r="M35" s="6">
        <v>94</v>
      </c>
      <c r="N35" s="6"/>
      <c r="O35" s="6"/>
      <c r="P35" s="6"/>
      <c r="Q35" s="6"/>
      <c r="R35" s="6"/>
      <c r="S35" s="6"/>
      <c r="T35" s="6">
        <v>1</v>
      </c>
      <c r="U35" s="6">
        <v>222</v>
      </c>
      <c r="V35" s="6">
        <v>2</v>
      </c>
      <c r="W35" s="6">
        <v>441</v>
      </c>
      <c r="X35" s="6">
        <v>14</v>
      </c>
      <c r="Y35" s="6">
        <v>5463</v>
      </c>
      <c r="Z35" s="6"/>
      <c r="AA35" s="6"/>
      <c r="AB35" s="6">
        <v>2</v>
      </c>
      <c r="AC35" s="6">
        <v>695</v>
      </c>
      <c r="AD35" s="6"/>
      <c r="AE35" s="6"/>
      <c r="AF35" s="6"/>
      <c r="AG35" s="6"/>
      <c r="AH35" s="6"/>
      <c r="AI35" s="6"/>
      <c r="AJ35" s="6"/>
      <c r="AK35" s="6"/>
      <c r="AL35" s="6"/>
      <c r="AM35" s="6"/>
      <c r="AN35" s="6">
        <v>4</v>
      </c>
      <c r="AO35" s="6">
        <v>2662</v>
      </c>
      <c r="AP35" s="6">
        <v>2</v>
      </c>
      <c r="AQ35" s="6">
        <v>2957</v>
      </c>
      <c r="AR35" s="6"/>
      <c r="AS35" s="6"/>
      <c r="AT35" s="6"/>
      <c r="AU35" s="6"/>
      <c r="AV35" s="6"/>
      <c r="AW35" s="6"/>
      <c r="AX35" s="6"/>
      <c r="AY35" s="6"/>
      <c r="AZ35" s="6"/>
      <c r="BA35" s="6"/>
      <c r="BB35" s="6"/>
      <c r="BC35" s="6"/>
      <c r="BD35" s="6"/>
      <c r="BE35" s="6"/>
      <c r="BF35" s="6">
        <v>3</v>
      </c>
      <c r="BG35" s="6">
        <v>104</v>
      </c>
      <c r="BH35" s="6">
        <v>1</v>
      </c>
      <c r="BI35" s="6">
        <v>111</v>
      </c>
      <c r="BJ35" s="6">
        <v>1</v>
      </c>
      <c r="BK35" s="6">
        <v>46</v>
      </c>
      <c r="BL35" s="6"/>
      <c r="BM35" s="6"/>
      <c r="BN35" s="6"/>
      <c r="BO35" s="6"/>
      <c r="BP35" s="6"/>
      <c r="BQ35" s="6"/>
      <c r="BR35" s="6"/>
      <c r="BS35" s="6"/>
      <c r="BT35" s="6"/>
      <c r="BU35" s="6"/>
      <c r="BV35" s="6"/>
      <c r="BW35" s="6"/>
      <c r="BX35" s="8">
        <f t="shared" si="0"/>
        <v>64</v>
      </c>
      <c r="BY35" s="8">
        <f t="shared" si="1"/>
        <v>14587</v>
      </c>
      <c r="BZ35" s="52"/>
      <c r="CA35" s="52"/>
      <c r="CB35" s="52"/>
    </row>
    <row r="36" spans="1:80" s="27" customFormat="1">
      <c r="A36" s="5" t="s">
        <v>73</v>
      </c>
      <c r="B36" s="6"/>
      <c r="C36" s="6"/>
      <c r="D36" s="6"/>
      <c r="E36" s="6"/>
      <c r="F36" s="6"/>
      <c r="G36" s="6"/>
      <c r="H36" s="6"/>
      <c r="I36" s="6"/>
      <c r="J36" s="6">
        <v>3</v>
      </c>
      <c r="K36" s="6">
        <v>22</v>
      </c>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v>1</v>
      </c>
      <c r="BW36" s="6">
        <v>16</v>
      </c>
      <c r="BX36" s="8">
        <f t="shared" si="0"/>
        <v>4</v>
      </c>
      <c r="BY36" s="8">
        <f t="shared" si="1"/>
        <v>38</v>
      </c>
      <c r="BZ36" s="52"/>
      <c r="CA36" s="52"/>
      <c r="CB36" s="52"/>
    </row>
    <row r="37" spans="1:80" s="27" customFormat="1">
      <c r="A37" s="5" t="s">
        <v>74</v>
      </c>
      <c r="B37" s="6"/>
      <c r="C37" s="6"/>
      <c r="D37" s="6"/>
      <c r="E37" s="6"/>
      <c r="F37" s="6"/>
      <c r="G37" s="6"/>
      <c r="H37" s="6"/>
      <c r="I37" s="6"/>
      <c r="J37" s="6">
        <v>1</v>
      </c>
      <c r="K37" s="6">
        <v>16</v>
      </c>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8">
        <f t="shared" si="0"/>
        <v>1</v>
      </c>
      <c r="BY37" s="8">
        <f t="shared" si="1"/>
        <v>16</v>
      </c>
      <c r="BZ37" s="52"/>
      <c r="CA37" s="52"/>
      <c r="CB37" s="52"/>
    </row>
    <row r="38" spans="1:80" s="27" customFormat="1">
      <c r="A38" s="5" t="s">
        <v>75</v>
      </c>
      <c r="B38" s="6"/>
      <c r="C38" s="6"/>
      <c r="D38" s="6"/>
      <c r="E38" s="6"/>
      <c r="F38" s="6"/>
      <c r="G38" s="6"/>
      <c r="H38" s="6"/>
      <c r="I38" s="6"/>
      <c r="J38" s="6">
        <v>3</v>
      </c>
      <c r="K38" s="6">
        <v>47</v>
      </c>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v>2</v>
      </c>
      <c r="BG38" s="6">
        <v>95</v>
      </c>
      <c r="BH38" s="6"/>
      <c r="BI38" s="6"/>
      <c r="BJ38" s="6"/>
      <c r="BK38" s="6"/>
      <c r="BL38" s="6"/>
      <c r="BM38" s="6"/>
      <c r="BN38" s="6"/>
      <c r="BO38" s="6"/>
      <c r="BP38" s="6"/>
      <c r="BQ38" s="6"/>
      <c r="BR38" s="6"/>
      <c r="BS38" s="6"/>
      <c r="BT38" s="6"/>
      <c r="BU38" s="6"/>
      <c r="BV38" s="6"/>
      <c r="BW38" s="6"/>
      <c r="BX38" s="8">
        <f t="shared" si="0"/>
        <v>5</v>
      </c>
      <c r="BY38" s="8">
        <f t="shared" si="1"/>
        <v>142</v>
      </c>
      <c r="BZ38" s="52"/>
      <c r="CA38" s="52"/>
      <c r="CB38" s="52"/>
    </row>
    <row r="39" spans="1:80" s="27" customFormat="1">
      <c r="A39" s="5" t="s">
        <v>76</v>
      </c>
      <c r="B39" s="6"/>
      <c r="C39" s="6"/>
      <c r="D39" s="6">
        <v>2</v>
      </c>
      <c r="E39" s="6">
        <v>426</v>
      </c>
      <c r="F39" s="6">
        <v>7</v>
      </c>
      <c r="G39" s="6">
        <v>1020</v>
      </c>
      <c r="H39" s="6"/>
      <c r="I39" s="6"/>
      <c r="J39" s="6"/>
      <c r="K39" s="6"/>
      <c r="L39" s="6"/>
      <c r="M39" s="6"/>
      <c r="N39" s="6">
        <v>1</v>
      </c>
      <c r="O39" s="6">
        <v>500</v>
      </c>
      <c r="P39" s="6"/>
      <c r="Q39" s="6"/>
      <c r="R39" s="6"/>
      <c r="S39" s="6"/>
      <c r="T39" s="6"/>
      <c r="U39" s="6"/>
      <c r="V39" s="6"/>
      <c r="W39" s="6"/>
      <c r="X39" s="6">
        <v>3</v>
      </c>
      <c r="Y39" s="6">
        <v>817</v>
      </c>
      <c r="Z39" s="6"/>
      <c r="AA39" s="6"/>
      <c r="AB39" s="6">
        <v>7</v>
      </c>
      <c r="AC39" s="6">
        <v>3893</v>
      </c>
      <c r="AD39" s="6"/>
      <c r="AE39" s="6"/>
      <c r="AF39" s="6">
        <v>2</v>
      </c>
      <c r="AG39" s="6">
        <v>549</v>
      </c>
      <c r="AH39" s="6"/>
      <c r="AI39" s="6"/>
      <c r="AJ39" s="6"/>
      <c r="AK39" s="6"/>
      <c r="AL39" s="6"/>
      <c r="AM39" s="6"/>
      <c r="AN39" s="6">
        <v>10</v>
      </c>
      <c r="AO39" s="6">
        <v>4809</v>
      </c>
      <c r="AP39" s="6">
        <v>8</v>
      </c>
      <c r="AQ39" s="6">
        <v>4496</v>
      </c>
      <c r="AR39" s="6">
        <v>1</v>
      </c>
      <c r="AS39" s="6">
        <v>544</v>
      </c>
      <c r="AT39" s="6"/>
      <c r="AU39" s="6"/>
      <c r="AV39" s="6"/>
      <c r="AW39" s="6"/>
      <c r="AX39" s="6"/>
      <c r="AY39" s="6"/>
      <c r="AZ39" s="6"/>
      <c r="BA39" s="6"/>
      <c r="BB39" s="6"/>
      <c r="BC39" s="6"/>
      <c r="BD39" s="6"/>
      <c r="BE39" s="6"/>
      <c r="BF39" s="6">
        <v>1</v>
      </c>
      <c r="BG39" s="6">
        <v>30</v>
      </c>
      <c r="BH39" s="6"/>
      <c r="BI39" s="6"/>
      <c r="BJ39" s="6"/>
      <c r="BK39" s="6"/>
      <c r="BL39" s="6"/>
      <c r="BM39" s="6"/>
      <c r="BN39" s="6"/>
      <c r="BO39" s="6"/>
      <c r="BP39" s="6"/>
      <c r="BQ39" s="6"/>
      <c r="BR39" s="6"/>
      <c r="BS39" s="6"/>
      <c r="BT39" s="6"/>
      <c r="BU39" s="6"/>
      <c r="BV39" s="6"/>
      <c r="BW39" s="6"/>
      <c r="BX39" s="8">
        <f t="shared" si="0"/>
        <v>42</v>
      </c>
      <c r="BY39" s="8">
        <f t="shared" si="1"/>
        <v>17084</v>
      </c>
      <c r="BZ39" s="52"/>
      <c r="CA39" s="52"/>
      <c r="CB39" s="52"/>
    </row>
    <row r="40" spans="1:80" s="27" customFormat="1">
      <c r="A40" s="5" t="s">
        <v>77</v>
      </c>
      <c r="B40" s="6">
        <v>5</v>
      </c>
      <c r="C40" s="6">
        <v>356</v>
      </c>
      <c r="D40" s="6">
        <v>6</v>
      </c>
      <c r="E40" s="6">
        <v>873</v>
      </c>
      <c r="F40" s="6">
        <v>6</v>
      </c>
      <c r="G40" s="6">
        <v>705</v>
      </c>
      <c r="H40" s="6"/>
      <c r="I40" s="6"/>
      <c r="J40" s="6"/>
      <c r="K40" s="6"/>
      <c r="L40" s="6">
        <v>5</v>
      </c>
      <c r="M40" s="6">
        <v>181</v>
      </c>
      <c r="N40" s="6"/>
      <c r="O40" s="6"/>
      <c r="P40" s="6"/>
      <c r="Q40" s="6"/>
      <c r="R40" s="6">
        <v>1</v>
      </c>
      <c r="S40" s="6">
        <v>12</v>
      </c>
      <c r="T40" s="6">
        <v>7</v>
      </c>
      <c r="U40" s="6">
        <v>545</v>
      </c>
      <c r="V40" s="6">
        <v>14</v>
      </c>
      <c r="W40" s="6">
        <v>1880</v>
      </c>
      <c r="X40" s="6">
        <v>58</v>
      </c>
      <c r="Y40" s="6">
        <v>16565</v>
      </c>
      <c r="Z40" s="6">
        <v>1</v>
      </c>
      <c r="AA40" s="6">
        <v>500</v>
      </c>
      <c r="AB40" s="6">
        <v>46</v>
      </c>
      <c r="AC40" s="6">
        <v>11839</v>
      </c>
      <c r="AD40" s="6">
        <v>3</v>
      </c>
      <c r="AE40" s="6">
        <v>840</v>
      </c>
      <c r="AF40" s="6">
        <v>5</v>
      </c>
      <c r="AG40" s="6">
        <v>836</v>
      </c>
      <c r="AH40" s="6">
        <v>2</v>
      </c>
      <c r="AI40" s="6">
        <v>637</v>
      </c>
      <c r="AJ40" s="6"/>
      <c r="AK40" s="6"/>
      <c r="AL40" s="6">
        <v>3</v>
      </c>
      <c r="AM40" s="6">
        <v>373</v>
      </c>
      <c r="AN40" s="6">
        <v>6</v>
      </c>
      <c r="AO40" s="6">
        <v>1882</v>
      </c>
      <c r="AP40" s="6">
        <v>4</v>
      </c>
      <c r="AQ40" s="6">
        <v>2209</v>
      </c>
      <c r="AR40" s="6">
        <v>1</v>
      </c>
      <c r="AS40" s="6">
        <v>266</v>
      </c>
      <c r="AT40" s="6"/>
      <c r="AU40" s="6"/>
      <c r="AV40" s="6">
        <v>1</v>
      </c>
      <c r="AW40" s="6">
        <v>19</v>
      </c>
      <c r="AX40" s="6">
        <v>1</v>
      </c>
      <c r="AY40" s="6">
        <v>67</v>
      </c>
      <c r="AZ40" s="6">
        <v>2</v>
      </c>
      <c r="BA40" s="6">
        <v>239</v>
      </c>
      <c r="BB40" s="6"/>
      <c r="BC40" s="6"/>
      <c r="BD40" s="6"/>
      <c r="BE40" s="6"/>
      <c r="BF40" s="6">
        <v>1</v>
      </c>
      <c r="BG40" s="6">
        <v>41</v>
      </c>
      <c r="BH40" s="6">
        <v>5</v>
      </c>
      <c r="BI40" s="6">
        <v>185</v>
      </c>
      <c r="BJ40" s="6">
        <v>5</v>
      </c>
      <c r="BK40" s="6">
        <v>389</v>
      </c>
      <c r="BL40" s="6"/>
      <c r="BM40" s="6"/>
      <c r="BN40" s="6">
        <v>20</v>
      </c>
      <c r="BO40" s="6">
        <v>833</v>
      </c>
      <c r="BP40" s="6">
        <v>9</v>
      </c>
      <c r="BQ40" s="6">
        <v>427</v>
      </c>
      <c r="BR40" s="6"/>
      <c r="BS40" s="6"/>
      <c r="BT40" s="6"/>
      <c r="BU40" s="6"/>
      <c r="BV40" s="6">
        <v>5</v>
      </c>
      <c r="BW40" s="6">
        <v>92</v>
      </c>
      <c r="BX40" s="8">
        <f t="shared" si="0"/>
        <v>222</v>
      </c>
      <c r="BY40" s="8">
        <f t="shared" si="1"/>
        <v>42791</v>
      </c>
      <c r="BZ40" s="52"/>
      <c r="CA40" s="52"/>
      <c r="CB40" s="52"/>
    </row>
    <row r="41" spans="1:80" s="27" customFormat="1">
      <c r="A41" s="5" t="s">
        <v>78</v>
      </c>
      <c r="B41" s="6"/>
      <c r="C41" s="6"/>
      <c r="D41" s="6"/>
      <c r="E41" s="6"/>
      <c r="F41" s="6"/>
      <c r="G41" s="6"/>
      <c r="H41" s="6"/>
      <c r="I41" s="6"/>
      <c r="J41" s="6">
        <v>3</v>
      </c>
      <c r="K41" s="6">
        <v>40</v>
      </c>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v>1</v>
      </c>
      <c r="BW41" s="6">
        <v>6</v>
      </c>
      <c r="BX41" s="8">
        <f t="shared" si="0"/>
        <v>4</v>
      </c>
      <c r="BY41" s="8">
        <f t="shared" si="1"/>
        <v>46</v>
      </c>
      <c r="BZ41" s="52"/>
      <c r="CA41" s="52"/>
      <c r="CB41" s="52"/>
    </row>
    <row r="42" spans="1:80" s="27" customFormat="1">
      <c r="A42" s="5" t="s">
        <v>178</v>
      </c>
      <c r="B42" s="6"/>
      <c r="C42" s="6"/>
      <c r="D42" s="6"/>
      <c r="E42" s="6"/>
      <c r="F42" s="6"/>
      <c r="G42" s="6"/>
      <c r="H42" s="6"/>
      <c r="I42" s="6"/>
      <c r="J42" s="6">
        <v>2</v>
      </c>
      <c r="K42" s="6">
        <v>28</v>
      </c>
      <c r="L42" s="6"/>
      <c r="M42" s="6"/>
      <c r="N42" s="6"/>
      <c r="O42" s="6"/>
      <c r="P42" s="6"/>
      <c r="Q42" s="6"/>
      <c r="R42" s="6">
        <v>1</v>
      </c>
      <c r="S42" s="6">
        <v>11</v>
      </c>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8">
        <f t="shared" si="0"/>
        <v>3</v>
      </c>
      <c r="BY42" s="8">
        <f t="shared" si="1"/>
        <v>39</v>
      </c>
      <c r="BZ42" s="52"/>
      <c r="CA42" s="52"/>
      <c r="CB42" s="52"/>
    </row>
    <row r="43" spans="1:80" s="27" customFormat="1">
      <c r="A43" s="5" t="s">
        <v>79</v>
      </c>
      <c r="B43" s="6">
        <v>8</v>
      </c>
      <c r="C43" s="6">
        <v>363</v>
      </c>
      <c r="D43" s="6">
        <v>9</v>
      </c>
      <c r="E43" s="6">
        <v>564</v>
      </c>
      <c r="F43" s="6">
        <v>14</v>
      </c>
      <c r="G43" s="6">
        <v>1448</v>
      </c>
      <c r="H43" s="6"/>
      <c r="I43" s="6"/>
      <c r="J43" s="6">
        <v>6</v>
      </c>
      <c r="K43" s="6">
        <v>86</v>
      </c>
      <c r="L43" s="6"/>
      <c r="M43" s="6"/>
      <c r="N43" s="6"/>
      <c r="O43" s="6"/>
      <c r="P43" s="6"/>
      <c r="Q43" s="6"/>
      <c r="R43" s="6"/>
      <c r="S43" s="6"/>
      <c r="T43" s="6">
        <v>1</v>
      </c>
      <c r="U43" s="6">
        <v>47</v>
      </c>
      <c r="V43" s="6">
        <v>2</v>
      </c>
      <c r="W43" s="6">
        <v>190</v>
      </c>
      <c r="X43" s="6">
        <v>7</v>
      </c>
      <c r="Y43" s="6">
        <v>1360</v>
      </c>
      <c r="Z43" s="6"/>
      <c r="AA43" s="6"/>
      <c r="AB43" s="6">
        <v>4</v>
      </c>
      <c r="AC43" s="6">
        <v>625</v>
      </c>
      <c r="AD43" s="6">
        <v>1</v>
      </c>
      <c r="AE43" s="6">
        <v>229</v>
      </c>
      <c r="AF43" s="6">
        <v>3</v>
      </c>
      <c r="AG43" s="6">
        <v>329</v>
      </c>
      <c r="AH43" s="6"/>
      <c r="AI43" s="6"/>
      <c r="AJ43" s="6"/>
      <c r="AK43" s="6"/>
      <c r="AL43" s="6"/>
      <c r="AM43" s="6"/>
      <c r="AN43" s="6">
        <v>2</v>
      </c>
      <c r="AO43" s="6">
        <v>488</v>
      </c>
      <c r="AP43" s="6">
        <v>4</v>
      </c>
      <c r="AQ43" s="6">
        <v>849</v>
      </c>
      <c r="AR43" s="6"/>
      <c r="AS43" s="6"/>
      <c r="AT43" s="6"/>
      <c r="AU43" s="6"/>
      <c r="AV43" s="6">
        <v>1</v>
      </c>
      <c r="AW43" s="6">
        <v>39</v>
      </c>
      <c r="AX43" s="6"/>
      <c r="AY43" s="6"/>
      <c r="AZ43" s="6">
        <v>1</v>
      </c>
      <c r="BA43" s="6">
        <v>12</v>
      </c>
      <c r="BB43" s="6"/>
      <c r="BC43" s="6"/>
      <c r="BD43" s="6"/>
      <c r="BE43" s="6"/>
      <c r="BF43" s="6"/>
      <c r="BG43" s="6"/>
      <c r="BH43" s="6">
        <v>1</v>
      </c>
      <c r="BI43" s="6">
        <v>60</v>
      </c>
      <c r="BJ43" s="6">
        <v>2</v>
      </c>
      <c r="BK43" s="6">
        <v>78</v>
      </c>
      <c r="BL43" s="6"/>
      <c r="BM43" s="6"/>
      <c r="BN43" s="6">
        <v>1</v>
      </c>
      <c r="BO43" s="6">
        <v>48</v>
      </c>
      <c r="BP43" s="6">
        <v>3</v>
      </c>
      <c r="BQ43" s="6">
        <v>167</v>
      </c>
      <c r="BR43" s="6"/>
      <c r="BS43" s="6"/>
      <c r="BT43" s="6">
        <v>1</v>
      </c>
      <c r="BU43" s="6">
        <v>23</v>
      </c>
      <c r="BV43" s="6">
        <v>5</v>
      </c>
      <c r="BW43" s="6">
        <v>72</v>
      </c>
      <c r="BX43" s="8">
        <f t="shared" si="0"/>
        <v>76</v>
      </c>
      <c r="BY43" s="8">
        <f t="shared" si="1"/>
        <v>7077</v>
      </c>
      <c r="BZ43" s="52"/>
      <c r="CA43" s="52"/>
      <c r="CB43" s="52"/>
    </row>
    <row r="44" spans="1:80" s="27" customFormat="1">
      <c r="A44" s="5" t="s">
        <v>80</v>
      </c>
      <c r="B44" s="6"/>
      <c r="C44" s="6"/>
      <c r="D44" s="6"/>
      <c r="E44" s="6"/>
      <c r="F44" s="6"/>
      <c r="G44" s="6"/>
      <c r="H44" s="6"/>
      <c r="I44" s="6"/>
      <c r="J44" s="6">
        <v>4</v>
      </c>
      <c r="K44" s="6">
        <v>68</v>
      </c>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v>2</v>
      </c>
      <c r="BG44" s="6">
        <v>116</v>
      </c>
      <c r="BH44" s="6"/>
      <c r="BI44" s="6"/>
      <c r="BJ44" s="6"/>
      <c r="BK44" s="6"/>
      <c r="BL44" s="6"/>
      <c r="BM44" s="6"/>
      <c r="BN44" s="6"/>
      <c r="BO44" s="6"/>
      <c r="BP44" s="6"/>
      <c r="BQ44" s="6"/>
      <c r="BR44" s="6"/>
      <c r="BS44" s="6"/>
      <c r="BT44" s="6"/>
      <c r="BU44" s="6"/>
      <c r="BV44" s="6"/>
      <c r="BW44" s="6"/>
      <c r="BX44" s="8">
        <f t="shared" si="0"/>
        <v>6</v>
      </c>
      <c r="BY44" s="8">
        <f t="shared" si="1"/>
        <v>184</v>
      </c>
      <c r="BZ44" s="52"/>
      <c r="CA44" s="52"/>
      <c r="CB44" s="52"/>
    </row>
    <row r="45" spans="1:80" s="27" customFormat="1">
      <c r="A45" s="5" t="s">
        <v>81</v>
      </c>
      <c r="B45" s="6"/>
      <c r="C45" s="6"/>
      <c r="D45" s="6"/>
      <c r="E45" s="6"/>
      <c r="F45" s="6">
        <v>1</v>
      </c>
      <c r="G45" s="6">
        <v>25</v>
      </c>
      <c r="H45" s="6"/>
      <c r="I45" s="6"/>
      <c r="J45" s="6">
        <v>2</v>
      </c>
      <c r="K45" s="6">
        <v>26</v>
      </c>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v>2</v>
      </c>
      <c r="BG45" s="6">
        <v>96</v>
      </c>
      <c r="BH45" s="6"/>
      <c r="BI45" s="6"/>
      <c r="BJ45" s="6"/>
      <c r="BK45" s="6"/>
      <c r="BL45" s="6"/>
      <c r="BM45" s="6"/>
      <c r="BN45" s="6"/>
      <c r="BO45" s="6"/>
      <c r="BP45" s="6"/>
      <c r="BQ45" s="6"/>
      <c r="BR45" s="6"/>
      <c r="BS45" s="6"/>
      <c r="BT45" s="6"/>
      <c r="BU45" s="6"/>
      <c r="BV45" s="6"/>
      <c r="BW45" s="6"/>
      <c r="BX45" s="8">
        <f t="shared" si="0"/>
        <v>5</v>
      </c>
      <c r="BY45" s="8">
        <f t="shared" si="1"/>
        <v>147</v>
      </c>
      <c r="BZ45" s="52"/>
      <c r="CA45" s="52"/>
      <c r="CB45" s="52"/>
    </row>
    <row r="46" spans="1:80" s="27" customFormat="1">
      <c r="A46" s="5" t="s">
        <v>179</v>
      </c>
      <c r="B46" s="6">
        <v>6</v>
      </c>
      <c r="C46" s="6">
        <v>210</v>
      </c>
      <c r="D46" s="6">
        <v>2</v>
      </c>
      <c r="E46" s="6">
        <v>72</v>
      </c>
      <c r="F46" s="6">
        <v>3</v>
      </c>
      <c r="G46" s="6">
        <v>104</v>
      </c>
      <c r="H46" s="6">
        <v>1</v>
      </c>
      <c r="I46" s="6">
        <v>24</v>
      </c>
      <c r="J46" s="6">
        <v>3</v>
      </c>
      <c r="K46" s="6">
        <v>36</v>
      </c>
      <c r="L46" s="6"/>
      <c r="M46" s="6"/>
      <c r="N46" s="6"/>
      <c r="O46" s="6"/>
      <c r="P46" s="6"/>
      <c r="Q46" s="6"/>
      <c r="R46" s="6"/>
      <c r="S46" s="6"/>
      <c r="T46" s="6"/>
      <c r="U46" s="6"/>
      <c r="V46" s="6"/>
      <c r="W46" s="6"/>
      <c r="X46" s="6">
        <v>6</v>
      </c>
      <c r="Y46" s="6">
        <v>1293</v>
      </c>
      <c r="Z46" s="6"/>
      <c r="AA46" s="6"/>
      <c r="AB46" s="6">
        <v>5</v>
      </c>
      <c r="AC46" s="6">
        <v>1581</v>
      </c>
      <c r="AD46" s="6">
        <v>3</v>
      </c>
      <c r="AE46" s="6">
        <v>392</v>
      </c>
      <c r="AF46" s="6"/>
      <c r="AG46" s="6"/>
      <c r="AH46" s="6"/>
      <c r="AI46" s="6"/>
      <c r="AJ46" s="6"/>
      <c r="AK46" s="6"/>
      <c r="AL46" s="6"/>
      <c r="AM46" s="6"/>
      <c r="AN46" s="6"/>
      <c r="AO46" s="6"/>
      <c r="AP46" s="6">
        <v>1</v>
      </c>
      <c r="AQ46" s="6">
        <v>156</v>
      </c>
      <c r="AR46" s="6"/>
      <c r="AS46" s="6"/>
      <c r="AT46" s="6"/>
      <c r="AU46" s="6"/>
      <c r="AV46" s="6"/>
      <c r="AW46" s="6"/>
      <c r="AX46" s="6"/>
      <c r="AY46" s="6"/>
      <c r="AZ46" s="6"/>
      <c r="BA46" s="6"/>
      <c r="BB46" s="6"/>
      <c r="BC46" s="6"/>
      <c r="BD46" s="6"/>
      <c r="BE46" s="6"/>
      <c r="BF46" s="6">
        <v>1</v>
      </c>
      <c r="BG46" s="6">
        <v>18</v>
      </c>
      <c r="BH46" s="6">
        <v>3</v>
      </c>
      <c r="BI46" s="6">
        <v>79</v>
      </c>
      <c r="BJ46" s="6">
        <v>1</v>
      </c>
      <c r="BK46" s="6">
        <v>15</v>
      </c>
      <c r="BL46" s="6"/>
      <c r="BM46" s="6"/>
      <c r="BN46" s="6"/>
      <c r="BO46" s="6"/>
      <c r="BP46" s="6"/>
      <c r="BQ46" s="6"/>
      <c r="BR46" s="6"/>
      <c r="BS46" s="6"/>
      <c r="BT46" s="6"/>
      <c r="BU46" s="6"/>
      <c r="BV46" s="6"/>
      <c r="BW46" s="6"/>
      <c r="BX46" s="8">
        <f t="shared" si="0"/>
        <v>35</v>
      </c>
      <c r="BY46" s="8">
        <f t="shared" si="1"/>
        <v>3980</v>
      </c>
      <c r="BZ46" s="52"/>
      <c r="CA46" s="52"/>
      <c r="CB46" s="52"/>
    </row>
    <row r="47" spans="1:80" s="27" customFormat="1">
      <c r="A47" s="5" t="s">
        <v>180</v>
      </c>
      <c r="B47" s="6">
        <v>4</v>
      </c>
      <c r="C47" s="6">
        <v>384</v>
      </c>
      <c r="D47" s="6">
        <v>5</v>
      </c>
      <c r="E47" s="6">
        <v>355</v>
      </c>
      <c r="F47" s="6">
        <v>8</v>
      </c>
      <c r="G47" s="6">
        <v>870</v>
      </c>
      <c r="H47" s="6">
        <v>1</v>
      </c>
      <c r="I47" s="6">
        <v>184</v>
      </c>
      <c r="J47" s="6">
        <v>4</v>
      </c>
      <c r="K47" s="6">
        <v>74</v>
      </c>
      <c r="L47" s="6">
        <v>3</v>
      </c>
      <c r="M47" s="6">
        <v>128</v>
      </c>
      <c r="N47" s="6"/>
      <c r="O47" s="6"/>
      <c r="P47" s="6"/>
      <c r="Q47" s="6"/>
      <c r="R47" s="6"/>
      <c r="S47" s="6"/>
      <c r="T47" s="6">
        <v>1</v>
      </c>
      <c r="U47" s="6">
        <v>177</v>
      </c>
      <c r="V47" s="6">
        <v>2</v>
      </c>
      <c r="W47" s="6">
        <v>514</v>
      </c>
      <c r="X47" s="6">
        <v>11</v>
      </c>
      <c r="Y47" s="6">
        <v>2440</v>
      </c>
      <c r="Z47" s="6"/>
      <c r="AA47" s="6"/>
      <c r="AB47" s="6">
        <v>18</v>
      </c>
      <c r="AC47" s="6">
        <v>6754</v>
      </c>
      <c r="AD47" s="6"/>
      <c r="AE47" s="6"/>
      <c r="AF47" s="6">
        <v>3</v>
      </c>
      <c r="AG47" s="6">
        <v>1042</v>
      </c>
      <c r="AH47" s="6"/>
      <c r="AI47" s="6"/>
      <c r="AJ47" s="6"/>
      <c r="AK47" s="6"/>
      <c r="AL47" s="6"/>
      <c r="AM47" s="6"/>
      <c r="AN47" s="6">
        <v>10</v>
      </c>
      <c r="AO47" s="6">
        <v>4875</v>
      </c>
      <c r="AP47" s="6">
        <v>12</v>
      </c>
      <c r="AQ47" s="6">
        <v>6288</v>
      </c>
      <c r="AR47" s="6">
        <v>1</v>
      </c>
      <c r="AS47" s="6">
        <v>518</v>
      </c>
      <c r="AT47" s="6"/>
      <c r="AU47" s="6"/>
      <c r="AV47" s="6">
        <v>1</v>
      </c>
      <c r="AW47" s="6">
        <v>45</v>
      </c>
      <c r="AX47" s="6">
        <v>1</v>
      </c>
      <c r="AY47" s="6">
        <v>25</v>
      </c>
      <c r="AZ47" s="6"/>
      <c r="BA47" s="6"/>
      <c r="BB47" s="6"/>
      <c r="BC47" s="6"/>
      <c r="BD47" s="6"/>
      <c r="BE47" s="6"/>
      <c r="BF47" s="6">
        <v>1</v>
      </c>
      <c r="BG47" s="6">
        <v>44</v>
      </c>
      <c r="BH47" s="6"/>
      <c r="BI47" s="6"/>
      <c r="BJ47" s="6">
        <v>2</v>
      </c>
      <c r="BK47" s="6">
        <v>94</v>
      </c>
      <c r="BL47" s="6"/>
      <c r="BM47" s="6"/>
      <c r="BN47" s="6">
        <v>1</v>
      </c>
      <c r="BO47" s="6">
        <v>34</v>
      </c>
      <c r="BP47" s="6">
        <v>1</v>
      </c>
      <c r="BQ47" s="6">
        <v>42</v>
      </c>
      <c r="BR47" s="6"/>
      <c r="BS47" s="6"/>
      <c r="BT47" s="6"/>
      <c r="BU47" s="6"/>
      <c r="BV47" s="6"/>
      <c r="BW47" s="6"/>
      <c r="BX47" s="8">
        <f t="shared" si="0"/>
        <v>90</v>
      </c>
      <c r="BY47" s="8">
        <f t="shared" si="1"/>
        <v>24887</v>
      </c>
      <c r="BZ47" s="52"/>
      <c r="CA47" s="52"/>
      <c r="CB47" s="52"/>
    </row>
    <row r="48" spans="1:80" s="27" customFormat="1">
      <c r="A48" s="5" t="s">
        <v>84</v>
      </c>
      <c r="B48" s="6"/>
      <c r="C48" s="6"/>
      <c r="D48" s="6"/>
      <c r="E48" s="6"/>
      <c r="F48" s="6"/>
      <c r="G48" s="6"/>
      <c r="H48" s="6"/>
      <c r="I48" s="6"/>
      <c r="J48" s="6">
        <v>1</v>
      </c>
      <c r="K48" s="6">
        <v>10</v>
      </c>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8">
        <f t="shared" si="0"/>
        <v>1</v>
      </c>
      <c r="BY48" s="8">
        <f t="shared" si="1"/>
        <v>10</v>
      </c>
      <c r="BZ48" s="52"/>
      <c r="CA48" s="52"/>
      <c r="CB48" s="52"/>
    </row>
    <row r="49" spans="1:80" s="27" customFormat="1">
      <c r="A49" s="5" t="s">
        <v>85</v>
      </c>
      <c r="B49" s="6">
        <v>4</v>
      </c>
      <c r="C49" s="6">
        <v>222</v>
      </c>
      <c r="D49" s="6">
        <v>6</v>
      </c>
      <c r="E49" s="6">
        <v>285</v>
      </c>
      <c r="F49" s="6"/>
      <c r="G49" s="6"/>
      <c r="H49" s="6"/>
      <c r="I49" s="6"/>
      <c r="J49" s="6">
        <v>5</v>
      </c>
      <c r="K49" s="6">
        <v>84</v>
      </c>
      <c r="L49" s="6"/>
      <c r="M49" s="6"/>
      <c r="N49" s="6"/>
      <c r="O49" s="6"/>
      <c r="P49" s="6"/>
      <c r="Q49" s="6"/>
      <c r="R49" s="6"/>
      <c r="S49" s="6"/>
      <c r="T49" s="6">
        <v>2</v>
      </c>
      <c r="U49" s="6">
        <v>276</v>
      </c>
      <c r="V49" s="6">
        <v>1</v>
      </c>
      <c r="W49" s="6">
        <v>154</v>
      </c>
      <c r="X49" s="6">
        <v>18</v>
      </c>
      <c r="Y49" s="6">
        <v>6029</v>
      </c>
      <c r="Z49" s="6"/>
      <c r="AA49" s="6"/>
      <c r="AB49" s="6">
        <v>2</v>
      </c>
      <c r="AC49" s="6">
        <v>875</v>
      </c>
      <c r="AD49" s="6"/>
      <c r="AE49" s="6"/>
      <c r="AF49" s="6"/>
      <c r="AG49" s="6"/>
      <c r="AH49" s="6"/>
      <c r="AI49" s="6"/>
      <c r="AJ49" s="6"/>
      <c r="AK49" s="6"/>
      <c r="AL49" s="6"/>
      <c r="AM49" s="6"/>
      <c r="AN49" s="6">
        <v>5</v>
      </c>
      <c r="AO49" s="6">
        <v>656</v>
      </c>
      <c r="AP49" s="6">
        <v>10</v>
      </c>
      <c r="AQ49" s="6">
        <v>4228</v>
      </c>
      <c r="AR49" s="6"/>
      <c r="AS49" s="6"/>
      <c r="AT49" s="6"/>
      <c r="AU49" s="6"/>
      <c r="AV49" s="6"/>
      <c r="AW49" s="6"/>
      <c r="AX49" s="6"/>
      <c r="AY49" s="6"/>
      <c r="AZ49" s="6"/>
      <c r="BA49" s="6"/>
      <c r="BB49" s="6"/>
      <c r="BC49" s="6"/>
      <c r="BD49" s="6"/>
      <c r="BE49" s="6"/>
      <c r="BF49" s="6">
        <v>1</v>
      </c>
      <c r="BG49" s="6">
        <v>50</v>
      </c>
      <c r="BH49" s="6">
        <v>1</v>
      </c>
      <c r="BI49" s="6">
        <v>69</v>
      </c>
      <c r="BJ49" s="6">
        <v>1</v>
      </c>
      <c r="BK49" s="6">
        <v>68</v>
      </c>
      <c r="BL49" s="6">
        <v>1</v>
      </c>
      <c r="BM49" s="6">
        <v>142</v>
      </c>
      <c r="BN49" s="6">
        <v>2</v>
      </c>
      <c r="BO49" s="6">
        <v>64</v>
      </c>
      <c r="BP49" s="6"/>
      <c r="BQ49" s="6"/>
      <c r="BR49" s="6"/>
      <c r="BS49" s="6"/>
      <c r="BT49" s="6"/>
      <c r="BU49" s="6"/>
      <c r="BV49" s="6"/>
      <c r="BW49" s="6"/>
      <c r="BX49" s="8">
        <f t="shared" si="0"/>
        <v>59</v>
      </c>
      <c r="BY49" s="8">
        <f t="shared" si="1"/>
        <v>13202</v>
      </c>
      <c r="BZ49" s="52"/>
      <c r="CA49" s="52"/>
      <c r="CB49" s="52"/>
    </row>
    <row r="50" spans="1:80" s="27" customFormat="1">
      <c r="A50" s="5" t="s">
        <v>86</v>
      </c>
      <c r="B50" s="6"/>
      <c r="C50" s="6"/>
      <c r="D50" s="6"/>
      <c r="E50" s="6"/>
      <c r="F50" s="6"/>
      <c r="G50" s="6"/>
      <c r="H50" s="6"/>
      <c r="I50" s="6"/>
      <c r="J50" s="6">
        <v>2</v>
      </c>
      <c r="K50" s="6">
        <v>22</v>
      </c>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v>1</v>
      </c>
      <c r="BG50" s="6">
        <v>41</v>
      </c>
      <c r="BH50" s="6"/>
      <c r="BI50" s="6"/>
      <c r="BJ50" s="6"/>
      <c r="BK50" s="6"/>
      <c r="BL50" s="6"/>
      <c r="BM50" s="6"/>
      <c r="BN50" s="6"/>
      <c r="BO50" s="6"/>
      <c r="BP50" s="6"/>
      <c r="BQ50" s="6"/>
      <c r="BR50" s="6"/>
      <c r="BS50" s="6"/>
      <c r="BT50" s="6"/>
      <c r="BU50" s="6"/>
      <c r="BV50" s="6"/>
      <c r="BW50" s="6"/>
      <c r="BX50" s="8">
        <f t="shared" si="0"/>
        <v>3</v>
      </c>
      <c r="BY50" s="8">
        <f t="shared" si="1"/>
        <v>63</v>
      </c>
      <c r="BZ50" s="52"/>
      <c r="CA50" s="52"/>
      <c r="CB50" s="52"/>
    </row>
    <row r="51" spans="1:80" s="27" customFormat="1">
      <c r="A51" s="5" t="s">
        <v>87</v>
      </c>
      <c r="B51" s="6">
        <v>10</v>
      </c>
      <c r="C51" s="6">
        <v>212</v>
      </c>
      <c r="D51" s="6">
        <v>18</v>
      </c>
      <c r="E51" s="6">
        <v>2139</v>
      </c>
      <c r="F51" s="6">
        <v>10</v>
      </c>
      <c r="G51" s="6">
        <v>1471</v>
      </c>
      <c r="H51" s="6"/>
      <c r="I51" s="6"/>
      <c r="J51" s="6">
        <v>4</v>
      </c>
      <c r="K51" s="6">
        <v>56</v>
      </c>
      <c r="L51" s="6">
        <v>3</v>
      </c>
      <c r="M51" s="6">
        <v>80</v>
      </c>
      <c r="N51" s="6"/>
      <c r="O51" s="6"/>
      <c r="P51" s="6"/>
      <c r="Q51" s="6"/>
      <c r="R51" s="6">
        <v>2</v>
      </c>
      <c r="S51" s="6">
        <v>70</v>
      </c>
      <c r="T51" s="6">
        <v>1</v>
      </c>
      <c r="U51" s="6">
        <v>76</v>
      </c>
      <c r="V51" s="6">
        <v>3</v>
      </c>
      <c r="W51" s="6">
        <v>268</v>
      </c>
      <c r="X51" s="6">
        <v>11</v>
      </c>
      <c r="Y51" s="6">
        <v>2920</v>
      </c>
      <c r="Z51" s="6"/>
      <c r="AA51" s="6"/>
      <c r="AB51" s="6">
        <v>6</v>
      </c>
      <c r="AC51" s="6">
        <v>1208</v>
      </c>
      <c r="AD51" s="6"/>
      <c r="AE51" s="6"/>
      <c r="AF51" s="6">
        <v>1</v>
      </c>
      <c r="AG51" s="6">
        <v>759</v>
      </c>
      <c r="AH51" s="6"/>
      <c r="AI51" s="6"/>
      <c r="AJ51" s="6"/>
      <c r="AK51" s="6"/>
      <c r="AL51" s="6">
        <v>1</v>
      </c>
      <c r="AM51" s="6">
        <v>93</v>
      </c>
      <c r="AN51" s="6">
        <v>10</v>
      </c>
      <c r="AO51" s="6">
        <v>5111</v>
      </c>
      <c r="AP51" s="6">
        <v>3</v>
      </c>
      <c r="AQ51" s="6">
        <v>1164</v>
      </c>
      <c r="AR51" s="6"/>
      <c r="AS51" s="6"/>
      <c r="AT51" s="6">
        <v>1</v>
      </c>
      <c r="AU51" s="6">
        <v>94</v>
      </c>
      <c r="AV51" s="6"/>
      <c r="AW51" s="6"/>
      <c r="AX51" s="6"/>
      <c r="AY51" s="6"/>
      <c r="AZ51" s="6"/>
      <c r="BA51" s="6"/>
      <c r="BB51" s="6"/>
      <c r="BC51" s="6"/>
      <c r="BD51" s="6"/>
      <c r="BE51" s="6"/>
      <c r="BF51" s="6"/>
      <c r="BG51" s="6"/>
      <c r="BH51" s="6">
        <v>8</v>
      </c>
      <c r="BI51" s="6">
        <v>325</v>
      </c>
      <c r="BJ51" s="6">
        <v>5</v>
      </c>
      <c r="BK51" s="6">
        <v>274</v>
      </c>
      <c r="BL51" s="6"/>
      <c r="BM51" s="6"/>
      <c r="BN51" s="6">
        <v>6</v>
      </c>
      <c r="BO51" s="6">
        <v>257</v>
      </c>
      <c r="BP51" s="6">
        <v>5</v>
      </c>
      <c r="BQ51" s="6">
        <v>119</v>
      </c>
      <c r="BR51" s="6"/>
      <c r="BS51" s="6"/>
      <c r="BT51" s="6"/>
      <c r="BU51" s="6"/>
      <c r="BV51" s="6">
        <v>3</v>
      </c>
      <c r="BW51" s="6">
        <v>41</v>
      </c>
      <c r="BX51" s="8">
        <f t="shared" si="0"/>
        <v>111</v>
      </c>
      <c r="BY51" s="8">
        <f t="shared" si="1"/>
        <v>16737</v>
      </c>
      <c r="BZ51" s="52"/>
      <c r="CA51" s="52"/>
      <c r="CB51" s="52"/>
    </row>
    <row r="52" spans="1:80" s="27" customFormat="1">
      <c r="A52" s="5" t="s">
        <v>88</v>
      </c>
      <c r="B52" s="6"/>
      <c r="C52" s="6"/>
      <c r="D52" s="6"/>
      <c r="E52" s="6"/>
      <c r="F52" s="6"/>
      <c r="G52" s="6"/>
      <c r="H52" s="6"/>
      <c r="I52" s="6"/>
      <c r="J52" s="6">
        <v>6</v>
      </c>
      <c r="K52" s="6">
        <v>124</v>
      </c>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v>6</v>
      </c>
      <c r="BW52" s="6">
        <v>78</v>
      </c>
      <c r="BX52" s="8">
        <f t="shared" si="0"/>
        <v>12</v>
      </c>
      <c r="BY52" s="8">
        <f t="shared" si="1"/>
        <v>202</v>
      </c>
      <c r="BZ52" s="52"/>
      <c r="CA52" s="52"/>
      <c r="CB52" s="52"/>
    </row>
    <row r="53" spans="1:80" s="27" customFormat="1">
      <c r="A53" s="5" t="s">
        <v>89</v>
      </c>
      <c r="B53" s="6"/>
      <c r="C53" s="6"/>
      <c r="D53" s="6"/>
      <c r="E53" s="6"/>
      <c r="F53" s="6"/>
      <c r="G53" s="6"/>
      <c r="H53" s="6"/>
      <c r="I53" s="6"/>
      <c r="J53" s="6">
        <v>1</v>
      </c>
      <c r="K53" s="6">
        <v>14</v>
      </c>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v>1</v>
      </c>
      <c r="BG53" s="6">
        <v>39</v>
      </c>
      <c r="BH53" s="6"/>
      <c r="BI53" s="6"/>
      <c r="BJ53" s="6"/>
      <c r="BK53" s="6"/>
      <c r="BL53" s="6"/>
      <c r="BM53" s="6"/>
      <c r="BN53" s="6"/>
      <c r="BO53" s="6"/>
      <c r="BP53" s="6"/>
      <c r="BQ53" s="6"/>
      <c r="BR53" s="6"/>
      <c r="BS53" s="6"/>
      <c r="BT53" s="6"/>
      <c r="BU53" s="6"/>
      <c r="BV53" s="6">
        <v>1</v>
      </c>
      <c r="BW53" s="6">
        <v>4</v>
      </c>
      <c r="BX53" s="8">
        <f t="shared" si="0"/>
        <v>3</v>
      </c>
      <c r="BY53" s="8">
        <f t="shared" si="1"/>
        <v>57</v>
      </c>
      <c r="BZ53" s="52"/>
      <c r="CA53" s="52"/>
      <c r="CB53" s="52"/>
    </row>
    <row r="54" spans="1:80" s="27" customFormat="1">
      <c r="A54" s="5" t="s">
        <v>91</v>
      </c>
      <c r="B54" s="6"/>
      <c r="C54" s="6"/>
      <c r="D54" s="6"/>
      <c r="E54" s="6"/>
      <c r="F54" s="6"/>
      <c r="G54" s="6"/>
      <c r="H54" s="6"/>
      <c r="I54" s="6"/>
      <c r="J54" s="6">
        <v>1</v>
      </c>
      <c r="K54" s="6">
        <v>20</v>
      </c>
      <c r="L54" s="6"/>
      <c r="M54" s="6"/>
      <c r="N54" s="6"/>
      <c r="O54" s="6"/>
      <c r="P54" s="6"/>
      <c r="Q54" s="6"/>
      <c r="R54" s="6"/>
      <c r="S54" s="6"/>
      <c r="T54" s="6"/>
      <c r="U54" s="6"/>
      <c r="V54" s="6"/>
      <c r="W54" s="6"/>
      <c r="X54" s="6"/>
      <c r="Y54" s="6"/>
      <c r="Z54" s="6"/>
      <c r="AA54" s="6"/>
      <c r="AB54" s="6">
        <v>1</v>
      </c>
      <c r="AC54" s="6">
        <v>16</v>
      </c>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v>5</v>
      </c>
      <c r="BW54" s="6">
        <v>63</v>
      </c>
      <c r="BX54" s="8">
        <f t="shared" si="0"/>
        <v>7</v>
      </c>
      <c r="BY54" s="8">
        <f t="shared" si="1"/>
        <v>99</v>
      </c>
      <c r="BZ54" s="52"/>
      <c r="CA54" s="52"/>
      <c r="CB54" s="52"/>
    </row>
    <row r="55" spans="1:80" s="27" customFormat="1">
      <c r="A55" s="5" t="s">
        <v>92</v>
      </c>
      <c r="B55" s="6"/>
      <c r="C55" s="6"/>
      <c r="D55" s="6"/>
      <c r="E55" s="6"/>
      <c r="F55" s="6">
        <v>1</v>
      </c>
      <c r="G55" s="6">
        <v>82</v>
      </c>
      <c r="H55" s="6"/>
      <c r="I55" s="6"/>
      <c r="J55" s="6">
        <v>9</v>
      </c>
      <c r="K55" s="6">
        <v>123</v>
      </c>
      <c r="L55" s="6">
        <v>1</v>
      </c>
      <c r="M55" s="6">
        <v>15</v>
      </c>
      <c r="N55" s="6"/>
      <c r="O55" s="6"/>
      <c r="P55" s="6"/>
      <c r="Q55" s="6"/>
      <c r="R55" s="6"/>
      <c r="S55" s="6"/>
      <c r="T55" s="6"/>
      <c r="U55" s="6"/>
      <c r="V55" s="6">
        <v>6</v>
      </c>
      <c r="W55" s="6">
        <v>673</v>
      </c>
      <c r="X55" s="6">
        <v>3</v>
      </c>
      <c r="Y55" s="6">
        <v>717</v>
      </c>
      <c r="Z55" s="6"/>
      <c r="AA55" s="6"/>
      <c r="AB55" s="6">
        <v>4</v>
      </c>
      <c r="AC55" s="6">
        <v>470</v>
      </c>
      <c r="AD55" s="6"/>
      <c r="AE55" s="6"/>
      <c r="AF55" s="6">
        <v>1</v>
      </c>
      <c r="AG55" s="6">
        <v>74</v>
      </c>
      <c r="AH55" s="6">
        <v>1</v>
      </c>
      <c r="AI55" s="6">
        <v>242</v>
      </c>
      <c r="AJ55" s="6"/>
      <c r="AK55" s="6"/>
      <c r="AL55" s="6"/>
      <c r="AM55" s="6"/>
      <c r="AN55" s="6">
        <v>1</v>
      </c>
      <c r="AO55" s="6">
        <v>208</v>
      </c>
      <c r="AP55" s="6"/>
      <c r="AQ55" s="6"/>
      <c r="AR55" s="6"/>
      <c r="AS55" s="6"/>
      <c r="AT55" s="6"/>
      <c r="AU55" s="6"/>
      <c r="AV55" s="6"/>
      <c r="AW55" s="6"/>
      <c r="AX55" s="6"/>
      <c r="AY55" s="6"/>
      <c r="AZ55" s="6"/>
      <c r="BA55" s="6"/>
      <c r="BB55" s="6"/>
      <c r="BC55" s="6"/>
      <c r="BD55" s="6"/>
      <c r="BE55" s="6"/>
      <c r="BF55" s="6">
        <v>1</v>
      </c>
      <c r="BG55" s="6">
        <v>16</v>
      </c>
      <c r="BH55" s="6">
        <v>3</v>
      </c>
      <c r="BI55" s="6">
        <v>171</v>
      </c>
      <c r="BJ55" s="6"/>
      <c r="BK55" s="6"/>
      <c r="BL55" s="6"/>
      <c r="BM55" s="6"/>
      <c r="BN55" s="6"/>
      <c r="BO55" s="6"/>
      <c r="BP55" s="6">
        <v>1</v>
      </c>
      <c r="BQ55" s="6">
        <v>50</v>
      </c>
      <c r="BR55" s="6"/>
      <c r="BS55" s="6"/>
      <c r="BT55" s="6"/>
      <c r="BU55" s="6"/>
      <c r="BV55" s="6">
        <v>10</v>
      </c>
      <c r="BW55" s="6">
        <v>137</v>
      </c>
      <c r="BX55" s="8">
        <f t="shared" si="0"/>
        <v>42</v>
      </c>
      <c r="BY55" s="8">
        <f t="shared" si="1"/>
        <v>2978</v>
      </c>
      <c r="BZ55" s="52"/>
      <c r="CA55" s="52"/>
      <c r="CB55" s="52"/>
    </row>
    <row r="56" spans="1:80" s="27" customFormat="1">
      <c r="A56" s="5" t="s">
        <v>93</v>
      </c>
      <c r="B56" s="6">
        <v>18</v>
      </c>
      <c r="C56" s="6">
        <v>870</v>
      </c>
      <c r="D56" s="6">
        <v>5</v>
      </c>
      <c r="E56" s="6">
        <v>532</v>
      </c>
      <c r="F56" s="6">
        <v>6</v>
      </c>
      <c r="G56" s="6">
        <v>1029</v>
      </c>
      <c r="H56" s="6"/>
      <c r="I56" s="6"/>
      <c r="J56" s="6">
        <v>4</v>
      </c>
      <c r="K56" s="6">
        <v>88</v>
      </c>
      <c r="L56" s="6">
        <v>1</v>
      </c>
      <c r="M56" s="6">
        <v>20</v>
      </c>
      <c r="N56" s="6"/>
      <c r="O56" s="6"/>
      <c r="P56" s="6"/>
      <c r="Q56" s="6"/>
      <c r="R56" s="6"/>
      <c r="S56" s="6"/>
      <c r="T56" s="6">
        <v>3</v>
      </c>
      <c r="U56" s="6">
        <v>474</v>
      </c>
      <c r="V56" s="6">
        <v>2</v>
      </c>
      <c r="W56" s="6">
        <v>147</v>
      </c>
      <c r="X56" s="6">
        <v>11</v>
      </c>
      <c r="Y56" s="6">
        <v>2036</v>
      </c>
      <c r="Z56" s="6">
        <v>1</v>
      </c>
      <c r="AA56" s="6">
        <v>319</v>
      </c>
      <c r="AB56" s="6">
        <v>4</v>
      </c>
      <c r="AC56" s="6">
        <v>1094</v>
      </c>
      <c r="AD56" s="6">
        <v>1</v>
      </c>
      <c r="AE56" s="6">
        <v>413</v>
      </c>
      <c r="AF56" s="6"/>
      <c r="AG56" s="6"/>
      <c r="AH56" s="6"/>
      <c r="AI56" s="6"/>
      <c r="AJ56" s="6"/>
      <c r="AK56" s="6"/>
      <c r="AL56" s="6"/>
      <c r="AM56" s="6"/>
      <c r="AN56" s="6">
        <v>4</v>
      </c>
      <c r="AO56" s="6">
        <v>1298</v>
      </c>
      <c r="AP56" s="6">
        <v>7</v>
      </c>
      <c r="AQ56" s="6">
        <v>2544</v>
      </c>
      <c r="AR56" s="6"/>
      <c r="AS56" s="6"/>
      <c r="AT56" s="6">
        <v>1</v>
      </c>
      <c r="AU56" s="6">
        <v>136</v>
      </c>
      <c r="AV56" s="6"/>
      <c r="AW56" s="6"/>
      <c r="AX56" s="6">
        <v>1</v>
      </c>
      <c r="AY56" s="6">
        <v>152</v>
      </c>
      <c r="AZ56" s="6"/>
      <c r="BA56" s="6"/>
      <c r="BB56" s="6"/>
      <c r="BC56" s="6"/>
      <c r="BD56" s="6"/>
      <c r="BE56" s="6"/>
      <c r="BF56" s="6">
        <v>1</v>
      </c>
      <c r="BG56" s="6">
        <v>45</v>
      </c>
      <c r="BH56" s="6">
        <v>1</v>
      </c>
      <c r="BI56" s="6">
        <v>49</v>
      </c>
      <c r="BJ56" s="6">
        <v>1</v>
      </c>
      <c r="BK56" s="6">
        <v>84</v>
      </c>
      <c r="BL56" s="6"/>
      <c r="BM56" s="6"/>
      <c r="BN56" s="6">
        <v>4</v>
      </c>
      <c r="BO56" s="6">
        <v>169</v>
      </c>
      <c r="BP56" s="6">
        <v>2</v>
      </c>
      <c r="BQ56" s="6">
        <v>114</v>
      </c>
      <c r="BR56" s="6"/>
      <c r="BS56" s="6"/>
      <c r="BT56" s="6"/>
      <c r="BU56" s="6"/>
      <c r="BV56" s="6">
        <v>1</v>
      </c>
      <c r="BW56" s="6">
        <v>10</v>
      </c>
      <c r="BX56" s="8">
        <f t="shared" si="0"/>
        <v>79</v>
      </c>
      <c r="BY56" s="8">
        <f t="shared" si="1"/>
        <v>11623</v>
      </c>
      <c r="BZ56" s="52"/>
      <c r="CA56" s="52"/>
      <c r="CB56" s="52"/>
    </row>
    <row r="57" spans="1:80" s="27" customFormat="1">
      <c r="A57" s="5" t="s">
        <v>94</v>
      </c>
      <c r="B57" s="6"/>
      <c r="C57" s="6"/>
      <c r="D57" s="6"/>
      <c r="E57" s="6"/>
      <c r="F57" s="6"/>
      <c r="G57" s="6"/>
      <c r="H57" s="6"/>
      <c r="I57" s="6"/>
      <c r="J57" s="6">
        <v>4</v>
      </c>
      <c r="K57" s="6">
        <v>77</v>
      </c>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v>1</v>
      </c>
      <c r="AM57" s="6">
        <v>110</v>
      </c>
      <c r="AN57" s="6"/>
      <c r="AO57" s="6"/>
      <c r="AP57" s="6"/>
      <c r="AQ57" s="6"/>
      <c r="AR57" s="6"/>
      <c r="AS57" s="6"/>
      <c r="AT57" s="6"/>
      <c r="AU57" s="6"/>
      <c r="AV57" s="6"/>
      <c r="AW57" s="6"/>
      <c r="AX57" s="6"/>
      <c r="AY57" s="6"/>
      <c r="AZ57" s="6"/>
      <c r="BA57" s="6"/>
      <c r="BB57" s="6"/>
      <c r="BC57" s="6"/>
      <c r="BD57" s="6"/>
      <c r="BE57" s="6"/>
      <c r="BF57" s="6">
        <v>1</v>
      </c>
      <c r="BG57" s="6">
        <v>32</v>
      </c>
      <c r="BH57" s="6"/>
      <c r="BI57" s="6"/>
      <c r="BJ57" s="6"/>
      <c r="BK57" s="6"/>
      <c r="BL57" s="6"/>
      <c r="BM57" s="6"/>
      <c r="BN57" s="6"/>
      <c r="BO57" s="6"/>
      <c r="BP57" s="6"/>
      <c r="BQ57" s="6"/>
      <c r="BR57" s="6"/>
      <c r="BS57" s="6"/>
      <c r="BT57" s="6"/>
      <c r="BU57" s="6"/>
      <c r="BV57" s="6">
        <v>3</v>
      </c>
      <c r="BW57" s="6">
        <v>44</v>
      </c>
      <c r="BX57" s="8">
        <f t="shared" si="0"/>
        <v>9</v>
      </c>
      <c r="BY57" s="8">
        <f t="shared" si="1"/>
        <v>263</v>
      </c>
      <c r="BZ57" s="52"/>
      <c r="CA57" s="52"/>
      <c r="CB57" s="52"/>
    </row>
    <row r="58" spans="1:80" s="27" customFormat="1">
      <c r="A58" s="5" t="s">
        <v>95</v>
      </c>
      <c r="B58" s="6"/>
      <c r="C58" s="6"/>
      <c r="D58" s="6"/>
      <c r="E58" s="6"/>
      <c r="F58" s="6"/>
      <c r="G58" s="6"/>
      <c r="H58" s="6"/>
      <c r="I58" s="6"/>
      <c r="J58" s="6">
        <v>1</v>
      </c>
      <c r="K58" s="6">
        <v>20</v>
      </c>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v>1</v>
      </c>
      <c r="BG58" s="6">
        <v>48</v>
      </c>
      <c r="BH58" s="6"/>
      <c r="BI58" s="6"/>
      <c r="BJ58" s="6"/>
      <c r="BK58" s="6"/>
      <c r="BL58" s="6"/>
      <c r="BM58" s="6"/>
      <c r="BN58" s="6"/>
      <c r="BO58" s="6"/>
      <c r="BP58" s="6"/>
      <c r="BQ58" s="6"/>
      <c r="BR58" s="6"/>
      <c r="BS58" s="6"/>
      <c r="BT58" s="6"/>
      <c r="BU58" s="6"/>
      <c r="BV58" s="6"/>
      <c r="BW58" s="6"/>
      <c r="BX58" s="8">
        <f t="shared" si="0"/>
        <v>2</v>
      </c>
      <c r="BY58" s="8">
        <f t="shared" si="1"/>
        <v>68</v>
      </c>
      <c r="BZ58" s="52"/>
      <c r="CA58" s="52"/>
      <c r="CB58" s="52"/>
    </row>
    <row r="59" spans="1:80" s="51" customFormat="1">
      <c r="A59" s="11" t="s">
        <v>96</v>
      </c>
      <c r="B59" s="12">
        <f t="shared" ref="B59:M59" si="2">SUM(B9:B58)</f>
        <v>102</v>
      </c>
      <c r="C59" s="12">
        <f t="shared" si="2"/>
        <v>5755</v>
      </c>
      <c r="D59" s="12">
        <f t="shared" si="2"/>
        <v>129</v>
      </c>
      <c r="E59" s="12">
        <f t="shared" si="2"/>
        <v>14966</v>
      </c>
      <c r="F59" s="12">
        <f t="shared" si="2"/>
        <v>104</v>
      </c>
      <c r="G59" s="12">
        <f t="shared" si="2"/>
        <v>18290</v>
      </c>
      <c r="H59" s="12">
        <f t="shared" si="2"/>
        <v>8</v>
      </c>
      <c r="I59" s="12">
        <f t="shared" si="2"/>
        <v>2121</v>
      </c>
      <c r="J59" s="12">
        <f t="shared" si="2"/>
        <v>182</v>
      </c>
      <c r="K59" s="12">
        <f t="shared" si="2"/>
        <v>2783</v>
      </c>
      <c r="L59" s="12">
        <f t="shared" si="2"/>
        <v>18</v>
      </c>
      <c r="M59" s="12">
        <f t="shared" si="2"/>
        <v>550</v>
      </c>
      <c r="N59" s="12">
        <f t="shared" ref="N59:BW59" si="3">SUM(N9:N58)</f>
        <v>1</v>
      </c>
      <c r="O59" s="12">
        <f t="shared" si="3"/>
        <v>500</v>
      </c>
      <c r="P59" s="12">
        <f t="shared" si="3"/>
        <v>1</v>
      </c>
      <c r="Q59" s="12">
        <f t="shared" si="3"/>
        <v>660</v>
      </c>
      <c r="R59" s="12">
        <f t="shared" si="3"/>
        <v>8</v>
      </c>
      <c r="S59" s="12">
        <f t="shared" si="3"/>
        <v>230</v>
      </c>
      <c r="T59" s="12">
        <f t="shared" si="3"/>
        <v>27</v>
      </c>
      <c r="U59" s="12">
        <f t="shared" si="3"/>
        <v>2448</v>
      </c>
      <c r="V59" s="12">
        <f t="shared" si="3"/>
        <v>53</v>
      </c>
      <c r="W59" s="12">
        <f t="shared" si="3"/>
        <v>8000</v>
      </c>
      <c r="X59" s="12">
        <f t="shared" si="3"/>
        <v>265</v>
      </c>
      <c r="Y59" s="12">
        <f t="shared" si="3"/>
        <v>79498</v>
      </c>
      <c r="Z59" s="12">
        <f t="shared" si="3"/>
        <v>3</v>
      </c>
      <c r="AA59" s="12">
        <f t="shared" si="3"/>
        <v>867</v>
      </c>
      <c r="AB59" s="12">
        <f t="shared" si="3"/>
        <v>175</v>
      </c>
      <c r="AC59" s="12">
        <f t="shared" si="3"/>
        <v>53165</v>
      </c>
      <c r="AD59" s="12">
        <f t="shared" si="3"/>
        <v>10</v>
      </c>
      <c r="AE59" s="12">
        <f t="shared" si="3"/>
        <v>2162</v>
      </c>
      <c r="AF59" s="12">
        <f t="shared" si="3"/>
        <v>25</v>
      </c>
      <c r="AG59" s="12">
        <f t="shared" si="3"/>
        <v>5447</v>
      </c>
      <c r="AH59" s="12">
        <f t="shared" si="3"/>
        <v>4</v>
      </c>
      <c r="AI59" s="12">
        <f t="shared" si="3"/>
        <v>1141</v>
      </c>
      <c r="AJ59" s="12">
        <f t="shared" si="3"/>
        <v>2</v>
      </c>
      <c r="AK59" s="12">
        <f t="shared" si="3"/>
        <v>106</v>
      </c>
      <c r="AL59" s="12">
        <f t="shared" si="3"/>
        <v>8</v>
      </c>
      <c r="AM59" s="12">
        <f t="shared" si="3"/>
        <v>1071</v>
      </c>
      <c r="AN59" s="12">
        <f t="shared" si="3"/>
        <v>88</v>
      </c>
      <c r="AO59" s="12">
        <f t="shared" si="3"/>
        <v>37693</v>
      </c>
      <c r="AP59" s="12">
        <f t="shared" si="3"/>
        <v>83</v>
      </c>
      <c r="AQ59" s="12">
        <f t="shared" si="3"/>
        <v>36984</v>
      </c>
      <c r="AR59" s="12">
        <f t="shared" si="3"/>
        <v>3</v>
      </c>
      <c r="AS59" s="12">
        <f t="shared" si="3"/>
        <v>1328</v>
      </c>
      <c r="AT59" s="12">
        <f t="shared" si="3"/>
        <v>3</v>
      </c>
      <c r="AU59" s="12">
        <f t="shared" si="3"/>
        <v>294</v>
      </c>
      <c r="AV59" s="12">
        <f t="shared" si="3"/>
        <v>4</v>
      </c>
      <c r="AW59" s="12">
        <f t="shared" si="3"/>
        <v>130</v>
      </c>
      <c r="AX59" s="12">
        <f t="shared" si="3"/>
        <v>3</v>
      </c>
      <c r="AY59" s="12">
        <f t="shared" si="3"/>
        <v>244</v>
      </c>
      <c r="AZ59" s="12">
        <f t="shared" si="3"/>
        <v>3</v>
      </c>
      <c r="BA59" s="12">
        <f t="shared" si="3"/>
        <v>251</v>
      </c>
      <c r="BB59" s="12">
        <f t="shared" si="3"/>
        <v>1</v>
      </c>
      <c r="BC59" s="12">
        <f t="shared" si="3"/>
        <v>33</v>
      </c>
      <c r="BD59" s="12">
        <f t="shared" si="3"/>
        <v>1</v>
      </c>
      <c r="BE59" s="12">
        <f t="shared" si="3"/>
        <v>132</v>
      </c>
      <c r="BF59" s="12">
        <f t="shared" si="3"/>
        <v>33</v>
      </c>
      <c r="BG59" s="12">
        <f t="shared" si="3"/>
        <v>1270</v>
      </c>
      <c r="BH59" s="12">
        <f t="shared" si="3"/>
        <v>42</v>
      </c>
      <c r="BI59" s="12">
        <f t="shared" si="3"/>
        <v>1988</v>
      </c>
      <c r="BJ59" s="12">
        <f t="shared" si="3"/>
        <v>30</v>
      </c>
      <c r="BK59" s="12">
        <f t="shared" si="3"/>
        <v>1785</v>
      </c>
      <c r="BL59" s="12">
        <f t="shared" si="3"/>
        <v>3</v>
      </c>
      <c r="BM59" s="12">
        <f t="shared" si="3"/>
        <v>236</v>
      </c>
      <c r="BN59" s="12">
        <f t="shared" si="3"/>
        <v>55</v>
      </c>
      <c r="BO59" s="12">
        <f t="shared" si="3"/>
        <v>2244</v>
      </c>
      <c r="BP59" s="12">
        <f t="shared" si="3"/>
        <v>33</v>
      </c>
      <c r="BQ59" s="12">
        <f t="shared" si="3"/>
        <v>1380</v>
      </c>
      <c r="BR59" s="12">
        <f t="shared" si="3"/>
        <v>2</v>
      </c>
      <c r="BS59" s="12">
        <f t="shared" si="3"/>
        <v>86</v>
      </c>
      <c r="BT59" s="12">
        <f t="shared" si="3"/>
        <v>1</v>
      </c>
      <c r="BU59" s="12">
        <f t="shared" si="3"/>
        <v>23</v>
      </c>
      <c r="BV59" s="12">
        <f t="shared" si="3"/>
        <v>77</v>
      </c>
      <c r="BW59" s="12">
        <f t="shared" si="3"/>
        <v>993</v>
      </c>
      <c r="BX59" s="12">
        <f t="shared" si="0"/>
        <v>1590</v>
      </c>
      <c r="BY59" s="12">
        <f t="shared" si="1"/>
        <v>286854</v>
      </c>
      <c r="BZ59" s="52"/>
      <c r="CA59" s="52"/>
      <c r="CB59" s="52"/>
    </row>
    <row r="60" spans="1:80" s="27" customFormat="1" ht="12.75">
      <c r="A60" s="48" t="s">
        <v>189</v>
      </c>
      <c r="BX60" s="54"/>
      <c r="BY60" s="54"/>
    </row>
    <row r="61" spans="1:80" s="27" customFormat="1" ht="12.75">
      <c r="A61" s="50" t="s">
        <v>190</v>
      </c>
      <c r="BX61" s="54"/>
      <c r="BY61" s="54"/>
    </row>
    <row r="62" spans="1:80" s="55" customFormat="1" ht="12.75">
      <c r="A62" s="50" t="s">
        <v>191</v>
      </c>
      <c r="BX62" s="56"/>
      <c r="BY62" s="57"/>
    </row>
  </sheetData>
  <sheetProtection password="C668" sheet="1"/>
  <mergeCells count="39">
    <mergeCell ref="J6:K6"/>
    <mergeCell ref="A6:A8"/>
    <mergeCell ref="B6:C6"/>
    <mergeCell ref="D6:E6"/>
    <mergeCell ref="F6:G6"/>
    <mergeCell ref="H6:I6"/>
    <mergeCell ref="AH6:AI6"/>
    <mergeCell ref="L6:M6"/>
    <mergeCell ref="N6:O6"/>
    <mergeCell ref="P6:Q6"/>
    <mergeCell ref="R6:S6"/>
    <mergeCell ref="T6:U6"/>
    <mergeCell ref="V6:W6"/>
    <mergeCell ref="X6:Y6"/>
    <mergeCell ref="Z6:AA6"/>
    <mergeCell ref="AB6:AC6"/>
    <mergeCell ref="AD6:AE6"/>
    <mergeCell ref="AF6:AG6"/>
    <mergeCell ref="AJ6:AK6"/>
    <mergeCell ref="AL6:AM6"/>
    <mergeCell ref="AN6:AO6"/>
    <mergeCell ref="AP6:AQ6"/>
    <mergeCell ref="AT6:AU6"/>
    <mergeCell ref="BX6:BY6"/>
    <mergeCell ref="BH6:BI6"/>
    <mergeCell ref="BJ6:BK6"/>
    <mergeCell ref="AR6:AS6"/>
    <mergeCell ref="BN6:BO6"/>
    <mergeCell ref="BP6:BQ6"/>
    <mergeCell ref="BR6:BS6"/>
    <mergeCell ref="BT6:BU6"/>
    <mergeCell ref="BV6:BW6"/>
    <mergeCell ref="BL6:BM6"/>
    <mergeCell ref="AV6:AW6"/>
    <mergeCell ref="AX6:AY6"/>
    <mergeCell ref="AZ6:BA6"/>
    <mergeCell ref="BB6:BC6"/>
    <mergeCell ref="BD6:BE6"/>
    <mergeCell ref="BF6:BG6"/>
  </mergeCells>
  <conditionalFormatting sqref="A9:BY58 BX11:BY59">
    <cfRule type="expression" dxfId="9" priority="7" stopIfTrue="1">
      <formula>MOD(ROW(),2)=0</formula>
    </cfRule>
  </conditionalFormatting>
  <conditionalFormatting sqref="A2:XFD62">
    <cfRule type="expression" priority="11">
      <formula>SI(0," ")</formula>
    </cfRule>
  </conditionalFormatting>
  <conditionalFormatting sqref="H2">
    <cfRule type="expression" priority="10">
      <formula>SI($C$40," ")</formula>
    </cfRule>
  </conditionalFormatting>
  <pageMargins left="0" right="0" top="0" bottom="0" header="0.31496062992125984" footer="0.31496062992125984"/>
  <pageSetup paperSize="8" scale="70" orientation="landscape" r:id="rId1"/>
  <colBreaks count="4" manualBreakCount="4">
    <brk id="17" max="1048575" man="1"/>
    <brk id="33" max="1048575" man="1"/>
    <brk id="49" max="1048575" man="1"/>
    <brk id="65" max="104857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3:M52"/>
  <sheetViews>
    <sheetView showGridLines="0" workbookViewId="0"/>
  </sheetViews>
  <sheetFormatPr baseColWidth="10" defaultRowHeight="15"/>
  <cols>
    <col min="2" max="2" width="15.7109375" customWidth="1"/>
    <col min="3" max="3" width="17" customWidth="1"/>
    <col min="4" max="5" width="16.85546875" customWidth="1"/>
    <col min="8" max="8" width="15.85546875" customWidth="1"/>
    <col min="9" max="9" width="12.85546875" customWidth="1"/>
    <col min="10" max="10" width="17" bestFit="1" customWidth="1"/>
    <col min="11" max="11" width="15.140625" bestFit="1" customWidth="1"/>
    <col min="12" max="12" width="14" bestFit="1" customWidth="1"/>
  </cols>
  <sheetData>
    <row r="3" spans="1:13" s="60" customFormat="1" ht="16.5">
      <c r="A3" s="58" t="s">
        <v>204</v>
      </c>
      <c r="B3" s="59"/>
      <c r="H3" s="59"/>
      <c r="I3" s="59"/>
    </row>
    <row r="4" spans="1:13" s="63" customFormat="1" ht="16.5">
      <c r="A4" s="61" t="s">
        <v>205</v>
      </c>
      <c r="B4" s="62"/>
      <c r="H4" s="62"/>
      <c r="I4" s="62"/>
      <c r="L4" s="64"/>
    </row>
    <row r="5" spans="1:13" s="63" customFormat="1" ht="16.5">
      <c r="A5" s="61" t="s">
        <v>206</v>
      </c>
      <c r="B5" s="62"/>
      <c r="H5" s="62"/>
      <c r="I5" s="62"/>
    </row>
    <row r="6" spans="1:13" s="63" customFormat="1" ht="16.5">
      <c r="A6" s="61"/>
      <c r="B6" s="62"/>
      <c r="H6" s="62"/>
      <c r="I6" s="62"/>
    </row>
    <row r="7" spans="1:13" s="60" customFormat="1" ht="12.75">
      <c r="A7" s="59"/>
      <c r="B7" s="59"/>
      <c r="H7" s="59"/>
      <c r="I7" s="59"/>
    </row>
    <row r="8" spans="1:13" s="60" customFormat="1" ht="12.75">
      <c r="A8" s="130" t="s">
        <v>104</v>
      </c>
      <c r="B8" s="130"/>
      <c r="C8" s="103" t="s">
        <v>105</v>
      </c>
      <c r="D8" s="103" t="s">
        <v>106</v>
      </c>
      <c r="E8" s="103" t="s">
        <v>107</v>
      </c>
      <c r="F8" s="103" t="s">
        <v>108</v>
      </c>
      <c r="G8" s="104"/>
      <c r="H8" s="130" t="s">
        <v>104</v>
      </c>
      <c r="I8" s="130"/>
      <c r="J8" s="103" t="s">
        <v>105</v>
      </c>
      <c r="K8" s="103" t="s">
        <v>106</v>
      </c>
      <c r="L8" s="103" t="s">
        <v>107</v>
      </c>
      <c r="M8" s="103" t="s">
        <v>108</v>
      </c>
    </row>
    <row r="9" spans="1:13" s="63" customFormat="1" ht="12.75">
      <c r="A9" s="131" t="s">
        <v>109</v>
      </c>
      <c r="B9" s="131"/>
      <c r="C9" s="105" t="s">
        <v>110</v>
      </c>
      <c r="D9" s="105" t="s">
        <v>111</v>
      </c>
      <c r="E9" s="105" t="s">
        <v>112</v>
      </c>
      <c r="F9" s="105" t="s">
        <v>113</v>
      </c>
      <c r="G9" s="106"/>
      <c r="H9" s="131" t="s">
        <v>109</v>
      </c>
      <c r="I9" s="131"/>
      <c r="J9" s="105" t="s">
        <v>110</v>
      </c>
      <c r="K9" s="105" t="s">
        <v>111</v>
      </c>
      <c r="L9" s="105" t="s">
        <v>112</v>
      </c>
      <c r="M9" s="105" t="s">
        <v>113</v>
      </c>
    </row>
    <row r="10" spans="1:13" s="63" customFormat="1" ht="12.75">
      <c r="A10" s="131" t="s">
        <v>114</v>
      </c>
      <c r="B10" s="131"/>
      <c r="C10" s="105" t="s">
        <v>115</v>
      </c>
      <c r="D10" s="105" t="s">
        <v>116</v>
      </c>
      <c r="E10" s="105" t="s">
        <v>117</v>
      </c>
      <c r="F10" s="105" t="s">
        <v>118</v>
      </c>
      <c r="G10" s="106"/>
      <c r="H10" s="131" t="s">
        <v>114</v>
      </c>
      <c r="I10" s="131"/>
      <c r="J10" s="105" t="s">
        <v>115</v>
      </c>
      <c r="K10" s="105" t="s">
        <v>116</v>
      </c>
      <c r="L10" s="105" t="s">
        <v>117</v>
      </c>
      <c r="M10" s="105" t="s">
        <v>118</v>
      </c>
    </row>
    <row r="11" spans="1:13" s="60" customFormat="1">
      <c r="A11" s="132" t="s">
        <v>119</v>
      </c>
      <c r="B11" s="132"/>
      <c r="C11" s="66">
        <v>102</v>
      </c>
      <c r="D11" s="66">
        <v>1804</v>
      </c>
      <c r="E11" s="66">
        <v>5718</v>
      </c>
      <c r="F11" s="67">
        <f>E11/E$15</f>
        <v>0.138581226824362</v>
      </c>
      <c r="G11" s="68"/>
      <c r="H11" s="132" t="s">
        <v>25</v>
      </c>
      <c r="I11" s="132"/>
      <c r="J11" s="66">
        <v>2</v>
      </c>
      <c r="K11" s="66">
        <v>33</v>
      </c>
      <c r="L11" s="66">
        <v>106</v>
      </c>
      <c r="M11" s="67">
        <f>L11/L$19</f>
        <v>1.3679714016544711E-3</v>
      </c>
    </row>
    <row r="12" spans="1:13" s="60" customFormat="1">
      <c r="A12" s="132" t="s">
        <v>120</v>
      </c>
      <c r="B12" s="132"/>
      <c r="C12" s="66">
        <v>129</v>
      </c>
      <c r="D12" s="66">
        <v>5522</v>
      </c>
      <c r="E12" s="66">
        <v>14948</v>
      </c>
      <c r="F12" s="67">
        <f>E12/E$15</f>
        <v>0.36227914980247694</v>
      </c>
      <c r="G12" s="68"/>
      <c r="H12" s="132" t="s">
        <v>26</v>
      </c>
      <c r="I12" s="132"/>
      <c r="J12" s="66">
        <v>9</v>
      </c>
      <c r="K12" s="66">
        <v>604</v>
      </c>
      <c r="L12" s="66">
        <v>1668</v>
      </c>
      <c r="M12" s="67">
        <f t="shared" ref="M12:M17" si="0">L12/L$19</f>
        <v>2.1526191490185451E-2</v>
      </c>
    </row>
    <row r="13" spans="1:13" s="60" customFormat="1">
      <c r="A13" s="132" t="s">
        <v>121</v>
      </c>
      <c r="B13" s="132"/>
      <c r="C13" s="66">
        <v>106</v>
      </c>
      <c r="D13" s="66">
        <v>7253</v>
      </c>
      <c r="E13" s="66">
        <v>18502</v>
      </c>
      <c r="F13" s="67">
        <f>E13/E$15</f>
        <v>0.44841375633164487</v>
      </c>
      <c r="G13" s="68"/>
      <c r="H13" s="132" t="s">
        <v>27</v>
      </c>
      <c r="I13" s="132"/>
      <c r="J13" s="66">
        <v>87</v>
      </c>
      <c r="K13" s="66">
        <v>16080</v>
      </c>
      <c r="L13" s="66">
        <v>37737</v>
      </c>
      <c r="M13" s="67">
        <f t="shared" si="0"/>
        <v>0.48701072437957332</v>
      </c>
    </row>
    <row r="14" spans="1:13" s="60" customFormat="1">
      <c r="A14" s="132" t="s">
        <v>122</v>
      </c>
      <c r="B14" s="132"/>
      <c r="C14" s="66">
        <v>7</v>
      </c>
      <c r="D14" s="66">
        <v>645</v>
      </c>
      <c r="E14" s="66">
        <v>2093</v>
      </c>
      <c r="F14" s="67">
        <f>E14/E$15</f>
        <v>5.0725867041516201E-2</v>
      </c>
      <c r="G14" s="68"/>
      <c r="H14" s="132" t="s">
        <v>209</v>
      </c>
      <c r="I14" s="132"/>
      <c r="J14" s="66"/>
      <c r="K14" s="66"/>
      <c r="L14" s="66"/>
      <c r="M14" s="67"/>
    </row>
    <row r="15" spans="1:13" s="60" customFormat="1">
      <c r="A15" s="133" t="s">
        <v>123</v>
      </c>
      <c r="B15" s="133"/>
      <c r="C15" s="69">
        <v>344</v>
      </c>
      <c r="D15" s="69">
        <v>15224</v>
      </c>
      <c r="E15" s="69">
        <v>41261</v>
      </c>
      <c r="F15" s="70">
        <v>0.99999999999999989</v>
      </c>
      <c r="G15" s="68"/>
      <c r="H15" s="132" t="s">
        <v>28</v>
      </c>
      <c r="I15" s="132"/>
      <c r="J15" s="66">
        <v>86</v>
      </c>
      <c r="K15" s="66">
        <v>17118</v>
      </c>
      <c r="L15" s="66">
        <v>37410</v>
      </c>
      <c r="M15" s="67">
        <f t="shared" si="0"/>
        <v>0.48279066165937512</v>
      </c>
    </row>
    <row r="16" spans="1:13" s="60" customFormat="1">
      <c r="A16" s="132"/>
      <c r="B16" s="132"/>
      <c r="C16" s="66"/>
      <c r="D16" s="66"/>
      <c r="E16" s="66"/>
      <c r="F16" s="67"/>
      <c r="G16" s="68"/>
      <c r="H16" s="132" t="s">
        <v>210</v>
      </c>
      <c r="I16" s="132"/>
      <c r="J16" s="66"/>
      <c r="K16" s="66"/>
      <c r="L16" s="66"/>
      <c r="M16" s="67"/>
    </row>
    <row r="17" spans="1:13" s="60" customFormat="1">
      <c r="A17" s="133" t="s">
        <v>7</v>
      </c>
      <c r="B17" s="133"/>
      <c r="C17" s="69">
        <v>32</v>
      </c>
      <c r="D17" s="69">
        <v>610</v>
      </c>
      <c r="E17" s="69">
        <v>1191</v>
      </c>
      <c r="F17" s="70">
        <v>1</v>
      </c>
      <c r="G17" s="68"/>
      <c r="H17" s="132" t="s">
        <v>29</v>
      </c>
      <c r="I17" s="132"/>
      <c r="J17" s="66">
        <v>4</v>
      </c>
      <c r="K17" s="66">
        <v>292</v>
      </c>
      <c r="L17" s="66">
        <v>566</v>
      </c>
      <c r="M17" s="67">
        <f t="shared" si="0"/>
        <v>7.3044510692116095E-3</v>
      </c>
    </row>
    <row r="18" spans="1:13" s="60" customFormat="1">
      <c r="A18" s="133" t="s">
        <v>167</v>
      </c>
      <c r="B18" s="133"/>
      <c r="C18" s="69">
        <v>176</v>
      </c>
      <c r="D18" s="69">
        <v>1264</v>
      </c>
      <c r="E18" s="69">
        <v>2637</v>
      </c>
      <c r="F18" s="70">
        <v>1</v>
      </c>
      <c r="G18" s="68"/>
      <c r="H18" s="132" t="s">
        <v>211</v>
      </c>
      <c r="I18" s="132"/>
      <c r="J18" s="66"/>
      <c r="K18" s="66"/>
      <c r="L18" s="66"/>
      <c r="M18" s="67"/>
    </row>
    <row r="19" spans="1:13" s="60" customFormat="1">
      <c r="A19" s="133" t="s">
        <v>8</v>
      </c>
      <c r="B19" s="133"/>
      <c r="C19" s="69">
        <v>66</v>
      </c>
      <c r="D19" s="69">
        <v>447</v>
      </c>
      <c r="E19" s="69">
        <v>859</v>
      </c>
      <c r="F19" s="70">
        <v>1</v>
      </c>
      <c r="G19" s="68"/>
      <c r="H19" s="133" t="s">
        <v>124</v>
      </c>
      <c r="I19" s="133"/>
      <c r="J19" s="69">
        <v>188</v>
      </c>
      <c r="K19" s="69">
        <v>34127</v>
      </c>
      <c r="L19" s="69">
        <v>77487</v>
      </c>
      <c r="M19" s="70">
        <v>1</v>
      </c>
    </row>
    <row r="20" spans="1:13" s="60" customFormat="1">
      <c r="A20" s="133" t="s">
        <v>207</v>
      </c>
      <c r="B20" s="133"/>
      <c r="C20" s="69">
        <v>1</v>
      </c>
      <c r="D20" s="69"/>
      <c r="E20" s="69">
        <v>500</v>
      </c>
      <c r="F20" s="70">
        <v>1</v>
      </c>
      <c r="G20" s="68"/>
      <c r="H20" s="66"/>
      <c r="I20" s="66"/>
      <c r="J20" s="66"/>
      <c r="K20" s="66"/>
      <c r="L20" s="66"/>
      <c r="M20" s="66"/>
    </row>
    <row r="21" spans="1:13" s="60" customFormat="1">
      <c r="A21" s="132"/>
      <c r="B21" s="132"/>
      <c r="C21" s="66"/>
      <c r="D21" s="66"/>
      <c r="E21" s="66"/>
      <c r="F21" s="67"/>
      <c r="G21" s="68"/>
      <c r="H21" s="132" t="s">
        <v>30</v>
      </c>
      <c r="I21" s="132"/>
      <c r="J21" s="66"/>
      <c r="K21" s="66"/>
      <c r="L21" s="66"/>
      <c r="M21" s="67"/>
    </row>
    <row r="22" spans="1:13" s="60" customFormat="1">
      <c r="A22" s="132" t="s">
        <v>12</v>
      </c>
      <c r="B22" s="132"/>
      <c r="C22" s="66"/>
      <c r="D22" s="66"/>
      <c r="E22" s="66"/>
      <c r="F22" s="67"/>
      <c r="G22" s="68"/>
      <c r="H22" s="132" t="s">
        <v>31</v>
      </c>
      <c r="I22" s="132"/>
      <c r="J22" s="66"/>
      <c r="K22" s="66"/>
      <c r="L22" s="66"/>
      <c r="M22" s="67"/>
    </row>
    <row r="23" spans="1:13" s="60" customFormat="1">
      <c r="A23" s="132" t="s">
        <v>13</v>
      </c>
      <c r="B23" s="132"/>
      <c r="C23" s="66">
        <v>1</v>
      </c>
      <c r="D23" s="66">
        <v>324</v>
      </c>
      <c r="E23" s="66">
        <v>660</v>
      </c>
      <c r="F23" s="67">
        <f>E23/E$25</f>
        <v>1</v>
      </c>
      <c r="G23" s="68"/>
      <c r="H23" s="132" t="s">
        <v>32</v>
      </c>
      <c r="I23" s="132"/>
      <c r="J23" s="66"/>
      <c r="K23" s="66"/>
      <c r="L23" s="66"/>
      <c r="M23" s="67"/>
    </row>
    <row r="24" spans="1:13" s="60" customFormat="1">
      <c r="A24" s="132" t="s">
        <v>14</v>
      </c>
      <c r="B24" s="132"/>
      <c r="C24" s="66"/>
      <c r="D24" s="66"/>
      <c r="E24" s="66"/>
      <c r="F24" s="67"/>
      <c r="G24" s="68"/>
      <c r="H24" s="132" t="s">
        <v>33</v>
      </c>
      <c r="I24" s="132"/>
      <c r="J24" s="66"/>
      <c r="K24" s="66"/>
      <c r="L24" s="66"/>
      <c r="M24" s="67"/>
    </row>
    <row r="25" spans="1:13" s="60" customFormat="1">
      <c r="A25" s="133" t="s">
        <v>129</v>
      </c>
      <c r="B25" s="133"/>
      <c r="C25" s="69">
        <v>1</v>
      </c>
      <c r="D25" s="69">
        <v>324</v>
      </c>
      <c r="E25" s="69">
        <v>660</v>
      </c>
      <c r="F25" s="70">
        <v>1</v>
      </c>
      <c r="G25" s="68"/>
      <c r="H25" s="133" t="s">
        <v>125</v>
      </c>
      <c r="I25" s="133"/>
      <c r="J25" s="69"/>
      <c r="K25" s="69"/>
      <c r="L25" s="69"/>
      <c r="M25" s="70"/>
    </row>
    <row r="26" spans="1:13" s="60" customFormat="1">
      <c r="A26" s="132"/>
      <c r="B26" s="132"/>
      <c r="C26" s="66"/>
      <c r="D26" s="66"/>
      <c r="E26" s="66"/>
      <c r="F26" s="67"/>
      <c r="G26" s="68"/>
      <c r="H26" s="134"/>
      <c r="I26" s="134"/>
      <c r="J26" s="71"/>
      <c r="K26" s="71"/>
      <c r="L26" s="71"/>
      <c r="M26" s="72"/>
    </row>
    <row r="27" spans="1:13" s="60" customFormat="1">
      <c r="A27" s="132" t="s">
        <v>15</v>
      </c>
      <c r="B27" s="132"/>
      <c r="C27" s="66">
        <v>29</v>
      </c>
      <c r="D27" s="66">
        <v>1397</v>
      </c>
      <c r="E27" s="66">
        <v>2579</v>
      </c>
      <c r="F27" s="67">
        <f>E27/E$35</f>
        <v>1.7083995760466347E-2</v>
      </c>
      <c r="G27" s="68"/>
      <c r="H27" s="132" t="s">
        <v>35</v>
      </c>
      <c r="I27" s="132"/>
      <c r="J27" s="66">
        <v>42</v>
      </c>
      <c r="K27" s="66">
        <v>1057</v>
      </c>
      <c r="L27" s="66">
        <v>1988</v>
      </c>
      <c r="M27" s="67">
        <f>L27/L$30</f>
        <v>0.48989650073928043</v>
      </c>
    </row>
    <row r="28" spans="1:13" s="60" customFormat="1">
      <c r="A28" s="132" t="s">
        <v>16</v>
      </c>
      <c r="B28" s="132"/>
      <c r="C28" s="66">
        <v>55</v>
      </c>
      <c r="D28" s="66">
        <v>4669</v>
      </c>
      <c r="E28" s="66">
        <v>8754</v>
      </c>
      <c r="F28" s="67">
        <f t="shared" ref="F28:F34" si="1">E28/E$35</f>
        <v>5.7988871224165343E-2</v>
      </c>
      <c r="G28" s="68"/>
      <c r="H28" s="132" t="s">
        <v>36</v>
      </c>
      <c r="I28" s="132"/>
      <c r="J28" s="66">
        <v>31</v>
      </c>
      <c r="K28" s="66">
        <v>968</v>
      </c>
      <c r="L28" s="66">
        <v>1834</v>
      </c>
      <c r="M28" s="67">
        <f>L28/L$30</f>
        <v>0.4519467718087728</v>
      </c>
    </row>
    <row r="29" spans="1:13" s="60" customFormat="1">
      <c r="A29" s="132" t="s">
        <v>17</v>
      </c>
      <c r="B29" s="132"/>
      <c r="C29" s="66">
        <v>271</v>
      </c>
      <c r="D29" s="66">
        <v>43397</v>
      </c>
      <c r="E29" s="66">
        <v>81831</v>
      </c>
      <c r="F29" s="67">
        <f t="shared" si="1"/>
        <v>0.54207074721780601</v>
      </c>
      <c r="G29" s="68"/>
      <c r="H29" s="132" t="s">
        <v>37</v>
      </c>
      <c r="I29" s="132"/>
      <c r="J29" s="66">
        <v>3</v>
      </c>
      <c r="K29" s="66">
        <v>128</v>
      </c>
      <c r="L29" s="66">
        <v>236</v>
      </c>
      <c r="M29" s="67">
        <f>L29/L$30</f>
        <v>5.815672745194677E-2</v>
      </c>
    </row>
    <row r="30" spans="1:13" s="60" customFormat="1">
      <c r="A30" s="132" t="s">
        <v>208</v>
      </c>
      <c r="B30" s="132"/>
      <c r="C30" s="66">
        <v>2</v>
      </c>
      <c r="D30" s="66">
        <v>159</v>
      </c>
      <c r="E30" s="66">
        <v>300</v>
      </c>
      <c r="F30" s="67">
        <f t="shared" si="1"/>
        <v>1.9872813990461048E-3</v>
      </c>
      <c r="G30" s="68"/>
      <c r="H30" s="133" t="s">
        <v>128</v>
      </c>
      <c r="I30" s="133"/>
      <c r="J30" s="69">
        <v>76</v>
      </c>
      <c r="K30" s="69">
        <v>2153</v>
      </c>
      <c r="L30" s="69">
        <v>4058</v>
      </c>
      <c r="M30" s="70">
        <v>1</v>
      </c>
    </row>
    <row r="31" spans="1:13" s="60" customFormat="1">
      <c r="A31" s="132" t="s">
        <v>168</v>
      </c>
      <c r="B31" s="132"/>
      <c r="C31" s="66">
        <v>169</v>
      </c>
      <c r="D31" s="66">
        <v>26522</v>
      </c>
      <c r="E31" s="66">
        <v>50456</v>
      </c>
      <c r="F31" s="67">
        <f t="shared" si="1"/>
        <v>0.33423423423423421</v>
      </c>
      <c r="G31" s="68"/>
      <c r="H31" s="134"/>
      <c r="I31" s="134"/>
      <c r="J31" s="71"/>
      <c r="K31" s="71"/>
      <c r="L31" s="71"/>
      <c r="M31" s="72"/>
    </row>
    <row r="32" spans="1:13" s="60" customFormat="1">
      <c r="A32" s="132" t="s">
        <v>200</v>
      </c>
      <c r="B32" s="132"/>
      <c r="C32" s="66">
        <v>3</v>
      </c>
      <c r="D32" s="66">
        <v>385</v>
      </c>
      <c r="E32" s="66">
        <v>733</v>
      </c>
      <c r="F32" s="67">
        <f t="shared" si="1"/>
        <v>4.8555908850026501E-3</v>
      </c>
      <c r="G32" s="68"/>
      <c r="H32" s="132" t="s">
        <v>38</v>
      </c>
      <c r="I32" s="132"/>
      <c r="J32" s="66">
        <v>55</v>
      </c>
      <c r="K32" s="66">
        <v>1203</v>
      </c>
      <c r="L32" s="66">
        <v>2242</v>
      </c>
      <c r="M32" s="67">
        <f>L32/L$35</f>
        <v>0.59595959595959591</v>
      </c>
    </row>
    <row r="33" spans="1:13" s="60" customFormat="1">
      <c r="A33" s="132" t="s">
        <v>19</v>
      </c>
      <c r="B33" s="132"/>
      <c r="C33" s="66">
        <v>24</v>
      </c>
      <c r="D33" s="66">
        <v>2548</v>
      </c>
      <c r="E33" s="66">
        <v>5166</v>
      </c>
      <c r="F33" s="67">
        <f t="shared" si="1"/>
        <v>3.4220985691573926E-2</v>
      </c>
      <c r="G33" s="68"/>
      <c r="H33" s="132" t="s">
        <v>39</v>
      </c>
      <c r="I33" s="132"/>
      <c r="J33" s="66">
        <v>33</v>
      </c>
      <c r="K33" s="66">
        <v>746</v>
      </c>
      <c r="L33" s="66">
        <v>1380</v>
      </c>
      <c r="M33" s="67">
        <f>L33/L$35</f>
        <v>0.3668261562998405</v>
      </c>
    </row>
    <row r="34" spans="1:13" s="60" customFormat="1">
      <c r="A34" s="132" t="s">
        <v>169</v>
      </c>
      <c r="B34" s="135"/>
      <c r="C34" s="66">
        <v>4</v>
      </c>
      <c r="D34" s="66">
        <v>590</v>
      </c>
      <c r="E34" s="66">
        <v>1141</v>
      </c>
      <c r="F34" s="67">
        <f t="shared" si="1"/>
        <v>7.558293587705352E-3</v>
      </c>
      <c r="G34" s="68"/>
      <c r="H34" s="132" t="s">
        <v>40</v>
      </c>
      <c r="I34" s="132"/>
      <c r="J34" s="66">
        <v>3</v>
      </c>
      <c r="K34" s="66">
        <v>74</v>
      </c>
      <c r="L34" s="66">
        <v>140</v>
      </c>
      <c r="M34" s="67">
        <f>L34/L$35</f>
        <v>3.7214247740563533E-2</v>
      </c>
    </row>
    <row r="35" spans="1:13" s="60" customFormat="1">
      <c r="A35" s="133" t="s">
        <v>131</v>
      </c>
      <c r="B35" s="133"/>
      <c r="C35" s="69">
        <f>SUM(C27:C34)</f>
        <v>557</v>
      </c>
      <c r="D35" s="69">
        <f>SUM(D27:D34)</f>
        <v>79667</v>
      </c>
      <c r="E35" s="69">
        <f>SUM(E27:E34)</f>
        <v>150960</v>
      </c>
      <c r="F35" s="70">
        <v>1.0000000000000002</v>
      </c>
      <c r="G35" s="68"/>
      <c r="H35" s="133" t="s">
        <v>130</v>
      </c>
      <c r="I35" s="133"/>
      <c r="J35" s="69">
        <v>91</v>
      </c>
      <c r="K35" s="69">
        <v>2023</v>
      </c>
      <c r="L35" s="69">
        <v>3762</v>
      </c>
      <c r="M35" s="70">
        <v>1</v>
      </c>
    </row>
    <row r="36" spans="1:13" s="60" customFormat="1">
      <c r="A36" s="134"/>
      <c r="B36" s="134"/>
      <c r="C36" s="71"/>
      <c r="D36" s="71"/>
      <c r="E36" s="71"/>
      <c r="F36" s="72"/>
      <c r="G36" s="68"/>
      <c r="H36" s="136"/>
      <c r="I36" s="136"/>
      <c r="J36" s="73"/>
      <c r="K36" s="73"/>
      <c r="L36" s="73"/>
      <c r="M36" s="74"/>
    </row>
    <row r="37" spans="1:13" s="60" customFormat="1">
      <c r="A37" s="132" t="s">
        <v>20</v>
      </c>
      <c r="B37" s="132"/>
      <c r="C37" s="66">
        <v>4</v>
      </c>
      <c r="D37" s="66">
        <v>71</v>
      </c>
      <c r="E37" s="66">
        <v>130</v>
      </c>
      <c r="F37" s="67">
        <f>E37/E$42</f>
        <v>0.16455696202531644</v>
      </c>
      <c r="G37" s="68"/>
      <c r="H37" s="133" t="s">
        <v>42</v>
      </c>
      <c r="I37" s="133"/>
      <c r="J37" s="69">
        <v>18</v>
      </c>
      <c r="K37" s="69">
        <v>278</v>
      </c>
      <c r="L37" s="69">
        <v>538</v>
      </c>
      <c r="M37" s="70">
        <v>1</v>
      </c>
    </row>
    <row r="38" spans="1:13" s="60" customFormat="1">
      <c r="A38" s="132" t="s">
        <v>21</v>
      </c>
      <c r="B38" s="132"/>
      <c r="C38" s="66">
        <v>3</v>
      </c>
      <c r="D38" s="66">
        <v>129</v>
      </c>
      <c r="E38" s="66">
        <v>244</v>
      </c>
      <c r="F38" s="67">
        <f>E38/E$42</f>
        <v>0.30886075949367087</v>
      </c>
      <c r="G38" s="68"/>
      <c r="H38" s="133" t="s">
        <v>43</v>
      </c>
      <c r="I38" s="133"/>
      <c r="J38" s="69">
        <v>8</v>
      </c>
      <c r="K38" s="69">
        <v>129</v>
      </c>
      <c r="L38" s="69">
        <v>230</v>
      </c>
      <c r="M38" s="70">
        <v>1</v>
      </c>
    </row>
    <row r="39" spans="1:13" s="60" customFormat="1">
      <c r="A39" s="132" t="s">
        <v>22</v>
      </c>
      <c r="B39" s="132"/>
      <c r="C39" s="66">
        <v>3</v>
      </c>
      <c r="D39" s="66">
        <v>138</v>
      </c>
      <c r="E39" s="66">
        <v>251</v>
      </c>
      <c r="F39" s="67">
        <f>E39/E$42</f>
        <v>0.31772151898734174</v>
      </c>
      <c r="G39" s="68"/>
      <c r="H39" s="133" t="s">
        <v>44</v>
      </c>
      <c r="I39" s="133"/>
      <c r="J39" s="69">
        <v>1</v>
      </c>
      <c r="K39" s="69">
        <v>12</v>
      </c>
      <c r="L39" s="69">
        <v>23</v>
      </c>
      <c r="M39" s="70">
        <v>1</v>
      </c>
    </row>
    <row r="40" spans="1:13" s="60" customFormat="1">
      <c r="A40" s="132" t="s">
        <v>172</v>
      </c>
      <c r="B40" s="132"/>
      <c r="C40" s="66">
        <v>1</v>
      </c>
      <c r="D40" s="66">
        <v>18</v>
      </c>
      <c r="E40" s="66">
        <v>33</v>
      </c>
      <c r="F40" s="67">
        <f>E40/E$42</f>
        <v>4.1772151898734178E-2</v>
      </c>
      <c r="G40" s="68"/>
      <c r="H40" s="65"/>
      <c r="I40" s="65"/>
      <c r="J40" s="65"/>
      <c r="K40" s="65"/>
      <c r="L40" s="65"/>
      <c r="M40" s="65"/>
    </row>
    <row r="41" spans="1:13" s="60" customFormat="1">
      <c r="A41" s="132" t="s">
        <v>24</v>
      </c>
      <c r="B41" s="132"/>
      <c r="C41" s="66">
        <v>1</v>
      </c>
      <c r="D41" s="66">
        <v>67</v>
      </c>
      <c r="E41" s="66">
        <v>132</v>
      </c>
      <c r="F41" s="67">
        <f>E41/E$42</f>
        <v>0.16708860759493671</v>
      </c>
      <c r="G41" s="68"/>
      <c r="H41" s="65"/>
      <c r="I41" s="65"/>
      <c r="J41" s="65"/>
      <c r="K41" s="65"/>
      <c r="L41" s="65"/>
      <c r="M41" s="65"/>
    </row>
    <row r="42" spans="1:13" s="60" customFormat="1">
      <c r="A42" s="133" t="s">
        <v>132</v>
      </c>
      <c r="B42" s="133"/>
      <c r="C42" s="69">
        <v>12</v>
      </c>
      <c r="D42" s="69">
        <v>423</v>
      </c>
      <c r="E42" s="69">
        <v>790</v>
      </c>
      <c r="F42" s="70">
        <v>1</v>
      </c>
      <c r="G42" s="68"/>
      <c r="H42" s="133" t="s">
        <v>45</v>
      </c>
      <c r="I42" s="133"/>
      <c r="J42" s="69">
        <f>C15+C17+C18+C19+C20+C25+C35+C42+J19+J25+J30+J35+J37+J38+J39</f>
        <v>1571</v>
      </c>
      <c r="K42" s="69">
        <f>D15+D17+D18+D19+D20+D25+D35+D42+K19+K25+K30+K35+K37+K38+K39</f>
        <v>136681</v>
      </c>
      <c r="L42" s="69">
        <f>E15+E17+E18+E19+E20+E25+E35+E42+L19+L25+L30+L35+L37+L38+L39</f>
        <v>284956</v>
      </c>
      <c r="M42" s="65"/>
    </row>
    <row r="43" spans="1:13" s="60" customFormat="1" ht="14.25">
      <c r="G43" s="68"/>
    </row>
    <row r="44" spans="1:13" s="60" customFormat="1">
      <c r="A44" s="132"/>
      <c r="B44" s="132"/>
      <c r="C44" s="66"/>
      <c r="D44" s="66"/>
      <c r="E44" s="66"/>
      <c r="F44" s="67"/>
      <c r="G44" s="68"/>
    </row>
    <row r="45" spans="1:13" s="60" customFormat="1">
      <c r="A45" s="132"/>
      <c r="B45" s="132"/>
      <c r="C45" s="66"/>
      <c r="D45" s="66"/>
      <c r="E45" s="66"/>
      <c r="F45" s="67"/>
      <c r="G45" s="68"/>
    </row>
    <row r="46" spans="1:13" s="60" customFormat="1">
      <c r="A46" s="132"/>
      <c r="B46" s="132"/>
      <c r="C46" s="66"/>
      <c r="D46" s="66"/>
      <c r="E46" s="66"/>
      <c r="F46" s="67"/>
      <c r="G46" s="68"/>
    </row>
    <row r="47" spans="1:13" s="60" customFormat="1">
      <c r="A47" s="132"/>
      <c r="B47" s="132"/>
      <c r="C47" s="66"/>
      <c r="D47" s="66"/>
      <c r="E47" s="66"/>
      <c r="F47" s="67"/>
      <c r="G47" s="68"/>
    </row>
    <row r="48" spans="1:13" s="60" customFormat="1">
      <c r="A48" s="132"/>
      <c r="B48" s="132"/>
      <c r="C48" s="66"/>
      <c r="D48" s="66"/>
      <c r="E48" s="66"/>
      <c r="F48" s="67"/>
    </row>
    <row r="49" spans="1:13" s="60" customFormat="1">
      <c r="A49" s="132"/>
      <c r="B49" s="132"/>
      <c r="C49" s="66"/>
      <c r="D49" s="66"/>
      <c r="E49" s="66"/>
      <c r="F49" s="67"/>
    </row>
    <row r="50" spans="1:13" s="60" customFormat="1">
      <c r="A50" s="132"/>
      <c r="B50" s="132"/>
      <c r="C50" s="66"/>
      <c r="D50" s="66"/>
      <c r="E50" s="66"/>
      <c r="F50" s="67"/>
    </row>
    <row r="51" spans="1:13" s="60" customFormat="1">
      <c r="A51" s="132"/>
      <c r="B51" s="132"/>
      <c r="C51" s="66"/>
      <c r="D51" s="66"/>
      <c r="E51" s="66"/>
      <c r="F51" s="67"/>
      <c r="H51"/>
      <c r="I51"/>
      <c r="J51"/>
      <c r="K51"/>
      <c r="L51"/>
      <c r="M51"/>
    </row>
    <row r="52" spans="1:13" s="60" customFormat="1">
      <c r="H52"/>
      <c r="I52"/>
      <c r="J52"/>
      <c r="K52"/>
      <c r="L52"/>
      <c r="M52"/>
    </row>
  </sheetData>
  <sheetProtection algorithmName="SHA-512" hashValue="9NDFkC9To3IPOSbqc+yLuIP051FWT6tu3os8FwxgbKM6+pA/v5BdvhidoCaydU07sR/2tzvSifCGAAKU75vaqQ==" saltValue="5h1JXNrt6frQxyiXZYu5lQ==" spinCount="100000" sheet="1"/>
  <mergeCells count="75">
    <mergeCell ref="A8:B8"/>
    <mergeCell ref="H8:I8"/>
    <mergeCell ref="A9:B9"/>
    <mergeCell ref="H9:I9"/>
    <mergeCell ref="A10:B10"/>
    <mergeCell ref="H10:I10"/>
    <mergeCell ref="A11:B11"/>
    <mergeCell ref="H21:I21"/>
    <mergeCell ref="A12:B12"/>
    <mergeCell ref="H22:I22"/>
    <mergeCell ref="A13:B13"/>
    <mergeCell ref="H11:I11"/>
    <mergeCell ref="H12:I12"/>
    <mergeCell ref="H13:I13"/>
    <mergeCell ref="A14:B14"/>
    <mergeCell ref="A15:B15"/>
    <mergeCell ref="A16:B16"/>
    <mergeCell ref="A19:B19"/>
    <mergeCell ref="H14:I14"/>
    <mergeCell ref="H15:I15"/>
    <mergeCell ref="H16:I16"/>
    <mergeCell ref="A24:B24"/>
    <mergeCell ref="H23:I23"/>
    <mergeCell ref="H17:I17"/>
    <mergeCell ref="H18:I18"/>
    <mergeCell ref="H19:I19"/>
    <mergeCell ref="A20:B20"/>
    <mergeCell ref="H24:I24"/>
    <mergeCell ref="A21:B21"/>
    <mergeCell ref="A22:B22"/>
    <mergeCell ref="A17:B17"/>
    <mergeCell ref="A18:B18"/>
    <mergeCell ref="A23:B23"/>
    <mergeCell ref="H26:I26"/>
    <mergeCell ref="A25:B25"/>
    <mergeCell ref="H27:I27"/>
    <mergeCell ref="A29:B29"/>
    <mergeCell ref="H28:I28"/>
    <mergeCell ref="H29:I29"/>
    <mergeCell ref="A26:B26"/>
    <mergeCell ref="H25:I25"/>
    <mergeCell ref="H36:I36"/>
    <mergeCell ref="H30:I30"/>
    <mergeCell ref="H35:I35"/>
    <mergeCell ref="A27:B27"/>
    <mergeCell ref="A35:B35"/>
    <mergeCell ref="A36:B36"/>
    <mergeCell ref="H31:I31"/>
    <mergeCell ref="A28:B28"/>
    <mergeCell ref="H32:I32"/>
    <mergeCell ref="A30:B30"/>
    <mergeCell ref="A31:B31"/>
    <mergeCell ref="A32:B32"/>
    <mergeCell ref="A33:B33"/>
    <mergeCell ref="A34:B34"/>
    <mergeCell ref="H33:I33"/>
    <mergeCell ref="H34:I34"/>
    <mergeCell ref="A46:B46"/>
    <mergeCell ref="A38:B38"/>
    <mergeCell ref="H37:I37"/>
    <mergeCell ref="A39:B39"/>
    <mergeCell ref="H38:I38"/>
    <mergeCell ref="A40:B40"/>
    <mergeCell ref="H39:I39"/>
    <mergeCell ref="A37:B37"/>
    <mergeCell ref="A41:B41"/>
    <mergeCell ref="A42:B42"/>
    <mergeCell ref="A44:B44"/>
    <mergeCell ref="H42:I42"/>
    <mergeCell ref="A45:B45"/>
    <mergeCell ref="A47:B47"/>
    <mergeCell ref="A48:B48"/>
    <mergeCell ref="A49:B49"/>
    <mergeCell ref="A50:B50"/>
    <mergeCell ref="A51:B51"/>
  </mergeCells>
  <printOptions horizontalCentered="1" verticalCentered="1"/>
  <pageMargins left="0" right="0" top="0" bottom="0" header="0.31496062992125984" footer="0.31496062992125984"/>
  <pageSetup paperSize="9" scale="75"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CZ61"/>
  <sheetViews>
    <sheetView showGridLines="0" zoomScaleNormal="100" workbookViewId="0"/>
  </sheetViews>
  <sheetFormatPr baseColWidth="10" defaultRowHeight="15"/>
  <cols>
    <col min="1" max="1" width="79.85546875" customWidth="1"/>
    <col min="36" max="45" width="11.42578125" customWidth="1"/>
  </cols>
  <sheetData>
    <row r="2" spans="1:104" s="27" customFormat="1" ht="16.5">
      <c r="A2" s="1" t="s">
        <v>195</v>
      </c>
      <c r="BV2" s="51"/>
      <c r="BW2" s="51"/>
    </row>
    <row r="3" spans="1:104" s="27" customFormat="1" ht="16.5">
      <c r="A3" s="3" t="s">
        <v>196</v>
      </c>
      <c r="BV3" s="51"/>
      <c r="BW3" s="51"/>
    </row>
    <row r="4" spans="1:104" s="27" customFormat="1" ht="16.5">
      <c r="A4" s="3" t="s">
        <v>197</v>
      </c>
      <c r="BV4" s="51"/>
      <c r="BW4" s="51"/>
    </row>
    <row r="5" spans="1:104" s="27" customFormat="1" ht="12.75">
      <c r="BV5" s="51"/>
      <c r="BW5" s="51"/>
    </row>
    <row r="6" spans="1:104" s="51" customFormat="1">
      <c r="A6" s="138" t="s">
        <v>187</v>
      </c>
      <c r="B6" s="137" t="s">
        <v>119</v>
      </c>
      <c r="C6" s="137"/>
      <c r="D6" s="137" t="s">
        <v>120</v>
      </c>
      <c r="E6" s="137"/>
      <c r="F6" s="137" t="s">
        <v>121</v>
      </c>
      <c r="G6" s="137"/>
      <c r="H6" s="137" t="s">
        <v>122</v>
      </c>
      <c r="I6" s="137"/>
      <c r="J6" s="137" t="s">
        <v>167</v>
      </c>
      <c r="K6" s="137"/>
      <c r="L6" s="137" t="s">
        <v>42</v>
      </c>
      <c r="M6" s="137"/>
      <c r="N6" s="137" t="s">
        <v>198</v>
      </c>
      <c r="O6" s="137"/>
      <c r="P6" s="137" t="s">
        <v>13</v>
      </c>
      <c r="Q6" s="137"/>
      <c r="R6" s="137" t="s">
        <v>43</v>
      </c>
      <c r="S6" s="137"/>
      <c r="T6" s="137" t="s">
        <v>15</v>
      </c>
      <c r="U6" s="137"/>
      <c r="V6" s="137" t="s">
        <v>16</v>
      </c>
      <c r="W6" s="137"/>
      <c r="X6" s="137" t="s">
        <v>17</v>
      </c>
      <c r="Y6" s="137"/>
      <c r="Z6" s="137" t="s">
        <v>199</v>
      </c>
      <c r="AA6" s="137"/>
      <c r="AB6" s="137" t="s">
        <v>168</v>
      </c>
      <c r="AC6" s="137"/>
      <c r="AD6" s="137" t="s">
        <v>200</v>
      </c>
      <c r="AE6" s="137"/>
      <c r="AF6" s="137" t="s">
        <v>19</v>
      </c>
      <c r="AG6" s="137"/>
      <c r="AH6" s="137" t="s">
        <v>169</v>
      </c>
      <c r="AI6" s="137"/>
      <c r="AJ6" s="137" t="s">
        <v>25</v>
      </c>
      <c r="AK6" s="137"/>
      <c r="AL6" s="137" t="s">
        <v>26</v>
      </c>
      <c r="AM6" s="137"/>
      <c r="AN6" s="137" t="s">
        <v>27</v>
      </c>
      <c r="AO6" s="137"/>
      <c r="AP6" s="137" t="s">
        <v>28</v>
      </c>
      <c r="AQ6" s="137"/>
      <c r="AR6" s="137" t="s">
        <v>29</v>
      </c>
      <c r="AS6" s="137"/>
      <c r="AT6" s="137" t="s">
        <v>171</v>
      </c>
      <c r="AU6" s="137"/>
      <c r="AV6" s="137" t="s">
        <v>21</v>
      </c>
      <c r="AW6" s="137"/>
      <c r="AX6" s="137" t="s">
        <v>22</v>
      </c>
      <c r="AY6" s="137"/>
      <c r="AZ6" s="137" t="s">
        <v>172</v>
      </c>
      <c r="BA6" s="137"/>
      <c r="BB6" s="137" t="s">
        <v>24</v>
      </c>
      <c r="BC6" s="137"/>
      <c r="BD6" s="137" t="s">
        <v>7</v>
      </c>
      <c r="BE6" s="137"/>
      <c r="BF6" s="137" t="s">
        <v>35</v>
      </c>
      <c r="BG6" s="137"/>
      <c r="BH6" s="137" t="s">
        <v>36</v>
      </c>
      <c r="BI6" s="137"/>
      <c r="BJ6" s="137" t="s">
        <v>37</v>
      </c>
      <c r="BK6" s="137"/>
      <c r="BL6" s="137" t="s">
        <v>38</v>
      </c>
      <c r="BM6" s="137"/>
      <c r="BN6" s="137" t="s">
        <v>39</v>
      </c>
      <c r="BO6" s="137"/>
      <c r="BP6" s="137" t="s">
        <v>40</v>
      </c>
      <c r="BQ6" s="137"/>
      <c r="BR6" s="137" t="s">
        <v>44</v>
      </c>
      <c r="BS6" s="137"/>
      <c r="BT6" s="137" t="s">
        <v>8</v>
      </c>
      <c r="BU6" s="137"/>
      <c r="BV6" s="137" t="s">
        <v>45</v>
      </c>
      <c r="BW6" s="137"/>
    </row>
    <row r="7" spans="1:104" s="51" customFormat="1">
      <c r="A7" s="138"/>
      <c r="B7" s="4"/>
      <c r="C7" s="4" t="s">
        <v>176</v>
      </c>
      <c r="D7" s="4"/>
      <c r="E7" s="4"/>
      <c r="F7" s="4"/>
      <c r="G7" s="4"/>
      <c r="H7" s="4"/>
      <c r="I7" s="4" t="s">
        <v>176</v>
      </c>
      <c r="J7" s="4"/>
      <c r="K7" s="4" t="s">
        <v>176</v>
      </c>
      <c r="L7" s="4"/>
      <c r="M7" s="4" t="s">
        <v>176</v>
      </c>
      <c r="N7" s="4"/>
      <c r="O7" s="4" t="s">
        <v>176</v>
      </c>
      <c r="P7" s="4"/>
      <c r="Q7" s="4" t="s">
        <v>176</v>
      </c>
      <c r="R7" s="4"/>
      <c r="S7" s="4" t="s">
        <v>176</v>
      </c>
      <c r="T7" s="4"/>
      <c r="U7" s="4" t="s">
        <v>176</v>
      </c>
      <c r="V7" s="4"/>
      <c r="W7" s="4" t="s">
        <v>176</v>
      </c>
      <c r="X7" s="4"/>
      <c r="Y7" s="4" t="s">
        <v>176</v>
      </c>
      <c r="Z7" s="4"/>
      <c r="AA7" s="4" t="s">
        <v>176</v>
      </c>
      <c r="AB7" s="4"/>
      <c r="AC7" s="4" t="s">
        <v>176</v>
      </c>
      <c r="AD7" s="4"/>
      <c r="AE7" s="4" t="s">
        <v>176</v>
      </c>
      <c r="AF7" s="4"/>
      <c r="AG7" s="4" t="s">
        <v>176</v>
      </c>
      <c r="AH7" s="4"/>
      <c r="AI7" s="4" t="s">
        <v>176</v>
      </c>
      <c r="AJ7" s="4"/>
      <c r="AK7" s="4" t="s">
        <v>176</v>
      </c>
      <c r="AL7" s="4"/>
      <c r="AM7" s="4" t="s">
        <v>176</v>
      </c>
      <c r="AN7" s="4"/>
      <c r="AO7" s="4" t="s">
        <v>176</v>
      </c>
      <c r="AP7" s="4"/>
      <c r="AQ7" s="4" t="s">
        <v>176</v>
      </c>
      <c r="AR7" s="4"/>
      <c r="AS7" s="4" t="s">
        <v>176</v>
      </c>
      <c r="AT7" s="4"/>
      <c r="AU7" s="4" t="s">
        <v>176</v>
      </c>
      <c r="AV7" s="4"/>
      <c r="AW7" s="4" t="s">
        <v>176</v>
      </c>
      <c r="AX7" s="4"/>
      <c r="AY7" s="4" t="s">
        <v>176</v>
      </c>
      <c r="AZ7" s="4"/>
      <c r="BA7" s="4" t="s">
        <v>176</v>
      </c>
      <c r="BB7" s="4"/>
      <c r="BC7" s="4" t="s">
        <v>176</v>
      </c>
      <c r="BD7" s="4"/>
      <c r="BE7" s="4" t="s">
        <v>176</v>
      </c>
      <c r="BF7" s="4"/>
      <c r="BG7" s="4" t="s">
        <v>176</v>
      </c>
      <c r="BH7" s="4"/>
      <c r="BI7" s="4" t="s">
        <v>176</v>
      </c>
      <c r="BJ7" s="4"/>
      <c r="BK7" s="4" t="s">
        <v>176</v>
      </c>
      <c r="BL7" s="4"/>
      <c r="BM7" s="4" t="s">
        <v>176</v>
      </c>
      <c r="BN7" s="4"/>
      <c r="BO7" s="4" t="s">
        <v>176</v>
      </c>
      <c r="BP7" s="4"/>
      <c r="BQ7" s="4" t="s">
        <v>176</v>
      </c>
      <c r="BR7" s="4"/>
      <c r="BS7" s="4" t="s">
        <v>176</v>
      </c>
      <c r="BT7" s="4"/>
      <c r="BU7" s="4" t="s">
        <v>176</v>
      </c>
      <c r="BV7" s="4"/>
      <c r="BW7" s="4"/>
    </row>
    <row r="8" spans="1:104" s="51" customFormat="1">
      <c r="A8" s="138" t="s">
        <v>188</v>
      </c>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46</v>
      </c>
      <c r="BC8" s="4" t="s">
        <v>47</v>
      </c>
      <c r="BD8" s="4" t="s">
        <v>46</v>
      </c>
      <c r="BE8" s="4" t="s">
        <v>47</v>
      </c>
      <c r="BF8" s="4" t="s">
        <v>46</v>
      </c>
      <c r="BG8" s="4" t="s">
        <v>47</v>
      </c>
      <c r="BH8" s="4" t="s">
        <v>46</v>
      </c>
      <c r="BI8" s="4" t="s">
        <v>47</v>
      </c>
      <c r="BJ8" s="4" t="s">
        <v>46</v>
      </c>
      <c r="BK8" s="4" t="s">
        <v>47</v>
      </c>
      <c r="BL8" s="4" t="s">
        <v>46</v>
      </c>
      <c r="BM8" s="4" t="s">
        <v>47</v>
      </c>
      <c r="BN8" s="4" t="s">
        <v>46</v>
      </c>
      <c r="BO8" s="4" t="s">
        <v>47</v>
      </c>
      <c r="BP8" s="4" t="s">
        <v>46</v>
      </c>
      <c r="BQ8" s="4" t="s">
        <v>47</v>
      </c>
      <c r="BR8" s="4" t="s">
        <v>46</v>
      </c>
      <c r="BS8" s="4" t="s">
        <v>47</v>
      </c>
      <c r="BT8" s="4" t="s">
        <v>46</v>
      </c>
      <c r="BU8" s="4" t="s">
        <v>47</v>
      </c>
      <c r="BV8" s="4" t="s">
        <v>46</v>
      </c>
      <c r="BW8" s="4" t="s">
        <v>47</v>
      </c>
    </row>
    <row r="9" spans="1:104" s="27" customFormat="1">
      <c r="A9" s="5" t="s">
        <v>48</v>
      </c>
      <c r="B9" s="6"/>
      <c r="C9" s="6"/>
      <c r="D9" s="6"/>
      <c r="E9" s="6"/>
      <c r="F9" s="6"/>
      <c r="G9" s="6"/>
      <c r="H9" s="6"/>
      <c r="I9" s="6"/>
      <c r="J9" s="6">
        <v>2</v>
      </c>
      <c r="K9" s="6">
        <v>16</v>
      </c>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v>1</v>
      </c>
      <c r="BE9" s="6">
        <v>50</v>
      </c>
      <c r="BF9" s="6"/>
      <c r="BG9" s="6"/>
      <c r="BH9" s="6"/>
      <c r="BI9" s="6"/>
      <c r="BJ9" s="6"/>
      <c r="BK9" s="6"/>
      <c r="BL9" s="6"/>
      <c r="BM9" s="6"/>
      <c r="BN9" s="6">
        <v>1</v>
      </c>
      <c r="BO9" s="6">
        <v>21</v>
      </c>
      <c r="BP9" s="6"/>
      <c r="BQ9" s="6"/>
      <c r="BR9" s="6"/>
      <c r="BS9" s="6"/>
      <c r="BT9" s="6">
        <v>4</v>
      </c>
      <c r="BU9" s="6">
        <v>50</v>
      </c>
      <c r="BV9" s="8">
        <f>B9+D9+F9+H9+J9+L9+N9+P9+R9+T9+V9+X9+Z9+AB9+AD9+AF9+AH9+AJ9+AL9+AN9+AP9+AR9+AT9+AV9+AX9+AZ9+BB9+BD9+BF9+BH9+BJ9+BL9+BN9+BP9+BR9+BT9</f>
        <v>8</v>
      </c>
      <c r="BW9" s="8">
        <f>C9+E9+G9+I9+K9+M9+O9+Q9+S9+U9+W9+Y9+AA9+AC9+AE9+AG9+AI9+AK9+AM9+AO9+AQ9+AS9+AU9+AW9+AY9+BA9+BC9+BE9+BG9+BI9+BK9+BM9+BO9+BQ9+BS9+BU9</f>
        <v>137</v>
      </c>
      <c r="BX9" s="52"/>
      <c r="BY9" s="52"/>
      <c r="BZ9" s="52"/>
      <c r="CZ9" s="53"/>
    </row>
    <row r="10" spans="1:104" s="27" customFormat="1">
      <c r="A10" s="10" t="s">
        <v>49</v>
      </c>
      <c r="B10" s="6">
        <v>5</v>
      </c>
      <c r="C10" s="6">
        <v>273</v>
      </c>
      <c r="D10" s="6">
        <v>19</v>
      </c>
      <c r="E10" s="6">
        <v>2946</v>
      </c>
      <c r="F10" s="6">
        <v>6</v>
      </c>
      <c r="G10" s="6">
        <v>4752</v>
      </c>
      <c r="H10" s="6"/>
      <c r="I10" s="6"/>
      <c r="J10" s="6">
        <v>4</v>
      </c>
      <c r="K10" s="6">
        <v>54</v>
      </c>
      <c r="L10" s="6"/>
      <c r="M10" s="6"/>
      <c r="N10" s="6"/>
      <c r="O10" s="6"/>
      <c r="P10" s="6"/>
      <c r="Q10" s="6"/>
      <c r="R10" s="6">
        <v>1</v>
      </c>
      <c r="S10" s="6">
        <v>32</v>
      </c>
      <c r="T10" s="6"/>
      <c r="U10" s="6"/>
      <c r="V10" s="6"/>
      <c r="W10" s="6"/>
      <c r="X10" s="6">
        <v>17</v>
      </c>
      <c r="Y10" s="6">
        <v>7935</v>
      </c>
      <c r="Z10" s="6"/>
      <c r="AA10" s="6"/>
      <c r="AB10" s="6">
        <v>4</v>
      </c>
      <c r="AC10" s="6">
        <v>2406</v>
      </c>
      <c r="AD10" s="6"/>
      <c r="AE10" s="6"/>
      <c r="AF10" s="6"/>
      <c r="AG10" s="6"/>
      <c r="AH10" s="6"/>
      <c r="AI10" s="6"/>
      <c r="AJ10" s="6"/>
      <c r="AK10" s="6"/>
      <c r="AL10" s="6">
        <v>1</v>
      </c>
      <c r="AM10" s="6">
        <v>615</v>
      </c>
      <c r="AN10" s="6">
        <v>9</v>
      </c>
      <c r="AO10" s="6">
        <v>3698</v>
      </c>
      <c r="AP10" s="6">
        <v>10</v>
      </c>
      <c r="AQ10" s="6">
        <v>3294</v>
      </c>
      <c r="AR10" s="6"/>
      <c r="AS10" s="6"/>
      <c r="AT10" s="6"/>
      <c r="AU10" s="6"/>
      <c r="AV10" s="6"/>
      <c r="AW10" s="6"/>
      <c r="AX10" s="6"/>
      <c r="AY10" s="6"/>
      <c r="AZ10" s="6"/>
      <c r="BA10" s="6"/>
      <c r="BB10" s="6"/>
      <c r="BC10" s="6"/>
      <c r="BD10" s="6"/>
      <c r="BE10" s="6"/>
      <c r="BF10" s="6">
        <v>2</v>
      </c>
      <c r="BG10" s="6">
        <v>76</v>
      </c>
      <c r="BH10" s="6"/>
      <c r="BI10" s="6"/>
      <c r="BJ10" s="6"/>
      <c r="BK10" s="6"/>
      <c r="BL10" s="6">
        <v>1</v>
      </c>
      <c r="BM10" s="6">
        <v>55</v>
      </c>
      <c r="BN10" s="6">
        <v>1</v>
      </c>
      <c r="BO10" s="6">
        <v>39</v>
      </c>
      <c r="BP10" s="6"/>
      <c r="BQ10" s="6"/>
      <c r="BR10" s="6"/>
      <c r="BS10" s="6"/>
      <c r="BT10" s="6">
        <v>5</v>
      </c>
      <c r="BU10" s="6">
        <v>58</v>
      </c>
      <c r="BV10" s="8">
        <f t="shared" ref="BV10:BV57" si="0">B10+D10+F10+H10+J10+L10+N10+P10+R10+T10+V10+X10+Z10+AB10+AD10+AF10+AH10+AJ10+AL10+AN10+AP10+AR10+AT10+AV10+AX10+AZ10+BB10+BD10+BF10+BH10+BJ10+BL10+BN10+BP10+BR10+BT10</f>
        <v>85</v>
      </c>
      <c r="BW10" s="8">
        <f t="shared" ref="BW10:BW57" si="1">C10+E10+G10+I10+K10+M10+O10+Q10+S10+U10+W10+Y10+AA10+AC10+AE10+AG10+AI10+AK10+AM10+AO10+AQ10+AS10+AU10+AW10+AY10+BA10+BC10+BE10+BG10+BI10+BK10+BM10+BO10+BQ10+BS10+BU10</f>
        <v>26233</v>
      </c>
      <c r="BX10" s="52"/>
      <c r="BY10" s="52"/>
      <c r="BZ10" s="52"/>
    </row>
    <row r="11" spans="1:104" s="27" customFormat="1">
      <c r="A11" s="5" t="s">
        <v>50</v>
      </c>
      <c r="B11" s="6"/>
      <c r="C11" s="6"/>
      <c r="D11" s="6"/>
      <c r="E11" s="6"/>
      <c r="F11" s="6"/>
      <c r="G11" s="6"/>
      <c r="H11" s="6"/>
      <c r="I11" s="6"/>
      <c r="J11" s="6">
        <v>1</v>
      </c>
      <c r="K11" s="6">
        <v>20</v>
      </c>
      <c r="L11" s="6"/>
      <c r="M11" s="6"/>
      <c r="N11" s="6"/>
      <c r="O11" s="6"/>
      <c r="P11" s="6"/>
      <c r="Q11" s="6"/>
      <c r="R11" s="6"/>
      <c r="S11" s="6"/>
      <c r="T11" s="6"/>
      <c r="U11" s="6"/>
      <c r="V11" s="6"/>
      <c r="W11" s="6"/>
      <c r="X11" s="6">
        <v>1</v>
      </c>
      <c r="Y11" s="6">
        <v>28</v>
      </c>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v>1</v>
      </c>
      <c r="BE11" s="6">
        <v>31</v>
      </c>
      <c r="BF11" s="6"/>
      <c r="BG11" s="6"/>
      <c r="BH11" s="6"/>
      <c r="BI11" s="6"/>
      <c r="BJ11" s="6"/>
      <c r="BK11" s="6"/>
      <c r="BL11" s="6"/>
      <c r="BM11" s="6"/>
      <c r="BN11" s="6"/>
      <c r="BO11" s="6"/>
      <c r="BP11" s="6"/>
      <c r="BQ11" s="6"/>
      <c r="BR11" s="6"/>
      <c r="BS11" s="6"/>
      <c r="BT11" s="6">
        <v>1</v>
      </c>
      <c r="BU11" s="6">
        <v>10</v>
      </c>
      <c r="BV11" s="8">
        <f t="shared" si="0"/>
        <v>4</v>
      </c>
      <c r="BW11" s="8">
        <f t="shared" si="1"/>
        <v>89</v>
      </c>
      <c r="BX11" s="52"/>
      <c r="BY11" s="52"/>
      <c r="BZ11" s="52"/>
    </row>
    <row r="12" spans="1:104" s="27" customFormat="1">
      <c r="A12" s="5" t="s">
        <v>51</v>
      </c>
      <c r="B12" s="6">
        <v>1</v>
      </c>
      <c r="C12" s="6">
        <v>54</v>
      </c>
      <c r="D12" s="6">
        <v>1</v>
      </c>
      <c r="E12" s="6">
        <v>98</v>
      </c>
      <c r="F12" s="6">
        <v>2</v>
      </c>
      <c r="G12" s="6">
        <v>446</v>
      </c>
      <c r="H12" s="6"/>
      <c r="I12" s="6"/>
      <c r="J12" s="6">
        <v>1</v>
      </c>
      <c r="K12" s="6">
        <v>14</v>
      </c>
      <c r="L12" s="6"/>
      <c r="M12" s="6"/>
      <c r="N12" s="6"/>
      <c r="O12" s="6"/>
      <c r="P12" s="6"/>
      <c r="Q12" s="6"/>
      <c r="R12" s="6"/>
      <c r="S12" s="6"/>
      <c r="T12" s="6"/>
      <c r="U12" s="6"/>
      <c r="V12" s="6"/>
      <c r="W12" s="6"/>
      <c r="X12" s="6">
        <v>2</v>
      </c>
      <c r="Y12" s="6">
        <v>309</v>
      </c>
      <c r="Z12" s="6"/>
      <c r="AA12" s="6"/>
      <c r="AB12" s="6">
        <v>4</v>
      </c>
      <c r="AC12" s="6">
        <v>1703</v>
      </c>
      <c r="AD12" s="6"/>
      <c r="AE12" s="6"/>
      <c r="AF12" s="6">
        <v>1</v>
      </c>
      <c r="AG12" s="6">
        <v>330</v>
      </c>
      <c r="AH12" s="6"/>
      <c r="AI12" s="6"/>
      <c r="AJ12" s="6"/>
      <c r="AK12" s="6"/>
      <c r="AL12" s="6"/>
      <c r="AM12" s="6"/>
      <c r="AN12" s="6"/>
      <c r="AO12" s="6"/>
      <c r="AP12" s="6">
        <v>3</v>
      </c>
      <c r="AQ12" s="6">
        <v>546</v>
      </c>
      <c r="AR12" s="6"/>
      <c r="AS12" s="6"/>
      <c r="AT12" s="6"/>
      <c r="AU12" s="6"/>
      <c r="AV12" s="6"/>
      <c r="AW12" s="6"/>
      <c r="AX12" s="6"/>
      <c r="AY12" s="6"/>
      <c r="AZ12" s="6"/>
      <c r="BA12" s="6"/>
      <c r="BB12" s="6"/>
      <c r="BC12" s="6"/>
      <c r="BD12" s="6"/>
      <c r="BE12" s="6"/>
      <c r="BF12" s="6">
        <v>1</v>
      </c>
      <c r="BG12" s="6">
        <v>40</v>
      </c>
      <c r="BH12" s="6"/>
      <c r="BI12" s="6"/>
      <c r="BJ12" s="6"/>
      <c r="BK12" s="6"/>
      <c r="BL12" s="6"/>
      <c r="BM12" s="6"/>
      <c r="BN12" s="6">
        <v>1</v>
      </c>
      <c r="BO12" s="6">
        <v>28</v>
      </c>
      <c r="BP12" s="6"/>
      <c r="BQ12" s="6"/>
      <c r="BR12" s="6"/>
      <c r="BS12" s="6"/>
      <c r="BT12" s="6">
        <v>1</v>
      </c>
      <c r="BU12" s="6">
        <v>8</v>
      </c>
      <c r="BV12" s="8">
        <f t="shared" si="0"/>
        <v>18</v>
      </c>
      <c r="BW12" s="8">
        <f t="shared" si="1"/>
        <v>3576</v>
      </c>
      <c r="BX12" s="52"/>
      <c r="BY12" s="52"/>
      <c r="BZ12" s="52"/>
    </row>
    <row r="13" spans="1:104" s="27" customFormat="1">
      <c r="A13" s="5" t="s">
        <v>203</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v>1</v>
      </c>
      <c r="BU13" s="6">
        <v>8</v>
      </c>
      <c r="BV13" s="8">
        <f t="shared" si="0"/>
        <v>1</v>
      </c>
      <c r="BW13" s="8">
        <f t="shared" si="1"/>
        <v>8</v>
      </c>
      <c r="BX13" s="52"/>
      <c r="BY13" s="52"/>
      <c r="BZ13" s="52"/>
    </row>
    <row r="14" spans="1:104" s="27" customFormat="1">
      <c r="A14" s="5" t="s">
        <v>52</v>
      </c>
      <c r="B14" s="6">
        <v>1</v>
      </c>
      <c r="C14" s="6">
        <v>38</v>
      </c>
      <c r="D14" s="6"/>
      <c r="E14" s="6"/>
      <c r="F14" s="6"/>
      <c r="G14" s="6"/>
      <c r="H14" s="6"/>
      <c r="I14" s="6"/>
      <c r="J14" s="6">
        <v>6</v>
      </c>
      <c r="K14" s="6">
        <v>61</v>
      </c>
      <c r="L14" s="6"/>
      <c r="M14" s="6"/>
      <c r="N14" s="6"/>
      <c r="O14" s="6"/>
      <c r="P14" s="6"/>
      <c r="Q14" s="6"/>
      <c r="R14" s="6"/>
      <c r="S14" s="6"/>
      <c r="T14" s="6"/>
      <c r="U14" s="6"/>
      <c r="V14" s="6"/>
      <c r="W14" s="6"/>
      <c r="X14" s="6"/>
      <c r="Y14" s="6"/>
      <c r="Z14" s="6"/>
      <c r="AA14" s="6"/>
      <c r="AB14" s="6">
        <v>1</v>
      </c>
      <c r="AC14" s="6">
        <v>16</v>
      </c>
      <c r="AD14" s="6"/>
      <c r="AE14" s="6"/>
      <c r="AF14" s="6"/>
      <c r="AG14" s="6"/>
      <c r="AH14" s="6"/>
      <c r="AI14" s="6"/>
      <c r="AJ14" s="6"/>
      <c r="AK14" s="6"/>
      <c r="AL14" s="6"/>
      <c r="AM14" s="6"/>
      <c r="AN14" s="6"/>
      <c r="AO14" s="6"/>
      <c r="AP14" s="6">
        <v>1</v>
      </c>
      <c r="AQ14" s="6">
        <v>89</v>
      </c>
      <c r="AR14" s="6"/>
      <c r="AS14" s="6"/>
      <c r="AT14" s="6"/>
      <c r="AU14" s="6"/>
      <c r="AV14" s="6"/>
      <c r="AW14" s="6"/>
      <c r="AX14" s="6"/>
      <c r="AY14" s="6"/>
      <c r="AZ14" s="6"/>
      <c r="BA14" s="6"/>
      <c r="BB14" s="6"/>
      <c r="BC14" s="6"/>
      <c r="BD14" s="6">
        <v>1</v>
      </c>
      <c r="BE14" s="6">
        <v>50</v>
      </c>
      <c r="BF14" s="6">
        <v>1</v>
      </c>
      <c r="BG14" s="6">
        <v>15</v>
      </c>
      <c r="BH14" s="6">
        <v>1</v>
      </c>
      <c r="BI14" s="6">
        <v>12</v>
      </c>
      <c r="BJ14" s="6"/>
      <c r="BK14" s="6"/>
      <c r="BL14" s="6"/>
      <c r="BM14" s="6"/>
      <c r="BN14" s="6"/>
      <c r="BO14" s="6"/>
      <c r="BP14" s="6"/>
      <c r="BQ14" s="6"/>
      <c r="BR14" s="6"/>
      <c r="BS14" s="6"/>
      <c r="BT14" s="6">
        <v>3</v>
      </c>
      <c r="BU14" s="6">
        <v>40</v>
      </c>
      <c r="BV14" s="8">
        <f t="shared" si="0"/>
        <v>15</v>
      </c>
      <c r="BW14" s="8">
        <f t="shared" si="1"/>
        <v>321</v>
      </c>
      <c r="BX14" s="52"/>
      <c r="BY14" s="52"/>
      <c r="BZ14" s="52"/>
    </row>
    <row r="15" spans="1:104" s="27" customFormat="1">
      <c r="A15" s="5" t="s">
        <v>53</v>
      </c>
      <c r="B15" s="6"/>
      <c r="C15" s="6"/>
      <c r="D15" s="6"/>
      <c r="E15" s="6"/>
      <c r="F15" s="6"/>
      <c r="G15" s="6"/>
      <c r="H15" s="6"/>
      <c r="I15" s="6"/>
      <c r="J15" s="6"/>
      <c r="K15" s="6"/>
      <c r="L15" s="6"/>
      <c r="M15" s="6"/>
      <c r="N15" s="6"/>
      <c r="O15" s="6"/>
      <c r="P15" s="6"/>
      <c r="Q15" s="6"/>
      <c r="R15" s="6"/>
      <c r="S15" s="6"/>
      <c r="T15" s="6"/>
      <c r="U15" s="6"/>
      <c r="V15" s="6"/>
      <c r="W15" s="6"/>
      <c r="X15" s="6">
        <v>2</v>
      </c>
      <c r="Y15" s="6">
        <v>121</v>
      </c>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v>1</v>
      </c>
      <c r="BI15" s="6">
        <v>75</v>
      </c>
      <c r="BJ15" s="6"/>
      <c r="BK15" s="6"/>
      <c r="BL15" s="6"/>
      <c r="BM15" s="6"/>
      <c r="BN15" s="6"/>
      <c r="BO15" s="6"/>
      <c r="BP15" s="6"/>
      <c r="BQ15" s="6"/>
      <c r="BR15" s="6"/>
      <c r="BS15" s="6"/>
      <c r="BT15" s="6">
        <v>3</v>
      </c>
      <c r="BU15" s="6">
        <v>35</v>
      </c>
      <c r="BV15" s="8">
        <f t="shared" si="0"/>
        <v>6</v>
      </c>
      <c r="BW15" s="8">
        <f t="shared" si="1"/>
        <v>231</v>
      </c>
      <c r="BX15" s="52"/>
      <c r="BY15" s="52"/>
      <c r="BZ15" s="52"/>
    </row>
    <row r="16" spans="1:104" s="27" customFormat="1">
      <c r="A16" s="5" t="s">
        <v>54</v>
      </c>
      <c r="B16" s="6"/>
      <c r="C16" s="6"/>
      <c r="D16" s="6"/>
      <c r="E16" s="6"/>
      <c r="F16" s="6"/>
      <c r="G16" s="6"/>
      <c r="H16" s="6"/>
      <c r="I16" s="6"/>
      <c r="J16" s="6">
        <v>2</v>
      </c>
      <c r="K16" s="6">
        <v>43</v>
      </c>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v>1</v>
      </c>
      <c r="BA16" s="6">
        <v>33</v>
      </c>
      <c r="BB16" s="6"/>
      <c r="BC16" s="6"/>
      <c r="BD16" s="6"/>
      <c r="BE16" s="6"/>
      <c r="BF16" s="6"/>
      <c r="BG16" s="6"/>
      <c r="BH16" s="6"/>
      <c r="BI16" s="6"/>
      <c r="BJ16" s="6"/>
      <c r="BK16" s="6"/>
      <c r="BL16" s="6"/>
      <c r="BM16" s="6"/>
      <c r="BN16" s="6"/>
      <c r="BO16" s="6"/>
      <c r="BP16" s="6"/>
      <c r="BQ16" s="6"/>
      <c r="BR16" s="6"/>
      <c r="BS16" s="6"/>
      <c r="BT16" s="6"/>
      <c r="BU16" s="6"/>
      <c r="BV16" s="8">
        <f t="shared" si="0"/>
        <v>3</v>
      </c>
      <c r="BW16" s="8">
        <f t="shared" si="1"/>
        <v>76</v>
      </c>
      <c r="BX16" s="52"/>
      <c r="BY16" s="52"/>
      <c r="BZ16" s="52"/>
    </row>
    <row r="17" spans="1:78" s="27" customFormat="1">
      <c r="A17" s="5" t="s">
        <v>55</v>
      </c>
      <c r="B17" s="6"/>
      <c r="C17" s="6"/>
      <c r="D17" s="6"/>
      <c r="E17" s="6"/>
      <c r="F17" s="6"/>
      <c r="G17" s="6"/>
      <c r="H17" s="6"/>
      <c r="I17" s="6"/>
      <c r="J17" s="6">
        <v>1</v>
      </c>
      <c r="K17" s="6">
        <v>12</v>
      </c>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8">
        <f t="shared" si="0"/>
        <v>1</v>
      </c>
      <c r="BW17" s="8">
        <f t="shared" si="1"/>
        <v>12</v>
      </c>
      <c r="BX17" s="52"/>
      <c r="BY17" s="52"/>
      <c r="BZ17" s="52"/>
    </row>
    <row r="18" spans="1:78" s="27" customFormat="1">
      <c r="A18" s="5" t="s">
        <v>56</v>
      </c>
      <c r="B18" s="6"/>
      <c r="C18" s="6"/>
      <c r="D18" s="6"/>
      <c r="E18" s="6"/>
      <c r="F18" s="6"/>
      <c r="G18" s="6"/>
      <c r="H18" s="6"/>
      <c r="I18" s="6"/>
      <c r="J18" s="6">
        <v>11</v>
      </c>
      <c r="K18" s="6">
        <v>140</v>
      </c>
      <c r="L18" s="6"/>
      <c r="M18" s="6"/>
      <c r="N18" s="6"/>
      <c r="O18" s="6"/>
      <c r="P18" s="6"/>
      <c r="Q18" s="6"/>
      <c r="R18" s="6"/>
      <c r="S18" s="6"/>
      <c r="T18" s="6"/>
      <c r="U18" s="6"/>
      <c r="V18" s="6"/>
      <c r="W18" s="6"/>
      <c r="X18" s="6"/>
      <c r="Y18" s="6"/>
      <c r="Z18" s="6"/>
      <c r="AA18" s="6"/>
      <c r="AB18" s="6">
        <v>1</v>
      </c>
      <c r="AC18" s="6">
        <v>38</v>
      </c>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v>1</v>
      </c>
      <c r="BO18" s="6">
        <v>30</v>
      </c>
      <c r="BP18" s="6"/>
      <c r="BQ18" s="6"/>
      <c r="BR18" s="6"/>
      <c r="BS18" s="6"/>
      <c r="BT18" s="6"/>
      <c r="BU18" s="6"/>
      <c r="BV18" s="8">
        <f t="shared" si="0"/>
        <v>13</v>
      </c>
      <c r="BW18" s="8">
        <f t="shared" si="1"/>
        <v>208</v>
      </c>
      <c r="BX18" s="52"/>
      <c r="BY18" s="52"/>
      <c r="BZ18" s="52"/>
    </row>
    <row r="19" spans="1:78" s="27" customFormat="1">
      <c r="A19" s="5" t="s">
        <v>57</v>
      </c>
      <c r="B19" s="6">
        <v>13</v>
      </c>
      <c r="C19" s="6">
        <v>806</v>
      </c>
      <c r="D19" s="6">
        <v>27</v>
      </c>
      <c r="E19" s="6">
        <v>4364</v>
      </c>
      <c r="F19" s="6">
        <v>26</v>
      </c>
      <c r="G19" s="6">
        <v>4406</v>
      </c>
      <c r="H19" s="6">
        <v>5</v>
      </c>
      <c r="I19" s="6">
        <v>973</v>
      </c>
      <c r="J19" s="6">
        <v>5</v>
      </c>
      <c r="K19" s="6">
        <v>77</v>
      </c>
      <c r="L19" s="6">
        <v>2</v>
      </c>
      <c r="M19" s="6">
        <v>32</v>
      </c>
      <c r="N19" s="6"/>
      <c r="O19" s="6"/>
      <c r="P19" s="6"/>
      <c r="Q19" s="6"/>
      <c r="R19" s="6"/>
      <c r="S19" s="6"/>
      <c r="T19" s="6">
        <v>4</v>
      </c>
      <c r="U19" s="6">
        <v>278</v>
      </c>
      <c r="V19" s="6">
        <v>9</v>
      </c>
      <c r="W19" s="6">
        <v>1600</v>
      </c>
      <c r="X19" s="6">
        <v>57</v>
      </c>
      <c r="Y19" s="6">
        <v>19483</v>
      </c>
      <c r="Z19" s="6"/>
      <c r="AA19" s="6"/>
      <c r="AB19" s="6">
        <v>42</v>
      </c>
      <c r="AC19" s="6">
        <v>12227</v>
      </c>
      <c r="AD19" s="6"/>
      <c r="AE19" s="6"/>
      <c r="AF19" s="6">
        <v>4</v>
      </c>
      <c r="AG19" s="6">
        <v>578</v>
      </c>
      <c r="AH19" s="6">
        <v>1</v>
      </c>
      <c r="AI19" s="6">
        <v>262</v>
      </c>
      <c r="AJ19" s="6"/>
      <c r="AK19" s="6"/>
      <c r="AL19" s="6">
        <v>2</v>
      </c>
      <c r="AM19" s="6">
        <v>159</v>
      </c>
      <c r="AN19" s="6">
        <v>20</v>
      </c>
      <c r="AO19" s="6">
        <v>9784</v>
      </c>
      <c r="AP19" s="6">
        <v>7</v>
      </c>
      <c r="AQ19" s="6">
        <v>3215</v>
      </c>
      <c r="AR19" s="6"/>
      <c r="AS19" s="6"/>
      <c r="AT19" s="6">
        <v>1</v>
      </c>
      <c r="AU19" s="6">
        <v>27</v>
      </c>
      <c r="AV19" s="6"/>
      <c r="AW19" s="6"/>
      <c r="AX19" s="6"/>
      <c r="AY19" s="6"/>
      <c r="AZ19" s="6"/>
      <c r="BA19" s="6"/>
      <c r="BB19" s="6"/>
      <c r="BC19" s="6"/>
      <c r="BD19" s="6"/>
      <c r="BE19" s="6"/>
      <c r="BF19" s="6">
        <v>3</v>
      </c>
      <c r="BG19" s="6">
        <v>95</v>
      </c>
      <c r="BH19" s="6">
        <v>6</v>
      </c>
      <c r="BI19" s="6">
        <v>371</v>
      </c>
      <c r="BJ19" s="6">
        <v>1</v>
      </c>
      <c r="BK19" s="6">
        <v>72</v>
      </c>
      <c r="BL19" s="6">
        <v>9</v>
      </c>
      <c r="BM19" s="6">
        <v>359</v>
      </c>
      <c r="BN19" s="6">
        <v>4</v>
      </c>
      <c r="BO19" s="6">
        <v>180</v>
      </c>
      <c r="BP19" s="6">
        <v>2</v>
      </c>
      <c r="BQ19" s="6">
        <v>86</v>
      </c>
      <c r="BR19" s="6"/>
      <c r="BS19" s="6"/>
      <c r="BT19" s="6"/>
      <c r="BU19" s="6"/>
      <c r="BV19" s="8">
        <f t="shared" si="0"/>
        <v>250</v>
      </c>
      <c r="BW19" s="8">
        <f t="shared" si="1"/>
        <v>59434</v>
      </c>
      <c r="BX19" s="52"/>
      <c r="BY19" s="52"/>
      <c r="BZ19" s="52"/>
    </row>
    <row r="20" spans="1:78" s="27" customFormat="1">
      <c r="A20" s="5" t="s">
        <v>58</v>
      </c>
      <c r="B20" s="6"/>
      <c r="C20" s="6"/>
      <c r="D20" s="6"/>
      <c r="E20" s="6"/>
      <c r="F20" s="6"/>
      <c r="G20" s="6"/>
      <c r="H20" s="6"/>
      <c r="I20" s="6"/>
      <c r="J20" s="6">
        <v>2</v>
      </c>
      <c r="K20" s="6">
        <v>53</v>
      </c>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v>1</v>
      </c>
      <c r="BE20" s="6">
        <v>50</v>
      </c>
      <c r="BF20" s="6"/>
      <c r="BG20" s="6"/>
      <c r="BH20" s="6"/>
      <c r="BI20" s="6"/>
      <c r="BJ20" s="6"/>
      <c r="BK20" s="6"/>
      <c r="BL20" s="6"/>
      <c r="BM20" s="6"/>
      <c r="BN20" s="6"/>
      <c r="BO20" s="6"/>
      <c r="BP20" s="6"/>
      <c r="BQ20" s="6"/>
      <c r="BR20" s="6"/>
      <c r="BS20" s="6"/>
      <c r="BT20" s="6">
        <v>1</v>
      </c>
      <c r="BU20" s="6">
        <v>12</v>
      </c>
      <c r="BV20" s="8">
        <f t="shared" si="0"/>
        <v>4</v>
      </c>
      <c r="BW20" s="8">
        <f t="shared" si="1"/>
        <v>115</v>
      </c>
      <c r="BX20" s="52"/>
      <c r="BY20" s="52"/>
      <c r="BZ20" s="52"/>
    </row>
    <row r="21" spans="1:78" s="27" customFormat="1">
      <c r="A21" s="5" t="s">
        <v>59</v>
      </c>
      <c r="B21" s="6"/>
      <c r="C21" s="6"/>
      <c r="D21" s="6"/>
      <c r="E21" s="6"/>
      <c r="F21" s="6"/>
      <c r="G21" s="6"/>
      <c r="H21" s="6"/>
      <c r="I21" s="6"/>
      <c r="J21" s="6">
        <v>18</v>
      </c>
      <c r="K21" s="6">
        <v>289</v>
      </c>
      <c r="L21" s="6"/>
      <c r="M21" s="6"/>
      <c r="N21" s="6"/>
      <c r="O21" s="6"/>
      <c r="P21" s="6"/>
      <c r="Q21" s="6"/>
      <c r="R21" s="6"/>
      <c r="S21" s="6"/>
      <c r="T21" s="6"/>
      <c r="U21" s="6"/>
      <c r="V21" s="6">
        <v>1</v>
      </c>
      <c r="W21" s="6">
        <v>37</v>
      </c>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v>1</v>
      </c>
      <c r="BE21" s="6">
        <v>20</v>
      </c>
      <c r="BF21" s="6"/>
      <c r="BG21" s="6"/>
      <c r="BH21" s="6"/>
      <c r="BI21" s="6"/>
      <c r="BJ21" s="6"/>
      <c r="BK21" s="6"/>
      <c r="BL21" s="6">
        <v>1</v>
      </c>
      <c r="BM21" s="6">
        <v>41</v>
      </c>
      <c r="BN21" s="6"/>
      <c r="BO21" s="6"/>
      <c r="BP21" s="6"/>
      <c r="BQ21" s="6"/>
      <c r="BR21" s="6"/>
      <c r="BS21" s="6"/>
      <c r="BT21" s="6">
        <v>1</v>
      </c>
      <c r="BU21" s="6">
        <v>16</v>
      </c>
      <c r="BV21" s="8">
        <f t="shared" si="0"/>
        <v>22</v>
      </c>
      <c r="BW21" s="8">
        <f t="shared" si="1"/>
        <v>403</v>
      </c>
      <c r="BX21" s="52"/>
      <c r="BY21" s="52"/>
      <c r="BZ21" s="52"/>
    </row>
    <row r="22" spans="1:78" s="27" customFormat="1">
      <c r="A22" s="5" t="s">
        <v>60</v>
      </c>
      <c r="B22" s="6">
        <v>12</v>
      </c>
      <c r="C22" s="6">
        <v>654</v>
      </c>
      <c r="D22" s="6">
        <v>11</v>
      </c>
      <c r="E22" s="6">
        <v>578</v>
      </c>
      <c r="F22" s="6">
        <v>8</v>
      </c>
      <c r="G22" s="6">
        <v>1232</v>
      </c>
      <c r="H22" s="6"/>
      <c r="I22" s="6"/>
      <c r="J22" s="6">
        <v>2</v>
      </c>
      <c r="K22" s="6">
        <v>32</v>
      </c>
      <c r="L22" s="6"/>
      <c r="M22" s="6"/>
      <c r="N22" s="6"/>
      <c r="O22" s="6"/>
      <c r="P22" s="6"/>
      <c r="Q22" s="6"/>
      <c r="R22" s="6">
        <v>1</v>
      </c>
      <c r="S22" s="6">
        <v>68</v>
      </c>
      <c r="T22" s="6">
        <v>6</v>
      </c>
      <c r="U22" s="6">
        <v>305</v>
      </c>
      <c r="V22" s="6">
        <v>1</v>
      </c>
      <c r="W22" s="6">
        <v>188</v>
      </c>
      <c r="X22" s="6">
        <v>16</v>
      </c>
      <c r="Y22" s="6">
        <v>3656</v>
      </c>
      <c r="Z22" s="6">
        <v>2</v>
      </c>
      <c r="AA22" s="6">
        <v>300</v>
      </c>
      <c r="AB22" s="6">
        <v>14</v>
      </c>
      <c r="AC22" s="6">
        <v>3802</v>
      </c>
      <c r="AD22" s="6"/>
      <c r="AE22" s="6"/>
      <c r="AF22" s="6">
        <v>2</v>
      </c>
      <c r="AG22" s="6">
        <v>437</v>
      </c>
      <c r="AH22" s="6"/>
      <c r="AI22" s="6"/>
      <c r="AJ22" s="6">
        <v>2</v>
      </c>
      <c r="AK22" s="6">
        <v>106</v>
      </c>
      <c r="AL22" s="6"/>
      <c r="AM22" s="6"/>
      <c r="AN22" s="6">
        <v>7</v>
      </c>
      <c r="AO22" s="6">
        <v>1974</v>
      </c>
      <c r="AP22" s="6">
        <v>7</v>
      </c>
      <c r="AQ22" s="6">
        <v>3638</v>
      </c>
      <c r="AR22" s="6">
        <v>1</v>
      </c>
      <c r="AS22" s="6">
        <v>64</v>
      </c>
      <c r="AT22" s="6"/>
      <c r="AU22" s="6"/>
      <c r="AV22" s="6"/>
      <c r="AW22" s="6"/>
      <c r="AX22" s="6"/>
      <c r="AY22" s="6"/>
      <c r="AZ22" s="6"/>
      <c r="BA22" s="6"/>
      <c r="BB22" s="6"/>
      <c r="BC22" s="6"/>
      <c r="BD22" s="6">
        <v>2</v>
      </c>
      <c r="BE22" s="6">
        <v>84</v>
      </c>
      <c r="BF22" s="6">
        <v>6</v>
      </c>
      <c r="BG22" s="6">
        <v>487</v>
      </c>
      <c r="BH22" s="6">
        <v>4</v>
      </c>
      <c r="BI22" s="6">
        <v>279</v>
      </c>
      <c r="BJ22" s="6">
        <v>1</v>
      </c>
      <c r="BK22" s="6">
        <v>22</v>
      </c>
      <c r="BL22" s="6">
        <v>5</v>
      </c>
      <c r="BM22" s="6">
        <v>156</v>
      </c>
      <c r="BN22" s="6">
        <v>2</v>
      </c>
      <c r="BO22" s="6">
        <v>83</v>
      </c>
      <c r="BP22" s="6"/>
      <c r="BQ22" s="6"/>
      <c r="BR22" s="6"/>
      <c r="BS22" s="6"/>
      <c r="BT22" s="6"/>
      <c r="BU22" s="6"/>
      <c r="BV22" s="8">
        <f t="shared" si="0"/>
        <v>112</v>
      </c>
      <c r="BW22" s="8">
        <f t="shared" si="1"/>
        <v>18145</v>
      </c>
      <c r="BX22" s="52"/>
      <c r="BY22" s="52"/>
      <c r="BZ22" s="52"/>
    </row>
    <row r="23" spans="1:78" s="27" customFormat="1">
      <c r="A23" s="5" t="s">
        <v>61</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v>1</v>
      </c>
      <c r="BU23" s="6">
        <v>16</v>
      </c>
      <c r="BV23" s="8">
        <f t="shared" si="0"/>
        <v>1</v>
      </c>
      <c r="BW23" s="8">
        <f t="shared" si="1"/>
        <v>16</v>
      </c>
      <c r="BX23" s="52"/>
      <c r="BY23" s="52"/>
      <c r="BZ23" s="52"/>
    </row>
    <row r="24" spans="1:78" s="27" customFormat="1">
      <c r="A24" s="5" t="s">
        <v>62</v>
      </c>
      <c r="B24" s="6"/>
      <c r="C24" s="6"/>
      <c r="D24" s="6"/>
      <c r="E24" s="6"/>
      <c r="F24" s="6"/>
      <c r="G24" s="6"/>
      <c r="H24" s="6"/>
      <c r="I24" s="6"/>
      <c r="J24" s="6">
        <v>1</v>
      </c>
      <c r="K24" s="6">
        <v>16</v>
      </c>
      <c r="L24" s="6"/>
      <c r="M24" s="6"/>
      <c r="N24" s="6"/>
      <c r="O24" s="6"/>
      <c r="P24" s="6"/>
      <c r="Q24" s="6"/>
      <c r="R24" s="6">
        <v>1</v>
      </c>
      <c r="S24" s="6">
        <v>17</v>
      </c>
      <c r="T24" s="6"/>
      <c r="U24" s="6"/>
      <c r="V24" s="6"/>
      <c r="W24" s="6"/>
      <c r="X24" s="6">
        <v>1</v>
      </c>
      <c r="Y24" s="6">
        <v>79</v>
      </c>
      <c r="Z24" s="6"/>
      <c r="AA24" s="6"/>
      <c r="AB24" s="6">
        <v>1</v>
      </c>
      <c r="AC24" s="6">
        <v>165</v>
      </c>
      <c r="AD24" s="6"/>
      <c r="AE24" s="6"/>
      <c r="AF24" s="6"/>
      <c r="AG24" s="6"/>
      <c r="AH24" s="6"/>
      <c r="AI24" s="6"/>
      <c r="AJ24" s="6"/>
      <c r="AK24" s="6"/>
      <c r="AL24" s="6"/>
      <c r="AM24" s="6"/>
      <c r="AN24" s="6"/>
      <c r="AO24" s="6"/>
      <c r="AP24" s="6"/>
      <c r="AQ24" s="6"/>
      <c r="AR24" s="6"/>
      <c r="AS24" s="6"/>
      <c r="AT24" s="6"/>
      <c r="AU24" s="6"/>
      <c r="AV24" s="6"/>
      <c r="AW24" s="6"/>
      <c r="AX24" s="6"/>
      <c r="AY24" s="6"/>
      <c r="AZ24" s="6"/>
      <c r="BA24" s="6"/>
      <c r="BB24" s="6">
        <v>1</v>
      </c>
      <c r="BC24" s="6">
        <v>132</v>
      </c>
      <c r="BD24" s="6"/>
      <c r="BE24" s="6"/>
      <c r="BF24" s="6">
        <v>1</v>
      </c>
      <c r="BG24" s="6">
        <v>14</v>
      </c>
      <c r="BH24" s="6"/>
      <c r="BI24" s="6"/>
      <c r="BJ24" s="6"/>
      <c r="BK24" s="6"/>
      <c r="BL24" s="6"/>
      <c r="BM24" s="6"/>
      <c r="BN24" s="6"/>
      <c r="BO24" s="6"/>
      <c r="BP24" s="6"/>
      <c r="BQ24" s="6"/>
      <c r="BR24" s="6"/>
      <c r="BS24" s="6"/>
      <c r="BT24" s="6">
        <v>1</v>
      </c>
      <c r="BU24" s="6">
        <v>16</v>
      </c>
      <c r="BV24" s="8">
        <f t="shared" si="0"/>
        <v>7</v>
      </c>
      <c r="BW24" s="8">
        <f t="shared" si="1"/>
        <v>439</v>
      </c>
      <c r="BX24" s="52"/>
      <c r="BY24" s="52"/>
      <c r="BZ24" s="52"/>
    </row>
    <row r="25" spans="1:78" s="27" customFormat="1">
      <c r="A25" s="5" t="s">
        <v>63</v>
      </c>
      <c r="B25" s="6"/>
      <c r="C25" s="6"/>
      <c r="D25" s="6"/>
      <c r="E25" s="6"/>
      <c r="F25" s="6"/>
      <c r="G25" s="6"/>
      <c r="H25" s="6"/>
      <c r="I25" s="6"/>
      <c r="J25" s="6">
        <v>6</v>
      </c>
      <c r="K25" s="6">
        <v>111</v>
      </c>
      <c r="L25" s="6"/>
      <c r="M25" s="6"/>
      <c r="N25" s="6"/>
      <c r="O25" s="6"/>
      <c r="P25" s="6"/>
      <c r="Q25" s="6"/>
      <c r="R25" s="6"/>
      <c r="S25" s="6"/>
      <c r="T25" s="6"/>
      <c r="U25" s="6"/>
      <c r="V25" s="6"/>
      <c r="W25" s="6"/>
      <c r="X25" s="6"/>
      <c r="Y25" s="6"/>
      <c r="Z25" s="6"/>
      <c r="AA25" s="6"/>
      <c r="AB25" s="6">
        <v>1</v>
      </c>
      <c r="AC25" s="6">
        <v>37</v>
      </c>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v>1</v>
      </c>
      <c r="BG25" s="6">
        <v>16</v>
      </c>
      <c r="BH25" s="6"/>
      <c r="BI25" s="6"/>
      <c r="BJ25" s="6"/>
      <c r="BK25" s="6"/>
      <c r="BL25" s="6"/>
      <c r="BM25" s="6"/>
      <c r="BN25" s="6"/>
      <c r="BO25" s="6"/>
      <c r="BP25" s="6"/>
      <c r="BQ25" s="6"/>
      <c r="BR25" s="6"/>
      <c r="BS25" s="6"/>
      <c r="BT25" s="6"/>
      <c r="BU25" s="6"/>
      <c r="BV25" s="8">
        <f t="shared" si="0"/>
        <v>8</v>
      </c>
      <c r="BW25" s="8">
        <f t="shared" si="1"/>
        <v>164</v>
      </c>
      <c r="BX25" s="52"/>
      <c r="BY25" s="52"/>
      <c r="BZ25" s="52"/>
    </row>
    <row r="26" spans="1:78" s="27" customFormat="1">
      <c r="A26" s="5" t="s">
        <v>64</v>
      </c>
      <c r="B26" s="6"/>
      <c r="C26" s="6"/>
      <c r="D26" s="6"/>
      <c r="E26" s="6"/>
      <c r="F26" s="6"/>
      <c r="G26" s="6"/>
      <c r="H26" s="6"/>
      <c r="I26" s="6"/>
      <c r="J26" s="6">
        <v>1</v>
      </c>
      <c r="K26" s="6">
        <v>10</v>
      </c>
      <c r="L26" s="6"/>
      <c r="M26" s="6"/>
      <c r="N26" s="6"/>
      <c r="O26" s="6"/>
      <c r="P26" s="6"/>
      <c r="Q26" s="6"/>
      <c r="R26" s="6"/>
      <c r="S26" s="6"/>
      <c r="T26" s="6"/>
      <c r="U26" s="6"/>
      <c r="V26" s="6"/>
      <c r="W26" s="6"/>
      <c r="X26" s="6"/>
      <c r="Y26" s="6"/>
      <c r="Z26" s="6"/>
      <c r="AA26" s="6"/>
      <c r="AB26" s="6">
        <v>1</v>
      </c>
      <c r="AC26" s="6">
        <v>103</v>
      </c>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v>2</v>
      </c>
      <c r="BU26" s="6">
        <v>26</v>
      </c>
      <c r="BV26" s="8">
        <f t="shared" si="0"/>
        <v>4</v>
      </c>
      <c r="BW26" s="8">
        <f t="shared" si="1"/>
        <v>139</v>
      </c>
      <c r="BX26" s="52"/>
      <c r="BY26" s="52"/>
      <c r="BZ26" s="52"/>
    </row>
    <row r="27" spans="1:78" s="27" customFormat="1">
      <c r="A27" s="5" t="s">
        <v>65</v>
      </c>
      <c r="B27" s="6">
        <v>10</v>
      </c>
      <c r="C27" s="6">
        <v>290</v>
      </c>
      <c r="D27" s="6">
        <v>13</v>
      </c>
      <c r="E27" s="6">
        <v>1226</v>
      </c>
      <c r="F27" s="6">
        <v>3</v>
      </c>
      <c r="G27" s="6">
        <v>549</v>
      </c>
      <c r="H27" s="6"/>
      <c r="I27" s="6"/>
      <c r="J27" s="6">
        <v>10</v>
      </c>
      <c r="K27" s="6">
        <v>153</v>
      </c>
      <c r="L27" s="6"/>
      <c r="M27" s="6"/>
      <c r="N27" s="6"/>
      <c r="O27" s="6"/>
      <c r="P27" s="6"/>
      <c r="Q27" s="6"/>
      <c r="R27" s="6"/>
      <c r="S27" s="6"/>
      <c r="T27" s="6">
        <v>1</v>
      </c>
      <c r="U27" s="6">
        <v>48</v>
      </c>
      <c r="V27" s="6">
        <v>2</v>
      </c>
      <c r="W27" s="6">
        <v>152</v>
      </c>
      <c r="X27" s="6">
        <v>5</v>
      </c>
      <c r="Y27" s="6">
        <v>1612</v>
      </c>
      <c r="Z27" s="6"/>
      <c r="AA27" s="6"/>
      <c r="AB27" s="6">
        <v>3</v>
      </c>
      <c r="AC27" s="6">
        <v>1419</v>
      </c>
      <c r="AD27" s="6"/>
      <c r="AE27" s="6"/>
      <c r="AF27" s="6">
        <v>1</v>
      </c>
      <c r="AG27" s="6">
        <v>20</v>
      </c>
      <c r="AH27" s="6"/>
      <c r="AI27" s="6"/>
      <c r="AJ27" s="6"/>
      <c r="AK27" s="6"/>
      <c r="AL27" s="6">
        <v>1</v>
      </c>
      <c r="AM27" s="6">
        <v>336</v>
      </c>
      <c r="AN27" s="6"/>
      <c r="AO27" s="6"/>
      <c r="AP27" s="6">
        <v>1</v>
      </c>
      <c r="AQ27" s="6">
        <v>606</v>
      </c>
      <c r="AR27" s="6"/>
      <c r="AS27" s="6"/>
      <c r="AT27" s="6"/>
      <c r="AU27" s="6"/>
      <c r="AV27" s="6"/>
      <c r="AW27" s="6"/>
      <c r="AX27" s="6"/>
      <c r="AY27" s="6"/>
      <c r="AZ27" s="6"/>
      <c r="BA27" s="6"/>
      <c r="BB27" s="6"/>
      <c r="BC27" s="6"/>
      <c r="BD27" s="6">
        <v>3</v>
      </c>
      <c r="BE27" s="6">
        <v>86</v>
      </c>
      <c r="BF27" s="6">
        <v>1</v>
      </c>
      <c r="BG27" s="6">
        <v>35</v>
      </c>
      <c r="BH27" s="6"/>
      <c r="BI27" s="6"/>
      <c r="BJ27" s="6"/>
      <c r="BK27" s="6"/>
      <c r="BL27" s="6">
        <v>2</v>
      </c>
      <c r="BM27" s="6">
        <v>75</v>
      </c>
      <c r="BN27" s="6"/>
      <c r="BO27" s="6"/>
      <c r="BP27" s="6"/>
      <c r="BQ27" s="6"/>
      <c r="BR27" s="6"/>
      <c r="BS27" s="6"/>
      <c r="BT27" s="6"/>
      <c r="BU27" s="6"/>
      <c r="BV27" s="8">
        <f t="shared" si="0"/>
        <v>56</v>
      </c>
      <c r="BW27" s="8">
        <f t="shared" si="1"/>
        <v>6607</v>
      </c>
      <c r="BX27" s="52"/>
      <c r="BY27" s="52"/>
      <c r="BZ27" s="52"/>
    </row>
    <row r="28" spans="1:78" s="27" customFormat="1">
      <c r="A28" s="5" t="s">
        <v>66</v>
      </c>
      <c r="B28" s="6"/>
      <c r="C28" s="6"/>
      <c r="D28" s="6"/>
      <c r="E28" s="6"/>
      <c r="F28" s="6"/>
      <c r="G28" s="6"/>
      <c r="H28" s="6"/>
      <c r="I28" s="6"/>
      <c r="J28" s="6">
        <v>2</v>
      </c>
      <c r="K28" s="6">
        <v>25</v>
      </c>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v>2</v>
      </c>
      <c r="AQ28" s="6">
        <v>62</v>
      </c>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v>2</v>
      </c>
      <c r="BU28" s="6">
        <v>35</v>
      </c>
      <c r="BV28" s="8">
        <f t="shared" si="0"/>
        <v>6</v>
      </c>
      <c r="BW28" s="8">
        <f t="shared" si="1"/>
        <v>122</v>
      </c>
      <c r="BX28" s="52"/>
      <c r="BY28" s="52"/>
      <c r="BZ28" s="52"/>
    </row>
    <row r="29" spans="1:78" s="27" customFormat="1">
      <c r="A29" s="5" t="s">
        <v>67</v>
      </c>
      <c r="B29" s="6"/>
      <c r="C29" s="6"/>
      <c r="D29" s="6"/>
      <c r="E29" s="6"/>
      <c r="F29" s="6"/>
      <c r="G29" s="6"/>
      <c r="H29" s="6"/>
      <c r="I29" s="6"/>
      <c r="J29" s="6">
        <v>1</v>
      </c>
      <c r="K29" s="6">
        <v>8</v>
      </c>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v>1</v>
      </c>
      <c r="BE29" s="6">
        <v>30</v>
      </c>
      <c r="BF29" s="6"/>
      <c r="BG29" s="6"/>
      <c r="BH29" s="6"/>
      <c r="BI29" s="6"/>
      <c r="BJ29" s="6"/>
      <c r="BK29" s="6"/>
      <c r="BL29" s="6"/>
      <c r="BM29" s="6"/>
      <c r="BN29" s="6"/>
      <c r="BO29" s="6"/>
      <c r="BP29" s="6"/>
      <c r="BQ29" s="6"/>
      <c r="BR29" s="6"/>
      <c r="BS29" s="6"/>
      <c r="BT29" s="6"/>
      <c r="BU29" s="6"/>
      <c r="BV29" s="8">
        <f t="shared" si="0"/>
        <v>2</v>
      </c>
      <c r="BW29" s="8">
        <f t="shared" si="1"/>
        <v>38</v>
      </c>
      <c r="BX29" s="52"/>
      <c r="BY29" s="52"/>
      <c r="BZ29" s="52"/>
    </row>
    <row r="30" spans="1:78" s="27" customFormat="1">
      <c r="A30" s="5" t="s">
        <v>68</v>
      </c>
      <c r="B30" s="6"/>
      <c r="C30" s="6"/>
      <c r="D30" s="6"/>
      <c r="E30" s="6"/>
      <c r="F30" s="6"/>
      <c r="G30" s="6"/>
      <c r="H30" s="6"/>
      <c r="I30" s="6"/>
      <c r="J30" s="6">
        <v>2</v>
      </c>
      <c r="K30" s="6">
        <v>38</v>
      </c>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8">
        <f t="shared" si="0"/>
        <v>2</v>
      </c>
      <c r="BW30" s="8">
        <f t="shared" si="1"/>
        <v>38</v>
      </c>
      <c r="BX30" s="52"/>
      <c r="BY30" s="52"/>
      <c r="BZ30" s="52"/>
    </row>
    <row r="31" spans="1:78" s="27" customFormat="1">
      <c r="A31" s="5" t="s">
        <v>69</v>
      </c>
      <c r="B31" s="6"/>
      <c r="C31" s="6"/>
      <c r="D31" s="6"/>
      <c r="E31" s="6"/>
      <c r="F31" s="6"/>
      <c r="G31" s="6"/>
      <c r="H31" s="6"/>
      <c r="I31" s="6"/>
      <c r="J31" s="6">
        <v>1</v>
      </c>
      <c r="K31" s="6">
        <v>9</v>
      </c>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v>1</v>
      </c>
      <c r="BU31" s="6">
        <v>16</v>
      </c>
      <c r="BV31" s="8">
        <f t="shared" si="0"/>
        <v>2</v>
      </c>
      <c r="BW31" s="8">
        <f t="shared" si="1"/>
        <v>25</v>
      </c>
      <c r="BX31" s="52"/>
      <c r="BY31" s="52"/>
      <c r="BZ31" s="52"/>
    </row>
    <row r="32" spans="1:78" s="27" customFormat="1">
      <c r="A32" s="5" t="s">
        <v>177</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v>4</v>
      </c>
      <c r="BU32" s="6">
        <v>30</v>
      </c>
      <c r="BV32" s="8">
        <f t="shared" si="0"/>
        <v>4</v>
      </c>
      <c r="BW32" s="8">
        <f t="shared" si="1"/>
        <v>30</v>
      </c>
      <c r="BX32" s="52"/>
      <c r="BY32" s="52"/>
      <c r="BZ32" s="52"/>
    </row>
    <row r="33" spans="1:78" s="27" customFormat="1">
      <c r="A33" s="5" t="s">
        <v>71</v>
      </c>
      <c r="B33" s="6">
        <v>1</v>
      </c>
      <c r="C33" s="6">
        <v>120</v>
      </c>
      <c r="D33" s="6"/>
      <c r="E33" s="6"/>
      <c r="F33" s="6"/>
      <c r="G33" s="6"/>
      <c r="H33" s="6">
        <v>1</v>
      </c>
      <c r="I33" s="6">
        <v>936</v>
      </c>
      <c r="J33" s="6">
        <v>14</v>
      </c>
      <c r="K33" s="6">
        <v>202</v>
      </c>
      <c r="L33" s="6"/>
      <c r="M33" s="6"/>
      <c r="N33" s="6"/>
      <c r="O33" s="6"/>
      <c r="P33" s="6">
        <v>1</v>
      </c>
      <c r="Q33" s="6">
        <v>660</v>
      </c>
      <c r="R33" s="6">
        <v>1</v>
      </c>
      <c r="S33" s="6">
        <v>20</v>
      </c>
      <c r="T33" s="6"/>
      <c r="U33" s="6"/>
      <c r="V33" s="6">
        <v>10</v>
      </c>
      <c r="W33" s="6">
        <v>2303</v>
      </c>
      <c r="X33" s="6">
        <v>20</v>
      </c>
      <c r="Y33" s="6">
        <v>6625</v>
      </c>
      <c r="Z33" s="6"/>
      <c r="AA33" s="6"/>
      <c r="AB33" s="6">
        <v>3</v>
      </c>
      <c r="AC33" s="6">
        <v>1257</v>
      </c>
      <c r="AD33" s="6"/>
      <c r="AE33" s="6"/>
      <c r="AF33" s="6">
        <v>2</v>
      </c>
      <c r="AG33" s="6">
        <v>493</v>
      </c>
      <c r="AH33" s="6"/>
      <c r="AI33" s="6"/>
      <c r="AJ33" s="6"/>
      <c r="AK33" s="6"/>
      <c r="AL33" s="6"/>
      <c r="AM33" s="6"/>
      <c r="AN33" s="6">
        <v>1</v>
      </c>
      <c r="AO33" s="6">
        <v>346</v>
      </c>
      <c r="AP33" s="6">
        <v>1</v>
      </c>
      <c r="AQ33" s="6">
        <v>164</v>
      </c>
      <c r="AR33" s="6"/>
      <c r="AS33" s="6"/>
      <c r="AT33" s="6"/>
      <c r="AU33" s="6"/>
      <c r="AV33" s="6"/>
      <c r="AW33" s="6"/>
      <c r="AX33" s="6"/>
      <c r="AY33" s="6"/>
      <c r="AZ33" s="6"/>
      <c r="BA33" s="6"/>
      <c r="BB33" s="6"/>
      <c r="BC33" s="6"/>
      <c r="BD33" s="6">
        <v>1</v>
      </c>
      <c r="BE33" s="6">
        <v>4</v>
      </c>
      <c r="BF33" s="6">
        <v>3</v>
      </c>
      <c r="BG33" s="6">
        <v>161</v>
      </c>
      <c r="BH33" s="6"/>
      <c r="BI33" s="6"/>
      <c r="BJ33" s="6"/>
      <c r="BK33" s="6"/>
      <c r="BL33" s="6">
        <v>3</v>
      </c>
      <c r="BM33" s="6">
        <v>153</v>
      </c>
      <c r="BN33" s="6">
        <v>2</v>
      </c>
      <c r="BO33" s="6">
        <v>80</v>
      </c>
      <c r="BP33" s="6"/>
      <c r="BQ33" s="6"/>
      <c r="BR33" s="6"/>
      <c r="BS33" s="6"/>
      <c r="BT33" s="6"/>
      <c r="BU33" s="6"/>
      <c r="BV33" s="8">
        <f t="shared" si="0"/>
        <v>64</v>
      </c>
      <c r="BW33" s="8">
        <f t="shared" si="1"/>
        <v>13524</v>
      </c>
      <c r="BX33" s="52"/>
      <c r="BY33" s="52"/>
      <c r="BZ33" s="52"/>
    </row>
    <row r="34" spans="1:78" s="27" customFormat="1">
      <c r="A34" s="5" t="s">
        <v>72</v>
      </c>
      <c r="B34" s="6">
        <v>4</v>
      </c>
      <c r="C34" s="6">
        <v>901</v>
      </c>
      <c r="D34" s="6">
        <v>5</v>
      </c>
      <c r="E34" s="6">
        <v>479</v>
      </c>
      <c r="F34" s="6">
        <v>3</v>
      </c>
      <c r="G34" s="6">
        <v>123</v>
      </c>
      <c r="H34" s="6"/>
      <c r="I34" s="6"/>
      <c r="J34" s="6">
        <v>18</v>
      </c>
      <c r="K34" s="6">
        <v>241</v>
      </c>
      <c r="L34" s="6">
        <v>3</v>
      </c>
      <c r="M34" s="6">
        <v>94</v>
      </c>
      <c r="N34" s="6"/>
      <c r="O34" s="6"/>
      <c r="P34" s="6"/>
      <c r="Q34" s="6"/>
      <c r="R34" s="6"/>
      <c r="S34" s="6"/>
      <c r="T34" s="6">
        <v>1</v>
      </c>
      <c r="U34" s="6">
        <v>222</v>
      </c>
      <c r="V34" s="6">
        <v>2</v>
      </c>
      <c r="W34" s="6">
        <v>441</v>
      </c>
      <c r="X34" s="6">
        <v>14</v>
      </c>
      <c r="Y34" s="6">
        <v>5463</v>
      </c>
      <c r="Z34" s="6"/>
      <c r="AA34" s="6"/>
      <c r="AB34" s="6">
        <v>2</v>
      </c>
      <c r="AC34" s="6">
        <v>695</v>
      </c>
      <c r="AD34" s="6"/>
      <c r="AE34" s="6"/>
      <c r="AF34" s="6"/>
      <c r="AG34" s="6"/>
      <c r="AH34" s="6"/>
      <c r="AI34" s="6"/>
      <c r="AJ34" s="6"/>
      <c r="AK34" s="6"/>
      <c r="AL34" s="6"/>
      <c r="AM34" s="6"/>
      <c r="AN34" s="6">
        <v>4</v>
      </c>
      <c r="AO34" s="6">
        <v>2612</v>
      </c>
      <c r="AP34" s="6">
        <v>2</v>
      </c>
      <c r="AQ34" s="6">
        <v>2957</v>
      </c>
      <c r="AR34" s="6"/>
      <c r="AS34" s="6"/>
      <c r="AT34" s="6"/>
      <c r="AU34" s="6"/>
      <c r="AV34" s="6"/>
      <c r="AW34" s="6"/>
      <c r="AX34" s="6"/>
      <c r="AY34" s="6"/>
      <c r="AZ34" s="6"/>
      <c r="BA34" s="6"/>
      <c r="BB34" s="6"/>
      <c r="BC34" s="6"/>
      <c r="BD34" s="6">
        <v>3</v>
      </c>
      <c r="BE34" s="6">
        <v>104</v>
      </c>
      <c r="BF34" s="6">
        <v>1</v>
      </c>
      <c r="BG34" s="6">
        <v>111</v>
      </c>
      <c r="BH34" s="6">
        <v>1</v>
      </c>
      <c r="BI34" s="6">
        <v>46</v>
      </c>
      <c r="BJ34" s="6"/>
      <c r="BK34" s="6"/>
      <c r="BL34" s="6"/>
      <c r="BM34" s="6"/>
      <c r="BN34" s="6"/>
      <c r="BO34" s="6"/>
      <c r="BP34" s="6"/>
      <c r="BQ34" s="6"/>
      <c r="BR34" s="6"/>
      <c r="BS34" s="6"/>
      <c r="BT34" s="6"/>
      <c r="BU34" s="6"/>
      <c r="BV34" s="8">
        <f t="shared" si="0"/>
        <v>63</v>
      </c>
      <c r="BW34" s="8">
        <f t="shared" si="1"/>
        <v>14489</v>
      </c>
      <c r="BX34" s="52"/>
      <c r="BY34" s="52"/>
      <c r="BZ34" s="52"/>
    </row>
    <row r="35" spans="1:78" s="27" customFormat="1">
      <c r="A35" s="5" t="s">
        <v>73</v>
      </c>
      <c r="B35" s="6"/>
      <c r="C35" s="6"/>
      <c r="D35" s="6"/>
      <c r="E35" s="6"/>
      <c r="F35" s="6"/>
      <c r="G35" s="6"/>
      <c r="H35" s="6"/>
      <c r="I35" s="6"/>
      <c r="J35" s="6">
        <v>3</v>
      </c>
      <c r="K35" s="6">
        <v>22</v>
      </c>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v>1</v>
      </c>
      <c r="BU35" s="6">
        <v>16</v>
      </c>
      <c r="BV35" s="8">
        <f t="shared" si="0"/>
        <v>4</v>
      </c>
      <c r="BW35" s="8">
        <f t="shared" si="1"/>
        <v>38</v>
      </c>
      <c r="BX35" s="52"/>
      <c r="BY35" s="52"/>
      <c r="BZ35" s="52"/>
    </row>
    <row r="36" spans="1:78" s="27" customFormat="1">
      <c r="A36" s="5" t="s">
        <v>74</v>
      </c>
      <c r="B36" s="6"/>
      <c r="C36" s="6"/>
      <c r="D36" s="6"/>
      <c r="E36" s="6"/>
      <c r="F36" s="6"/>
      <c r="G36" s="6"/>
      <c r="H36" s="6"/>
      <c r="I36" s="6"/>
      <c r="J36" s="6">
        <v>1</v>
      </c>
      <c r="K36" s="6">
        <v>16</v>
      </c>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8">
        <f t="shared" si="0"/>
        <v>1</v>
      </c>
      <c r="BW36" s="8">
        <f t="shared" si="1"/>
        <v>16</v>
      </c>
      <c r="BX36" s="52"/>
      <c r="BY36" s="52"/>
      <c r="BZ36" s="52"/>
    </row>
    <row r="37" spans="1:78" s="27" customFormat="1">
      <c r="A37" s="5" t="s">
        <v>75</v>
      </c>
      <c r="B37" s="6"/>
      <c r="C37" s="6"/>
      <c r="D37" s="6"/>
      <c r="E37" s="6"/>
      <c r="F37" s="6"/>
      <c r="G37" s="6"/>
      <c r="H37" s="6"/>
      <c r="I37" s="6"/>
      <c r="J37" s="6">
        <v>3</v>
      </c>
      <c r="K37" s="6">
        <v>38</v>
      </c>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v>2</v>
      </c>
      <c r="BE37" s="6">
        <v>95</v>
      </c>
      <c r="BF37" s="6"/>
      <c r="BG37" s="6"/>
      <c r="BH37" s="6"/>
      <c r="BI37" s="6"/>
      <c r="BJ37" s="6"/>
      <c r="BK37" s="6"/>
      <c r="BL37" s="6"/>
      <c r="BM37" s="6"/>
      <c r="BN37" s="6"/>
      <c r="BO37" s="6"/>
      <c r="BP37" s="6"/>
      <c r="BQ37" s="6"/>
      <c r="BR37" s="6"/>
      <c r="BS37" s="6"/>
      <c r="BT37" s="6"/>
      <c r="BU37" s="6"/>
      <c r="BV37" s="8">
        <f t="shared" si="0"/>
        <v>5</v>
      </c>
      <c r="BW37" s="8">
        <f t="shared" si="1"/>
        <v>133</v>
      </c>
      <c r="BX37" s="52"/>
      <c r="BY37" s="52"/>
      <c r="BZ37" s="52"/>
    </row>
    <row r="38" spans="1:78" s="27" customFormat="1">
      <c r="A38" s="5" t="s">
        <v>76</v>
      </c>
      <c r="B38" s="6"/>
      <c r="C38" s="6"/>
      <c r="D38" s="6">
        <v>2</v>
      </c>
      <c r="E38" s="6">
        <v>426</v>
      </c>
      <c r="F38" s="6">
        <v>8</v>
      </c>
      <c r="G38" s="6">
        <v>1264</v>
      </c>
      <c r="H38" s="6"/>
      <c r="I38" s="6"/>
      <c r="J38" s="6"/>
      <c r="K38" s="6"/>
      <c r="L38" s="6"/>
      <c r="M38" s="6"/>
      <c r="N38" s="6">
        <v>1</v>
      </c>
      <c r="O38" s="6">
        <v>500</v>
      </c>
      <c r="P38" s="6"/>
      <c r="Q38" s="6"/>
      <c r="R38" s="6"/>
      <c r="S38" s="6"/>
      <c r="T38" s="6"/>
      <c r="U38" s="6"/>
      <c r="V38" s="6"/>
      <c r="W38" s="6"/>
      <c r="X38" s="6">
        <v>3</v>
      </c>
      <c r="Y38" s="6">
        <v>817</v>
      </c>
      <c r="Z38" s="6"/>
      <c r="AA38" s="6"/>
      <c r="AB38" s="6">
        <v>7</v>
      </c>
      <c r="AC38" s="6">
        <v>3893</v>
      </c>
      <c r="AD38" s="6"/>
      <c r="AE38" s="6"/>
      <c r="AF38" s="6">
        <v>1</v>
      </c>
      <c r="AG38" s="6">
        <v>268</v>
      </c>
      <c r="AH38" s="6"/>
      <c r="AI38" s="6"/>
      <c r="AJ38" s="6"/>
      <c r="AK38" s="6"/>
      <c r="AL38" s="6"/>
      <c r="AM38" s="6"/>
      <c r="AN38" s="6">
        <v>7</v>
      </c>
      <c r="AO38" s="6">
        <v>4139</v>
      </c>
      <c r="AP38" s="6">
        <v>9</v>
      </c>
      <c r="AQ38" s="6">
        <v>4968</v>
      </c>
      <c r="AR38" s="6">
        <v>1</v>
      </c>
      <c r="AS38" s="6">
        <v>272</v>
      </c>
      <c r="AT38" s="6"/>
      <c r="AU38" s="6"/>
      <c r="AV38" s="6"/>
      <c r="AW38" s="6"/>
      <c r="AX38" s="6"/>
      <c r="AY38" s="6"/>
      <c r="AZ38" s="6"/>
      <c r="BA38" s="6"/>
      <c r="BB38" s="6"/>
      <c r="BC38" s="6"/>
      <c r="BD38" s="6">
        <v>1</v>
      </c>
      <c r="BE38" s="6">
        <v>30</v>
      </c>
      <c r="BF38" s="6"/>
      <c r="BG38" s="6"/>
      <c r="BH38" s="6"/>
      <c r="BI38" s="6"/>
      <c r="BJ38" s="6"/>
      <c r="BK38" s="6"/>
      <c r="BL38" s="6"/>
      <c r="BM38" s="6"/>
      <c r="BN38" s="6"/>
      <c r="BO38" s="6"/>
      <c r="BP38" s="6"/>
      <c r="BQ38" s="6"/>
      <c r="BR38" s="6"/>
      <c r="BS38" s="6"/>
      <c r="BT38" s="6"/>
      <c r="BU38" s="6"/>
      <c r="BV38" s="8">
        <f t="shared" si="0"/>
        <v>40</v>
      </c>
      <c r="BW38" s="8">
        <f t="shared" si="1"/>
        <v>16577</v>
      </c>
      <c r="BX38" s="52"/>
      <c r="BY38" s="52"/>
      <c r="BZ38" s="52"/>
    </row>
    <row r="39" spans="1:78" s="27" customFormat="1">
      <c r="A39" s="5" t="s">
        <v>77</v>
      </c>
      <c r="B39" s="6">
        <v>5</v>
      </c>
      <c r="C39" s="6">
        <v>356</v>
      </c>
      <c r="D39" s="6">
        <v>6</v>
      </c>
      <c r="E39" s="6">
        <v>873</v>
      </c>
      <c r="F39" s="6">
        <v>6</v>
      </c>
      <c r="G39" s="6">
        <v>693</v>
      </c>
      <c r="H39" s="6"/>
      <c r="I39" s="6"/>
      <c r="J39" s="6"/>
      <c r="K39" s="6"/>
      <c r="L39" s="6">
        <v>5</v>
      </c>
      <c r="M39" s="6">
        <v>181</v>
      </c>
      <c r="N39" s="6"/>
      <c r="O39" s="6"/>
      <c r="P39" s="6"/>
      <c r="Q39" s="6"/>
      <c r="R39" s="6">
        <v>1</v>
      </c>
      <c r="S39" s="6">
        <v>12</v>
      </c>
      <c r="T39" s="6">
        <v>8</v>
      </c>
      <c r="U39" s="6">
        <v>615</v>
      </c>
      <c r="V39" s="6">
        <v>14</v>
      </c>
      <c r="W39" s="6">
        <v>1870</v>
      </c>
      <c r="X39" s="6">
        <v>64</v>
      </c>
      <c r="Y39" s="6">
        <v>18721</v>
      </c>
      <c r="Z39" s="6"/>
      <c r="AA39" s="6"/>
      <c r="AB39" s="6">
        <v>41</v>
      </c>
      <c r="AC39" s="6">
        <v>10192</v>
      </c>
      <c r="AD39" s="6">
        <v>2</v>
      </c>
      <c r="AE39" s="6">
        <v>504</v>
      </c>
      <c r="AF39" s="6">
        <v>5</v>
      </c>
      <c r="AG39" s="6">
        <v>836</v>
      </c>
      <c r="AH39" s="6">
        <v>2</v>
      </c>
      <c r="AI39" s="6">
        <v>637</v>
      </c>
      <c r="AJ39" s="6"/>
      <c r="AK39" s="6"/>
      <c r="AL39" s="6">
        <v>3</v>
      </c>
      <c r="AM39" s="6">
        <v>355</v>
      </c>
      <c r="AN39" s="6">
        <v>6</v>
      </c>
      <c r="AO39" s="6">
        <v>1880</v>
      </c>
      <c r="AP39" s="6">
        <v>5</v>
      </c>
      <c r="AQ39" s="6">
        <v>2475</v>
      </c>
      <c r="AR39" s="6"/>
      <c r="AS39" s="6"/>
      <c r="AT39" s="6">
        <v>1</v>
      </c>
      <c r="AU39" s="6">
        <v>19</v>
      </c>
      <c r="AV39" s="6">
        <v>1</v>
      </c>
      <c r="AW39" s="6">
        <v>67</v>
      </c>
      <c r="AX39" s="6">
        <v>2</v>
      </c>
      <c r="AY39" s="6">
        <v>239</v>
      </c>
      <c r="AZ39" s="6"/>
      <c r="BA39" s="6"/>
      <c r="BB39" s="6"/>
      <c r="BC39" s="6"/>
      <c r="BD39" s="6">
        <v>1</v>
      </c>
      <c r="BE39" s="6">
        <v>41</v>
      </c>
      <c r="BF39" s="6">
        <v>5</v>
      </c>
      <c r="BG39" s="6">
        <v>185</v>
      </c>
      <c r="BH39" s="6">
        <v>5</v>
      </c>
      <c r="BI39" s="6">
        <v>389</v>
      </c>
      <c r="BJ39" s="6"/>
      <c r="BK39" s="6"/>
      <c r="BL39" s="6">
        <v>20</v>
      </c>
      <c r="BM39" s="6">
        <v>833</v>
      </c>
      <c r="BN39" s="6">
        <v>9</v>
      </c>
      <c r="BO39" s="6">
        <v>427</v>
      </c>
      <c r="BP39" s="6"/>
      <c r="BQ39" s="6"/>
      <c r="BR39" s="6"/>
      <c r="BS39" s="6"/>
      <c r="BT39" s="6">
        <v>2</v>
      </c>
      <c r="BU39" s="6">
        <v>57</v>
      </c>
      <c r="BV39" s="8">
        <f t="shared" si="0"/>
        <v>219</v>
      </c>
      <c r="BW39" s="8">
        <f t="shared" si="1"/>
        <v>42457</v>
      </c>
      <c r="BX39" s="52"/>
      <c r="BY39" s="52"/>
      <c r="BZ39" s="52"/>
    </row>
    <row r="40" spans="1:78" s="27" customFormat="1">
      <c r="A40" s="5" t="s">
        <v>78</v>
      </c>
      <c r="B40" s="6"/>
      <c r="C40" s="6"/>
      <c r="D40" s="6"/>
      <c r="E40" s="6"/>
      <c r="F40" s="6"/>
      <c r="G40" s="6"/>
      <c r="H40" s="6"/>
      <c r="I40" s="6"/>
      <c r="J40" s="6">
        <v>3</v>
      </c>
      <c r="K40" s="6">
        <v>40</v>
      </c>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v>1</v>
      </c>
      <c r="BU40" s="6">
        <v>6</v>
      </c>
      <c r="BV40" s="8">
        <f t="shared" si="0"/>
        <v>4</v>
      </c>
      <c r="BW40" s="8">
        <f t="shared" si="1"/>
        <v>46</v>
      </c>
      <c r="BX40" s="52"/>
      <c r="BY40" s="52"/>
      <c r="BZ40" s="52"/>
    </row>
    <row r="41" spans="1:78" s="27" customFormat="1">
      <c r="A41" s="5" t="s">
        <v>178</v>
      </c>
      <c r="B41" s="6"/>
      <c r="C41" s="6"/>
      <c r="D41" s="6"/>
      <c r="E41" s="6"/>
      <c r="F41" s="6"/>
      <c r="G41" s="6"/>
      <c r="H41" s="6"/>
      <c r="I41" s="6"/>
      <c r="J41" s="6">
        <v>2</v>
      </c>
      <c r="K41" s="6">
        <v>28</v>
      </c>
      <c r="L41" s="6"/>
      <c r="M41" s="6"/>
      <c r="N41" s="6"/>
      <c r="O41" s="6"/>
      <c r="P41" s="6"/>
      <c r="Q41" s="6"/>
      <c r="R41" s="6">
        <v>1</v>
      </c>
      <c r="S41" s="6">
        <v>11</v>
      </c>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8">
        <f t="shared" si="0"/>
        <v>3</v>
      </c>
      <c r="BW41" s="8">
        <f t="shared" si="1"/>
        <v>39</v>
      </c>
      <c r="BX41" s="52"/>
      <c r="BY41" s="52"/>
      <c r="BZ41" s="52"/>
    </row>
    <row r="42" spans="1:78" s="27" customFormat="1">
      <c r="A42" s="5" t="s">
        <v>79</v>
      </c>
      <c r="B42" s="6">
        <v>8</v>
      </c>
      <c r="C42" s="6">
        <v>355</v>
      </c>
      <c r="D42" s="6">
        <v>10</v>
      </c>
      <c r="E42" s="6">
        <v>601</v>
      </c>
      <c r="F42" s="6">
        <v>14</v>
      </c>
      <c r="G42" s="6">
        <v>1438</v>
      </c>
      <c r="H42" s="6"/>
      <c r="I42" s="6"/>
      <c r="J42" s="6">
        <v>6</v>
      </c>
      <c r="K42" s="6">
        <v>86</v>
      </c>
      <c r="L42" s="6"/>
      <c r="M42" s="6"/>
      <c r="N42" s="6"/>
      <c r="O42" s="6"/>
      <c r="P42" s="6"/>
      <c r="Q42" s="6"/>
      <c r="R42" s="6"/>
      <c r="S42" s="6"/>
      <c r="T42" s="6">
        <v>1</v>
      </c>
      <c r="U42" s="6">
        <v>47</v>
      </c>
      <c r="V42" s="6">
        <v>2</v>
      </c>
      <c r="W42" s="6">
        <v>190</v>
      </c>
      <c r="X42" s="6">
        <v>8</v>
      </c>
      <c r="Y42" s="6">
        <v>1651</v>
      </c>
      <c r="Z42" s="6"/>
      <c r="AA42" s="6"/>
      <c r="AB42" s="6">
        <v>2</v>
      </c>
      <c r="AC42" s="6">
        <v>243</v>
      </c>
      <c r="AD42" s="6">
        <v>1</v>
      </c>
      <c r="AE42" s="6">
        <v>229</v>
      </c>
      <c r="AF42" s="6">
        <v>3</v>
      </c>
      <c r="AG42" s="6">
        <v>329</v>
      </c>
      <c r="AH42" s="6"/>
      <c r="AI42" s="6"/>
      <c r="AJ42" s="6"/>
      <c r="AK42" s="6"/>
      <c r="AL42" s="6"/>
      <c r="AM42" s="6"/>
      <c r="AN42" s="6">
        <v>2</v>
      </c>
      <c r="AO42" s="6">
        <v>488</v>
      </c>
      <c r="AP42" s="6">
        <v>4</v>
      </c>
      <c r="AQ42" s="6">
        <v>849</v>
      </c>
      <c r="AR42" s="6"/>
      <c r="AS42" s="6"/>
      <c r="AT42" s="6">
        <v>1</v>
      </c>
      <c r="AU42" s="6">
        <v>39</v>
      </c>
      <c r="AV42" s="6"/>
      <c r="AW42" s="6"/>
      <c r="AX42" s="6">
        <v>1</v>
      </c>
      <c r="AY42" s="6">
        <v>12</v>
      </c>
      <c r="AZ42" s="6"/>
      <c r="BA42" s="6"/>
      <c r="BB42" s="6"/>
      <c r="BC42" s="6"/>
      <c r="BD42" s="6"/>
      <c r="BE42" s="6"/>
      <c r="BF42" s="6">
        <v>1</v>
      </c>
      <c r="BG42" s="6">
        <v>60</v>
      </c>
      <c r="BH42" s="6">
        <v>3</v>
      </c>
      <c r="BI42" s="6">
        <v>127</v>
      </c>
      <c r="BJ42" s="6"/>
      <c r="BK42" s="6"/>
      <c r="BL42" s="6">
        <v>1</v>
      </c>
      <c r="BM42" s="6">
        <v>48</v>
      </c>
      <c r="BN42" s="6">
        <v>3</v>
      </c>
      <c r="BO42" s="6">
        <v>167</v>
      </c>
      <c r="BP42" s="6"/>
      <c r="BQ42" s="6"/>
      <c r="BR42" s="6">
        <v>1</v>
      </c>
      <c r="BS42" s="6">
        <v>23</v>
      </c>
      <c r="BT42" s="6">
        <v>5</v>
      </c>
      <c r="BU42" s="6">
        <v>72</v>
      </c>
      <c r="BV42" s="8">
        <f t="shared" si="0"/>
        <v>77</v>
      </c>
      <c r="BW42" s="8">
        <f t="shared" si="1"/>
        <v>7054</v>
      </c>
      <c r="BX42" s="52"/>
      <c r="BY42" s="52"/>
      <c r="BZ42" s="52"/>
    </row>
    <row r="43" spans="1:78" s="27" customFormat="1">
      <c r="A43" s="5" t="s">
        <v>80</v>
      </c>
      <c r="B43" s="6"/>
      <c r="C43" s="6"/>
      <c r="D43" s="6"/>
      <c r="E43" s="6"/>
      <c r="F43" s="6"/>
      <c r="G43" s="6"/>
      <c r="H43" s="6"/>
      <c r="I43" s="6"/>
      <c r="J43" s="6">
        <v>3</v>
      </c>
      <c r="K43" s="6">
        <v>57</v>
      </c>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v>2</v>
      </c>
      <c r="BE43" s="6">
        <v>87</v>
      </c>
      <c r="BF43" s="6"/>
      <c r="BG43" s="6"/>
      <c r="BH43" s="6"/>
      <c r="BI43" s="6"/>
      <c r="BJ43" s="6"/>
      <c r="BK43" s="6"/>
      <c r="BL43" s="6"/>
      <c r="BM43" s="6"/>
      <c r="BN43" s="6"/>
      <c r="BO43" s="6"/>
      <c r="BP43" s="6"/>
      <c r="BQ43" s="6"/>
      <c r="BR43" s="6"/>
      <c r="BS43" s="6"/>
      <c r="BT43" s="6"/>
      <c r="BU43" s="6"/>
      <c r="BV43" s="8">
        <f t="shared" si="0"/>
        <v>5</v>
      </c>
      <c r="BW43" s="8">
        <f t="shared" si="1"/>
        <v>144</v>
      </c>
      <c r="BX43" s="52"/>
      <c r="BY43" s="52"/>
      <c r="BZ43" s="52"/>
    </row>
    <row r="44" spans="1:78" s="27" customFormat="1">
      <c r="A44" s="5" t="s">
        <v>81</v>
      </c>
      <c r="B44" s="6"/>
      <c r="C44" s="6"/>
      <c r="D44" s="6"/>
      <c r="E44" s="6"/>
      <c r="F44" s="6">
        <v>1</v>
      </c>
      <c r="G44" s="6">
        <v>25</v>
      </c>
      <c r="H44" s="6"/>
      <c r="I44" s="6"/>
      <c r="J44" s="6">
        <v>2</v>
      </c>
      <c r="K44" s="6">
        <v>26</v>
      </c>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v>2</v>
      </c>
      <c r="BE44" s="6">
        <v>96</v>
      </c>
      <c r="BF44" s="6"/>
      <c r="BG44" s="6"/>
      <c r="BH44" s="6"/>
      <c r="BI44" s="6"/>
      <c r="BJ44" s="6"/>
      <c r="BK44" s="6"/>
      <c r="BL44" s="6"/>
      <c r="BM44" s="6"/>
      <c r="BN44" s="6"/>
      <c r="BO44" s="6"/>
      <c r="BP44" s="6"/>
      <c r="BQ44" s="6"/>
      <c r="BR44" s="6"/>
      <c r="BS44" s="6"/>
      <c r="BT44" s="6"/>
      <c r="BU44" s="6"/>
      <c r="BV44" s="8">
        <f t="shared" si="0"/>
        <v>5</v>
      </c>
      <c r="BW44" s="8">
        <f t="shared" si="1"/>
        <v>147</v>
      </c>
      <c r="BX44" s="52"/>
      <c r="BY44" s="52"/>
      <c r="BZ44" s="52"/>
    </row>
    <row r="45" spans="1:78" s="27" customFormat="1">
      <c r="A45" s="5" t="s">
        <v>179</v>
      </c>
      <c r="B45" s="6">
        <v>6</v>
      </c>
      <c r="C45" s="6">
        <v>210</v>
      </c>
      <c r="D45" s="6">
        <v>2</v>
      </c>
      <c r="E45" s="6">
        <v>72</v>
      </c>
      <c r="F45" s="6">
        <v>4</v>
      </c>
      <c r="G45" s="6">
        <v>122</v>
      </c>
      <c r="H45" s="6"/>
      <c r="I45" s="6"/>
      <c r="J45" s="6">
        <v>2</v>
      </c>
      <c r="K45" s="6">
        <v>24</v>
      </c>
      <c r="L45" s="6"/>
      <c r="M45" s="6"/>
      <c r="N45" s="6"/>
      <c r="O45" s="6"/>
      <c r="P45" s="6"/>
      <c r="Q45" s="6"/>
      <c r="R45" s="6"/>
      <c r="S45" s="6"/>
      <c r="T45" s="6"/>
      <c r="U45" s="6"/>
      <c r="V45" s="6"/>
      <c r="W45" s="6"/>
      <c r="X45" s="6">
        <v>6</v>
      </c>
      <c r="Y45" s="6">
        <v>1359</v>
      </c>
      <c r="Z45" s="6"/>
      <c r="AA45" s="6"/>
      <c r="AB45" s="6">
        <v>7</v>
      </c>
      <c r="AC45" s="6">
        <v>1845</v>
      </c>
      <c r="AD45" s="6"/>
      <c r="AE45" s="6"/>
      <c r="AF45" s="6"/>
      <c r="AG45" s="6"/>
      <c r="AH45" s="6"/>
      <c r="AI45" s="6"/>
      <c r="AJ45" s="6"/>
      <c r="AK45" s="6"/>
      <c r="AL45" s="6"/>
      <c r="AM45" s="6"/>
      <c r="AN45" s="6"/>
      <c r="AO45" s="6"/>
      <c r="AP45" s="6">
        <v>1</v>
      </c>
      <c r="AQ45" s="6">
        <v>156</v>
      </c>
      <c r="AR45" s="6"/>
      <c r="AS45" s="6"/>
      <c r="AT45" s="6"/>
      <c r="AU45" s="6"/>
      <c r="AV45" s="6"/>
      <c r="AW45" s="6"/>
      <c r="AX45" s="6"/>
      <c r="AY45" s="6"/>
      <c r="AZ45" s="6"/>
      <c r="BA45" s="6"/>
      <c r="BB45" s="6"/>
      <c r="BC45" s="6"/>
      <c r="BD45" s="6">
        <v>1</v>
      </c>
      <c r="BE45" s="6">
        <v>18</v>
      </c>
      <c r="BF45" s="6">
        <v>3</v>
      </c>
      <c r="BG45" s="6">
        <v>79</v>
      </c>
      <c r="BH45" s="6">
        <v>1</v>
      </c>
      <c r="BI45" s="6">
        <v>15</v>
      </c>
      <c r="BJ45" s="6"/>
      <c r="BK45" s="6"/>
      <c r="BL45" s="6"/>
      <c r="BM45" s="6"/>
      <c r="BN45" s="6"/>
      <c r="BO45" s="6"/>
      <c r="BP45" s="6">
        <v>1</v>
      </c>
      <c r="BQ45" s="6">
        <v>54</v>
      </c>
      <c r="BR45" s="6"/>
      <c r="BS45" s="6"/>
      <c r="BT45" s="6"/>
      <c r="BU45" s="6"/>
      <c r="BV45" s="8">
        <f t="shared" si="0"/>
        <v>34</v>
      </c>
      <c r="BW45" s="8">
        <f t="shared" si="1"/>
        <v>3954</v>
      </c>
      <c r="BX45" s="52"/>
      <c r="BY45" s="52"/>
      <c r="BZ45" s="52"/>
    </row>
    <row r="46" spans="1:78" s="27" customFormat="1">
      <c r="A46" s="5" t="s">
        <v>180</v>
      </c>
      <c r="B46" s="6">
        <v>3</v>
      </c>
      <c r="C46" s="6">
        <v>333</v>
      </c>
      <c r="D46" s="6">
        <v>5</v>
      </c>
      <c r="E46" s="6">
        <v>355</v>
      </c>
      <c r="F46" s="6">
        <v>8</v>
      </c>
      <c r="G46" s="6">
        <v>870</v>
      </c>
      <c r="H46" s="6">
        <v>1</v>
      </c>
      <c r="I46" s="6">
        <v>184</v>
      </c>
      <c r="J46" s="6">
        <v>4</v>
      </c>
      <c r="K46" s="6">
        <v>74</v>
      </c>
      <c r="L46" s="6">
        <v>3</v>
      </c>
      <c r="M46" s="6">
        <v>116</v>
      </c>
      <c r="N46" s="6"/>
      <c r="O46" s="6"/>
      <c r="P46" s="6"/>
      <c r="Q46" s="6"/>
      <c r="R46" s="6"/>
      <c r="S46" s="6"/>
      <c r="T46" s="6">
        <v>1</v>
      </c>
      <c r="U46" s="6">
        <v>175</v>
      </c>
      <c r="V46" s="6">
        <v>2</v>
      </c>
      <c r="W46" s="6">
        <v>508</v>
      </c>
      <c r="X46" s="6">
        <v>11</v>
      </c>
      <c r="Y46" s="6">
        <v>2440</v>
      </c>
      <c r="Z46" s="6"/>
      <c r="AA46" s="6"/>
      <c r="AB46" s="6">
        <v>18</v>
      </c>
      <c r="AC46" s="6">
        <v>6754</v>
      </c>
      <c r="AD46" s="6"/>
      <c r="AE46" s="6"/>
      <c r="AF46" s="6">
        <v>3</v>
      </c>
      <c r="AG46" s="6">
        <v>1042</v>
      </c>
      <c r="AH46" s="6"/>
      <c r="AI46" s="6"/>
      <c r="AJ46" s="6"/>
      <c r="AK46" s="6"/>
      <c r="AL46" s="6"/>
      <c r="AM46" s="6"/>
      <c r="AN46" s="6">
        <v>11</v>
      </c>
      <c r="AO46" s="6">
        <v>5589</v>
      </c>
      <c r="AP46" s="6">
        <v>12</v>
      </c>
      <c r="AQ46" s="6">
        <v>6092</v>
      </c>
      <c r="AR46" s="6"/>
      <c r="AS46" s="6"/>
      <c r="AT46" s="6">
        <v>1</v>
      </c>
      <c r="AU46" s="6">
        <v>45</v>
      </c>
      <c r="AV46" s="6">
        <v>1</v>
      </c>
      <c r="AW46" s="6">
        <v>25</v>
      </c>
      <c r="AX46" s="6"/>
      <c r="AY46" s="6"/>
      <c r="AZ46" s="6"/>
      <c r="BA46" s="6"/>
      <c r="BB46" s="6"/>
      <c r="BC46" s="6"/>
      <c r="BD46" s="6">
        <v>1</v>
      </c>
      <c r="BE46" s="6">
        <v>44</v>
      </c>
      <c r="BF46" s="6"/>
      <c r="BG46" s="6"/>
      <c r="BH46" s="6">
        <v>2</v>
      </c>
      <c r="BI46" s="6">
        <v>94</v>
      </c>
      <c r="BJ46" s="6"/>
      <c r="BK46" s="6"/>
      <c r="BL46" s="6">
        <v>1</v>
      </c>
      <c r="BM46" s="6">
        <v>34</v>
      </c>
      <c r="BN46" s="6">
        <v>1</v>
      </c>
      <c r="BO46" s="6">
        <v>42</v>
      </c>
      <c r="BP46" s="6"/>
      <c r="BQ46" s="6"/>
      <c r="BR46" s="6"/>
      <c r="BS46" s="6"/>
      <c r="BT46" s="6"/>
      <c r="BU46" s="6"/>
      <c r="BV46" s="8">
        <f t="shared" si="0"/>
        <v>89</v>
      </c>
      <c r="BW46" s="8">
        <f t="shared" si="1"/>
        <v>24816</v>
      </c>
      <c r="BX46" s="52"/>
      <c r="BY46" s="52"/>
      <c r="BZ46" s="52"/>
    </row>
    <row r="47" spans="1:78" s="27" customFormat="1">
      <c r="A47" s="5" t="s">
        <v>84</v>
      </c>
      <c r="B47" s="6"/>
      <c r="C47" s="6"/>
      <c r="D47" s="6"/>
      <c r="E47" s="6"/>
      <c r="F47" s="6"/>
      <c r="G47" s="6"/>
      <c r="H47" s="6"/>
      <c r="I47" s="6"/>
      <c r="J47" s="6">
        <v>1</v>
      </c>
      <c r="K47" s="6">
        <v>10</v>
      </c>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8">
        <f t="shared" si="0"/>
        <v>1</v>
      </c>
      <c r="BW47" s="8">
        <f t="shared" si="1"/>
        <v>10</v>
      </c>
      <c r="BX47" s="52"/>
      <c r="BY47" s="52"/>
      <c r="BZ47" s="52"/>
    </row>
    <row r="48" spans="1:78" s="27" customFormat="1">
      <c r="A48" s="5" t="s">
        <v>85</v>
      </c>
      <c r="B48" s="6">
        <v>4</v>
      </c>
      <c r="C48" s="6">
        <v>222</v>
      </c>
      <c r="D48" s="6">
        <v>6</v>
      </c>
      <c r="E48" s="6">
        <v>285</v>
      </c>
      <c r="F48" s="6"/>
      <c r="G48" s="6"/>
      <c r="H48" s="6"/>
      <c r="I48" s="6"/>
      <c r="J48" s="6">
        <v>5</v>
      </c>
      <c r="K48" s="6">
        <v>76</v>
      </c>
      <c r="L48" s="6"/>
      <c r="M48" s="6"/>
      <c r="N48" s="6"/>
      <c r="O48" s="6"/>
      <c r="P48" s="6"/>
      <c r="Q48" s="6"/>
      <c r="R48" s="6"/>
      <c r="S48" s="6"/>
      <c r="T48" s="6">
        <v>2</v>
      </c>
      <c r="U48" s="6">
        <v>276</v>
      </c>
      <c r="V48" s="6">
        <v>1</v>
      </c>
      <c r="W48" s="6">
        <v>154</v>
      </c>
      <c r="X48" s="6">
        <v>18</v>
      </c>
      <c r="Y48" s="6">
        <v>5857</v>
      </c>
      <c r="Z48" s="6"/>
      <c r="AA48" s="6"/>
      <c r="AB48" s="6">
        <v>2</v>
      </c>
      <c r="AC48" s="6">
        <v>875</v>
      </c>
      <c r="AD48" s="6"/>
      <c r="AE48" s="6"/>
      <c r="AF48" s="6"/>
      <c r="AG48" s="6"/>
      <c r="AH48" s="6"/>
      <c r="AI48" s="6"/>
      <c r="AJ48" s="6"/>
      <c r="AK48" s="6"/>
      <c r="AL48" s="6"/>
      <c r="AM48" s="6"/>
      <c r="AN48" s="6">
        <v>5</v>
      </c>
      <c r="AO48" s="6">
        <v>647</v>
      </c>
      <c r="AP48" s="6">
        <v>10</v>
      </c>
      <c r="AQ48" s="6">
        <v>4212</v>
      </c>
      <c r="AR48" s="6"/>
      <c r="AS48" s="6"/>
      <c r="AT48" s="6"/>
      <c r="AU48" s="6"/>
      <c r="AV48" s="6"/>
      <c r="AW48" s="6"/>
      <c r="AX48" s="6"/>
      <c r="AY48" s="6"/>
      <c r="AZ48" s="6"/>
      <c r="BA48" s="6"/>
      <c r="BB48" s="6"/>
      <c r="BC48" s="6"/>
      <c r="BD48" s="6">
        <v>1</v>
      </c>
      <c r="BE48" s="6">
        <v>50</v>
      </c>
      <c r="BF48" s="6">
        <v>1</v>
      </c>
      <c r="BG48" s="6">
        <v>69</v>
      </c>
      <c r="BH48" s="6">
        <v>1</v>
      </c>
      <c r="BI48" s="6">
        <v>68</v>
      </c>
      <c r="BJ48" s="6">
        <v>1</v>
      </c>
      <c r="BK48" s="6">
        <v>142</v>
      </c>
      <c r="BL48" s="6">
        <v>2</v>
      </c>
      <c r="BM48" s="6">
        <v>64</v>
      </c>
      <c r="BN48" s="6"/>
      <c r="BO48" s="6"/>
      <c r="BP48" s="6"/>
      <c r="BQ48" s="6"/>
      <c r="BR48" s="6"/>
      <c r="BS48" s="6"/>
      <c r="BT48" s="6"/>
      <c r="BU48" s="6"/>
      <c r="BV48" s="8">
        <f t="shared" si="0"/>
        <v>59</v>
      </c>
      <c r="BW48" s="8">
        <f t="shared" si="1"/>
        <v>12997</v>
      </c>
      <c r="BX48" s="52"/>
      <c r="BY48" s="52"/>
      <c r="BZ48" s="52"/>
    </row>
    <row r="49" spans="1:78" s="27" customFormat="1">
      <c r="A49" s="5" t="s">
        <v>86</v>
      </c>
      <c r="B49" s="6"/>
      <c r="C49" s="6"/>
      <c r="D49" s="6"/>
      <c r="E49" s="6"/>
      <c r="F49" s="6"/>
      <c r="G49" s="6"/>
      <c r="H49" s="6"/>
      <c r="I49" s="6"/>
      <c r="J49" s="6">
        <v>2</v>
      </c>
      <c r="K49" s="6">
        <v>22</v>
      </c>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v>1</v>
      </c>
      <c r="BE49" s="6">
        <v>41</v>
      </c>
      <c r="BF49" s="6"/>
      <c r="BG49" s="6"/>
      <c r="BH49" s="6"/>
      <c r="BI49" s="6"/>
      <c r="BJ49" s="6"/>
      <c r="BK49" s="6"/>
      <c r="BL49" s="6"/>
      <c r="BM49" s="6"/>
      <c r="BN49" s="6"/>
      <c r="BO49" s="6"/>
      <c r="BP49" s="6"/>
      <c r="BQ49" s="6"/>
      <c r="BR49" s="6"/>
      <c r="BS49" s="6"/>
      <c r="BT49" s="6"/>
      <c r="BU49" s="6"/>
      <c r="BV49" s="8">
        <f t="shared" si="0"/>
        <v>3</v>
      </c>
      <c r="BW49" s="8">
        <f t="shared" si="1"/>
        <v>63</v>
      </c>
      <c r="BX49" s="52"/>
      <c r="BY49" s="52"/>
      <c r="BZ49" s="52"/>
    </row>
    <row r="50" spans="1:78" s="27" customFormat="1">
      <c r="A50" s="5" t="s">
        <v>87</v>
      </c>
      <c r="B50" s="6">
        <v>11</v>
      </c>
      <c r="C50" s="6">
        <v>236</v>
      </c>
      <c r="D50" s="6">
        <v>17</v>
      </c>
      <c r="E50" s="6">
        <v>2115</v>
      </c>
      <c r="F50" s="6">
        <v>10</v>
      </c>
      <c r="G50" s="6">
        <v>1471</v>
      </c>
      <c r="H50" s="6"/>
      <c r="I50" s="6"/>
      <c r="J50" s="6">
        <v>3</v>
      </c>
      <c r="K50" s="6">
        <v>48</v>
      </c>
      <c r="L50" s="6">
        <v>3</v>
      </c>
      <c r="M50" s="6">
        <v>80</v>
      </c>
      <c r="N50" s="6"/>
      <c r="O50" s="6"/>
      <c r="P50" s="6"/>
      <c r="Q50" s="6"/>
      <c r="R50" s="6">
        <v>2</v>
      </c>
      <c r="S50" s="6">
        <v>70</v>
      </c>
      <c r="T50" s="6">
        <v>1</v>
      </c>
      <c r="U50" s="6">
        <v>76</v>
      </c>
      <c r="V50" s="6">
        <v>3</v>
      </c>
      <c r="W50" s="6">
        <v>244</v>
      </c>
      <c r="X50" s="6">
        <v>11</v>
      </c>
      <c r="Y50" s="6">
        <v>2910</v>
      </c>
      <c r="Z50" s="6"/>
      <c r="AA50" s="6"/>
      <c r="AB50" s="6">
        <v>6</v>
      </c>
      <c r="AC50" s="6">
        <v>1206</v>
      </c>
      <c r="AD50" s="6"/>
      <c r="AE50" s="6"/>
      <c r="AF50" s="6">
        <v>1</v>
      </c>
      <c r="AG50" s="6">
        <v>759</v>
      </c>
      <c r="AH50" s="6"/>
      <c r="AI50" s="6"/>
      <c r="AJ50" s="6"/>
      <c r="AK50" s="6"/>
      <c r="AL50" s="6">
        <v>1</v>
      </c>
      <c r="AM50" s="6">
        <v>93</v>
      </c>
      <c r="AN50" s="6">
        <v>10</v>
      </c>
      <c r="AO50" s="6">
        <v>5096</v>
      </c>
      <c r="AP50" s="6">
        <v>3</v>
      </c>
      <c r="AQ50" s="6">
        <v>1164</v>
      </c>
      <c r="AR50" s="6">
        <v>1</v>
      </c>
      <c r="AS50" s="6">
        <v>94</v>
      </c>
      <c r="AT50" s="6"/>
      <c r="AU50" s="6"/>
      <c r="AV50" s="6"/>
      <c r="AW50" s="6"/>
      <c r="AX50" s="6"/>
      <c r="AY50" s="6"/>
      <c r="AZ50" s="6"/>
      <c r="BA50" s="6"/>
      <c r="BB50" s="6"/>
      <c r="BC50" s="6"/>
      <c r="BD50" s="6"/>
      <c r="BE50" s="6"/>
      <c r="BF50" s="6">
        <v>8</v>
      </c>
      <c r="BG50" s="6">
        <v>325</v>
      </c>
      <c r="BH50" s="6">
        <v>5</v>
      </c>
      <c r="BI50" s="6">
        <v>274</v>
      </c>
      <c r="BJ50" s="6"/>
      <c r="BK50" s="6"/>
      <c r="BL50" s="6">
        <v>6</v>
      </c>
      <c r="BM50" s="6">
        <v>255</v>
      </c>
      <c r="BN50" s="6">
        <v>5</v>
      </c>
      <c r="BO50" s="6">
        <v>119</v>
      </c>
      <c r="BP50" s="6"/>
      <c r="BQ50" s="6"/>
      <c r="BR50" s="6"/>
      <c r="BS50" s="6"/>
      <c r="BT50" s="6">
        <v>3</v>
      </c>
      <c r="BU50" s="6">
        <v>41</v>
      </c>
      <c r="BV50" s="8">
        <f t="shared" si="0"/>
        <v>110</v>
      </c>
      <c r="BW50" s="8">
        <f t="shared" si="1"/>
        <v>16676</v>
      </c>
      <c r="BX50" s="52"/>
      <c r="BY50" s="52"/>
      <c r="BZ50" s="52"/>
    </row>
    <row r="51" spans="1:78" s="27" customFormat="1">
      <c r="A51" s="5" t="s">
        <v>88</v>
      </c>
      <c r="B51" s="6"/>
      <c r="C51" s="6"/>
      <c r="D51" s="6"/>
      <c r="E51" s="6"/>
      <c r="F51" s="6"/>
      <c r="G51" s="6"/>
      <c r="H51" s="6"/>
      <c r="I51" s="6"/>
      <c r="J51" s="6">
        <v>6</v>
      </c>
      <c r="K51" s="6">
        <v>124</v>
      </c>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v>5</v>
      </c>
      <c r="BU51" s="6">
        <v>70</v>
      </c>
      <c r="BV51" s="8">
        <f t="shared" si="0"/>
        <v>11</v>
      </c>
      <c r="BW51" s="8">
        <f t="shared" si="1"/>
        <v>194</v>
      </c>
      <c r="BX51" s="52"/>
      <c r="BY51" s="52"/>
      <c r="BZ51" s="52"/>
    </row>
    <row r="52" spans="1:78" s="27" customFormat="1">
      <c r="A52" s="5" t="s">
        <v>89</v>
      </c>
      <c r="B52" s="6"/>
      <c r="C52" s="6"/>
      <c r="D52" s="6"/>
      <c r="E52" s="6"/>
      <c r="F52" s="6"/>
      <c r="G52" s="6"/>
      <c r="H52" s="6"/>
      <c r="I52" s="6"/>
      <c r="J52" s="6">
        <v>1</v>
      </c>
      <c r="K52" s="6">
        <v>14</v>
      </c>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v>1</v>
      </c>
      <c r="BE52" s="6">
        <v>39</v>
      </c>
      <c r="BF52" s="6"/>
      <c r="BG52" s="6"/>
      <c r="BH52" s="6"/>
      <c r="BI52" s="6"/>
      <c r="BJ52" s="6"/>
      <c r="BK52" s="6"/>
      <c r="BL52" s="6"/>
      <c r="BM52" s="6"/>
      <c r="BN52" s="6"/>
      <c r="BO52" s="6"/>
      <c r="BP52" s="6"/>
      <c r="BQ52" s="6"/>
      <c r="BR52" s="6"/>
      <c r="BS52" s="6"/>
      <c r="BT52" s="6">
        <v>1</v>
      </c>
      <c r="BU52" s="6">
        <v>4</v>
      </c>
      <c r="BV52" s="8">
        <f t="shared" si="0"/>
        <v>3</v>
      </c>
      <c r="BW52" s="8">
        <f t="shared" si="1"/>
        <v>57</v>
      </c>
      <c r="BX52" s="52"/>
      <c r="BY52" s="52"/>
      <c r="BZ52" s="52"/>
    </row>
    <row r="53" spans="1:78" s="27" customFormat="1">
      <c r="A53" s="5" t="s">
        <v>91</v>
      </c>
      <c r="B53" s="6"/>
      <c r="C53" s="6"/>
      <c r="D53" s="6"/>
      <c r="E53" s="6"/>
      <c r="F53" s="6"/>
      <c r="G53" s="6"/>
      <c r="H53" s="6"/>
      <c r="I53" s="6"/>
      <c r="J53" s="6">
        <v>1</v>
      </c>
      <c r="K53" s="6">
        <v>20</v>
      </c>
      <c r="L53" s="6"/>
      <c r="M53" s="6"/>
      <c r="N53" s="6"/>
      <c r="O53" s="6"/>
      <c r="P53" s="6"/>
      <c r="Q53" s="6"/>
      <c r="R53" s="6"/>
      <c r="S53" s="6"/>
      <c r="T53" s="6"/>
      <c r="U53" s="6"/>
      <c r="V53" s="6"/>
      <c r="W53" s="6"/>
      <c r="X53" s="6">
        <v>1</v>
      </c>
      <c r="Y53" s="6">
        <v>12</v>
      </c>
      <c r="Z53" s="6"/>
      <c r="AA53" s="6"/>
      <c r="AB53" s="6">
        <v>1</v>
      </c>
      <c r="AC53" s="6">
        <v>16</v>
      </c>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v>4</v>
      </c>
      <c r="BU53" s="6">
        <v>42</v>
      </c>
      <c r="BV53" s="8">
        <f t="shared" si="0"/>
        <v>7</v>
      </c>
      <c r="BW53" s="8">
        <f t="shared" si="1"/>
        <v>90</v>
      </c>
      <c r="BX53" s="52"/>
      <c r="BY53" s="52"/>
      <c r="BZ53" s="52"/>
    </row>
    <row r="54" spans="1:78" s="27" customFormat="1">
      <c r="A54" s="5" t="s">
        <v>92</v>
      </c>
      <c r="B54" s="6"/>
      <c r="C54" s="6"/>
      <c r="D54" s="6"/>
      <c r="E54" s="6"/>
      <c r="F54" s="6">
        <v>1</v>
      </c>
      <c r="G54" s="6">
        <v>82</v>
      </c>
      <c r="H54" s="6"/>
      <c r="I54" s="6"/>
      <c r="J54" s="6">
        <v>8</v>
      </c>
      <c r="K54" s="6">
        <v>103</v>
      </c>
      <c r="L54" s="6">
        <v>1</v>
      </c>
      <c r="M54" s="6">
        <v>15</v>
      </c>
      <c r="N54" s="6"/>
      <c r="O54" s="6"/>
      <c r="P54" s="6"/>
      <c r="Q54" s="6"/>
      <c r="R54" s="6"/>
      <c r="S54" s="6"/>
      <c r="T54" s="6">
        <v>1</v>
      </c>
      <c r="U54" s="6">
        <v>63</v>
      </c>
      <c r="V54" s="6">
        <v>5</v>
      </c>
      <c r="W54" s="6">
        <v>601</v>
      </c>
      <c r="X54" s="6">
        <v>3</v>
      </c>
      <c r="Y54" s="6">
        <v>717</v>
      </c>
      <c r="Z54" s="6"/>
      <c r="AA54" s="6"/>
      <c r="AB54" s="6">
        <v>4</v>
      </c>
      <c r="AC54" s="6">
        <v>470</v>
      </c>
      <c r="AD54" s="6"/>
      <c r="AE54" s="6"/>
      <c r="AF54" s="6">
        <v>1</v>
      </c>
      <c r="AG54" s="6">
        <v>74</v>
      </c>
      <c r="AH54" s="6">
        <v>1</v>
      </c>
      <c r="AI54" s="6">
        <v>242</v>
      </c>
      <c r="AJ54" s="6"/>
      <c r="AK54" s="6"/>
      <c r="AL54" s="6"/>
      <c r="AM54" s="6"/>
      <c r="AN54" s="6">
        <v>1</v>
      </c>
      <c r="AO54" s="6">
        <v>208</v>
      </c>
      <c r="AP54" s="6"/>
      <c r="AQ54" s="6"/>
      <c r="AR54" s="6"/>
      <c r="AS54" s="6"/>
      <c r="AT54" s="6"/>
      <c r="AU54" s="6"/>
      <c r="AV54" s="6"/>
      <c r="AW54" s="6"/>
      <c r="AX54" s="6"/>
      <c r="AY54" s="6"/>
      <c r="AZ54" s="6"/>
      <c r="BA54" s="6"/>
      <c r="BB54" s="6"/>
      <c r="BC54" s="6"/>
      <c r="BD54" s="6">
        <v>1</v>
      </c>
      <c r="BE54" s="6">
        <v>16</v>
      </c>
      <c r="BF54" s="6">
        <v>3</v>
      </c>
      <c r="BG54" s="6">
        <v>171</v>
      </c>
      <c r="BH54" s="6"/>
      <c r="BI54" s="6"/>
      <c r="BJ54" s="6"/>
      <c r="BK54" s="6"/>
      <c r="BL54" s="6"/>
      <c r="BM54" s="6"/>
      <c r="BN54" s="6">
        <v>1</v>
      </c>
      <c r="BO54" s="6">
        <v>50</v>
      </c>
      <c r="BP54" s="6"/>
      <c r="BQ54" s="6"/>
      <c r="BR54" s="6"/>
      <c r="BS54" s="6"/>
      <c r="BT54" s="6">
        <v>10</v>
      </c>
      <c r="BU54" s="6">
        <v>137</v>
      </c>
      <c r="BV54" s="8">
        <f t="shared" si="0"/>
        <v>41</v>
      </c>
      <c r="BW54" s="8">
        <f t="shared" si="1"/>
        <v>2949</v>
      </c>
      <c r="BX54" s="52"/>
      <c r="BY54" s="52"/>
      <c r="BZ54" s="52"/>
    </row>
    <row r="55" spans="1:78" s="27" customFormat="1">
      <c r="A55" s="5" t="s">
        <v>93</v>
      </c>
      <c r="B55" s="6">
        <v>18</v>
      </c>
      <c r="C55" s="6">
        <v>870</v>
      </c>
      <c r="D55" s="6">
        <v>5</v>
      </c>
      <c r="E55" s="6">
        <v>530</v>
      </c>
      <c r="F55" s="6">
        <v>6</v>
      </c>
      <c r="G55" s="6">
        <v>1029</v>
      </c>
      <c r="H55" s="6"/>
      <c r="I55" s="6"/>
      <c r="J55" s="6">
        <v>4</v>
      </c>
      <c r="K55" s="6">
        <v>88</v>
      </c>
      <c r="L55" s="6">
        <v>1</v>
      </c>
      <c r="M55" s="6">
        <v>20</v>
      </c>
      <c r="N55" s="6"/>
      <c r="O55" s="6"/>
      <c r="P55" s="6"/>
      <c r="Q55" s="6"/>
      <c r="R55" s="6"/>
      <c r="S55" s="6"/>
      <c r="T55" s="6">
        <v>3</v>
      </c>
      <c r="U55" s="6">
        <v>474</v>
      </c>
      <c r="V55" s="6">
        <v>3</v>
      </c>
      <c r="W55" s="6">
        <v>466</v>
      </c>
      <c r="X55" s="6">
        <v>11</v>
      </c>
      <c r="Y55" s="6">
        <v>2036</v>
      </c>
      <c r="Z55" s="6"/>
      <c r="AA55" s="6"/>
      <c r="AB55" s="6">
        <v>4</v>
      </c>
      <c r="AC55" s="6">
        <v>1094</v>
      </c>
      <c r="AD55" s="6"/>
      <c r="AE55" s="6"/>
      <c r="AF55" s="6"/>
      <c r="AG55" s="6"/>
      <c r="AH55" s="6"/>
      <c r="AI55" s="6"/>
      <c r="AJ55" s="6"/>
      <c r="AK55" s="6"/>
      <c r="AL55" s="6"/>
      <c r="AM55" s="6"/>
      <c r="AN55" s="6">
        <v>4</v>
      </c>
      <c r="AO55" s="6">
        <v>1276</v>
      </c>
      <c r="AP55" s="6">
        <v>8</v>
      </c>
      <c r="AQ55" s="6">
        <v>2923</v>
      </c>
      <c r="AR55" s="6">
        <v>1</v>
      </c>
      <c r="AS55" s="6">
        <v>136</v>
      </c>
      <c r="AT55" s="6"/>
      <c r="AU55" s="6"/>
      <c r="AV55" s="6">
        <v>1</v>
      </c>
      <c r="AW55" s="6">
        <v>152</v>
      </c>
      <c r="AX55" s="6"/>
      <c r="AY55" s="6"/>
      <c r="AZ55" s="6"/>
      <c r="BA55" s="6"/>
      <c r="BB55" s="6"/>
      <c r="BC55" s="6"/>
      <c r="BD55" s="6">
        <v>1</v>
      </c>
      <c r="BE55" s="6">
        <v>45</v>
      </c>
      <c r="BF55" s="6">
        <v>1</v>
      </c>
      <c r="BG55" s="6">
        <v>49</v>
      </c>
      <c r="BH55" s="6">
        <v>1</v>
      </c>
      <c r="BI55" s="6">
        <v>84</v>
      </c>
      <c r="BJ55" s="6"/>
      <c r="BK55" s="6"/>
      <c r="BL55" s="6">
        <v>4</v>
      </c>
      <c r="BM55" s="6">
        <v>169</v>
      </c>
      <c r="BN55" s="6">
        <v>2</v>
      </c>
      <c r="BO55" s="6">
        <v>114</v>
      </c>
      <c r="BP55" s="6"/>
      <c r="BQ55" s="6"/>
      <c r="BR55" s="6"/>
      <c r="BS55" s="6"/>
      <c r="BT55" s="6">
        <v>1</v>
      </c>
      <c r="BU55" s="6">
        <v>10</v>
      </c>
      <c r="BV55" s="8">
        <f t="shared" si="0"/>
        <v>79</v>
      </c>
      <c r="BW55" s="8">
        <f t="shared" si="1"/>
        <v>11565</v>
      </c>
      <c r="BX55" s="52"/>
      <c r="BY55" s="52"/>
      <c r="BZ55" s="52"/>
    </row>
    <row r="56" spans="1:78" s="27" customFormat="1">
      <c r="A56" s="5" t="s">
        <v>94</v>
      </c>
      <c r="B56" s="6"/>
      <c r="C56" s="6"/>
      <c r="D56" s="6"/>
      <c r="E56" s="6"/>
      <c r="F56" s="6"/>
      <c r="G56" s="6"/>
      <c r="H56" s="6"/>
      <c r="I56" s="6"/>
      <c r="J56" s="6">
        <v>4</v>
      </c>
      <c r="K56" s="6">
        <v>77</v>
      </c>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v>1</v>
      </c>
      <c r="AM56" s="6">
        <v>110</v>
      </c>
      <c r="AN56" s="6"/>
      <c r="AO56" s="6"/>
      <c r="AP56" s="6"/>
      <c r="AQ56" s="6"/>
      <c r="AR56" s="6"/>
      <c r="AS56" s="6"/>
      <c r="AT56" s="6"/>
      <c r="AU56" s="6"/>
      <c r="AV56" s="6"/>
      <c r="AW56" s="6"/>
      <c r="AX56" s="6"/>
      <c r="AY56" s="6"/>
      <c r="AZ56" s="6"/>
      <c r="BA56" s="6"/>
      <c r="BB56" s="6"/>
      <c r="BC56" s="6"/>
      <c r="BD56" s="6">
        <v>1</v>
      </c>
      <c r="BE56" s="6">
        <v>32</v>
      </c>
      <c r="BF56" s="6"/>
      <c r="BG56" s="6"/>
      <c r="BH56" s="6"/>
      <c r="BI56" s="6"/>
      <c r="BJ56" s="6"/>
      <c r="BK56" s="6"/>
      <c r="BL56" s="6"/>
      <c r="BM56" s="6"/>
      <c r="BN56" s="6"/>
      <c r="BO56" s="6"/>
      <c r="BP56" s="6"/>
      <c r="BQ56" s="6"/>
      <c r="BR56" s="6"/>
      <c r="BS56" s="6"/>
      <c r="BT56" s="6">
        <v>2</v>
      </c>
      <c r="BU56" s="6">
        <v>28</v>
      </c>
      <c r="BV56" s="8">
        <f t="shared" si="0"/>
        <v>8</v>
      </c>
      <c r="BW56" s="8">
        <f t="shared" si="1"/>
        <v>247</v>
      </c>
      <c r="BX56" s="52"/>
      <c r="BY56" s="52"/>
      <c r="BZ56" s="52"/>
    </row>
    <row r="57" spans="1:78" s="27" customFormat="1">
      <c r="A57" s="5" t="s">
        <v>95</v>
      </c>
      <c r="B57" s="6"/>
      <c r="C57" s="6"/>
      <c r="D57" s="6"/>
      <c r="E57" s="6"/>
      <c r="F57" s="6"/>
      <c r="G57" s="6"/>
      <c r="H57" s="6"/>
      <c r="I57" s="6"/>
      <c r="J57" s="6">
        <v>1</v>
      </c>
      <c r="K57" s="6">
        <v>20</v>
      </c>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v>1</v>
      </c>
      <c r="BE57" s="6">
        <v>48</v>
      </c>
      <c r="BF57" s="6"/>
      <c r="BG57" s="6"/>
      <c r="BH57" s="6"/>
      <c r="BI57" s="6"/>
      <c r="BJ57" s="6"/>
      <c r="BK57" s="6"/>
      <c r="BL57" s="6"/>
      <c r="BM57" s="6"/>
      <c r="BN57" s="6"/>
      <c r="BO57" s="6"/>
      <c r="BP57" s="6"/>
      <c r="BQ57" s="6"/>
      <c r="BR57" s="6"/>
      <c r="BS57" s="6"/>
      <c r="BT57" s="6"/>
      <c r="BU57" s="6"/>
      <c r="BV57" s="8">
        <f t="shared" si="0"/>
        <v>2</v>
      </c>
      <c r="BW57" s="8">
        <f t="shared" si="1"/>
        <v>68</v>
      </c>
      <c r="BX57" s="52"/>
      <c r="BY57" s="52"/>
      <c r="BZ57" s="52"/>
    </row>
    <row r="58" spans="1:78" s="51" customFormat="1">
      <c r="A58" s="11" t="s">
        <v>96</v>
      </c>
      <c r="B58" s="12">
        <f>SUM(B9:B57)</f>
        <v>102</v>
      </c>
      <c r="C58" s="12">
        <f t="shared" ref="C58:BN58" si="2">SUM(C9:C57)</f>
        <v>5718</v>
      </c>
      <c r="D58" s="12">
        <f t="shared" si="2"/>
        <v>129</v>
      </c>
      <c r="E58" s="12">
        <f t="shared" si="2"/>
        <v>14948</v>
      </c>
      <c r="F58" s="12">
        <f t="shared" si="2"/>
        <v>106</v>
      </c>
      <c r="G58" s="12">
        <f t="shared" si="2"/>
        <v>18502</v>
      </c>
      <c r="H58" s="12">
        <f t="shared" si="2"/>
        <v>7</v>
      </c>
      <c r="I58" s="12">
        <f t="shared" si="2"/>
        <v>2093</v>
      </c>
      <c r="J58" s="12">
        <f t="shared" si="2"/>
        <v>176</v>
      </c>
      <c r="K58" s="12">
        <f t="shared" si="2"/>
        <v>2637</v>
      </c>
      <c r="L58" s="12">
        <f t="shared" si="2"/>
        <v>18</v>
      </c>
      <c r="M58" s="12">
        <f t="shared" si="2"/>
        <v>538</v>
      </c>
      <c r="N58" s="12">
        <f t="shared" si="2"/>
        <v>1</v>
      </c>
      <c r="O58" s="12">
        <f t="shared" si="2"/>
        <v>500</v>
      </c>
      <c r="P58" s="12">
        <f t="shared" si="2"/>
        <v>1</v>
      </c>
      <c r="Q58" s="12">
        <f t="shared" si="2"/>
        <v>660</v>
      </c>
      <c r="R58" s="12">
        <f t="shared" si="2"/>
        <v>8</v>
      </c>
      <c r="S58" s="12">
        <f t="shared" si="2"/>
        <v>230</v>
      </c>
      <c r="T58" s="12">
        <f t="shared" si="2"/>
        <v>29</v>
      </c>
      <c r="U58" s="12">
        <f t="shared" si="2"/>
        <v>2579</v>
      </c>
      <c r="V58" s="12">
        <f t="shared" si="2"/>
        <v>55</v>
      </c>
      <c r="W58" s="12">
        <f t="shared" si="2"/>
        <v>8754</v>
      </c>
      <c r="X58" s="12">
        <f t="shared" si="2"/>
        <v>271</v>
      </c>
      <c r="Y58" s="12">
        <f t="shared" si="2"/>
        <v>81831</v>
      </c>
      <c r="Z58" s="12">
        <f t="shared" si="2"/>
        <v>2</v>
      </c>
      <c r="AA58" s="12">
        <f t="shared" si="2"/>
        <v>300</v>
      </c>
      <c r="AB58" s="12">
        <f t="shared" si="2"/>
        <v>169</v>
      </c>
      <c r="AC58" s="12">
        <f t="shared" si="2"/>
        <v>50456</v>
      </c>
      <c r="AD58" s="12">
        <f t="shared" si="2"/>
        <v>3</v>
      </c>
      <c r="AE58" s="12">
        <f t="shared" si="2"/>
        <v>733</v>
      </c>
      <c r="AF58" s="12">
        <f t="shared" si="2"/>
        <v>24</v>
      </c>
      <c r="AG58" s="12">
        <f t="shared" si="2"/>
        <v>5166</v>
      </c>
      <c r="AH58" s="12">
        <f t="shared" si="2"/>
        <v>4</v>
      </c>
      <c r="AI58" s="12">
        <f t="shared" si="2"/>
        <v>1141</v>
      </c>
      <c r="AJ58" s="12">
        <f t="shared" si="2"/>
        <v>2</v>
      </c>
      <c r="AK58" s="12">
        <f t="shared" si="2"/>
        <v>106</v>
      </c>
      <c r="AL58" s="12">
        <f t="shared" si="2"/>
        <v>9</v>
      </c>
      <c r="AM58" s="12">
        <f t="shared" si="2"/>
        <v>1668</v>
      </c>
      <c r="AN58" s="12">
        <f t="shared" si="2"/>
        <v>87</v>
      </c>
      <c r="AO58" s="12">
        <f t="shared" si="2"/>
        <v>37737</v>
      </c>
      <c r="AP58" s="12">
        <f t="shared" si="2"/>
        <v>86</v>
      </c>
      <c r="AQ58" s="12">
        <f t="shared" si="2"/>
        <v>37410</v>
      </c>
      <c r="AR58" s="12">
        <f t="shared" si="2"/>
        <v>4</v>
      </c>
      <c r="AS58" s="12">
        <f t="shared" si="2"/>
        <v>566</v>
      </c>
      <c r="AT58" s="12">
        <f t="shared" si="2"/>
        <v>4</v>
      </c>
      <c r="AU58" s="12">
        <f t="shared" si="2"/>
        <v>130</v>
      </c>
      <c r="AV58" s="12">
        <f t="shared" si="2"/>
        <v>3</v>
      </c>
      <c r="AW58" s="12">
        <f t="shared" si="2"/>
        <v>244</v>
      </c>
      <c r="AX58" s="12">
        <f t="shared" si="2"/>
        <v>3</v>
      </c>
      <c r="AY58" s="12">
        <f t="shared" si="2"/>
        <v>251</v>
      </c>
      <c r="AZ58" s="12">
        <f t="shared" si="2"/>
        <v>1</v>
      </c>
      <c r="BA58" s="12">
        <f t="shared" si="2"/>
        <v>33</v>
      </c>
      <c r="BB58" s="12">
        <f t="shared" si="2"/>
        <v>1</v>
      </c>
      <c r="BC58" s="12">
        <f t="shared" si="2"/>
        <v>132</v>
      </c>
      <c r="BD58" s="12">
        <f t="shared" si="2"/>
        <v>32</v>
      </c>
      <c r="BE58" s="12">
        <f t="shared" si="2"/>
        <v>1191</v>
      </c>
      <c r="BF58" s="12">
        <f t="shared" si="2"/>
        <v>42</v>
      </c>
      <c r="BG58" s="12">
        <f t="shared" si="2"/>
        <v>1988</v>
      </c>
      <c r="BH58" s="12">
        <f t="shared" si="2"/>
        <v>31</v>
      </c>
      <c r="BI58" s="12">
        <f t="shared" si="2"/>
        <v>1834</v>
      </c>
      <c r="BJ58" s="12">
        <f t="shared" si="2"/>
        <v>3</v>
      </c>
      <c r="BK58" s="12">
        <f t="shared" si="2"/>
        <v>236</v>
      </c>
      <c r="BL58" s="12">
        <f t="shared" si="2"/>
        <v>55</v>
      </c>
      <c r="BM58" s="12">
        <f t="shared" si="2"/>
        <v>2242</v>
      </c>
      <c r="BN58" s="12">
        <f t="shared" si="2"/>
        <v>33</v>
      </c>
      <c r="BO58" s="12">
        <f t="shared" ref="BO58:BU58" si="3">SUM(BO9:BO57)</f>
        <v>1380</v>
      </c>
      <c r="BP58" s="12">
        <f t="shared" si="3"/>
        <v>3</v>
      </c>
      <c r="BQ58" s="12">
        <f t="shared" si="3"/>
        <v>140</v>
      </c>
      <c r="BR58" s="12">
        <f t="shared" si="3"/>
        <v>1</v>
      </c>
      <c r="BS58" s="12">
        <f t="shared" si="3"/>
        <v>23</v>
      </c>
      <c r="BT58" s="12">
        <f t="shared" si="3"/>
        <v>66</v>
      </c>
      <c r="BU58" s="12">
        <f t="shared" si="3"/>
        <v>859</v>
      </c>
      <c r="BV58" s="8">
        <f>B58+D58+F58+H58+J58+L58+N58+P58+R58+T58+V58+X58+Z58+AB58+AD58+AF58+AH58+AJ58+AL58+AN58+AP58+AR58+AT58+AV58+AX58+AZ58+BB58+BD58+BF58+BH58+BJ58+BL58+BN58+BP58+BR58+BT58</f>
        <v>1571</v>
      </c>
      <c r="BW58" s="8">
        <f>C58+E58+G58+I58+K58+M58+O58+Q58+S58+U58+W58+Y58+AA58+AC58+AE58+AG58+AI58+AK58+AM58+AO58+AQ58+AS58+AU58+AW58+AY58+BA58+BC58+BE58+BG58+BI58+BK58+BM58+BO58+BQ58+BS58+BU58</f>
        <v>284956</v>
      </c>
      <c r="BX58" s="52"/>
      <c r="BY58" s="52"/>
      <c r="BZ58" s="52"/>
    </row>
    <row r="59" spans="1:78" s="27" customFormat="1" ht="12.75">
      <c r="A59" s="48" t="s">
        <v>189</v>
      </c>
      <c r="BV59" s="54"/>
      <c r="BW59" s="54"/>
    </row>
    <row r="60" spans="1:78" s="27" customFormat="1" ht="12.75">
      <c r="A60" s="50" t="s">
        <v>190</v>
      </c>
      <c r="BV60" s="54"/>
      <c r="BW60" s="54"/>
    </row>
    <row r="61" spans="1:78" s="55" customFormat="1" ht="12.75">
      <c r="A61" s="50" t="s">
        <v>191</v>
      </c>
      <c r="BV61" s="56"/>
      <c r="BW61" s="56"/>
    </row>
  </sheetData>
  <sheetProtection password="C668" sheet="1"/>
  <mergeCells count="38">
    <mergeCell ref="V6:W6"/>
    <mergeCell ref="A6:A8"/>
    <mergeCell ref="B6:C6"/>
    <mergeCell ref="D6:E6"/>
    <mergeCell ref="F6:G6"/>
    <mergeCell ref="H6:I6"/>
    <mergeCell ref="J6:K6"/>
    <mergeCell ref="L6:M6"/>
    <mergeCell ref="N6:O6"/>
    <mergeCell ref="P6:Q6"/>
    <mergeCell ref="R6:S6"/>
    <mergeCell ref="T6:U6"/>
    <mergeCell ref="AT6:AU6"/>
    <mergeCell ref="AV6:AW6"/>
    <mergeCell ref="X6:Y6"/>
    <mergeCell ref="Z6:AA6"/>
    <mergeCell ref="AB6:AC6"/>
    <mergeCell ref="AD6:AE6"/>
    <mergeCell ref="AF6:AG6"/>
    <mergeCell ref="AH6:AI6"/>
    <mergeCell ref="AJ6:AK6"/>
    <mergeCell ref="AL6:AM6"/>
    <mergeCell ref="AN6:AO6"/>
    <mergeCell ref="AP6:AQ6"/>
    <mergeCell ref="AR6:AS6"/>
    <mergeCell ref="BP6:BQ6"/>
    <mergeCell ref="BR6:BS6"/>
    <mergeCell ref="BT6:BU6"/>
    <mergeCell ref="BV6:BW6"/>
    <mergeCell ref="AX6:AY6"/>
    <mergeCell ref="AZ6:BA6"/>
    <mergeCell ref="BB6:BC6"/>
    <mergeCell ref="BD6:BE6"/>
    <mergeCell ref="BL6:BM6"/>
    <mergeCell ref="BN6:BO6"/>
    <mergeCell ref="BF6:BG6"/>
    <mergeCell ref="BH6:BI6"/>
    <mergeCell ref="BJ6:BK6"/>
  </mergeCells>
  <conditionalFormatting sqref="A9:BW57 BV10:BW58">
    <cfRule type="expression" dxfId="8" priority="10" stopIfTrue="1">
      <formula>MOD(ROW(),2)=0</formula>
    </cfRule>
  </conditionalFormatting>
  <conditionalFormatting sqref="A2:XFD61">
    <cfRule type="expression" priority="14">
      <formula>SI(0," ")</formula>
    </cfRule>
  </conditionalFormatting>
  <conditionalFormatting sqref="H2">
    <cfRule type="expression" priority="13">
      <formula>SI($C$39," ")</formula>
    </cfRule>
  </conditionalFormatting>
  <pageMargins left="0" right="0" top="0" bottom="0" header="0.31496062992125984" footer="0.31496062992125984"/>
  <pageSetup paperSize="8" scale="70" orientation="landscape" r:id="rId1"/>
  <colBreaks count="4" manualBreakCount="4">
    <brk id="17" max="1048575" man="1"/>
    <brk id="33" max="1048575" man="1"/>
    <brk id="49" max="1048575" man="1"/>
    <brk id="65"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3:T45"/>
  <sheetViews>
    <sheetView showGridLines="0" workbookViewId="0"/>
  </sheetViews>
  <sheetFormatPr baseColWidth="10" defaultRowHeight="15"/>
  <cols>
    <col min="1" max="1" width="20.7109375" customWidth="1"/>
    <col min="3" max="3" width="17" bestFit="1" customWidth="1"/>
    <col min="4" max="4" width="15.140625" bestFit="1" customWidth="1"/>
    <col min="5" max="5" width="14" bestFit="1" customWidth="1"/>
    <col min="8" max="8" width="16" customWidth="1"/>
    <col min="10" max="10" width="17" bestFit="1" customWidth="1"/>
    <col min="11" max="11" width="15.140625" bestFit="1" customWidth="1"/>
    <col min="12" max="12" width="14" bestFit="1" customWidth="1"/>
  </cols>
  <sheetData>
    <row r="3" spans="1:20" s="15" customFormat="1" ht="16.5">
      <c r="A3" s="13" t="s">
        <v>192</v>
      </c>
      <c r="B3" s="14"/>
      <c r="H3" s="14"/>
      <c r="I3" s="14"/>
    </row>
    <row r="4" spans="1:20" s="15" customFormat="1" ht="16.5">
      <c r="A4" s="16" t="s">
        <v>193</v>
      </c>
      <c r="B4" s="17"/>
      <c r="C4" s="18"/>
      <c r="D4" s="18"/>
      <c r="E4" s="18"/>
      <c r="F4" s="18"/>
      <c r="G4" s="18"/>
      <c r="H4" s="14"/>
      <c r="I4" s="14"/>
      <c r="P4" s="18"/>
      <c r="Q4" s="18"/>
      <c r="R4" s="18"/>
      <c r="S4" s="18"/>
      <c r="T4" s="18"/>
    </row>
    <row r="5" spans="1:20" s="15" customFormat="1" ht="16.5">
      <c r="A5" s="16" t="s">
        <v>194</v>
      </c>
      <c r="B5" s="17"/>
      <c r="C5" s="18"/>
      <c r="D5" s="18"/>
      <c r="E5" s="18"/>
      <c r="F5" s="18"/>
      <c r="G5" s="18"/>
      <c r="H5" s="14"/>
      <c r="I5" s="14"/>
    </row>
    <row r="6" spans="1:20" s="15" customFormat="1" ht="16.5">
      <c r="A6" s="16"/>
      <c r="B6" s="17"/>
      <c r="C6" s="18"/>
      <c r="D6" s="18"/>
      <c r="E6" s="18"/>
      <c r="F6" s="18"/>
      <c r="G6" s="18"/>
      <c r="H6" s="14"/>
      <c r="I6" s="14"/>
    </row>
    <row r="7" spans="1:20" s="15" customFormat="1" ht="12.75">
      <c r="A7" s="14"/>
      <c r="B7" s="14"/>
      <c r="H7" s="14"/>
      <c r="I7" s="14"/>
    </row>
    <row r="8" spans="1:20" s="15" customFormat="1" ht="12.75">
      <c r="A8" s="143" t="s">
        <v>104</v>
      </c>
      <c r="B8" s="143"/>
      <c r="C8" s="107" t="s">
        <v>105</v>
      </c>
      <c r="D8" s="107" t="s">
        <v>106</v>
      </c>
      <c r="E8" s="107" t="s">
        <v>107</v>
      </c>
      <c r="F8" s="107" t="s">
        <v>108</v>
      </c>
      <c r="H8" s="143" t="s">
        <v>104</v>
      </c>
      <c r="I8" s="143"/>
      <c r="J8" s="107" t="s">
        <v>105</v>
      </c>
      <c r="K8" s="107" t="s">
        <v>106</v>
      </c>
      <c r="L8" s="107" t="s">
        <v>107</v>
      </c>
      <c r="M8" s="107" t="s">
        <v>108</v>
      </c>
    </row>
    <row r="9" spans="1:20" s="18" customFormat="1" ht="12.75">
      <c r="A9" s="144" t="s">
        <v>109</v>
      </c>
      <c r="B9" s="144"/>
      <c r="C9" s="108" t="s">
        <v>110</v>
      </c>
      <c r="D9" s="108" t="s">
        <v>111</v>
      </c>
      <c r="E9" s="108" t="s">
        <v>112</v>
      </c>
      <c r="F9" s="108" t="s">
        <v>113</v>
      </c>
      <c r="H9" s="144" t="s">
        <v>109</v>
      </c>
      <c r="I9" s="144"/>
      <c r="J9" s="108" t="s">
        <v>110</v>
      </c>
      <c r="K9" s="108" t="s">
        <v>111</v>
      </c>
      <c r="L9" s="108" t="s">
        <v>112</v>
      </c>
      <c r="M9" s="108" t="s">
        <v>113</v>
      </c>
    </row>
    <row r="10" spans="1:20" s="18" customFormat="1" ht="12.75">
      <c r="A10" s="144" t="s">
        <v>114</v>
      </c>
      <c r="B10" s="144"/>
      <c r="C10" s="108" t="s">
        <v>115</v>
      </c>
      <c r="D10" s="108" t="s">
        <v>116</v>
      </c>
      <c r="E10" s="108" t="s">
        <v>117</v>
      </c>
      <c r="F10" s="108" t="s">
        <v>118</v>
      </c>
      <c r="H10" s="144" t="s">
        <v>114</v>
      </c>
      <c r="I10" s="144"/>
      <c r="J10" s="108" t="s">
        <v>115</v>
      </c>
      <c r="K10" s="108" t="s">
        <v>116</v>
      </c>
      <c r="L10" s="108" t="s">
        <v>117</v>
      </c>
      <c r="M10" s="108" t="s">
        <v>118</v>
      </c>
    </row>
    <row r="11" spans="1:20" s="15" customFormat="1">
      <c r="A11" s="139" t="s">
        <v>119</v>
      </c>
      <c r="B11" s="139"/>
      <c r="C11" s="6">
        <v>108</v>
      </c>
      <c r="D11" s="6">
        <v>2041</v>
      </c>
      <c r="E11" s="6">
        <v>6315</v>
      </c>
      <c r="F11" s="20">
        <v>0.15170806707346371</v>
      </c>
      <c r="G11" s="47"/>
      <c r="H11" s="139" t="s">
        <v>25</v>
      </c>
      <c r="I11" s="139"/>
      <c r="J11" s="6">
        <v>2</v>
      </c>
      <c r="K11" s="6">
        <v>33</v>
      </c>
      <c r="L11" s="6">
        <v>106</v>
      </c>
      <c r="M11" s="20">
        <v>1.3889798859988206E-3</v>
      </c>
    </row>
    <row r="12" spans="1:20" s="15" customFormat="1">
      <c r="A12" s="139" t="s">
        <v>120</v>
      </c>
      <c r="B12" s="139"/>
      <c r="C12" s="6">
        <v>129</v>
      </c>
      <c r="D12" s="6">
        <v>5503</v>
      </c>
      <c r="E12" s="6">
        <v>14829</v>
      </c>
      <c r="F12" s="20">
        <v>0.35624369384519289</v>
      </c>
      <c r="G12" s="47"/>
      <c r="H12" s="139" t="s">
        <v>26</v>
      </c>
      <c r="I12" s="139"/>
      <c r="J12" s="6">
        <v>10</v>
      </c>
      <c r="K12" s="6">
        <v>611</v>
      </c>
      <c r="L12" s="6">
        <v>1683</v>
      </c>
      <c r="M12" s="20">
        <v>2.2053331586188822E-2</v>
      </c>
    </row>
    <row r="13" spans="1:20" s="15" customFormat="1">
      <c r="A13" s="139" t="s">
        <v>121</v>
      </c>
      <c r="B13" s="139"/>
      <c r="C13" s="6">
        <v>105</v>
      </c>
      <c r="D13" s="6">
        <v>7165</v>
      </c>
      <c r="E13" s="6">
        <v>18389</v>
      </c>
      <c r="F13" s="20">
        <v>0.44176716475279876</v>
      </c>
      <c r="G13" s="47"/>
      <c r="H13" s="139" t="s">
        <v>27</v>
      </c>
      <c r="I13" s="139"/>
      <c r="J13" s="6">
        <v>86</v>
      </c>
      <c r="K13" s="6">
        <v>15637</v>
      </c>
      <c r="L13" s="6">
        <v>36550</v>
      </c>
      <c r="M13" s="20">
        <v>0.47893598899298956</v>
      </c>
    </row>
    <row r="14" spans="1:20" s="15" customFormat="1">
      <c r="A14" s="139" t="s">
        <v>122</v>
      </c>
      <c r="B14" s="139"/>
      <c r="C14" s="6">
        <v>7</v>
      </c>
      <c r="D14" s="6">
        <v>645</v>
      </c>
      <c r="E14" s="6">
        <v>2093</v>
      </c>
      <c r="F14" s="20">
        <v>5.0281074328544659E-2</v>
      </c>
      <c r="G14" s="47"/>
      <c r="H14" s="139" t="s">
        <v>28</v>
      </c>
      <c r="I14" s="139"/>
      <c r="J14" s="6">
        <v>86</v>
      </c>
      <c r="K14" s="6">
        <v>17093</v>
      </c>
      <c r="L14" s="6">
        <v>37410</v>
      </c>
      <c r="M14" s="20">
        <v>0.49020507108694228</v>
      </c>
    </row>
    <row r="15" spans="1:20" s="15" customFormat="1">
      <c r="A15" s="140" t="s">
        <v>123</v>
      </c>
      <c r="B15" s="140"/>
      <c r="C15" s="41">
        <v>349</v>
      </c>
      <c r="D15" s="21">
        <v>15354</v>
      </c>
      <c r="E15" s="21">
        <v>41626</v>
      </c>
      <c r="F15" s="22">
        <v>1</v>
      </c>
      <c r="G15" s="47"/>
      <c r="H15" s="139" t="s">
        <v>29</v>
      </c>
      <c r="I15" s="139"/>
      <c r="J15" s="6">
        <v>4</v>
      </c>
      <c r="K15" s="6">
        <v>292</v>
      </c>
      <c r="L15" s="6">
        <v>566</v>
      </c>
      <c r="M15" s="20">
        <v>7.4166284478804955E-3</v>
      </c>
    </row>
    <row r="16" spans="1:20" s="15" customFormat="1">
      <c r="A16" s="139"/>
      <c r="B16" s="139"/>
      <c r="C16" s="6"/>
      <c r="D16" s="6"/>
      <c r="E16" s="6"/>
      <c r="F16" s="20"/>
      <c r="G16" s="47"/>
      <c r="H16" s="140" t="s">
        <v>124</v>
      </c>
      <c r="I16" s="140"/>
      <c r="J16" s="21">
        <v>188</v>
      </c>
      <c r="K16" s="21">
        <v>33666</v>
      </c>
      <c r="L16" s="21">
        <v>76315</v>
      </c>
      <c r="M16" s="22">
        <v>1</v>
      </c>
    </row>
    <row r="17" spans="1:13" s="15" customFormat="1">
      <c r="A17" s="140" t="s">
        <v>7</v>
      </c>
      <c r="B17" s="140"/>
      <c r="C17" s="21">
        <v>31</v>
      </c>
      <c r="D17" s="21">
        <v>583</v>
      </c>
      <c r="E17" s="21">
        <v>1137</v>
      </c>
      <c r="F17" s="22">
        <v>1</v>
      </c>
      <c r="G17" s="47"/>
      <c r="H17" s="139"/>
      <c r="I17" s="139"/>
      <c r="J17" s="6"/>
      <c r="K17" s="6"/>
      <c r="L17" s="6"/>
      <c r="M17" s="20"/>
    </row>
    <row r="18" spans="1:13" s="15" customFormat="1">
      <c r="A18" s="140" t="s">
        <v>167</v>
      </c>
      <c r="B18" s="140"/>
      <c r="C18" s="21">
        <v>173</v>
      </c>
      <c r="D18" s="21">
        <v>1193</v>
      </c>
      <c r="E18" s="21">
        <v>2494</v>
      </c>
      <c r="F18" s="22">
        <v>1</v>
      </c>
      <c r="G18" s="47"/>
      <c r="H18" s="139" t="s">
        <v>30</v>
      </c>
      <c r="I18" s="139"/>
      <c r="J18" s="6"/>
      <c r="K18" s="6"/>
      <c r="L18" s="6"/>
      <c r="M18" s="20"/>
    </row>
    <row r="19" spans="1:13" s="15" customFormat="1">
      <c r="A19" s="140" t="s">
        <v>8</v>
      </c>
      <c r="B19" s="140"/>
      <c r="C19" s="21">
        <v>64</v>
      </c>
      <c r="D19" s="21">
        <v>437</v>
      </c>
      <c r="E19" s="21">
        <v>839</v>
      </c>
      <c r="F19" s="22">
        <v>1</v>
      </c>
      <c r="G19" s="47"/>
      <c r="H19" s="139" t="s">
        <v>31</v>
      </c>
      <c r="I19" s="139"/>
      <c r="J19" s="6"/>
      <c r="K19" s="6"/>
      <c r="L19" s="6"/>
      <c r="M19" s="20"/>
    </row>
    <row r="20" spans="1:13" s="15" customFormat="1">
      <c r="A20" s="141"/>
      <c r="B20" s="141"/>
      <c r="C20" s="6"/>
      <c r="D20" s="6"/>
      <c r="E20" s="6"/>
      <c r="F20" s="20"/>
      <c r="G20" s="47"/>
      <c r="H20" s="139" t="s">
        <v>32</v>
      </c>
      <c r="I20" s="139"/>
      <c r="J20" s="6"/>
      <c r="K20" s="6"/>
      <c r="L20" s="6"/>
      <c r="M20" s="20"/>
    </row>
    <row r="21" spans="1:13" s="15" customFormat="1">
      <c r="A21" s="139" t="s">
        <v>11</v>
      </c>
      <c r="B21" s="139"/>
      <c r="C21" s="6"/>
      <c r="D21" s="23"/>
      <c r="E21" s="6"/>
      <c r="F21" s="20"/>
      <c r="G21" s="47"/>
      <c r="H21" s="139" t="s">
        <v>33</v>
      </c>
      <c r="I21" s="139"/>
      <c r="J21" s="6"/>
      <c r="K21" s="6"/>
      <c r="L21" s="6"/>
      <c r="M21" s="20"/>
    </row>
    <row r="22" spans="1:13" s="15" customFormat="1">
      <c r="A22" s="139" t="s">
        <v>10</v>
      </c>
      <c r="B22" s="139"/>
      <c r="C22" s="6"/>
      <c r="D22" s="23"/>
      <c r="E22" s="6"/>
      <c r="F22" s="20"/>
      <c r="G22" s="47"/>
      <c r="H22" s="140" t="s">
        <v>125</v>
      </c>
      <c r="I22" s="140"/>
      <c r="J22" s="21"/>
      <c r="K22" s="21"/>
      <c r="L22" s="21"/>
      <c r="M22" s="24"/>
    </row>
    <row r="23" spans="1:13" s="15" customFormat="1">
      <c r="A23" s="139" t="s">
        <v>9</v>
      </c>
      <c r="B23" s="139"/>
      <c r="C23" s="6"/>
      <c r="D23" s="6"/>
      <c r="E23" s="6"/>
      <c r="F23" s="20"/>
      <c r="G23" s="47"/>
      <c r="H23" s="139"/>
      <c r="I23" s="139"/>
      <c r="J23" s="6"/>
      <c r="K23" s="6"/>
      <c r="L23" s="6"/>
      <c r="M23" s="20"/>
    </row>
    <row r="24" spans="1:13" s="15" customFormat="1">
      <c r="A24" s="139" t="s">
        <v>126</v>
      </c>
      <c r="B24" s="139"/>
      <c r="C24" s="6">
        <v>1</v>
      </c>
      <c r="D24" s="6">
        <v>163</v>
      </c>
      <c r="E24" s="6">
        <v>500</v>
      </c>
      <c r="F24" s="25">
        <v>1</v>
      </c>
      <c r="G24" s="47"/>
      <c r="H24" s="139" t="s">
        <v>35</v>
      </c>
      <c r="I24" s="139"/>
      <c r="J24" s="6">
        <v>43</v>
      </c>
      <c r="K24" s="6">
        <v>1087</v>
      </c>
      <c r="L24" s="6">
        <v>2044</v>
      </c>
      <c r="M24" s="20">
        <v>0.49075630252100838</v>
      </c>
    </row>
    <row r="25" spans="1:13" s="15" customFormat="1">
      <c r="A25" s="140" t="s">
        <v>127</v>
      </c>
      <c r="B25" s="140"/>
      <c r="C25" s="21">
        <v>1</v>
      </c>
      <c r="D25" s="21">
        <v>163</v>
      </c>
      <c r="E25" s="21">
        <v>500</v>
      </c>
      <c r="F25" s="22">
        <v>1</v>
      </c>
      <c r="G25" s="47"/>
      <c r="H25" s="139" t="s">
        <v>36</v>
      </c>
      <c r="I25" s="139"/>
      <c r="J25" s="6">
        <v>31</v>
      </c>
      <c r="K25" s="6">
        <v>962</v>
      </c>
      <c r="L25" s="6">
        <v>1834</v>
      </c>
      <c r="M25" s="20">
        <v>0.4403361344537815</v>
      </c>
    </row>
    <row r="26" spans="1:13" s="15" customFormat="1">
      <c r="A26" s="139"/>
      <c r="B26" s="139"/>
      <c r="C26" s="6"/>
      <c r="D26" s="6"/>
      <c r="E26" s="6"/>
      <c r="F26" s="20"/>
      <c r="G26" s="47"/>
      <c r="H26" s="139" t="s">
        <v>37</v>
      </c>
      <c r="I26" s="139"/>
      <c r="J26" s="6">
        <v>4</v>
      </c>
      <c r="K26" s="6">
        <v>155</v>
      </c>
      <c r="L26" s="6">
        <v>287</v>
      </c>
      <c r="M26" s="20">
        <v>6.8907563025210089E-2</v>
      </c>
    </row>
    <row r="27" spans="1:13" s="15" customFormat="1">
      <c r="A27" s="139" t="s">
        <v>12</v>
      </c>
      <c r="B27" s="139"/>
      <c r="C27" s="6"/>
      <c r="D27" s="6"/>
      <c r="E27" s="6"/>
      <c r="F27" s="20"/>
      <c r="G27" s="47"/>
      <c r="H27" s="140" t="s">
        <v>128</v>
      </c>
      <c r="I27" s="140"/>
      <c r="J27" s="21">
        <v>78</v>
      </c>
      <c r="K27" s="21">
        <v>2204</v>
      </c>
      <c r="L27" s="21">
        <v>4165</v>
      </c>
      <c r="M27" s="22">
        <v>1</v>
      </c>
    </row>
    <row r="28" spans="1:13" s="15" customFormat="1">
      <c r="A28" s="139" t="s">
        <v>13</v>
      </c>
      <c r="B28" s="139"/>
      <c r="C28" s="6">
        <v>1</v>
      </c>
      <c r="D28" s="6">
        <v>324</v>
      </c>
      <c r="E28" s="6">
        <v>660</v>
      </c>
      <c r="F28" s="20">
        <v>0.37120359955005622</v>
      </c>
      <c r="G28" s="47"/>
      <c r="H28" s="139"/>
      <c r="I28" s="139"/>
      <c r="J28" s="6"/>
      <c r="K28" s="6"/>
      <c r="L28" s="6"/>
      <c r="M28" s="20"/>
    </row>
    <row r="29" spans="1:13" s="15" customFormat="1">
      <c r="A29" s="139" t="s">
        <v>14</v>
      </c>
      <c r="B29" s="139"/>
      <c r="C29" s="6">
        <v>1</v>
      </c>
      <c r="D29" s="6">
        <v>413</v>
      </c>
      <c r="E29" s="6">
        <v>1118</v>
      </c>
      <c r="F29" s="20">
        <v>0.62879640044994378</v>
      </c>
      <c r="G29" s="47"/>
      <c r="H29" s="139" t="s">
        <v>38</v>
      </c>
      <c r="I29" s="139"/>
      <c r="J29" s="6">
        <v>56</v>
      </c>
      <c r="K29" s="6">
        <v>1215</v>
      </c>
      <c r="L29" s="6">
        <v>2266</v>
      </c>
      <c r="M29" s="20">
        <v>0.59397116644823067</v>
      </c>
    </row>
    <row r="30" spans="1:13" s="15" customFormat="1">
      <c r="A30" s="140" t="s">
        <v>129</v>
      </c>
      <c r="B30" s="140"/>
      <c r="C30" s="21">
        <v>2</v>
      </c>
      <c r="D30" s="21">
        <v>737</v>
      </c>
      <c r="E30" s="21">
        <v>1778</v>
      </c>
      <c r="F30" s="22">
        <v>1</v>
      </c>
      <c r="G30" s="47"/>
      <c r="H30" s="139" t="s">
        <v>39</v>
      </c>
      <c r="I30" s="139"/>
      <c r="J30" s="6">
        <v>34</v>
      </c>
      <c r="K30" s="6">
        <v>761</v>
      </c>
      <c r="L30" s="6">
        <v>1409</v>
      </c>
      <c r="M30" s="20">
        <v>0.36933158584534731</v>
      </c>
    </row>
    <row r="31" spans="1:13" s="15" customFormat="1">
      <c r="A31" s="139"/>
      <c r="B31" s="139"/>
      <c r="C31" s="6"/>
      <c r="D31" s="6"/>
      <c r="E31" s="6"/>
      <c r="F31" s="20"/>
      <c r="G31" s="47"/>
      <c r="H31" s="139" t="s">
        <v>40</v>
      </c>
      <c r="I31" s="139"/>
      <c r="J31" s="6">
        <v>3</v>
      </c>
      <c r="K31" s="6">
        <v>74</v>
      </c>
      <c r="L31" s="6">
        <v>140</v>
      </c>
      <c r="M31" s="20">
        <v>3.669724770642202E-2</v>
      </c>
    </row>
    <row r="32" spans="1:13" s="15" customFormat="1">
      <c r="A32" s="139" t="s">
        <v>15</v>
      </c>
      <c r="B32" s="139"/>
      <c r="C32" s="6">
        <v>28</v>
      </c>
      <c r="D32" s="6">
        <v>1356</v>
      </c>
      <c r="E32" s="6">
        <v>2502</v>
      </c>
      <c r="F32" s="20">
        <v>1.6602411397402803E-2</v>
      </c>
      <c r="G32" s="47"/>
      <c r="H32" s="140" t="s">
        <v>130</v>
      </c>
      <c r="I32" s="140"/>
      <c r="J32" s="21">
        <v>93</v>
      </c>
      <c r="K32" s="21">
        <v>2050</v>
      </c>
      <c r="L32" s="21">
        <v>3815</v>
      </c>
      <c r="M32" s="22">
        <v>1</v>
      </c>
    </row>
    <row r="33" spans="1:13" s="15" customFormat="1">
      <c r="A33" s="139" t="s">
        <v>16</v>
      </c>
      <c r="B33" s="139"/>
      <c r="C33" s="6">
        <v>59</v>
      </c>
      <c r="D33" s="6">
        <v>4959</v>
      </c>
      <c r="E33" s="6">
        <v>9291</v>
      </c>
      <c r="F33" s="20">
        <v>6.1651880213137271E-2</v>
      </c>
      <c r="G33" s="47"/>
      <c r="H33" s="139"/>
      <c r="I33" s="139"/>
    </row>
    <row r="34" spans="1:13" s="15" customFormat="1">
      <c r="A34" s="139" t="s">
        <v>17</v>
      </c>
      <c r="B34" s="139"/>
      <c r="C34" s="6">
        <v>275</v>
      </c>
      <c r="D34" s="6">
        <v>44090</v>
      </c>
      <c r="E34" s="6">
        <v>83058</v>
      </c>
      <c r="F34" s="20">
        <v>0.55114431888308635</v>
      </c>
      <c r="G34" s="47"/>
      <c r="H34" s="140" t="s">
        <v>42</v>
      </c>
      <c r="I34" s="140"/>
      <c r="J34" s="21">
        <v>17</v>
      </c>
      <c r="K34" s="21">
        <v>262</v>
      </c>
      <c r="L34" s="21">
        <v>508</v>
      </c>
      <c r="M34" s="22">
        <v>1</v>
      </c>
    </row>
    <row r="35" spans="1:13" s="15" customFormat="1">
      <c r="A35" s="139" t="s">
        <v>168</v>
      </c>
      <c r="B35" s="139"/>
      <c r="C35" s="6">
        <v>168</v>
      </c>
      <c r="D35" s="6">
        <v>26149</v>
      </c>
      <c r="E35" s="6">
        <v>49785</v>
      </c>
      <c r="F35" s="20">
        <v>0.33035613565935196</v>
      </c>
      <c r="G35" s="47"/>
      <c r="H35" s="140" t="s">
        <v>43</v>
      </c>
      <c r="I35" s="140"/>
      <c r="J35" s="21">
        <v>8</v>
      </c>
      <c r="K35" s="21">
        <v>129</v>
      </c>
      <c r="L35" s="21">
        <v>230</v>
      </c>
      <c r="M35" s="22">
        <v>1</v>
      </c>
    </row>
    <row r="36" spans="1:13" s="15" customFormat="1">
      <c r="A36" s="139" t="s">
        <v>19</v>
      </c>
      <c r="B36" s="139"/>
      <c r="C36" s="6">
        <v>24</v>
      </c>
      <c r="D36" s="6">
        <v>2548</v>
      </c>
      <c r="E36" s="6">
        <v>5166</v>
      </c>
      <c r="F36" s="20">
        <v>3.4279799072335283E-2</v>
      </c>
      <c r="G36" s="47"/>
      <c r="H36" s="140" t="s">
        <v>44</v>
      </c>
      <c r="I36" s="140"/>
      <c r="J36" s="21">
        <v>1</v>
      </c>
      <c r="K36" s="21">
        <v>12</v>
      </c>
      <c r="L36" s="21">
        <v>23</v>
      </c>
      <c r="M36" s="22">
        <v>1</v>
      </c>
    </row>
    <row r="37" spans="1:13" s="15" customFormat="1">
      <c r="A37" s="139" t="s">
        <v>169</v>
      </c>
      <c r="B37" s="142"/>
      <c r="C37" s="6">
        <v>3</v>
      </c>
      <c r="D37" s="6">
        <v>470</v>
      </c>
      <c r="E37" s="6">
        <v>899</v>
      </c>
      <c r="F37" s="20">
        <v>5.9654547746862997E-3</v>
      </c>
      <c r="G37" s="47"/>
      <c r="H37" s="139"/>
      <c r="I37" s="139"/>
      <c r="J37" s="6"/>
      <c r="K37" s="6"/>
      <c r="L37" s="6"/>
      <c r="M37" s="6"/>
    </row>
    <row r="38" spans="1:13" s="15" customFormat="1">
      <c r="A38" s="140" t="s">
        <v>131</v>
      </c>
      <c r="B38" s="140"/>
      <c r="C38" s="21">
        <v>557</v>
      </c>
      <c r="D38" s="21">
        <v>79572</v>
      </c>
      <c r="E38" s="21">
        <v>150701</v>
      </c>
      <c r="F38" s="22">
        <v>1</v>
      </c>
      <c r="G38" s="47"/>
      <c r="H38" s="139"/>
      <c r="I38" s="139"/>
      <c r="J38" s="6"/>
      <c r="K38" s="6"/>
      <c r="L38" s="6"/>
      <c r="M38" s="6"/>
    </row>
    <row r="39" spans="1:13" s="15" customFormat="1">
      <c r="A39" s="139"/>
      <c r="B39" s="139"/>
      <c r="C39" s="6"/>
      <c r="D39" s="6"/>
      <c r="E39" s="6"/>
      <c r="F39" s="20"/>
      <c r="G39" s="47"/>
      <c r="H39" s="141"/>
      <c r="I39" s="141"/>
      <c r="J39" s="6"/>
      <c r="K39" s="6"/>
      <c r="L39" s="6"/>
      <c r="M39" s="6"/>
    </row>
    <row r="40" spans="1:13" s="15" customFormat="1">
      <c r="A40" s="139" t="s">
        <v>20</v>
      </c>
      <c r="B40" s="139"/>
      <c r="C40" s="6">
        <v>4</v>
      </c>
      <c r="D40" s="6">
        <v>71</v>
      </c>
      <c r="E40" s="6">
        <v>130</v>
      </c>
      <c r="F40" s="20">
        <v>0.16645326504481434</v>
      </c>
      <c r="G40" s="47"/>
      <c r="H40" s="19"/>
      <c r="I40" s="19"/>
      <c r="J40" s="6"/>
      <c r="K40" s="6"/>
      <c r="L40" s="6"/>
      <c r="M40" s="26"/>
    </row>
    <row r="41" spans="1:13" s="15" customFormat="1">
      <c r="A41" s="139" t="s">
        <v>21</v>
      </c>
      <c r="B41" s="139"/>
      <c r="C41" s="6">
        <v>3</v>
      </c>
      <c r="D41" s="6">
        <v>129</v>
      </c>
      <c r="E41" s="6">
        <v>244</v>
      </c>
      <c r="F41" s="20">
        <v>0.31241997439180536</v>
      </c>
      <c r="G41" s="47"/>
      <c r="H41" s="140" t="s">
        <v>45</v>
      </c>
      <c r="I41" s="140"/>
      <c r="J41" s="21">
        <v>1574</v>
      </c>
      <c r="K41" s="21">
        <v>136782</v>
      </c>
      <c r="L41" s="21">
        <v>284912</v>
      </c>
      <c r="M41" s="6"/>
    </row>
    <row r="42" spans="1:13" s="15" customFormat="1">
      <c r="A42" s="139" t="s">
        <v>22</v>
      </c>
      <c r="B42" s="139"/>
      <c r="C42" s="6">
        <v>3</v>
      </c>
      <c r="D42" s="6">
        <v>138</v>
      </c>
      <c r="E42" s="6">
        <v>251</v>
      </c>
      <c r="F42" s="20">
        <v>0.32138284250960308</v>
      </c>
      <c r="G42" s="47"/>
      <c r="H42" s="19"/>
      <c r="I42" s="19"/>
      <c r="J42" s="6"/>
      <c r="K42" s="6"/>
      <c r="L42" s="6"/>
      <c r="M42" s="26"/>
    </row>
    <row r="43" spans="1:13" s="15" customFormat="1">
      <c r="A43" s="139" t="s">
        <v>172</v>
      </c>
      <c r="B43" s="139"/>
      <c r="C43" s="6">
        <v>2</v>
      </c>
      <c r="D43" s="6">
        <v>82</v>
      </c>
      <c r="E43" s="6">
        <v>156</v>
      </c>
      <c r="F43" s="20">
        <v>0.1997439180537772</v>
      </c>
      <c r="G43" s="47"/>
      <c r="H43" s="19"/>
      <c r="I43" s="19"/>
      <c r="J43" s="26"/>
      <c r="K43" s="26"/>
      <c r="L43" s="26"/>
      <c r="M43" s="26"/>
    </row>
    <row r="44" spans="1:13" s="15" customFormat="1">
      <c r="A44" s="139" t="s">
        <v>24</v>
      </c>
      <c r="B44" s="139"/>
      <c r="C44" s="6"/>
      <c r="D44" s="6"/>
      <c r="E44" s="6"/>
      <c r="F44" s="20"/>
      <c r="G44" s="47"/>
      <c r="H44" s="19"/>
      <c r="I44" s="19"/>
      <c r="J44" s="26"/>
      <c r="K44" s="26"/>
      <c r="L44" s="26"/>
      <c r="M44" s="26"/>
    </row>
    <row r="45" spans="1:13" s="15" customFormat="1">
      <c r="A45" s="140" t="s">
        <v>132</v>
      </c>
      <c r="B45" s="140"/>
      <c r="C45" s="21">
        <v>12</v>
      </c>
      <c r="D45" s="21">
        <v>420</v>
      </c>
      <c r="E45" s="21">
        <v>781</v>
      </c>
      <c r="F45" s="22">
        <v>1</v>
      </c>
      <c r="G45" s="47"/>
      <c r="H45"/>
      <c r="I45"/>
      <c r="J45"/>
      <c r="K45"/>
      <c r="L45"/>
      <c r="M45"/>
    </row>
  </sheetData>
  <sheetProtection algorithmName="SHA-512" hashValue="v7HzJpIr9+fOnn9wzaDeRiqk7fm9p0+RdRxaIFdQHgXV02Gqd/6p+a92D+qANxnFFqnvoMNxU50KJOPq3kn8RQ==" saltValue="uV9h7q2bZH28oS9+2OUusQ==" spinCount="100000" sheet="1"/>
  <mergeCells count="71">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 ref="A21:B21"/>
    <mergeCell ref="H21:I21"/>
    <mergeCell ref="A22:B22"/>
    <mergeCell ref="H22:I22"/>
    <mergeCell ref="A24:B24"/>
    <mergeCell ref="H23:I23"/>
    <mergeCell ref="A25:B25"/>
    <mergeCell ref="H24:I24"/>
    <mergeCell ref="A26:B26"/>
    <mergeCell ref="H25:I25"/>
    <mergeCell ref="A23:B23"/>
    <mergeCell ref="A27:B27"/>
    <mergeCell ref="H26:I26"/>
    <mergeCell ref="A28:B28"/>
    <mergeCell ref="H27:I27"/>
    <mergeCell ref="A29:B29"/>
    <mergeCell ref="H28:I28"/>
    <mergeCell ref="A30:B30"/>
    <mergeCell ref="H29:I29"/>
    <mergeCell ref="A31:B31"/>
    <mergeCell ref="H30:I30"/>
    <mergeCell ref="A32:B32"/>
    <mergeCell ref="H31:I31"/>
    <mergeCell ref="A33:B33"/>
    <mergeCell ref="H32:I32"/>
    <mergeCell ref="A34:B34"/>
    <mergeCell ref="H33:I33"/>
    <mergeCell ref="A35:B35"/>
    <mergeCell ref="H34:I34"/>
    <mergeCell ref="A36:B36"/>
    <mergeCell ref="H35:I35"/>
    <mergeCell ref="A37:B37"/>
    <mergeCell ref="H36:I36"/>
    <mergeCell ref="A38:B38"/>
    <mergeCell ref="H37:I37"/>
    <mergeCell ref="A43:B43"/>
    <mergeCell ref="A44:B44"/>
    <mergeCell ref="A45:B45"/>
    <mergeCell ref="A39:B39"/>
    <mergeCell ref="H38:I38"/>
    <mergeCell ref="A40:B40"/>
    <mergeCell ref="H39:I39"/>
    <mergeCell ref="A41:B41"/>
    <mergeCell ref="A42:B42"/>
    <mergeCell ref="H41:I41"/>
  </mergeCells>
  <printOptions horizontalCentered="1" verticalCentered="1"/>
  <pageMargins left="0" right="0" top="0" bottom="0" header="0.31496062992125984" footer="0.31496062992125984"/>
  <pageSetup paperSize="9" scale="77"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CT60"/>
  <sheetViews>
    <sheetView showGridLines="0" zoomScaleNormal="100" workbookViewId="0"/>
  </sheetViews>
  <sheetFormatPr baseColWidth="10" defaultRowHeight="15"/>
  <cols>
    <col min="1" max="1" width="79.85546875" customWidth="1"/>
  </cols>
  <sheetData>
    <row r="2" spans="1:98" ht="18" customHeight="1">
      <c r="A2" s="1" t="s">
        <v>184</v>
      </c>
      <c r="B2" s="2"/>
      <c r="C2" s="2"/>
      <c r="BR2" s="29"/>
      <c r="BS2" s="29"/>
    </row>
    <row r="3" spans="1:98" ht="15" customHeight="1">
      <c r="A3" s="3" t="s">
        <v>185</v>
      </c>
      <c r="B3" s="2"/>
      <c r="C3" s="2"/>
      <c r="BR3" s="29"/>
      <c r="BS3" s="29"/>
    </row>
    <row r="4" spans="1:98" ht="16.5">
      <c r="A4" s="3" t="s">
        <v>186</v>
      </c>
      <c r="B4" s="2"/>
      <c r="C4" s="2"/>
      <c r="G4" s="28"/>
      <c r="H4" s="28"/>
      <c r="BR4" s="29"/>
      <c r="BS4" s="29"/>
    </row>
    <row r="5" spans="1:98">
      <c r="A5" s="30"/>
      <c r="B5" s="2"/>
      <c r="C5" s="2"/>
      <c r="BR5" s="29"/>
      <c r="BS5" s="29"/>
    </row>
    <row r="6" spans="1:98" s="29" customFormat="1" ht="15" customHeight="1">
      <c r="A6" s="138" t="s">
        <v>187</v>
      </c>
      <c r="B6" s="137" t="s">
        <v>119</v>
      </c>
      <c r="C6" s="137"/>
      <c r="D6" s="137" t="s">
        <v>120</v>
      </c>
      <c r="E6" s="137"/>
      <c r="F6" s="137" t="s">
        <v>121</v>
      </c>
      <c r="G6" s="137"/>
      <c r="H6" s="137" t="s">
        <v>122</v>
      </c>
      <c r="I6" s="137"/>
      <c r="J6" s="137" t="s">
        <v>7</v>
      </c>
      <c r="K6" s="137"/>
      <c r="L6" s="137" t="s">
        <v>167</v>
      </c>
      <c r="M6" s="137"/>
      <c r="N6" s="137" t="s">
        <v>8</v>
      </c>
      <c r="O6" s="137"/>
      <c r="P6" s="137" t="s">
        <v>126</v>
      </c>
      <c r="Q6" s="137"/>
      <c r="R6" s="137" t="s">
        <v>13</v>
      </c>
      <c r="S6" s="137"/>
      <c r="T6" s="137" t="s">
        <v>14</v>
      </c>
      <c r="U6" s="137"/>
      <c r="V6" s="137" t="s">
        <v>15</v>
      </c>
      <c r="W6" s="137"/>
      <c r="X6" s="137" t="s">
        <v>16</v>
      </c>
      <c r="Y6" s="137"/>
      <c r="Z6" s="137" t="s">
        <v>17</v>
      </c>
      <c r="AA6" s="137"/>
      <c r="AB6" s="137" t="s">
        <v>168</v>
      </c>
      <c r="AC6" s="137"/>
      <c r="AD6" s="137" t="s">
        <v>19</v>
      </c>
      <c r="AE6" s="137"/>
      <c r="AF6" s="137" t="s">
        <v>169</v>
      </c>
      <c r="AG6" s="137"/>
      <c r="AH6" s="137" t="s">
        <v>171</v>
      </c>
      <c r="AI6" s="137"/>
      <c r="AJ6" s="137" t="s">
        <v>21</v>
      </c>
      <c r="AK6" s="137"/>
      <c r="AL6" s="137" t="s">
        <v>22</v>
      </c>
      <c r="AM6" s="137"/>
      <c r="AN6" s="137" t="s">
        <v>172</v>
      </c>
      <c r="AO6" s="137"/>
      <c r="AP6" s="137" t="s">
        <v>25</v>
      </c>
      <c r="AQ6" s="137"/>
      <c r="AR6" s="137" t="s">
        <v>26</v>
      </c>
      <c r="AS6" s="137"/>
      <c r="AT6" s="137" t="s">
        <v>27</v>
      </c>
      <c r="AU6" s="137"/>
      <c r="AV6" s="137" t="s">
        <v>28</v>
      </c>
      <c r="AW6" s="137"/>
      <c r="AX6" s="137" t="s">
        <v>29</v>
      </c>
      <c r="AY6" s="137"/>
      <c r="AZ6" s="137" t="s">
        <v>35</v>
      </c>
      <c r="BA6" s="137"/>
      <c r="BB6" s="137" t="s">
        <v>36</v>
      </c>
      <c r="BC6" s="137"/>
      <c r="BD6" s="137" t="s">
        <v>37</v>
      </c>
      <c r="BE6" s="137"/>
      <c r="BF6" s="137" t="s">
        <v>38</v>
      </c>
      <c r="BG6" s="137"/>
      <c r="BH6" s="137" t="s">
        <v>39</v>
      </c>
      <c r="BI6" s="137"/>
      <c r="BJ6" s="137" t="s">
        <v>40</v>
      </c>
      <c r="BK6" s="137"/>
      <c r="BL6" s="137" t="s">
        <v>42</v>
      </c>
      <c r="BM6" s="137"/>
      <c r="BN6" s="137" t="s">
        <v>43</v>
      </c>
      <c r="BO6" s="137"/>
      <c r="BP6" s="137" t="s">
        <v>44</v>
      </c>
      <c r="BQ6" s="137"/>
      <c r="BR6" s="137" t="s">
        <v>45</v>
      </c>
      <c r="BS6" s="137"/>
    </row>
    <row r="7" spans="1:98" s="29" customFormat="1">
      <c r="A7" s="138"/>
      <c r="B7" s="4"/>
      <c r="C7" s="4" t="s">
        <v>176</v>
      </c>
      <c r="D7" s="4"/>
      <c r="E7" s="4"/>
      <c r="F7" s="4"/>
      <c r="G7" s="4"/>
      <c r="H7" s="4"/>
      <c r="I7" s="4" t="s">
        <v>176</v>
      </c>
      <c r="J7" s="4"/>
      <c r="K7" s="4" t="s">
        <v>176</v>
      </c>
      <c r="L7" s="4"/>
      <c r="M7" s="4" t="s">
        <v>176</v>
      </c>
      <c r="N7" s="4"/>
      <c r="O7" s="4" t="s">
        <v>176</v>
      </c>
      <c r="P7" s="4"/>
      <c r="Q7" s="4" t="s">
        <v>176</v>
      </c>
      <c r="R7" s="4"/>
      <c r="S7" s="4" t="s">
        <v>176</v>
      </c>
      <c r="T7" s="4"/>
      <c r="U7" s="4" t="s">
        <v>176</v>
      </c>
      <c r="V7" s="4"/>
      <c r="W7" s="4" t="s">
        <v>176</v>
      </c>
      <c r="X7" s="4"/>
      <c r="Y7" s="4" t="s">
        <v>176</v>
      </c>
      <c r="Z7" s="4"/>
      <c r="AA7" s="4" t="s">
        <v>176</v>
      </c>
      <c r="AB7" s="4"/>
      <c r="AC7" s="4" t="s">
        <v>176</v>
      </c>
      <c r="AD7" s="4"/>
      <c r="AE7" s="4" t="s">
        <v>176</v>
      </c>
      <c r="AF7" s="4"/>
      <c r="AG7" s="4" t="s">
        <v>176</v>
      </c>
      <c r="AH7" s="4"/>
      <c r="AI7" s="4" t="s">
        <v>176</v>
      </c>
      <c r="AJ7" s="4"/>
      <c r="AK7" s="4" t="s">
        <v>176</v>
      </c>
      <c r="AL7" s="4"/>
      <c r="AM7" s="4" t="s">
        <v>176</v>
      </c>
      <c r="AN7" s="4"/>
      <c r="AO7" s="4" t="s">
        <v>176</v>
      </c>
      <c r="AP7" s="4"/>
      <c r="AQ7" s="4" t="s">
        <v>176</v>
      </c>
      <c r="AR7" s="4"/>
      <c r="AS7" s="4" t="s">
        <v>176</v>
      </c>
      <c r="AT7" s="4"/>
      <c r="AU7" s="4" t="s">
        <v>176</v>
      </c>
      <c r="AV7" s="4"/>
      <c r="AW7" s="4" t="s">
        <v>176</v>
      </c>
      <c r="AX7" s="4"/>
      <c r="AY7" s="4" t="s">
        <v>176</v>
      </c>
      <c r="AZ7" s="4"/>
      <c r="BA7" s="4" t="s">
        <v>176</v>
      </c>
      <c r="BB7" s="4"/>
      <c r="BC7" s="4" t="s">
        <v>176</v>
      </c>
      <c r="BD7" s="4"/>
      <c r="BE7" s="4" t="s">
        <v>176</v>
      </c>
      <c r="BF7" s="4"/>
      <c r="BG7" s="4" t="s">
        <v>176</v>
      </c>
      <c r="BH7" s="4"/>
      <c r="BI7" s="4" t="s">
        <v>176</v>
      </c>
      <c r="BJ7" s="4"/>
      <c r="BK7" s="4" t="s">
        <v>176</v>
      </c>
      <c r="BL7" s="4"/>
      <c r="BM7" s="4" t="s">
        <v>176</v>
      </c>
      <c r="BN7" s="4"/>
      <c r="BO7" s="4" t="s">
        <v>176</v>
      </c>
      <c r="BP7" s="4"/>
      <c r="BQ7" s="4" t="s">
        <v>176</v>
      </c>
      <c r="BR7" s="4"/>
      <c r="BS7" s="4"/>
    </row>
    <row r="8" spans="1:98" s="29" customFormat="1">
      <c r="A8" s="138" t="s">
        <v>188</v>
      </c>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46</v>
      </c>
      <c r="BC8" s="4" t="s">
        <v>47</v>
      </c>
      <c r="BD8" s="4" t="s">
        <v>46</v>
      </c>
      <c r="BE8" s="4" t="s">
        <v>47</v>
      </c>
      <c r="BF8" s="4" t="s">
        <v>46</v>
      </c>
      <c r="BG8" s="4" t="s">
        <v>47</v>
      </c>
      <c r="BH8" s="4" t="s">
        <v>46</v>
      </c>
      <c r="BI8" s="4" t="s">
        <v>47</v>
      </c>
      <c r="BJ8" s="4" t="s">
        <v>46</v>
      </c>
      <c r="BK8" s="4" t="s">
        <v>47</v>
      </c>
      <c r="BL8" s="4" t="s">
        <v>46</v>
      </c>
      <c r="BM8" s="4" t="s">
        <v>47</v>
      </c>
      <c r="BN8" s="4" t="s">
        <v>46</v>
      </c>
      <c r="BO8" s="4" t="s">
        <v>47</v>
      </c>
      <c r="BP8" s="4" t="s">
        <v>46</v>
      </c>
      <c r="BQ8" s="4" t="s">
        <v>47</v>
      </c>
      <c r="BR8" s="4" t="s">
        <v>46</v>
      </c>
      <c r="BS8" s="4" t="s">
        <v>47</v>
      </c>
    </row>
    <row r="9" spans="1:98" ht="15" customHeight="1">
      <c r="A9" s="5" t="s">
        <v>48</v>
      </c>
      <c r="B9" s="6"/>
      <c r="C9" s="6"/>
      <c r="D9" s="7"/>
      <c r="E9" s="7"/>
      <c r="F9" s="7"/>
      <c r="G9" s="7"/>
      <c r="H9" s="7"/>
      <c r="I9" s="7"/>
      <c r="J9" s="7">
        <v>1</v>
      </c>
      <c r="K9" s="7">
        <v>50</v>
      </c>
      <c r="L9" s="7">
        <v>2</v>
      </c>
      <c r="M9" s="7">
        <v>16</v>
      </c>
      <c r="N9" s="7">
        <v>4</v>
      </c>
      <c r="O9" s="7">
        <v>50</v>
      </c>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v>1</v>
      </c>
      <c r="BI9" s="7">
        <v>21</v>
      </c>
      <c r="BJ9" s="7"/>
      <c r="BK9" s="7"/>
      <c r="BL9" s="7"/>
      <c r="BM9" s="7"/>
      <c r="BN9" s="7"/>
      <c r="BO9" s="7"/>
      <c r="BP9" s="7"/>
      <c r="BQ9" s="7"/>
      <c r="BR9" s="8">
        <v>8</v>
      </c>
      <c r="BS9" s="8">
        <v>137</v>
      </c>
      <c r="CT9" s="46"/>
    </row>
    <row r="10" spans="1:98">
      <c r="A10" s="10" t="s">
        <v>49</v>
      </c>
      <c r="B10" s="6">
        <v>5</v>
      </c>
      <c r="C10" s="6">
        <v>273</v>
      </c>
      <c r="D10" s="6">
        <v>19</v>
      </c>
      <c r="E10" s="7">
        <v>2946</v>
      </c>
      <c r="F10" s="7">
        <v>6</v>
      </c>
      <c r="G10" s="7">
        <v>4752</v>
      </c>
      <c r="H10" s="7"/>
      <c r="I10" s="7"/>
      <c r="J10" s="7"/>
      <c r="K10" s="7"/>
      <c r="L10" s="7">
        <v>4</v>
      </c>
      <c r="M10" s="7">
        <v>50</v>
      </c>
      <c r="N10" s="7">
        <v>5</v>
      </c>
      <c r="O10" s="7">
        <v>58</v>
      </c>
      <c r="P10" s="7"/>
      <c r="Q10" s="7"/>
      <c r="R10" s="7"/>
      <c r="S10" s="7"/>
      <c r="T10" s="7"/>
      <c r="U10" s="7"/>
      <c r="V10" s="7"/>
      <c r="W10" s="7"/>
      <c r="X10" s="7"/>
      <c r="Y10" s="7"/>
      <c r="Z10" s="7">
        <v>17</v>
      </c>
      <c r="AA10" s="7">
        <v>7935</v>
      </c>
      <c r="AB10" s="7">
        <v>4</v>
      </c>
      <c r="AC10" s="7">
        <v>2406</v>
      </c>
      <c r="AD10" s="7"/>
      <c r="AE10" s="7"/>
      <c r="AF10" s="7"/>
      <c r="AG10" s="7"/>
      <c r="AH10" s="7"/>
      <c r="AI10" s="7"/>
      <c r="AJ10" s="7"/>
      <c r="AK10" s="7"/>
      <c r="AL10" s="7"/>
      <c r="AM10" s="7"/>
      <c r="AN10" s="7"/>
      <c r="AO10" s="7"/>
      <c r="AP10" s="7"/>
      <c r="AQ10" s="7"/>
      <c r="AR10" s="7">
        <v>1</v>
      </c>
      <c r="AS10" s="7">
        <v>615</v>
      </c>
      <c r="AT10" s="7">
        <v>9</v>
      </c>
      <c r="AU10" s="7">
        <v>3698</v>
      </c>
      <c r="AV10" s="7">
        <v>10</v>
      </c>
      <c r="AW10" s="7">
        <v>3294</v>
      </c>
      <c r="AX10" s="7"/>
      <c r="AY10" s="7"/>
      <c r="AZ10" s="7">
        <v>2</v>
      </c>
      <c r="BA10" s="7">
        <v>76</v>
      </c>
      <c r="BB10" s="7"/>
      <c r="BC10" s="7"/>
      <c r="BD10" s="7"/>
      <c r="BE10" s="7"/>
      <c r="BF10" s="7">
        <v>1</v>
      </c>
      <c r="BG10" s="7">
        <v>55</v>
      </c>
      <c r="BH10" s="7">
        <v>1</v>
      </c>
      <c r="BI10" s="7">
        <v>39</v>
      </c>
      <c r="BJ10" s="7"/>
      <c r="BK10" s="7"/>
      <c r="BL10" s="7"/>
      <c r="BM10" s="7"/>
      <c r="BN10" s="7">
        <v>1</v>
      </c>
      <c r="BO10" s="7">
        <v>32</v>
      </c>
      <c r="BP10" s="7"/>
      <c r="BQ10" s="7"/>
      <c r="BR10" s="8">
        <v>85</v>
      </c>
      <c r="BS10" s="8">
        <v>26229</v>
      </c>
    </row>
    <row r="11" spans="1:98">
      <c r="A11" s="5" t="s">
        <v>50</v>
      </c>
      <c r="B11" s="6"/>
      <c r="C11" s="6"/>
      <c r="D11" s="7"/>
      <c r="E11" s="7"/>
      <c r="F11" s="7"/>
      <c r="G11" s="7"/>
      <c r="H11" s="7"/>
      <c r="I11" s="7"/>
      <c r="J11" s="7">
        <v>1</v>
      </c>
      <c r="K11" s="7">
        <v>31</v>
      </c>
      <c r="L11" s="7">
        <v>1</v>
      </c>
      <c r="M11" s="7">
        <v>20</v>
      </c>
      <c r="N11" s="7">
        <v>1</v>
      </c>
      <c r="O11" s="7">
        <v>10</v>
      </c>
      <c r="P11" s="7"/>
      <c r="Q11" s="7"/>
      <c r="R11" s="7"/>
      <c r="S11" s="7"/>
      <c r="T11" s="7"/>
      <c r="U11" s="7"/>
      <c r="V11" s="7"/>
      <c r="W11" s="7"/>
      <c r="X11" s="7"/>
      <c r="Y11" s="7"/>
      <c r="Z11" s="7">
        <v>1</v>
      </c>
      <c r="AA11" s="7">
        <v>28</v>
      </c>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8">
        <v>4</v>
      </c>
      <c r="BS11" s="8">
        <v>89</v>
      </c>
    </row>
    <row r="12" spans="1:98">
      <c r="A12" s="5" t="s">
        <v>51</v>
      </c>
      <c r="B12" s="6">
        <v>1</v>
      </c>
      <c r="C12" s="6">
        <v>54</v>
      </c>
      <c r="D12" s="7">
        <v>1</v>
      </c>
      <c r="E12" s="7">
        <v>98</v>
      </c>
      <c r="F12" s="7">
        <v>2</v>
      </c>
      <c r="G12" s="7">
        <v>446</v>
      </c>
      <c r="H12" s="7"/>
      <c r="I12" s="7"/>
      <c r="J12" s="7"/>
      <c r="K12" s="7"/>
      <c r="L12" s="7">
        <v>1</v>
      </c>
      <c r="M12" s="7">
        <v>14</v>
      </c>
      <c r="N12" s="7">
        <v>1</v>
      </c>
      <c r="O12" s="7">
        <v>8</v>
      </c>
      <c r="P12" s="7"/>
      <c r="Q12" s="7"/>
      <c r="R12" s="7"/>
      <c r="S12" s="7"/>
      <c r="T12" s="7"/>
      <c r="U12" s="7"/>
      <c r="V12" s="7"/>
      <c r="W12" s="7"/>
      <c r="X12" s="7"/>
      <c r="Y12" s="7"/>
      <c r="Z12" s="7">
        <v>2</v>
      </c>
      <c r="AA12" s="7">
        <v>309</v>
      </c>
      <c r="AB12" s="7">
        <v>4</v>
      </c>
      <c r="AC12" s="7">
        <v>1703</v>
      </c>
      <c r="AD12" s="7">
        <v>1</v>
      </c>
      <c r="AE12" s="7">
        <v>330</v>
      </c>
      <c r="AF12" s="7"/>
      <c r="AG12" s="7"/>
      <c r="AH12" s="7"/>
      <c r="AI12" s="7"/>
      <c r="AJ12" s="7"/>
      <c r="AK12" s="7"/>
      <c r="AL12" s="7"/>
      <c r="AM12" s="7"/>
      <c r="AN12" s="7"/>
      <c r="AO12" s="7"/>
      <c r="AP12" s="7"/>
      <c r="AQ12" s="7"/>
      <c r="AR12" s="7"/>
      <c r="AS12" s="7"/>
      <c r="AT12" s="7"/>
      <c r="AU12" s="7"/>
      <c r="AV12" s="7">
        <v>3</v>
      </c>
      <c r="AW12" s="7">
        <v>546</v>
      </c>
      <c r="AX12" s="7"/>
      <c r="AY12" s="7"/>
      <c r="AZ12" s="7">
        <v>1</v>
      </c>
      <c r="BA12" s="7">
        <v>40</v>
      </c>
      <c r="BB12" s="7"/>
      <c r="BC12" s="7"/>
      <c r="BD12" s="7"/>
      <c r="BE12" s="7"/>
      <c r="BF12" s="7"/>
      <c r="BG12" s="7"/>
      <c r="BH12" s="7">
        <v>1</v>
      </c>
      <c r="BI12" s="7">
        <v>28</v>
      </c>
      <c r="BJ12" s="7"/>
      <c r="BK12" s="7"/>
      <c r="BL12" s="7"/>
      <c r="BM12" s="7"/>
      <c r="BN12" s="7"/>
      <c r="BO12" s="7"/>
      <c r="BP12" s="7"/>
      <c r="BQ12" s="7"/>
      <c r="BR12" s="8">
        <v>18</v>
      </c>
      <c r="BS12" s="8">
        <v>3576</v>
      </c>
    </row>
    <row r="13" spans="1:98">
      <c r="A13" s="5" t="s">
        <v>52</v>
      </c>
      <c r="B13" s="6">
        <v>1</v>
      </c>
      <c r="C13" s="6">
        <v>38</v>
      </c>
      <c r="D13" s="7"/>
      <c r="E13" s="7"/>
      <c r="F13" s="7"/>
      <c r="G13" s="7"/>
      <c r="H13" s="7"/>
      <c r="I13" s="7"/>
      <c r="J13" s="7">
        <v>1</v>
      </c>
      <c r="K13" s="7">
        <v>50</v>
      </c>
      <c r="L13" s="7">
        <v>6</v>
      </c>
      <c r="M13" s="7">
        <v>61</v>
      </c>
      <c r="N13" s="7">
        <v>3</v>
      </c>
      <c r="O13" s="7">
        <v>40</v>
      </c>
      <c r="P13" s="7"/>
      <c r="Q13" s="7"/>
      <c r="R13" s="7"/>
      <c r="S13" s="7"/>
      <c r="T13" s="7"/>
      <c r="U13" s="7"/>
      <c r="V13" s="7"/>
      <c r="W13" s="7"/>
      <c r="X13" s="7"/>
      <c r="Y13" s="7"/>
      <c r="Z13" s="7"/>
      <c r="AA13" s="7"/>
      <c r="AB13" s="7">
        <v>1</v>
      </c>
      <c r="AC13" s="7">
        <v>16</v>
      </c>
      <c r="AD13" s="7"/>
      <c r="AE13" s="7"/>
      <c r="AF13" s="7"/>
      <c r="AG13" s="7"/>
      <c r="AH13" s="7"/>
      <c r="AI13" s="7"/>
      <c r="AJ13" s="7"/>
      <c r="AK13" s="7"/>
      <c r="AL13" s="7"/>
      <c r="AM13" s="7"/>
      <c r="AN13" s="7"/>
      <c r="AO13" s="7"/>
      <c r="AP13" s="7"/>
      <c r="AQ13" s="7"/>
      <c r="AR13" s="7"/>
      <c r="AS13" s="7"/>
      <c r="AT13" s="7"/>
      <c r="AU13" s="7"/>
      <c r="AV13" s="7">
        <v>1</v>
      </c>
      <c r="AW13" s="7">
        <v>89</v>
      </c>
      <c r="AX13" s="7"/>
      <c r="AY13" s="7"/>
      <c r="AZ13" s="7">
        <v>1</v>
      </c>
      <c r="BA13" s="7">
        <v>15</v>
      </c>
      <c r="BB13" s="7">
        <v>1</v>
      </c>
      <c r="BC13" s="7">
        <v>12</v>
      </c>
      <c r="BD13" s="7"/>
      <c r="BE13" s="7"/>
      <c r="BF13" s="7"/>
      <c r="BG13" s="7"/>
      <c r="BH13" s="7"/>
      <c r="BI13" s="7"/>
      <c r="BJ13" s="7"/>
      <c r="BK13" s="7"/>
      <c r="BL13" s="7"/>
      <c r="BM13" s="7"/>
      <c r="BN13" s="7"/>
      <c r="BO13" s="7"/>
      <c r="BP13" s="7"/>
      <c r="BQ13" s="7"/>
      <c r="BR13" s="8">
        <v>15</v>
      </c>
      <c r="BS13" s="8">
        <v>321</v>
      </c>
    </row>
    <row r="14" spans="1:98">
      <c r="A14" s="5" t="s">
        <v>53</v>
      </c>
      <c r="B14" s="6"/>
      <c r="C14" s="6"/>
      <c r="D14" s="7"/>
      <c r="E14" s="7"/>
      <c r="F14" s="7"/>
      <c r="G14" s="7"/>
      <c r="H14" s="7"/>
      <c r="I14" s="7"/>
      <c r="J14" s="7"/>
      <c r="K14" s="7"/>
      <c r="L14" s="7"/>
      <c r="M14" s="7"/>
      <c r="N14" s="7">
        <v>3</v>
      </c>
      <c r="O14" s="7">
        <v>35</v>
      </c>
      <c r="P14" s="7"/>
      <c r="Q14" s="7"/>
      <c r="R14" s="7"/>
      <c r="S14" s="7"/>
      <c r="T14" s="7"/>
      <c r="U14" s="7"/>
      <c r="V14" s="7"/>
      <c r="W14" s="7"/>
      <c r="X14" s="7"/>
      <c r="Y14" s="7"/>
      <c r="Z14" s="7">
        <v>2</v>
      </c>
      <c r="AA14" s="7">
        <v>121</v>
      </c>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v>1</v>
      </c>
      <c r="BC14" s="7">
        <v>75</v>
      </c>
      <c r="BD14" s="7"/>
      <c r="BE14" s="7"/>
      <c r="BF14" s="7"/>
      <c r="BG14" s="7"/>
      <c r="BH14" s="7"/>
      <c r="BI14" s="7"/>
      <c r="BJ14" s="7"/>
      <c r="BK14" s="7"/>
      <c r="BL14" s="7"/>
      <c r="BM14" s="7"/>
      <c r="BN14" s="7"/>
      <c r="BO14" s="7"/>
      <c r="BP14" s="7"/>
      <c r="BQ14" s="7"/>
      <c r="BR14" s="8">
        <v>6</v>
      </c>
      <c r="BS14" s="8">
        <v>231</v>
      </c>
    </row>
    <row r="15" spans="1:98">
      <c r="A15" s="5" t="s">
        <v>54</v>
      </c>
      <c r="B15" s="6"/>
      <c r="C15" s="6"/>
      <c r="D15" s="7"/>
      <c r="E15" s="7"/>
      <c r="F15" s="7"/>
      <c r="G15" s="7"/>
      <c r="H15" s="7"/>
      <c r="I15" s="7"/>
      <c r="J15" s="7"/>
      <c r="K15" s="7"/>
      <c r="L15" s="7">
        <v>2</v>
      </c>
      <c r="M15" s="7">
        <v>43</v>
      </c>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v>1</v>
      </c>
      <c r="AO15" s="7">
        <v>33</v>
      </c>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8">
        <v>3</v>
      </c>
      <c r="BS15" s="8">
        <v>76</v>
      </c>
    </row>
    <row r="16" spans="1:98">
      <c r="A16" s="5" t="s">
        <v>55</v>
      </c>
      <c r="B16" s="6"/>
      <c r="C16" s="6"/>
      <c r="D16" s="7"/>
      <c r="E16" s="7"/>
      <c r="F16" s="7"/>
      <c r="G16" s="7"/>
      <c r="H16" s="7"/>
      <c r="I16" s="7"/>
      <c r="J16" s="7"/>
      <c r="K16" s="7"/>
      <c r="L16" s="7">
        <v>1</v>
      </c>
      <c r="M16" s="7">
        <v>12</v>
      </c>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8">
        <v>1</v>
      </c>
      <c r="BS16" s="8">
        <v>12</v>
      </c>
    </row>
    <row r="17" spans="1:71">
      <c r="A17" s="5" t="s">
        <v>56</v>
      </c>
      <c r="B17" s="6"/>
      <c r="C17" s="6"/>
      <c r="D17" s="7"/>
      <c r="E17" s="7"/>
      <c r="F17" s="7"/>
      <c r="G17" s="7"/>
      <c r="H17" s="7"/>
      <c r="I17" s="7"/>
      <c r="J17" s="7"/>
      <c r="K17" s="7"/>
      <c r="L17" s="7">
        <v>11</v>
      </c>
      <c r="M17" s="7">
        <v>140</v>
      </c>
      <c r="N17" s="7"/>
      <c r="O17" s="7"/>
      <c r="P17" s="7"/>
      <c r="Q17" s="7"/>
      <c r="R17" s="7"/>
      <c r="S17" s="7"/>
      <c r="T17" s="7"/>
      <c r="U17" s="7"/>
      <c r="V17" s="7"/>
      <c r="W17" s="7"/>
      <c r="X17" s="7"/>
      <c r="Y17" s="7"/>
      <c r="Z17" s="7"/>
      <c r="AA17" s="7"/>
      <c r="AB17" s="7">
        <v>1</v>
      </c>
      <c r="AC17" s="7">
        <v>38</v>
      </c>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v>1</v>
      </c>
      <c r="BI17" s="7">
        <v>30</v>
      </c>
      <c r="BJ17" s="7"/>
      <c r="BK17" s="7"/>
      <c r="BL17" s="7"/>
      <c r="BM17" s="7"/>
      <c r="BN17" s="7"/>
      <c r="BO17" s="7"/>
      <c r="BP17" s="7"/>
      <c r="BQ17" s="7"/>
      <c r="BR17" s="8">
        <v>13</v>
      </c>
      <c r="BS17" s="8">
        <v>208</v>
      </c>
    </row>
    <row r="18" spans="1:71">
      <c r="A18" s="5" t="s">
        <v>57</v>
      </c>
      <c r="B18" s="6">
        <v>14</v>
      </c>
      <c r="C18" s="6">
        <v>1293</v>
      </c>
      <c r="D18" s="7">
        <v>26</v>
      </c>
      <c r="E18" s="7">
        <v>4103</v>
      </c>
      <c r="F18" s="7">
        <v>25</v>
      </c>
      <c r="G18" s="7">
        <v>4156</v>
      </c>
      <c r="H18" s="7">
        <v>5</v>
      </c>
      <c r="I18" s="7">
        <v>973</v>
      </c>
      <c r="J18" s="7"/>
      <c r="K18" s="7"/>
      <c r="L18" s="7">
        <v>4</v>
      </c>
      <c r="M18" s="7">
        <v>52</v>
      </c>
      <c r="N18" s="7"/>
      <c r="O18" s="7"/>
      <c r="P18" s="7"/>
      <c r="Q18" s="7"/>
      <c r="R18" s="7"/>
      <c r="S18" s="7"/>
      <c r="T18" s="7">
        <v>1</v>
      </c>
      <c r="U18" s="7">
        <v>1118</v>
      </c>
      <c r="V18" s="7">
        <v>3</v>
      </c>
      <c r="W18" s="7">
        <v>203</v>
      </c>
      <c r="X18" s="7">
        <v>11</v>
      </c>
      <c r="Y18" s="7">
        <v>1919</v>
      </c>
      <c r="Z18" s="7">
        <v>58</v>
      </c>
      <c r="AA18" s="7">
        <v>20058</v>
      </c>
      <c r="AB18" s="7">
        <v>40</v>
      </c>
      <c r="AC18" s="7">
        <v>11366</v>
      </c>
      <c r="AD18" s="7">
        <v>4</v>
      </c>
      <c r="AE18" s="7">
        <v>578</v>
      </c>
      <c r="AF18" s="7">
        <v>1</v>
      </c>
      <c r="AG18" s="7">
        <v>262</v>
      </c>
      <c r="AH18" s="7">
        <v>1</v>
      </c>
      <c r="AI18" s="7">
        <v>27</v>
      </c>
      <c r="AJ18" s="7"/>
      <c r="AK18" s="7"/>
      <c r="AL18" s="7"/>
      <c r="AM18" s="7"/>
      <c r="AN18" s="7"/>
      <c r="AO18" s="7"/>
      <c r="AP18" s="7"/>
      <c r="AQ18" s="7"/>
      <c r="AR18" s="7">
        <v>2</v>
      </c>
      <c r="AS18" s="7">
        <v>159</v>
      </c>
      <c r="AT18" s="7">
        <v>19</v>
      </c>
      <c r="AU18" s="7">
        <v>8666</v>
      </c>
      <c r="AV18" s="7">
        <v>7</v>
      </c>
      <c r="AW18" s="7">
        <v>3215</v>
      </c>
      <c r="AX18" s="7"/>
      <c r="AY18" s="7"/>
      <c r="AZ18" s="7">
        <v>3</v>
      </c>
      <c r="BA18" s="7">
        <v>95</v>
      </c>
      <c r="BB18" s="7">
        <v>6</v>
      </c>
      <c r="BC18" s="7">
        <v>375</v>
      </c>
      <c r="BD18" s="7">
        <v>2</v>
      </c>
      <c r="BE18" s="7">
        <v>123</v>
      </c>
      <c r="BF18" s="7">
        <v>9</v>
      </c>
      <c r="BG18" s="7">
        <v>359</v>
      </c>
      <c r="BH18" s="7">
        <v>4</v>
      </c>
      <c r="BI18" s="7">
        <v>180</v>
      </c>
      <c r="BJ18" s="7">
        <v>2</v>
      </c>
      <c r="BK18" s="7">
        <v>86</v>
      </c>
      <c r="BL18" s="7">
        <v>2</v>
      </c>
      <c r="BM18" s="7">
        <v>32</v>
      </c>
      <c r="BN18" s="7"/>
      <c r="BO18" s="7"/>
      <c r="BP18" s="7"/>
      <c r="BQ18" s="7"/>
      <c r="BR18" s="8">
        <v>249</v>
      </c>
      <c r="BS18" s="8">
        <v>59398</v>
      </c>
    </row>
    <row r="19" spans="1:71">
      <c r="A19" s="5" t="s">
        <v>58</v>
      </c>
      <c r="B19" s="6"/>
      <c r="C19" s="6"/>
      <c r="D19" s="7"/>
      <c r="E19" s="7"/>
      <c r="F19" s="7"/>
      <c r="G19" s="7"/>
      <c r="H19" s="7"/>
      <c r="I19" s="7"/>
      <c r="J19" s="7">
        <v>1</v>
      </c>
      <c r="K19" s="7">
        <v>50</v>
      </c>
      <c r="L19" s="7">
        <v>2</v>
      </c>
      <c r="M19" s="7">
        <v>45</v>
      </c>
      <c r="N19" s="7">
        <v>1</v>
      </c>
      <c r="O19" s="7">
        <v>12</v>
      </c>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8">
        <v>4</v>
      </c>
      <c r="BS19" s="8">
        <v>107</v>
      </c>
    </row>
    <row r="20" spans="1:71">
      <c r="A20" s="5" t="s">
        <v>59</v>
      </c>
      <c r="B20" s="6"/>
      <c r="C20" s="6"/>
      <c r="D20" s="7"/>
      <c r="E20" s="7"/>
      <c r="F20" s="7"/>
      <c r="G20" s="7"/>
      <c r="H20" s="7"/>
      <c r="I20" s="7"/>
      <c r="J20" s="7">
        <v>1</v>
      </c>
      <c r="K20" s="7">
        <v>20</v>
      </c>
      <c r="L20" s="7">
        <v>17</v>
      </c>
      <c r="M20" s="7">
        <v>269</v>
      </c>
      <c r="N20" s="7">
        <v>1</v>
      </c>
      <c r="O20" s="7">
        <v>16</v>
      </c>
      <c r="P20" s="7"/>
      <c r="Q20" s="7"/>
      <c r="R20" s="7"/>
      <c r="S20" s="7"/>
      <c r="T20" s="7"/>
      <c r="U20" s="7"/>
      <c r="V20" s="7"/>
      <c r="W20" s="7"/>
      <c r="X20" s="7">
        <v>1</v>
      </c>
      <c r="Y20" s="7">
        <v>37</v>
      </c>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v>1</v>
      </c>
      <c r="BG20" s="7">
        <v>41</v>
      </c>
      <c r="BH20" s="7"/>
      <c r="BI20" s="7"/>
      <c r="BJ20" s="7"/>
      <c r="BK20" s="7"/>
      <c r="BL20" s="7"/>
      <c r="BM20" s="7"/>
      <c r="BN20" s="7"/>
      <c r="BO20" s="7"/>
      <c r="BP20" s="7"/>
      <c r="BQ20" s="7"/>
      <c r="BR20" s="8">
        <v>21</v>
      </c>
      <c r="BS20" s="8">
        <v>383</v>
      </c>
    </row>
    <row r="21" spans="1:71">
      <c r="A21" s="5" t="s">
        <v>60</v>
      </c>
      <c r="B21" s="6">
        <v>12</v>
      </c>
      <c r="C21" s="6">
        <v>654</v>
      </c>
      <c r="D21" s="7">
        <v>11</v>
      </c>
      <c r="E21" s="7">
        <v>578</v>
      </c>
      <c r="F21" s="7">
        <v>9</v>
      </c>
      <c r="G21" s="7">
        <v>1511</v>
      </c>
      <c r="H21" s="7"/>
      <c r="I21" s="7"/>
      <c r="J21" s="7">
        <v>1</v>
      </c>
      <c r="K21" s="7">
        <v>36</v>
      </c>
      <c r="L21" s="7">
        <v>2</v>
      </c>
      <c r="M21" s="7">
        <v>32</v>
      </c>
      <c r="N21" s="7"/>
      <c r="O21" s="7"/>
      <c r="P21" s="7"/>
      <c r="Q21" s="7"/>
      <c r="R21" s="7"/>
      <c r="S21" s="7"/>
      <c r="T21" s="7"/>
      <c r="U21" s="7"/>
      <c r="V21" s="7">
        <v>6</v>
      </c>
      <c r="W21" s="7">
        <v>305</v>
      </c>
      <c r="X21" s="7">
        <v>2</v>
      </c>
      <c r="Y21" s="7">
        <v>322</v>
      </c>
      <c r="Z21" s="7">
        <v>17</v>
      </c>
      <c r="AA21" s="7">
        <v>3822</v>
      </c>
      <c r="AB21" s="7">
        <v>14</v>
      </c>
      <c r="AC21" s="7">
        <v>3802</v>
      </c>
      <c r="AD21" s="7">
        <v>2</v>
      </c>
      <c r="AE21" s="7">
        <v>437</v>
      </c>
      <c r="AF21" s="7"/>
      <c r="AG21" s="7"/>
      <c r="AH21" s="7"/>
      <c r="AI21" s="7"/>
      <c r="AJ21" s="7"/>
      <c r="AK21" s="7"/>
      <c r="AL21" s="7"/>
      <c r="AM21" s="7"/>
      <c r="AN21" s="7"/>
      <c r="AO21" s="7"/>
      <c r="AP21" s="7">
        <v>2</v>
      </c>
      <c r="AQ21" s="7">
        <v>106</v>
      </c>
      <c r="AR21" s="7"/>
      <c r="AS21" s="7"/>
      <c r="AT21" s="7">
        <v>6</v>
      </c>
      <c r="AU21" s="7">
        <v>1696</v>
      </c>
      <c r="AV21" s="7">
        <v>7</v>
      </c>
      <c r="AW21" s="7">
        <v>3638</v>
      </c>
      <c r="AX21" s="7">
        <v>1</v>
      </c>
      <c r="AY21" s="7">
        <v>64</v>
      </c>
      <c r="AZ21" s="7">
        <v>7</v>
      </c>
      <c r="BA21" s="7">
        <v>543</v>
      </c>
      <c r="BB21" s="7">
        <v>4</v>
      </c>
      <c r="BC21" s="7">
        <v>279</v>
      </c>
      <c r="BD21" s="7">
        <v>1</v>
      </c>
      <c r="BE21" s="7">
        <v>22</v>
      </c>
      <c r="BF21" s="7">
        <v>5</v>
      </c>
      <c r="BG21" s="7">
        <v>156</v>
      </c>
      <c r="BH21" s="7">
        <v>2</v>
      </c>
      <c r="BI21" s="7">
        <v>83</v>
      </c>
      <c r="BJ21" s="7"/>
      <c r="BK21" s="7"/>
      <c r="BL21" s="7"/>
      <c r="BM21" s="7"/>
      <c r="BN21" s="7">
        <v>1</v>
      </c>
      <c r="BO21" s="7">
        <v>68</v>
      </c>
      <c r="BP21" s="7"/>
      <c r="BQ21" s="7"/>
      <c r="BR21" s="8">
        <v>112</v>
      </c>
      <c r="BS21" s="8">
        <v>18154</v>
      </c>
    </row>
    <row r="22" spans="1:71">
      <c r="A22" s="5" t="s">
        <v>61</v>
      </c>
      <c r="B22" s="6"/>
      <c r="C22" s="6"/>
      <c r="D22" s="7"/>
      <c r="E22" s="7"/>
      <c r="F22" s="7"/>
      <c r="G22" s="7"/>
      <c r="H22" s="7"/>
      <c r="I22" s="7"/>
      <c r="J22" s="7"/>
      <c r="K22" s="7"/>
      <c r="L22" s="7"/>
      <c r="M22" s="7"/>
      <c r="N22" s="7">
        <v>1</v>
      </c>
      <c r="O22" s="7">
        <v>16</v>
      </c>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8">
        <v>1</v>
      </c>
      <c r="BS22" s="8">
        <v>16</v>
      </c>
    </row>
    <row r="23" spans="1:71">
      <c r="A23" s="5" t="s">
        <v>62</v>
      </c>
      <c r="B23" s="6"/>
      <c r="C23" s="6"/>
      <c r="D23" s="7"/>
      <c r="E23" s="7"/>
      <c r="F23" s="7"/>
      <c r="G23" s="7"/>
      <c r="H23" s="7"/>
      <c r="I23" s="7"/>
      <c r="J23" s="7"/>
      <c r="K23" s="7"/>
      <c r="L23" s="7">
        <v>1</v>
      </c>
      <c r="M23" s="7">
        <v>16</v>
      </c>
      <c r="N23" s="7">
        <v>1</v>
      </c>
      <c r="O23" s="7">
        <v>16</v>
      </c>
      <c r="P23" s="7"/>
      <c r="Q23" s="7"/>
      <c r="R23" s="7"/>
      <c r="S23" s="7"/>
      <c r="T23" s="7"/>
      <c r="U23" s="7"/>
      <c r="V23" s="7"/>
      <c r="W23" s="7"/>
      <c r="X23" s="7"/>
      <c r="Y23" s="7"/>
      <c r="Z23" s="7">
        <v>1</v>
      </c>
      <c r="AA23" s="7">
        <v>79</v>
      </c>
      <c r="AB23" s="7">
        <v>1</v>
      </c>
      <c r="AC23" s="7">
        <v>165</v>
      </c>
      <c r="AD23" s="7"/>
      <c r="AE23" s="7"/>
      <c r="AF23" s="7"/>
      <c r="AG23" s="7"/>
      <c r="AH23" s="7"/>
      <c r="AI23" s="7"/>
      <c r="AJ23" s="7"/>
      <c r="AK23" s="7"/>
      <c r="AL23" s="7"/>
      <c r="AM23" s="7"/>
      <c r="AN23" s="7">
        <v>1</v>
      </c>
      <c r="AO23" s="7">
        <v>123</v>
      </c>
      <c r="AP23" s="7"/>
      <c r="AQ23" s="7"/>
      <c r="AR23" s="7"/>
      <c r="AS23" s="7"/>
      <c r="AT23" s="7"/>
      <c r="AU23" s="7"/>
      <c r="AV23" s="7"/>
      <c r="AW23" s="7"/>
      <c r="AX23" s="7"/>
      <c r="AY23" s="7"/>
      <c r="AZ23" s="7">
        <v>1</v>
      </c>
      <c r="BA23" s="7">
        <v>14</v>
      </c>
      <c r="BB23" s="7"/>
      <c r="BC23" s="7"/>
      <c r="BD23" s="7"/>
      <c r="BE23" s="7"/>
      <c r="BF23" s="7"/>
      <c r="BG23" s="7"/>
      <c r="BH23" s="7"/>
      <c r="BI23" s="7"/>
      <c r="BJ23" s="7"/>
      <c r="BK23" s="7"/>
      <c r="BL23" s="7"/>
      <c r="BM23" s="7"/>
      <c r="BN23" s="7">
        <v>1</v>
      </c>
      <c r="BO23" s="7">
        <v>17</v>
      </c>
      <c r="BP23" s="7"/>
      <c r="BQ23" s="7"/>
      <c r="BR23" s="8">
        <v>7</v>
      </c>
      <c r="BS23" s="8">
        <v>430</v>
      </c>
    </row>
    <row r="24" spans="1:71">
      <c r="A24" s="5" t="s">
        <v>63</v>
      </c>
      <c r="B24" s="6"/>
      <c r="C24" s="6"/>
      <c r="D24" s="7"/>
      <c r="E24" s="7"/>
      <c r="F24" s="7"/>
      <c r="G24" s="7"/>
      <c r="H24" s="7"/>
      <c r="I24" s="7"/>
      <c r="J24" s="7"/>
      <c r="K24" s="7"/>
      <c r="L24" s="7">
        <v>6</v>
      </c>
      <c r="M24" s="7">
        <v>105</v>
      </c>
      <c r="N24" s="7"/>
      <c r="O24" s="7"/>
      <c r="P24" s="7"/>
      <c r="Q24" s="7"/>
      <c r="R24" s="7"/>
      <c r="S24" s="7"/>
      <c r="T24" s="7"/>
      <c r="U24" s="7"/>
      <c r="V24" s="7"/>
      <c r="W24" s="7"/>
      <c r="X24" s="7"/>
      <c r="Y24" s="7"/>
      <c r="Z24" s="7"/>
      <c r="AA24" s="7"/>
      <c r="AB24" s="7">
        <v>1</v>
      </c>
      <c r="AC24" s="7">
        <v>37</v>
      </c>
      <c r="AD24" s="7"/>
      <c r="AE24" s="7"/>
      <c r="AF24" s="7"/>
      <c r="AG24" s="7"/>
      <c r="AH24" s="7"/>
      <c r="AI24" s="7"/>
      <c r="AJ24" s="7"/>
      <c r="AK24" s="7"/>
      <c r="AL24" s="7"/>
      <c r="AM24" s="7"/>
      <c r="AN24" s="7"/>
      <c r="AO24" s="7"/>
      <c r="AP24" s="7"/>
      <c r="AQ24" s="7"/>
      <c r="AR24" s="7"/>
      <c r="AS24" s="7"/>
      <c r="AT24" s="7"/>
      <c r="AU24" s="7"/>
      <c r="AV24" s="7"/>
      <c r="AW24" s="7"/>
      <c r="AX24" s="7"/>
      <c r="AY24" s="7"/>
      <c r="AZ24" s="7">
        <v>1</v>
      </c>
      <c r="BA24" s="7">
        <v>16</v>
      </c>
      <c r="BB24" s="7"/>
      <c r="BC24" s="7"/>
      <c r="BD24" s="7"/>
      <c r="BE24" s="7"/>
      <c r="BF24" s="7"/>
      <c r="BG24" s="7"/>
      <c r="BH24" s="7"/>
      <c r="BI24" s="7"/>
      <c r="BJ24" s="7"/>
      <c r="BK24" s="7"/>
      <c r="BL24" s="7"/>
      <c r="BM24" s="7"/>
      <c r="BN24" s="7"/>
      <c r="BO24" s="7"/>
      <c r="BP24" s="7"/>
      <c r="BQ24" s="7"/>
      <c r="BR24" s="8">
        <v>8</v>
      </c>
      <c r="BS24" s="8">
        <v>158</v>
      </c>
    </row>
    <row r="25" spans="1:71">
      <c r="A25" s="5" t="s">
        <v>64</v>
      </c>
      <c r="B25" s="6"/>
      <c r="C25" s="6"/>
      <c r="D25" s="7"/>
      <c r="E25" s="7"/>
      <c r="F25" s="7"/>
      <c r="G25" s="7"/>
      <c r="H25" s="7"/>
      <c r="I25" s="7"/>
      <c r="J25" s="7"/>
      <c r="K25" s="7"/>
      <c r="L25" s="7">
        <v>1</v>
      </c>
      <c r="M25" s="7">
        <v>10</v>
      </c>
      <c r="N25" s="7">
        <v>2</v>
      </c>
      <c r="O25" s="7">
        <v>26</v>
      </c>
      <c r="P25" s="7"/>
      <c r="Q25" s="7"/>
      <c r="R25" s="7"/>
      <c r="S25" s="7"/>
      <c r="T25" s="7"/>
      <c r="U25" s="7"/>
      <c r="V25" s="7"/>
      <c r="W25" s="7"/>
      <c r="X25" s="7"/>
      <c r="Y25" s="7"/>
      <c r="Z25" s="7"/>
      <c r="AA25" s="7"/>
      <c r="AB25" s="7">
        <v>1</v>
      </c>
      <c r="AC25" s="7">
        <v>103</v>
      </c>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8">
        <v>4</v>
      </c>
      <c r="BS25" s="8">
        <v>139</v>
      </c>
    </row>
    <row r="26" spans="1:71">
      <c r="A26" s="5" t="s">
        <v>65</v>
      </c>
      <c r="B26" s="6">
        <v>10</v>
      </c>
      <c r="C26" s="6">
        <v>290</v>
      </c>
      <c r="D26" s="7">
        <v>13</v>
      </c>
      <c r="E26" s="7">
        <v>1226</v>
      </c>
      <c r="F26" s="7">
        <v>3</v>
      </c>
      <c r="G26" s="7">
        <v>549</v>
      </c>
      <c r="H26" s="7"/>
      <c r="I26" s="7"/>
      <c r="J26" s="7">
        <v>3</v>
      </c>
      <c r="K26" s="7">
        <v>86</v>
      </c>
      <c r="L26" s="7">
        <v>10</v>
      </c>
      <c r="M26" s="7">
        <v>145</v>
      </c>
      <c r="N26" s="7"/>
      <c r="O26" s="7"/>
      <c r="P26" s="7"/>
      <c r="Q26" s="7"/>
      <c r="R26" s="7"/>
      <c r="S26" s="7"/>
      <c r="T26" s="7"/>
      <c r="U26" s="7"/>
      <c r="V26" s="7">
        <v>1</v>
      </c>
      <c r="W26" s="7">
        <v>48</v>
      </c>
      <c r="X26" s="7">
        <v>2</v>
      </c>
      <c r="Y26" s="7">
        <v>152</v>
      </c>
      <c r="Z26" s="7">
        <v>5</v>
      </c>
      <c r="AA26" s="7">
        <v>1612</v>
      </c>
      <c r="AB26" s="7">
        <v>3</v>
      </c>
      <c r="AC26" s="7">
        <v>1419</v>
      </c>
      <c r="AD26" s="7">
        <v>1</v>
      </c>
      <c r="AE26" s="7">
        <v>20</v>
      </c>
      <c r="AF26" s="7"/>
      <c r="AG26" s="7"/>
      <c r="AH26" s="7"/>
      <c r="AI26" s="7"/>
      <c r="AJ26" s="7"/>
      <c r="AK26" s="7"/>
      <c r="AL26" s="7"/>
      <c r="AM26" s="7"/>
      <c r="AN26" s="7"/>
      <c r="AO26" s="7"/>
      <c r="AP26" s="7"/>
      <c r="AQ26" s="7"/>
      <c r="AR26" s="7">
        <v>1</v>
      </c>
      <c r="AS26" s="7">
        <v>336</v>
      </c>
      <c r="AT26" s="7"/>
      <c r="AU26" s="7"/>
      <c r="AV26" s="7">
        <v>1</v>
      </c>
      <c r="AW26" s="7">
        <v>606</v>
      </c>
      <c r="AX26" s="7"/>
      <c r="AY26" s="7"/>
      <c r="AZ26" s="7">
        <v>1</v>
      </c>
      <c r="BA26" s="7">
        <v>35</v>
      </c>
      <c r="BB26" s="7"/>
      <c r="BC26" s="7"/>
      <c r="BD26" s="7"/>
      <c r="BE26" s="7"/>
      <c r="BF26" s="7">
        <v>2</v>
      </c>
      <c r="BG26" s="7">
        <v>75</v>
      </c>
      <c r="BH26" s="7"/>
      <c r="BI26" s="7"/>
      <c r="BJ26" s="7"/>
      <c r="BK26" s="7"/>
      <c r="BL26" s="7"/>
      <c r="BM26" s="7"/>
      <c r="BN26" s="7"/>
      <c r="BO26" s="7"/>
      <c r="BP26" s="7"/>
      <c r="BQ26" s="7"/>
      <c r="BR26" s="8">
        <v>56</v>
      </c>
      <c r="BS26" s="8">
        <v>6599</v>
      </c>
    </row>
    <row r="27" spans="1:71">
      <c r="A27" s="5" t="s">
        <v>66</v>
      </c>
      <c r="B27" s="6"/>
      <c r="C27" s="6"/>
      <c r="D27" s="7"/>
      <c r="E27" s="7"/>
      <c r="F27" s="7"/>
      <c r="G27" s="7"/>
      <c r="H27" s="7"/>
      <c r="I27" s="7"/>
      <c r="J27" s="7"/>
      <c r="K27" s="7"/>
      <c r="L27" s="7">
        <v>2</v>
      </c>
      <c r="M27" s="7">
        <v>25</v>
      </c>
      <c r="N27" s="7">
        <v>2</v>
      </c>
      <c r="O27" s="7">
        <v>29</v>
      </c>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v>2</v>
      </c>
      <c r="AW27" s="7">
        <v>62</v>
      </c>
      <c r="AX27" s="7"/>
      <c r="AY27" s="7"/>
      <c r="AZ27" s="7"/>
      <c r="BA27" s="7"/>
      <c r="BB27" s="7"/>
      <c r="BC27" s="7"/>
      <c r="BD27" s="7"/>
      <c r="BE27" s="7"/>
      <c r="BF27" s="7"/>
      <c r="BG27" s="7"/>
      <c r="BH27" s="7"/>
      <c r="BI27" s="7"/>
      <c r="BJ27" s="7"/>
      <c r="BK27" s="7"/>
      <c r="BL27" s="7"/>
      <c r="BM27" s="7"/>
      <c r="BN27" s="7"/>
      <c r="BO27" s="7"/>
      <c r="BP27" s="7"/>
      <c r="BQ27" s="7"/>
      <c r="BR27" s="8">
        <v>6</v>
      </c>
      <c r="BS27" s="8">
        <v>116</v>
      </c>
    </row>
    <row r="28" spans="1:71">
      <c r="A28" s="5" t="s">
        <v>67</v>
      </c>
      <c r="B28" s="6"/>
      <c r="C28" s="6"/>
      <c r="D28" s="7"/>
      <c r="E28" s="7"/>
      <c r="F28" s="7"/>
      <c r="G28" s="7"/>
      <c r="H28" s="7"/>
      <c r="I28" s="7"/>
      <c r="J28" s="7">
        <v>1</v>
      </c>
      <c r="K28" s="7">
        <v>30</v>
      </c>
      <c r="L28" s="7">
        <v>1</v>
      </c>
      <c r="M28" s="7">
        <v>6</v>
      </c>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8">
        <v>2</v>
      </c>
      <c r="BS28" s="8">
        <v>36</v>
      </c>
    </row>
    <row r="29" spans="1:71">
      <c r="A29" s="5" t="s">
        <v>68</v>
      </c>
      <c r="B29" s="6"/>
      <c r="C29" s="6"/>
      <c r="D29" s="7"/>
      <c r="E29" s="7"/>
      <c r="F29" s="7"/>
      <c r="G29" s="7"/>
      <c r="H29" s="7"/>
      <c r="I29" s="7"/>
      <c r="J29" s="7"/>
      <c r="K29" s="7"/>
      <c r="L29" s="7">
        <v>2</v>
      </c>
      <c r="M29" s="7">
        <v>38</v>
      </c>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8">
        <v>2</v>
      </c>
      <c r="BS29" s="8">
        <v>38</v>
      </c>
    </row>
    <row r="30" spans="1:71">
      <c r="A30" s="5" t="s">
        <v>69</v>
      </c>
      <c r="B30" s="6"/>
      <c r="C30" s="6"/>
      <c r="D30" s="7"/>
      <c r="E30" s="7"/>
      <c r="F30" s="7"/>
      <c r="G30" s="7"/>
      <c r="H30" s="7"/>
      <c r="I30" s="7"/>
      <c r="J30" s="7"/>
      <c r="K30" s="7"/>
      <c r="L30" s="7">
        <v>1</v>
      </c>
      <c r="M30" s="7">
        <v>9</v>
      </c>
      <c r="N30" s="7">
        <v>1</v>
      </c>
      <c r="O30" s="7">
        <v>16</v>
      </c>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8">
        <v>2</v>
      </c>
      <c r="BS30" s="8">
        <v>25</v>
      </c>
    </row>
    <row r="31" spans="1:71">
      <c r="A31" s="5" t="s">
        <v>177</v>
      </c>
      <c r="B31" s="6"/>
      <c r="C31" s="6"/>
      <c r="D31" s="7"/>
      <c r="E31" s="7"/>
      <c r="F31" s="7"/>
      <c r="G31" s="7"/>
      <c r="H31" s="7"/>
      <c r="I31" s="7"/>
      <c r="J31" s="7"/>
      <c r="K31" s="7"/>
      <c r="L31" s="7"/>
      <c r="M31" s="7"/>
      <c r="N31" s="7">
        <v>3</v>
      </c>
      <c r="O31" s="7">
        <v>24</v>
      </c>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8">
        <v>3</v>
      </c>
      <c r="BS31" s="8">
        <v>24</v>
      </c>
    </row>
    <row r="32" spans="1:71">
      <c r="A32" s="5" t="s">
        <v>71</v>
      </c>
      <c r="B32" s="6">
        <v>1</v>
      </c>
      <c r="C32" s="6">
        <v>120</v>
      </c>
      <c r="D32" s="7"/>
      <c r="E32" s="7"/>
      <c r="F32" s="7"/>
      <c r="G32" s="7"/>
      <c r="H32" s="7">
        <v>1</v>
      </c>
      <c r="I32" s="7">
        <v>936</v>
      </c>
      <c r="J32" s="7">
        <v>1</v>
      </c>
      <c r="K32" s="7">
        <v>4</v>
      </c>
      <c r="L32" s="7">
        <v>13</v>
      </c>
      <c r="M32" s="7">
        <v>165</v>
      </c>
      <c r="N32" s="7"/>
      <c r="O32" s="7"/>
      <c r="P32" s="7"/>
      <c r="Q32" s="7"/>
      <c r="R32" s="7">
        <v>1</v>
      </c>
      <c r="S32" s="7">
        <v>660</v>
      </c>
      <c r="T32" s="7"/>
      <c r="U32" s="7"/>
      <c r="V32" s="7"/>
      <c r="W32" s="7"/>
      <c r="X32" s="7">
        <v>10</v>
      </c>
      <c r="Y32" s="7">
        <v>2303</v>
      </c>
      <c r="Z32" s="7">
        <v>20</v>
      </c>
      <c r="AA32" s="7">
        <v>6457</v>
      </c>
      <c r="AB32" s="7">
        <v>2</v>
      </c>
      <c r="AC32" s="7">
        <v>1004</v>
      </c>
      <c r="AD32" s="7">
        <v>2</v>
      </c>
      <c r="AE32" s="7">
        <v>493</v>
      </c>
      <c r="AF32" s="7"/>
      <c r="AG32" s="7"/>
      <c r="AH32" s="7"/>
      <c r="AI32" s="7"/>
      <c r="AJ32" s="7"/>
      <c r="AK32" s="7"/>
      <c r="AL32" s="7"/>
      <c r="AM32" s="7"/>
      <c r="AN32" s="7"/>
      <c r="AO32" s="7"/>
      <c r="AP32" s="7"/>
      <c r="AQ32" s="7"/>
      <c r="AR32" s="7"/>
      <c r="AS32" s="7"/>
      <c r="AT32" s="7">
        <v>1</v>
      </c>
      <c r="AU32" s="7">
        <v>346</v>
      </c>
      <c r="AV32" s="7">
        <v>1</v>
      </c>
      <c r="AW32" s="7">
        <v>164</v>
      </c>
      <c r="AX32" s="7"/>
      <c r="AY32" s="7"/>
      <c r="AZ32" s="7">
        <v>3</v>
      </c>
      <c r="BA32" s="7">
        <v>161</v>
      </c>
      <c r="BB32" s="7"/>
      <c r="BC32" s="7"/>
      <c r="BD32" s="7"/>
      <c r="BE32" s="7"/>
      <c r="BF32" s="7">
        <v>3</v>
      </c>
      <c r="BG32" s="7">
        <v>153</v>
      </c>
      <c r="BH32" s="7">
        <v>2</v>
      </c>
      <c r="BI32" s="7">
        <v>80</v>
      </c>
      <c r="BJ32" s="7"/>
      <c r="BK32" s="7"/>
      <c r="BL32" s="7"/>
      <c r="BM32" s="7"/>
      <c r="BN32" s="7">
        <v>1</v>
      </c>
      <c r="BO32" s="7">
        <v>20</v>
      </c>
      <c r="BP32" s="7"/>
      <c r="BQ32" s="7"/>
      <c r="BR32" s="8">
        <v>62</v>
      </c>
      <c r="BS32" s="8">
        <v>13066</v>
      </c>
    </row>
    <row r="33" spans="1:71">
      <c r="A33" s="5" t="s">
        <v>72</v>
      </c>
      <c r="B33" s="6">
        <v>4</v>
      </c>
      <c r="C33" s="6">
        <v>901</v>
      </c>
      <c r="D33" s="7">
        <v>5</v>
      </c>
      <c r="E33" s="7">
        <v>479</v>
      </c>
      <c r="F33" s="7">
        <v>3</v>
      </c>
      <c r="G33" s="7">
        <v>123</v>
      </c>
      <c r="H33" s="7"/>
      <c r="I33" s="7"/>
      <c r="J33" s="7">
        <v>3</v>
      </c>
      <c r="K33" s="7">
        <v>98</v>
      </c>
      <c r="L33" s="7">
        <v>18</v>
      </c>
      <c r="M33" s="7">
        <v>228</v>
      </c>
      <c r="N33" s="7"/>
      <c r="O33" s="7"/>
      <c r="P33" s="7"/>
      <c r="Q33" s="7"/>
      <c r="R33" s="7"/>
      <c r="S33" s="7"/>
      <c r="T33" s="7"/>
      <c r="U33" s="7"/>
      <c r="V33" s="7">
        <v>1</v>
      </c>
      <c r="W33" s="7">
        <v>222</v>
      </c>
      <c r="X33" s="7">
        <v>2</v>
      </c>
      <c r="Y33" s="7">
        <v>441</v>
      </c>
      <c r="Z33" s="7">
        <v>14</v>
      </c>
      <c r="AA33" s="7">
        <v>5461</v>
      </c>
      <c r="AB33" s="7">
        <v>2</v>
      </c>
      <c r="AC33" s="7">
        <v>695</v>
      </c>
      <c r="AD33" s="7"/>
      <c r="AE33" s="7"/>
      <c r="AF33" s="7"/>
      <c r="AG33" s="7"/>
      <c r="AH33" s="7"/>
      <c r="AI33" s="7"/>
      <c r="AJ33" s="7"/>
      <c r="AK33" s="7"/>
      <c r="AL33" s="7"/>
      <c r="AM33" s="7"/>
      <c r="AN33" s="7"/>
      <c r="AO33" s="7"/>
      <c r="AP33" s="7"/>
      <c r="AQ33" s="7"/>
      <c r="AR33" s="7"/>
      <c r="AS33" s="7"/>
      <c r="AT33" s="7">
        <v>4</v>
      </c>
      <c r="AU33" s="7">
        <v>2612</v>
      </c>
      <c r="AV33" s="7">
        <v>2</v>
      </c>
      <c r="AW33" s="7">
        <v>2957</v>
      </c>
      <c r="AX33" s="7"/>
      <c r="AY33" s="7"/>
      <c r="AZ33" s="7">
        <v>1</v>
      </c>
      <c r="BA33" s="7">
        <v>111</v>
      </c>
      <c r="BB33" s="7">
        <v>1</v>
      </c>
      <c r="BC33" s="7">
        <v>46</v>
      </c>
      <c r="BD33" s="7"/>
      <c r="BE33" s="7"/>
      <c r="BF33" s="7"/>
      <c r="BG33" s="7"/>
      <c r="BH33" s="7"/>
      <c r="BI33" s="7"/>
      <c r="BJ33" s="7"/>
      <c r="BK33" s="7"/>
      <c r="BL33" s="7">
        <v>3</v>
      </c>
      <c r="BM33" s="7">
        <v>94</v>
      </c>
      <c r="BN33" s="7"/>
      <c r="BO33" s="7"/>
      <c r="BP33" s="7"/>
      <c r="BQ33" s="7"/>
      <c r="BR33" s="8">
        <v>63</v>
      </c>
      <c r="BS33" s="8">
        <v>14468</v>
      </c>
    </row>
    <row r="34" spans="1:71">
      <c r="A34" s="5" t="s">
        <v>73</v>
      </c>
      <c r="B34" s="6"/>
      <c r="C34" s="6"/>
      <c r="D34" s="7"/>
      <c r="E34" s="7"/>
      <c r="F34" s="7"/>
      <c r="G34" s="7"/>
      <c r="H34" s="7"/>
      <c r="I34" s="7"/>
      <c r="J34" s="7"/>
      <c r="K34" s="7"/>
      <c r="L34" s="7">
        <v>3</v>
      </c>
      <c r="M34" s="7">
        <v>22</v>
      </c>
      <c r="N34" s="7">
        <v>1</v>
      </c>
      <c r="O34" s="7">
        <v>16</v>
      </c>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8">
        <v>4</v>
      </c>
      <c r="BS34" s="8">
        <v>38</v>
      </c>
    </row>
    <row r="35" spans="1:71">
      <c r="A35" s="5" t="s">
        <v>74</v>
      </c>
      <c r="B35" s="6"/>
      <c r="C35" s="6"/>
      <c r="D35" s="7"/>
      <c r="E35" s="7"/>
      <c r="F35" s="7"/>
      <c r="G35" s="7"/>
      <c r="H35" s="7"/>
      <c r="I35" s="7"/>
      <c r="J35" s="7"/>
      <c r="K35" s="7"/>
      <c r="L35" s="7">
        <v>1</v>
      </c>
      <c r="M35" s="7">
        <v>16</v>
      </c>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8">
        <v>1</v>
      </c>
      <c r="BS35" s="8">
        <v>16</v>
      </c>
    </row>
    <row r="36" spans="1:71">
      <c r="A36" s="5" t="s">
        <v>75</v>
      </c>
      <c r="B36" s="6"/>
      <c r="C36" s="6"/>
      <c r="D36" s="7"/>
      <c r="E36" s="7"/>
      <c r="F36" s="7"/>
      <c r="G36" s="7"/>
      <c r="H36" s="7"/>
      <c r="I36" s="7"/>
      <c r="J36" s="7">
        <v>2</v>
      </c>
      <c r="K36" s="7">
        <v>95</v>
      </c>
      <c r="L36" s="7">
        <v>3</v>
      </c>
      <c r="M36" s="7">
        <v>38</v>
      </c>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8">
        <v>5</v>
      </c>
      <c r="BS36" s="8">
        <v>133</v>
      </c>
    </row>
    <row r="37" spans="1:71">
      <c r="A37" s="5" t="s">
        <v>76</v>
      </c>
      <c r="B37" s="6"/>
      <c r="C37" s="6"/>
      <c r="D37" s="7">
        <v>2</v>
      </c>
      <c r="E37" s="7">
        <v>426</v>
      </c>
      <c r="F37" s="7">
        <v>8</v>
      </c>
      <c r="G37" s="7">
        <v>1264</v>
      </c>
      <c r="H37" s="7"/>
      <c r="I37" s="7"/>
      <c r="J37" s="7">
        <v>1</v>
      </c>
      <c r="K37" s="7">
        <v>30</v>
      </c>
      <c r="L37" s="7"/>
      <c r="M37" s="7"/>
      <c r="N37" s="7"/>
      <c r="O37" s="7"/>
      <c r="P37" s="7">
        <v>1</v>
      </c>
      <c r="Q37" s="7">
        <v>500</v>
      </c>
      <c r="R37" s="7"/>
      <c r="S37" s="7"/>
      <c r="T37" s="7"/>
      <c r="U37" s="7"/>
      <c r="V37" s="7"/>
      <c r="W37" s="7"/>
      <c r="X37" s="7"/>
      <c r="Y37" s="7"/>
      <c r="Z37" s="7">
        <v>3</v>
      </c>
      <c r="AA37" s="7">
        <v>817</v>
      </c>
      <c r="AB37" s="7">
        <v>7</v>
      </c>
      <c r="AC37" s="7">
        <v>3893</v>
      </c>
      <c r="AD37" s="7">
        <v>1</v>
      </c>
      <c r="AE37" s="7">
        <v>268</v>
      </c>
      <c r="AF37" s="7"/>
      <c r="AG37" s="7"/>
      <c r="AH37" s="7"/>
      <c r="AI37" s="7"/>
      <c r="AJ37" s="7"/>
      <c r="AK37" s="7"/>
      <c r="AL37" s="7"/>
      <c r="AM37" s="7"/>
      <c r="AN37" s="7"/>
      <c r="AO37" s="7"/>
      <c r="AP37" s="7"/>
      <c r="AQ37" s="7"/>
      <c r="AR37" s="7"/>
      <c r="AS37" s="7"/>
      <c r="AT37" s="7">
        <v>7</v>
      </c>
      <c r="AU37" s="7">
        <v>4139</v>
      </c>
      <c r="AV37" s="7">
        <v>9</v>
      </c>
      <c r="AW37" s="7">
        <v>4968</v>
      </c>
      <c r="AX37" s="7">
        <v>1</v>
      </c>
      <c r="AY37" s="7">
        <v>272</v>
      </c>
      <c r="AZ37" s="7"/>
      <c r="BA37" s="7"/>
      <c r="BB37" s="7"/>
      <c r="BC37" s="7"/>
      <c r="BD37" s="7"/>
      <c r="BE37" s="7"/>
      <c r="BF37" s="7"/>
      <c r="BG37" s="7"/>
      <c r="BH37" s="7"/>
      <c r="BI37" s="7"/>
      <c r="BJ37" s="7"/>
      <c r="BK37" s="7"/>
      <c r="BL37" s="7"/>
      <c r="BM37" s="7"/>
      <c r="BN37" s="7"/>
      <c r="BO37" s="7"/>
      <c r="BP37" s="7"/>
      <c r="BQ37" s="7"/>
      <c r="BR37" s="8">
        <v>40</v>
      </c>
      <c r="BS37" s="8">
        <v>16577</v>
      </c>
    </row>
    <row r="38" spans="1:71">
      <c r="A38" s="5" t="s">
        <v>77</v>
      </c>
      <c r="B38" s="6">
        <v>5</v>
      </c>
      <c r="C38" s="6">
        <v>356</v>
      </c>
      <c r="D38" s="7">
        <v>6</v>
      </c>
      <c r="E38" s="7">
        <v>873</v>
      </c>
      <c r="F38" s="7">
        <v>6</v>
      </c>
      <c r="G38" s="7">
        <v>693</v>
      </c>
      <c r="H38" s="7"/>
      <c r="I38" s="7"/>
      <c r="J38" s="7">
        <v>1</v>
      </c>
      <c r="K38" s="7">
        <v>41</v>
      </c>
      <c r="L38" s="7"/>
      <c r="M38" s="7"/>
      <c r="N38" s="7">
        <v>2</v>
      </c>
      <c r="O38" s="7">
        <v>57</v>
      </c>
      <c r="P38" s="7"/>
      <c r="Q38" s="7"/>
      <c r="R38" s="7"/>
      <c r="S38" s="7"/>
      <c r="T38" s="7"/>
      <c r="U38" s="7"/>
      <c r="V38" s="7">
        <v>8</v>
      </c>
      <c r="W38" s="7">
        <v>613</v>
      </c>
      <c r="X38" s="7">
        <v>14</v>
      </c>
      <c r="Y38" s="7">
        <v>1870</v>
      </c>
      <c r="Z38" s="7">
        <v>65</v>
      </c>
      <c r="AA38" s="7">
        <v>19118</v>
      </c>
      <c r="AB38" s="7">
        <v>43</v>
      </c>
      <c r="AC38" s="7">
        <v>10696</v>
      </c>
      <c r="AD38" s="7">
        <v>5</v>
      </c>
      <c r="AE38" s="7">
        <v>836</v>
      </c>
      <c r="AF38" s="7">
        <v>2</v>
      </c>
      <c r="AG38" s="7">
        <v>637</v>
      </c>
      <c r="AH38" s="7">
        <v>1</v>
      </c>
      <c r="AI38" s="7">
        <v>19</v>
      </c>
      <c r="AJ38" s="7">
        <v>1</v>
      </c>
      <c r="AK38" s="7">
        <v>67</v>
      </c>
      <c r="AL38" s="7">
        <v>2</v>
      </c>
      <c r="AM38" s="7">
        <v>239</v>
      </c>
      <c r="AN38" s="7"/>
      <c r="AO38" s="7"/>
      <c r="AP38" s="7"/>
      <c r="AQ38" s="7"/>
      <c r="AR38" s="7">
        <v>3</v>
      </c>
      <c r="AS38" s="7">
        <v>355</v>
      </c>
      <c r="AT38" s="7">
        <v>6</v>
      </c>
      <c r="AU38" s="7">
        <v>1880</v>
      </c>
      <c r="AV38" s="7">
        <v>5</v>
      </c>
      <c r="AW38" s="7">
        <v>2475</v>
      </c>
      <c r="AX38" s="7"/>
      <c r="AY38" s="7"/>
      <c r="AZ38" s="7">
        <v>5</v>
      </c>
      <c r="BA38" s="7">
        <v>185</v>
      </c>
      <c r="BB38" s="7">
        <v>5</v>
      </c>
      <c r="BC38" s="7">
        <v>389</v>
      </c>
      <c r="BD38" s="7"/>
      <c r="BE38" s="7"/>
      <c r="BF38" s="7">
        <v>20</v>
      </c>
      <c r="BG38" s="7">
        <v>833</v>
      </c>
      <c r="BH38" s="7">
        <v>9</v>
      </c>
      <c r="BI38" s="7">
        <v>427</v>
      </c>
      <c r="BJ38" s="7"/>
      <c r="BK38" s="7"/>
      <c r="BL38" s="7">
        <v>4</v>
      </c>
      <c r="BM38" s="7">
        <v>151</v>
      </c>
      <c r="BN38" s="7">
        <v>1</v>
      </c>
      <c r="BO38" s="7">
        <v>12</v>
      </c>
      <c r="BP38" s="7"/>
      <c r="BQ38" s="7"/>
      <c r="BR38" s="8">
        <v>219</v>
      </c>
      <c r="BS38" s="8">
        <v>42822</v>
      </c>
    </row>
    <row r="39" spans="1:71">
      <c r="A39" s="5" t="s">
        <v>78</v>
      </c>
      <c r="B39" s="6"/>
      <c r="C39" s="6"/>
      <c r="D39" s="7"/>
      <c r="E39" s="7"/>
      <c r="F39" s="7"/>
      <c r="G39" s="7"/>
      <c r="H39" s="7"/>
      <c r="I39" s="7"/>
      <c r="J39" s="7"/>
      <c r="K39" s="7"/>
      <c r="L39" s="7">
        <v>3</v>
      </c>
      <c r="M39" s="7">
        <v>40</v>
      </c>
      <c r="N39" s="7">
        <v>1</v>
      </c>
      <c r="O39" s="7">
        <v>6</v>
      </c>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8">
        <v>4</v>
      </c>
      <c r="BS39" s="8">
        <v>46</v>
      </c>
    </row>
    <row r="40" spans="1:71">
      <c r="A40" s="5" t="s">
        <v>178</v>
      </c>
      <c r="B40" s="6"/>
      <c r="C40" s="6"/>
      <c r="D40" s="7"/>
      <c r="E40" s="7"/>
      <c r="F40" s="7"/>
      <c r="G40" s="7"/>
      <c r="H40" s="7"/>
      <c r="I40" s="7"/>
      <c r="J40" s="7"/>
      <c r="K40" s="7"/>
      <c r="L40" s="7">
        <v>2</v>
      </c>
      <c r="M40" s="7">
        <v>28</v>
      </c>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v>1</v>
      </c>
      <c r="BO40" s="7">
        <v>11</v>
      </c>
      <c r="BP40" s="7"/>
      <c r="BQ40" s="7"/>
      <c r="BR40" s="8">
        <v>3</v>
      </c>
      <c r="BS40" s="8">
        <v>39</v>
      </c>
    </row>
    <row r="41" spans="1:71">
      <c r="A41" s="5" t="s">
        <v>79</v>
      </c>
      <c r="B41" s="6">
        <v>8</v>
      </c>
      <c r="C41" s="6">
        <v>355</v>
      </c>
      <c r="D41" s="7">
        <v>10</v>
      </c>
      <c r="E41" s="7">
        <v>601</v>
      </c>
      <c r="F41" s="7">
        <v>14</v>
      </c>
      <c r="G41" s="7">
        <v>1438</v>
      </c>
      <c r="H41" s="7"/>
      <c r="I41" s="7"/>
      <c r="J41" s="7"/>
      <c r="K41" s="7"/>
      <c r="L41" s="7">
        <v>6</v>
      </c>
      <c r="M41" s="7">
        <v>86</v>
      </c>
      <c r="N41" s="7">
        <v>5</v>
      </c>
      <c r="O41" s="7">
        <v>72</v>
      </c>
      <c r="P41" s="7"/>
      <c r="Q41" s="7"/>
      <c r="R41" s="7"/>
      <c r="S41" s="7"/>
      <c r="T41" s="7"/>
      <c r="U41" s="7"/>
      <c r="V41" s="7">
        <v>1</v>
      </c>
      <c r="W41" s="7">
        <v>47</v>
      </c>
      <c r="X41" s="7">
        <v>2</v>
      </c>
      <c r="Y41" s="7">
        <v>190</v>
      </c>
      <c r="Z41" s="7">
        <v>8</v>
      </c>
      <c r="AA41" s="7">
        <v>1651</v>
      </c>
      <c r="AB41" s="7">
        <v>3</v>
      </c>
      <c r="AC41" s="7">
        <v>470</v>
      </c>
      <c r="AD41" s="7">
        <v>3</v>
      </c>
      <c r="AE41" s="7">
        <v>329</v>
      </c>
      <c r="AF41" s="7"/>
      <c r="AG41" s="7"/>
      <c r="AH41" s="7">
        <v>1</v>
      </c>
      <c r="AI41" s="7">
        <v>39</v>
      </c>
      <c r="AJ41" s="7"/>
      <c r="AK41" s="7"/>
      <c r="AL41" s="7">
        <v>1</v>
      </c>
      <c r="AM41" s="7">
        <v>12</v>
      </c>
      <c r="AN41" s="7"/>
      <c r="AO41" s="7"/>
      <c r="AP41" s="7"/>
      <c r="AQ41" s="7"/>
      <c r="AR41" s="7"/>
      <c r="AS41" s="7"/>
      <c r="AT41" s="7">
        <v>3</v>
      </c>
      <c r="AU41" s="7">
        <v>721</v>
      </c>
      <c r="AV41" s="7">
        <v>4</v>
      </c>
      <c r="AW41" s="7">
        <v>849</v>
      </c>
      <c r="AX41" s="7"/>
      <c r="AY41" s="7"/>
      <c r="AZ41" s="7">
        <v>1</v>
      </c>
      <c r="BA41" s="7">
        <v>60</v>
      </c>
      <c r="BB41" s="7">
        <v>3</v>
      </c>
      <c r="BC41" s="7">
        <v>127</v>
      </c>
      <c r="BD41" s="7"/>
      <c r="BE41" s="7"/>
      <c r="BF41" s="7">
        <v>1</v>
      </c>
      <c r="BG41" s="7">
        <v>48</v>
      </c>
      <c r="BH41" s="7">
        <v>3</v>
      </c>
      <c r="BI41" s="7">
        <v>167</v>
      </c>
      <c r="BJ41" s="7"/>
      <c r="BK41" s="7"/>
      <c r="BL41" s="7"/>
      <c r="BM41" s="7"/>
      <c r="BN41" s="7"/>
      <c r="BO41" s="7"/>
      <c r="BP41" s="7">
        <v>1</v>
      </c>
      <c r="BQ41" s="7">
        <v>23</v>
      </c>
      <c r="BR41" s="8">
        <v>78</v>
      </c>
      <c r="BS41" s="8">
        <v>7285</v>
      </c>
    </row>
    <row r="42" spans="1:71">
      <c r="A42" s="5" t="s">
        <v>80</v>
      </c>
      <c r="B42" s="6"/>
      <c r="C42" s="6"/>
      <c r="D42" s="7"/>
      <c r="E42" s="7"/>
      <c r="F42" s="7"/>
      <c r="G42" s="7"/>
      <c r="H42" s="7"/>
      <c r="I42" s="7"/>
      <c r="J42" s="7">
        <v>2</v>
      </c>
      <c r="K42" s="7">
        <v>87</v>
      </c>
      <c r="L42" s="7">
        <v>3</v>
      </c>
      <c r="M42" s="7">
        <v>57</v>
      </c>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8">
        <v>5</v>
      </c>
      <c r="BS42" s="8">
        <v>144</v>
      </c>
    </row>
    <row r="43" spans="1:71">
      <c r="A43" s="5" t="s">
        <v>81</v>
      </c>
      <c r="B43" s="6"/>
      <c r="C43" s="6"/>
      <c r="D43" s="7"/>
      <c r="E43" s="7"/>
      <c r="F43" s="7">
        <v>1</v>
      </c>
      <c r="G43" s="7">
        <v>25</v>
      </c>
      <c r="H43" s="7"/>
      <c r="I43" s="7"/>
      <c r="J43" s="7">
        <v>2</v>
      </c>
      <c r="K43" s="7">
        <v>96</v>
      </c>
      <c r="L43" s="7">
        <v>2</v>
      </c>
      <c r="M43" s="7">
        <v>20</v>
      </c>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8">
        <v>5</v>
      </c>
      <c r="BS43" s="8">
        <v>141</v>
      </c>
    </row>
    <row r="44" spans="1:71">
      <c r="A44" s="5" t="s">
        <v>179</v>
      </c>
      <c r="B44" s="6">
        <v>6</v>
      </c>
      <c r="C44" s="6">
        <v>210</v>
      </c>
      <c r="D44" s="7">
        <v>2</v>
      </c>
      <c r="E44" s="7">
        <v>72</v>
      </c>
      <c r="F44" s="7">
        <v>4</v>
      </c>
      <c r="G44" s="7">
        <v>122</v>
      </c>
      <c r="H44" s="7"/>
      <c r="I44" s="7"/>
      <c r="J44" s="7">
        <v>1</v>
      </c>
      <c r="K44" s="7">
        <v>18</v>
      </c>
      <c r="L44" s="7">
        <v>2</v>
      </c>
      <c r="M44" s="7">
        <v>24</v>
      </c>
      <c r="N44" s="7"/>
      <c r="O44" s="7"/>
      <c r="P44" s="7"/>
      <c r="Q44" s="7"/>
      <c r="R44" s="7"/>
      <c r="S44" s="7"/>
      <c r="T44" s="7"/>
      <c r="U44" s="7"/>
      <c r="V44" s="7"/>
      <c r="W44" s="7"/>
      <c r="X44" s="7"/>
      <c r="Y44" s="7"/>
      <c r="Z44" s="7">
        <v>6</v>
      </c>
      <c r="AA44" s="7">
        <v>1359</v>
      </c>
      <c r="AB44" s="7">
        <v>7</v>
      </c>
      <c r="AC44" s="7">
        <v>1845</v>
      </c>
      <c r="AD44" s="7"/>
      <c r="AE44" s="7"/>
      <c r="AF44" s="7"/>
      <c r="AG44" s="7"/>
      <c r="AH44" s="7"/>
      <c r="AI44" s="7"/>
      <c r="AJ44" s="7"/>
      <c r="AK44" s="7"/>
      <c r="AL44" s="7"/>
      <c r="AM44" s="7"/>
      <c r="AN44" s="7"/>
      <c r="AO44" s="7"/>
      <c r="AP44" s="7"/>
      <c r="AQ44" s="7"/>
      <c r="AR44" s="7"/>
      <c r="AS44" s="7"/>
      <c r="AT44" s="7"/>
      <c r="AU44" s="7"/>
      <c r="AV44" s="7">
        <v>1</v>
      </c>
      <c r="AW44" s="7">
        <v>156</v>
      </c>
      <c r="AX44" s="7"/>
      <c r="AY44" s="7"/>
      <c r="AZ44" s="7">
        <v>3</v>
      </c>
      <c r="BA44" s="7">
        <v>79</v>
      </c>
      <c r="BB44" s="7">
        <v>1</v>
      </c>
      <c r="BC44" s="7">
        <v>15</v>
      </c>
      <c r="BD44" s="7"/>
      <c r="BE44" s="7"/>
      <c r="BF44" s="7"/>
      <c r="BG44" s="7"/>
      <c r="BH44" s="7"/>
      <c r="BI44" s="7"/>
      <c r="BJ44" s="7">
        <v>1</v>
      </c>
      <c r="BK44" s="7">
        <v>54</v>
      </c>
      <c r="BL44" s="7"/>
      <c r="BM44" s="7"/>
      <c r="BN44" s="7"/>
      <c r="BO44" s="7"/>
      <c r="BP44" s="7"/>
      <c r="BQ44" s="7"/>
      <c r="BR44" s="8">
        <v>34</v>
      </c>
      <c r="BS44" s="8">
        <v>3954</v>
      </c>
    </row>
    <row r="45" spans="1:71">
      <c r="A45" s="5" t="s">
        <v>180</v>
      </c>
      <c r="B45" s="6">
        <v>3</v>
      </c>
      <c r="C45" s="6">
        <v>333</v>
      </c>
      <c r="D45" s="7">
        <v>5</v>
      </c>
      <c r="E45" s="7">
        <v>355</v>
      </c>
      <c r="F45" s="7">
        <v>8</v>
      </c>
      <c r="G45" s="7">
        <v>870</v>
      </c>
      <c r="H45" s="7">
        <v>1</v>
      </c>
      <c r="I45" s="7">
        <v>184</v>
      </c>
      <c r="J45" s="7">
        <v>1</v>
      </c>
      <c r="K45" s="7">
        <v>44</v>
      </c>
      <c r="L45" s="7">
        <v>4</v>
      </c>
      <c r="M45" s="7">
        <v>74</v>
      </c>
      <c r="N45" s="7"/>
      <c r="O45" s="7"/>
      <c r="P45" s="7"/>
      <c r="Q45" s="7"/>
      <c r="R45" s="7"/>
      <c r="S45" s="7"/>
      <c r="T45" s="7"/>
      <c r="U45" s="7"/>
      <c r="V45" s="7">
        <v>1</v>
      </c>
      <c r="W45" s="7">
        <v>175</v>
      </c>
      <c r="X45" s="7">
        <v>2</v>
      </c>
      <c r="Y45" s="7">
        <v>508</v>
      </c>
      <c r="Z45" s="7">
        <v>11</v>
      </c>
      <c r="AA45" s="7">
        <v>2440</v>
      </c>
      <c r="AB45" s="7">
        <v>18</v>
      </c>
      <c r="AC45" s="7">
        <v>6754</v>
      </c>
      <c r="AD45" s="7">
        <v>3</v>
      </c>
      <c r="AE45" s="7">
        <v>1042</v>
      </c>
      <c r="AF45" s="7"/>
      <c r="AG45" s="7"/>
      <c r="AH45" s="7">
        <v>1</v>
      </c>
      <c r="AI45" s="7">
        <v>45</v>
      </c>
      <c r="AJ45" s="7">
        <v>1</v>
      </c>
      <c r="AK45" s="7">
        <v>25</v>
      </c>
      <c r="AL45" s="7"/>
      <c r="AM45" s="7"/>
      <c r="AN45" s="7"/>
      <c r="AO45" s="7"/>
      <c r="AP45" s="7"/>
      <c r="AQ45" s="7"/>
      <c r="AR45" s="7"/>
      <c r="AS45" s="7"/>
      <c r="AT45" s="7">
        <v>11</v>
      </c>
      <c r="AU45" s="7">
        <v>5589</v>
      </c>
      <c r="AV45" s="7">
        <v>12</v>
      </c>
      <c r="AW45" s="7">
        <v>6092</v>
      </c>
      <c r="AX45" s="7"/>
      <c r="AY45" s="7"/>
      <c r="AZ45" s="7"/>
      <c r="BA45" s="7"/>
      <c r="BB45" s="7">
        <v>2</v>
      </c>
      <c r="BC45" s="7">
        <v>94</v>
      </c>
      <c r="BD45" s="7"/>
      <c r="BE45" s="7"/>
      <c r="BF45" s="7">
        <v>1</v>
      </c>
      <c r="BG45" s="7">
        <v>34</v>
      </c>
      <c r="BH45" s="7">
        <v>2</v>
      </c>
      <c r="BI45" s="7">
        <v>71</v>
      </c>
      <c r="BJ45" s="7"/>
      <c r="BK45" s="7"/>
      <c r="BL45" s="7">
        <v>3</v>
      </c>
      <c r="BM45" s="7">
        <v>116</v>
      </c>
      <c r="BN45" s="7"/>
      <c r="BO45" s="7"/>
      <c r="BP45" s="7"/>
      <c r="BQ45" s="7"/>
      <c r="BR45" s="8">
        <v>90</v>
      </c>
      <c r="BS45" s="8">
        <v>24845</v>
      </c>
    </row>
    <row r="46" spans="1:71">
      <c r="A46" s="5" t="s">
        <v>84</v>
      </c>
      <c r="B46" s="6"/>
      <c r="C46" s="6"/>
      <c r="D46" s="7"/>
      <c r="E46" s="7"/>
      <c r="F46" s="7"/>
      <c r="G46" s="7"/>
      <c r="H46" s="7"/>
      <c r="I46" s="7"/>
      <c r="J46" s="7"/>
      <c r="K46" s="7"/>
      <c r="L46" s="7">
        <v>1</v>
      </c>
      <c r="M46" s="7">
        <v>10</v>
      </c>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8">
        <v>1</v>
      </c>
      <c r="BS46" s="8">
        <v>10</v>
      </c>
    </row>
    <row r="47" spans="1:71">
      <c r="A47" s="5" t="s">
        <v>85</v>
      </c>
      <c r="B47" s="6">
        <v>5</v>
      </c>
      <c r="C47" s="6">
        <v>270</v>
      </c>
      <c r="D47" s="7">
        <v>6</v>
      </c>
      <c r="E47" s="7">
        <v>285</v>
      </c>
      <c r="F47" s="7"/>
      <c r="G47" s="7"/>
      <c r="H47" s="7"/>
      <c r="I47" s="7"/>
      <c r="J47" s="7">
        <v>1</v>
      </c>
      <c r="K47" s="7">
        <v>50</v>
      </c>
      <c r="L47" s="7">
        <v>5</v>
      </c>
      <c r="M47" s="7">
        <v>76</v>
      </c>
      <c r="N47" s="7"/>
      <c r="O47" s="7"/>
      <c r="P47" s="7"/>
      <c r="Q47" s="7"/>
      <c r="R47" s="7"/>
      <c r="S47" s="7"/>
      <c r="T47" s="7"/>
      <c r="U47" s="7"/>
      <c r="V47" s="7">
        <v>2</v>
      </c>
      <c r="W47" s="7">
        <v>276</v>
      </c>
      <c r="X47" s="7">
        <v>1</v>
      </c>
      <c r="Y47" s="7">
        <v>154</v>
      </c>
      <c r="Z47" s="7">
        <v>18</v>
      </c>
      <c r="AA47" s="7">
        <v>5828</v>
      </c>
      <c r="AB47" s="7">
        <v>2</v>
      </c>
      <c r="AC47" s="7">
        <v>875</v>
      </c>
      <c r="AD47" s="7"/>
      <c r="AE47" s="7"/>
      <c r="AF47" s="7"/>
      <c r="AG47" s="7"/>
      <c r="AH47" s="7"/>
      <c r="AI47" s="7"/>
      <c r="AJ47" s="7"/>
      <c r="AK47" s="7"/>
      <c r="AL47" s="7"/>
      <c r="AM47" s="7"/>
      <c r="AN47" s="7"/>
      <c r="AO47" s="7"/>
      <c r="AP47" s="7"/>
      <c r="AQ47" s="7"/>
      <c r="AR47" s="7"/>
      <c r="AS47" s="7"/>
      <c r="AT47" s="7">
        <v>5</v>
      </c>
      <c r="AU47" s="7">
        <v>647</v>
      </c>
      <c r="AV47" s="7">
        <v>10</v>
      </c>
      <c r="AW47" s="7">
        <v>4212</v>
      </c>
      <c r="AX47" s="7"/>
      <c r="AY47" s="7"/>
      <c r="AZ47" s="7">
        <v>1</v>
      </c>
      <c r="BA47" s="7">
        <v>69</v>
      </c>
      <c r="BB47" s="7">
        <v>1</v>
      </c>
      <c r="BC47" s="7">
        <v>68</v>
      </c>
      <c r="BD47" s="7">
        <v>1</v>
      </c>
      <c r="BE47" s="7">
        <v>142</v>
      </c>
      <c r="BF47" s="7">
        <v>2</v>
      </c>
      <c r="BG47" s="7">
        <v>64</v>
      </c>
      <c r="BH47" s="7"/>
      <c r="BI47" s="7"/>
      <c r="BJ47" s="7"/>
      <c r="BK47" s="7"/>
      <c r="BL47" s="7"/>
      <c r="BM47" s="7"/>
      <c r="BN47" s="7"/>
      <c r="BO47" s="7"/>
      <c r="BP47" s="7"/>
      <c r="BQ47" s="7"/>
      <c r="BR47" s="8">
        <v>60</v>
      </c>
      <c r="BS47" s="8">
        <v>13016</v>
      </c>
    </row>
    <row r="48" spans="1:71">
      <c r="A48" s="5" t="s">
        <v>86</v>
      </c>
      <c r="B48" s="6"/>
      <c r="C48" s="6"/>
      <c r="D48" s="7"/>
      <c r="E48" s="7"/>
      <c r="F48" s="7"/>
      <c r="G48" s="7"/>
      <c r="H48" s="7"/>
      <c r="I48" s="7"/>
      <c r="J48" s="7">
        <v>1</v>
      </c>
      <c r="K48" s="7">
        <v>41</v>
      </c>
      <c r="L48" s="7">
        <v>2</v>
      </c>
      <c r="M48" s="7">
        <v>22</v>
      </c>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8">
        <v>3</v>
      </c>
      <c r="BS48" s="8">
        <v>63</v>
      </c>
    </row>
    <row r="49" spans="1:71">
      <c r="A49" s="5" t="s">
        <v>87</v>
      </c>
      <c r="B49" s="6">
        <v>12</v>
      </c>
      <c r="C49" s="6">
        <v>246</v>
      </c>
      <c r="D49" s="7">
        <v>18</v>
      </c>
      <c r="E49" s="7">
        <v>2257</v>
      </c>
      <c r="F49" s="7">
        <v>9</v>
      </c>
      <c r="G49" s="7">
        <v>1329</v>
      </c>
      <c r="H49" s="7"/>
      <c r="I49" s="7"/>
      <c r="J49" s="7"/>
      <c r="K49" s="7"/>
      <c r="L49" s="7">
        <v>3</v>
      </c>
      <c r="M49" s="7">
        <v>44</v>
      </c>
      <c r="N49" s="7">
        <v>3</v>
      </c>
      <c r="O49" s="7">
        <v>41</v>
      </c>
      <c r="P49" s="7"/>
      <c r="Q49" s="7"/>
      <c r="R49" s="7"/>
      <c r="S49" s="7"/>
      <c r="T49" s="7"/>
      <c r="U49" s="7"/>
      <c r="V49" s="7">
        <v>1</v>
      </c>
      <c r="W49" s="7">
        <v>76</v>
      </c>
      <c r="X49" s="7">
        <v>3</v>
      </c>
      <c r="Y49" s="7">
        <v>244</v>
      </c>
      <c r="Z49" s="7">
        <v>11</v>
      </c>
      <c r="AA49" s="7">
        <v>2910</v>
      </c>
      <c r="AB49" s="7">
        <v>6</v>
      </c>
      <c r="AC49" s="7">
        <v>1206</v>
      </c>
      <c r="AD49" s="7">
        <v>1</v>
      </c>
      <c r="AE49" s="7">
        <v>759</v>
      </c>
      <c r="AF49" s="7"/>
      <c r="AG49" s="7"/>
      <c r="AH49" s="7"/>
      <c r="AI49" s="7"/>
      <c r="AJ49" s="7"/>
      <c r="AK49" s="7"/>
      <c r="AL49" s="7"/>
      <c r="AM49" s="7"/>
      <c r="AN49" s="7"/>
      <c r="AO49" s="7"/>
      <c r="AP49" s="7"/>
      <c r="AQ49" s="7"/>
      <c r="AR49" s="7">
        <v>2</v>
      </c>
      <c r="AS49" s="7">
        <v>108</v>
      </c>
      <c r="AT49" s="7">
        <v>10</v>
      </c>
      <c r="AU49" s="7">
        <v>5096</v>
      </c>
      <c r="AV49" s="7">
        <v>3</v>
      </c>
      <c r="AW49" s="7">
        <v>1164</v>
      </c>
      <c r="AX49" s="7">
        <v>1</v>
      </c>
      <c r="AY49" s="7">
        <v>94</v>
      </c>
      <c r="AZ49" s="7">
        <v>8</v>
      </c>
      <c r="BA49" s="7">
        <v>325</v>
      </c>
      <c r="BB49" s="7">
        <v>5</v>
      </c>
      <c r="BC49" s="7">
        <v>274</v>
      </c>
      <c r="BD49" s="7"/>
      <c r="BE49" s="7"/>
      <c r="BF49" s="7">
        <v>6</v>
      </c>
      <c r="BG49" s="7">
        <v>255</v>
      </c>
      <c r="BH49" s="7">
        <v>5</v>
      </c>
      <c r="BI49" s="7">
        <v>119</v>
      </c>
      <c r="BJ49" s="7"/>
      <c r="BK49" s="7"/>
      <c r="BL49" s="7">
        <v>3</v>
      </c>
      <c r="BM49" s="7">
        <v>80</v>
      </c>
      <c r="BN49" s="7">
        <v>2</v>
      </c>
      <c r="BO49" s="7">
        <v>70</v>
      </c>
      <c r="BP49" s="7"/>
      <c r="BQ49" s="7"/>
      <c r="BR49" s="8">
        <v>112</v>
      </c>
      <c r="BS49" s="8">
        <v>16697</v>
      </c>
    </row>
    <row r="50" spans="1:71">
      <c r="A50" s="5" t="s">
        <v>88</v>
      </c>
      <c r="B50" s="6"/>
      <c r="C50" s="6"/>
      <c r="D50" s="7"/>
      <c r="E50" s="7"/>
      <c r="F50" s="7"/>
      <c r="G50" s="7"/>
      <c r="H50" s="7"/>
      <c r="I50" s="7"/>
      <c r="J50" s="7"/>
      <c r="K50" s="7"/>
      <c r="L50" s="7">
        <v>6</v>
      </c>
      <c r="M50" s="7">
        <v>124</v>
      </c>
      <c r="N50" s="7">
        <v>5</v>
      </c>
      <c r="O50" s="7">
        <v>70</v>
      </c>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8">
        <v>11</v>
      </c>
      <c r="BS50" s="8">
        <v>194</v>
      </c>
    </row>
    <row r="51" spans="1:71">
      <c r="A51" s="5" t="s">
        <v>89</v>
      </c>
      <c r="B51" s="6"/>
      <c r="C51" s="6"/>
      <c r="D51" s="7"/>
      <c r="E51" s="7"/>
      <c r="F51" s="7"/>
      <c r="G51" s="7"/>
      <c r="H51" s="7"/>
      <c r="I51" s="7"/>
      <c r="J51" s="7">
        <v>1</v>
      </c>
      <c r="K51" s="7">
        <v>39</v>
      </c>
      <c r="L51" s="7">
        <v>1</v>
      </c>
      <c r="M51" s="7">
        <v>14</v>
      </c>
      <c r="N51" s="7">
        <v>1</v>
      </c>
      <c r="O51" s="7">
        <v>4</v>
      </c>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8">
        <v>3</v>
      </c>
      <c r="BS51" s="8">
        <v>57</v>
      </c>
    </row>
    <row r="52" spans="1:71">
      <c r="A52" s="5" t="s">
        <v>91</v>
      </c>
      <c r="B52" s="6"/>
      <c r="C52" s="6"/>
      <c r="D52" s="7"/>
      <c r="E52" s="7"/>
      <c r="F52" s="7"/>
      <c r="G52" s="7"/>
      <c r="H52" s="7"/>
      <c r="I52" s="7"/>
      <c r="J52" s="7"/>
      <c r="K52" s="7"/>
      <c r="L52" s="7">
        <v>1</v>
      </c>
      <c r="M52" s="7">
        <v>20</v>
      </c>
      <c r="N52" s="7">
        <v>4</v>
      </c>
      <c r="O52" s="7">
        <v>42</v>
      </c>
      <c r="P52" s="7"/>
      <c r="Q52" s="7"/>
      <c r="R52" s="7"/>
      <c r="S52" s="7"/>
      <c r="T52" s="7"/>
      <c r="U52" s="7"/>
      <c r="V52" s="7"/>
      <c r="W52" s="7"/>
      <c r="X52" s="7"/>
      <c r="Y52" s="7"/>
      <c r="Z52" s="7">
        <v>1</v>
      </c>
      <c r="AA52" s="7">
        <v>12</v>
      </c>
      <c r="AB52" s="7">
        <v>1</v>
      </c>
      <c r="AC52" s="7">
        <v>16</v>
      </c>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8">
        <v>7</v>
      </c>
      <c r="BS52" s="8">
        <v>90</v>
      </c>
    </row>
    <row r="53" spans="1:71">
      <c r="A53" s="5" t="s">
        <v>92</v>
      </c>
      <c r="B53" s="6">
        <v>2</v>
      </c>
      <c r="C53" s="6">
        <v>18</v>
      </c>
      <c r="D53" s="6"/>
      <c r="E53" s="6"/>
      <c r="F53" s="6">
        <v>1</v>
      </c>
      <c r="G53" s="6">
        <v>82</v>
      </c>
      <c r="H53" s="6"/>
      <c r="I53" s="6"/>
      <c r="J53" s="6">
        <v>1</v>
      </c>
      <c r="K53" s="6">
        <v>16</v>
      </c>
      <c r="L53" s="6">
        <v>8</v>
      </c>
      <c r="M53" s="6">
        <v>103</v>
      </c>
      <c r="N53" s="6">
        <v>10</v>
      </c>
      <c r="O53" s="6">
        <v>137</v>
      </c>
      <c r="P53" s="6"/>
      <c r="Q53" s="6"/>
      <c r="R53" s="6"/>
      <c r="S53" s="6"/>
      <c r="T53" s="6"/>
      <c r="U53" s="6"/>
      <c r="V53" s="6">
        <v>1</v>
      </c>
      <c r="W53" s="6">
        <v>63</v>
      </c>
      <c r="X53" s="6">
        <v>5</v>
      </c>
      <c r="Y53" s="6">
        <v>601</v>
      </c>
      <c r="Z53" s="6">
        <v>4</v>
      </c>
      <c r="AA53" s="6">
        <v>1005</v>
      </c>
      <c r="AB53" s="6">
        <v>3</v>
      </c>
      <c r="AC53" s="6">
        <v>182</v>
      </c>
      <c r="AD53" s="6">
        <v>1</v>
      </c>
      <c r="AE53" s="6">
        <v>74</v>
      </c>
      <c r="AF53" s="6"/>
      <c r="AG53" s="6"/>
      <c r="AH53" s="6"/>
      <c r="AI53" s="6"/>
      <c r="AJ53" s="6"/>
      <c r="AK53" s="6"/>
      <c r="AL53" s="6"/>
      <c r="AM53" s="6"/>
      <c r="AN53" s="6"/>
      <c r="AO53" s="6"/>
      <c r="AP53" s="6"/>
      <c r="AQ53" s="6"/>
      <c r="AR53" s="6"/>
      <c r="AS53" s="6"/>
      <c r="AT53" s="6">
        <v>1</v>
      </c>
      <c r="AU53" s="6">
        <v>208</v>
      </c>
      <c r="AV53" s="6"/>
      <c r="AW53" s="6"/>
      <c r="AX53" s="6"/>
      <c r="AY53" s="6"/>
      <c r="AZ53" s="6">
        <v>3</v>
      </c>
      <c r="BA53" s="6">
        <v>171</v>
      </c>
      <c r="BB53" s="6"/>
      <c r="BC53" s="6"/>
      <c r="BD53" s="6"/>
      <c r="BE53" s="6"/>
      <c r="BF53" s="6"/>
      <c r="BG53" s="6"/>
      <c r="BH53" s="6">
        <v>1</v>
      </c>
      <c r="BI53" s="6">
        <v>50</v>
      </c>
      <c r="BJ53" s="6"/>
      <c r="BK53" s="6"/>
      <c r="BL53" s="6">
        <v>1</v>
      </c>
      <c r="BM53" s="6">
        <v>15</v>
      </c>
      <c r="BN53" s="6"/>
      <c r="BO53" s="6"/>
      <c r="BP53" s="6"/>
      <c r="BQ53" s="6"/>
      <c r="BR53" s="8">
        <v>42</v>
      </c>
      <c r="BS53" s="8">
        <v>2725</v>
      </c>
    </row>
    <row r="54" spans="1:71">
      <c r="A54" s="5" t="s">
        <v>93</v>
      </c>
      <c r="B54" s="6">
        <v>19</v>
      </c>
      <c r="C54" s="6">
        <v>904</v>
      </c>
      <c r="D54" s="6">
        <v>5</v>
      </c>
      <c r="E54" s="6">
        <v>530</v>
      </c>
      <c r="F54" s="6">
        <v>6</v>
      </c>
      <c r="G54" s="6">
        <v>1029</v>
      </c>
      <c r="H54" s="6"/>
      <c r="I54" s="6"/>
      <c r="J54" s="6">
        <v>1</v>
      </c>
      <c r="K54" s="6">
        <v>45</v>
      </c>
      <c r="L54" s="6">
        <v>4</v>
      </c>
      <c r="M54" s="6">
        <v>78</v>
      </c>
      <c r="N54" s="6">
        <v>1</v>
      </c>
      <c r="O54" s="6">
        <v>10</v>
      </c>
      <c r="P54" s="6"/>
      <c r="Q54" s="6"/>
      <c r="R54" s="6"/>
      <c r="S54" s="6"/>
      <c r="T54" s="6"/>
      <c r="U54" s="6"/>
      <c r="V54" s="6">
        <v>3</v>
      </c>
      <c r="W54" s="6">
        <v>474</v>
      </c>
      <c r="X54" s="6">
        <v>4</v>
      </c>
      <c r="Y54" s="6">
        <v>550</v>
      </c>
      <c r="Z54" s="6">
        <v>11</v>
      </c>
      <c r="AA54" s="6">
        <v>2036</v>
      </c>
      <c r="AB54" s="6">
        <v>4</v>
      </c>
      <c r="AC54" s="6">
        <v>1094</v>
      </c>
      <c r="AD54" s="6"/>
      <c r="AE54" s="6"/>
      <c r="AF54" s="6"/>
      <c r="AG54" s="6"/>
      <c r="AH54" s="6"/>
      <c r="AI54" s="6"/>
      <c r="AJ54" s="6">
        <v>1</v>
      </c>
      <c r="AK54" s="6">
        <v>152</v>
      </c>
      <c r="AL54" s="6"/>
      <c r="AM54" s="6"/>
      <c r="AN54" s="6"/>
      <c r="AO54" s="6"/>
      <c r="AP54" s="6"/>
      <c r="AQ54" s="6"/>
      <c r="AR54" s="6"/>
      <c r="AS54" s="6"/>
      <c r="AT54" s="6">
        <v>4</v>
      </c>
      <c r="AU54" s="6">
        <v>1252</v>
      </c>
      <c r="AV54" s="6">
        <v>8</v>
      </c>
      <c r="AW54" s="6">
        <v>2923</v>
      </c>
      <c r="AX54" s="6">
        <v>1</v>
      </c>
      <c r="AY54" s="6">
        <v>136</v>
      </c>
      <c r="AZ54" s="6">
        <v>1</v>
      </c>
      <c r="BA54" s="6">
        <v>49</v>
      </c>
      <c r="BB54" s="6">
        <v>1</v>
      </c>
      <c r="BC54" s="6">
        <v>80</v>
      </c>
      <c r="BD54" s="6"/>
      <c r="BE54" s="6"/>
      <c r="BF54" s="6">
        <v>5</v>
      </c>
      <c r="BG54" s="6">
        <v>193</v>
      </c>
      <c r="BH54" s="6">
        <v>2</v>
      </c>
      <c r="BI54" s="6">
        <v>114</v>
      </c>
      <c r="BJ54" s="6"/>
      <c r="BK54" s="6"/>
      <c r="BL54" s="6">
        <v>1</v>
      </c>
      <c r="BM54" s="6">
        <v>20</v>
      </c>
      <c r="BN54" s="6"/>
      <c r="BO54" s="6"/>
      <c r="BP54" s="6"/>
      <c r="BQ54" s="6"/>
      <c r="BR54" s="8">
        <v>82</v>
      </c>
      <c r="BS54" s="8">
        <v>11669</v>
      </c>
    </row>
    <row r="55" spans="1:71">
      <c r="A55" s="5" t="s">
        <v>94</v>
      </c>
      <c r="B55" s="6"/>
      <c r="C55" s="6"/>
      <c r="D55" s="6"/>
      <c r="E55" s="6"/>
      <c r="F55" s="6"/>
      <c r="G55" s="6"/>
      <c r="H55" s="6"/>
      <c r="I55" s="6"/>
      <c r="J55" s="6">
        <v>1</v>
      </c>
      <c r="K55" s="6">
        <v>32</v>
      </c>
      <c r="L55" s="6">
        <v>4</v>
      </c>
      <c r="M55" s="6">
        <v>77</v>
      </c>
      <c r="N55" s="6">
        <v>2</v>
      </c>
      <c r="O55" s="6">
        <v>28</v>
      </c>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v>1</v>
      </c>
      <c r="AS55" s="6">
        <v>110</v>
      </c>
      <c r="AT55" s="6"/>
      <c r="AU55" s="6"/>
      <c r="AV55" s="6"/>
      <c r="AW55" s="6"/>
      <c r="AX55" s="6"/>
      <c r="AY55" s="6"/>
      <c r="AZ55" s="6"/>
      <c r="BA55" s="6"/>
      <c r="BB55" s="6"/>
      <c r="BC55" s="6"/>
      <c r="BD55" s="6"/>
      <c r="BE55" s="6"/>
      <c r="BF55" s="6"/>
      <c r="BG55" s="6"/>
      <c r="BH55" s="6"/>
      <c r="BI55" s="6"/>
      <c r="BJ55" s="6"/>
      <c r="BK55" s="6"/>
      <c r="BL55" s="6"/>
      <c r="BM55" s="6"/>
      <c r="BN55" s="6"/>
      <c r="BO55" s="6"/>
      <c r="BP55" s="6"/>
      <c r="BQ55" s="6"/>
      <c r="BR55" s="8">
        <v>8</v>
      </c>
      <c r="BS55" s="8">
        <v>247</v>
      </c>
    </row>
    <row r="56" spans="1:71">
      <c r="A56" s="5" t="s">
        <v>95</v>
      </c>
      <c r="B56" s="6"/>
      <c r="C56" s="6"/>
      <c r="D56" s="6"/>
      <c r="E56" s="6"/>
      <c r="F56" s="6"/>
      <c r="G56" s="6"/>
      <c r="H56" s="6"/>
      <c r="I56" s="6"/>
      <c r="J56" s="6">
        <v>1</v>
      </c>
      <c r="K56" s="6">
        <v>48</v>
      </c>
      <c r="L56" s="6">
        <v>1</v>
      </c>
      <c r="M56" s="6">
        <v>20</v>
      </c>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8">
        <v>2</v>
      </c>
      <c r="BS56" s="8">
        <v>68</v>
      </c>
    </row>
    <row r="57" spans="1:71" s="29" customFormat="1">
      <c r="A57" s="11" t="s">
        <v>96</v>
      </c>
      <c r="B57" s="12">
        <f t="shared" ref="B57:BM57" si="0">SUM(B9:B56)</f>
        <v>108</v>
      </c>
      <c r="C57" s="12">
        <f t="shared" si="0"/>
        <v>6315</v>
      </c>
      <c r="D57" s="12">
        <f t="shared" si="0"/>
        <v>129</v>
      </c>
      <c r="E57" s="12">
        <f t="shared" si="0"/>
        <v>14829</v>
      </c>
      <c r="F57" s="12">
        <f t="shared" si="0"/>
        <v>105</v>
      </c>
      <c r="G57" s="12">
        <f t="shared" si="0"/>
        <v>18389</v>
      </c>
      <c r="H57" s="12">
        <f t="shared" si="0"/>
        <v>7</v>
      </c>
      <c r="I57" s="12">
        <f t="shared" si="0"/>
        <v>2093</v>
      </c>
      <c r="J57" s="12">
        <f t="shared" si="0"/>
        <v>31</v>
      </c>
      <c r="K57" s="12">
        <f t="shared" si="0"/>
        <v>1137</v>
      </c>
      <c r="L57" s="12">
        <f t="shared" si="0"/>
        <v>173</v>
      </c>
      <c r="M57" s="12">
        <f t="shared" si="0"/>
        <v>2494</v>
      </c>
      <c r="N57" s="12">
        <f t="shared" si="0"/>
        <v>64</v>
      </c>
      <c r="O57" s="12">
        <f t="shared" si="0"/>
        <v>839</v>
      </c>
      <c r="P57" s="12">
        <f t="shared" si="0"/>
        <v>1</v>
      </c>
      <c r="Q57" s="12">
        <f t="shared" si="0"/>
        <v>500</v>
      </c>
      <c r="R57" s="12">
        <f t="shared" si="0"/>
        <v>1</v>
      </c>
      <c r="S57" s="12">
        <f t="shared" si="0"/>
        <v>660</v>
      </c>
      <c r="T57" s="12">
        <f t="shared" si="0"/>
        <v>1</v>
      </c>
      <c r="U57" s="12">
        <f t="shared" si="0"/>
        <v>1118</v>
      </c>
      <c r="V57" s="12">
        <f t="shared" si="0"/>
        <v>28</v>
      </c>
      <c r="W57" s="12">
        <f t="shared" si="0"/>
        <v>2502</v>
      </c>
      <c r="X57" s="12">
        <f t="shared" si="0"/>
        <v>59</v>
      </c>
      <c r="Y57" s="12">
        <f t="shared" si="0"/>
        <v>9291</v>
      </c>
      <c r="Z57" s="12">
        <f t="shared" si="0"/>
        <v>275</v>
      </c>
      <c r="AA57" s="12">
        <f t="shared" si="0"/>
        <v>83058</v>
      </c>
      <c r="AB57" s="12">
        <f t="shared" si="0"/>
        <v>168</v>
      </c>
      <c r="AC57" s="12">
        <f t="shared" si="0"/>
        <v>49785</v>
      </c>
      <c r="AD57" s="12">
        <f t="shared" si="0"/>
        <v>24</v>
      </c>
      <c r="AE57" s="12">
        <f t="shared" si="0"/>
        <v>5166</v>
      </c>
      <c r="AF57" s="12">
        <f t="shared" si="0"/>
        <v>3</v>
      </c>
      <c r="AG57" s="12">
        <f t="shared" si="0"/>
        <v>899</v>
      </c>
      <c r="AH57" s="12">
        <f t="shared" si="0"/>
        <v>4</v>
      </c>
      <c r="AI57" s="12">
        <f t="shared" si="0"/>
        <v>130</v>
      </c>
      <c r="AJ57" s="12">
        <f t="shared" si="0"/>
        <v>3</v>
      </c>
      <c r="AK57" s="12">
        <f t="shared" si="0"/>
        <v>244</v>
      </c>
      <c r="AL57" s="12">
        <f t="shared" si="0"/>
        <v>3</v>
      </c>
      <c r="AM57" s="12">
        <f t="shared" si="0"/>
        <v>251</v>
      </c>
      <c r="AN57" s="12">
        <f t="shared" si="0"/>
        <v>2</v>
      </c>
      <c r="AO57" s="12">
        <f t="shared" si="0"/>
        <v>156</v>
      </c>
      <c r="AP57" s="12">
        <f t="shared" si="0"/>
        <v>2</v>
      </c>
      <c r="AQ57" s="12">
        <f t="shared" si="0"/>
        <v>106</v>
      </c>
      <c r="AR57" s="12">
        <f t="shared" si="0"/>
        <v>10</v>
      </c>
      <c r="AS57" s="12">
        <f t="shared" si="0"/>
        <v>1683</v>
      </c>
      <c r="AT57" s="12">
        <f t="shared" si="0"/>
        <v>86</v>
      </c>
      <c r="AU57" s="12">
        <f t="shared" si="0"/>
        <v>36550</v>
      </c>
      <c r="AV57" s="12">
        <f t="shared" si="0"/>
        <v>86</v>
      </c>
      <c r="AW57" s="12">
        <f t="shared" si="0"/>
        <v>37410</v>
      </c>
      <c r="AX57" s="12">
        <f t="shared" si="0"/>
        <v>4</v>
      </c>
      <c r="AY57" s="12">
        <f t="shared" si="0"/>
        <v>566</v>
      </c>
      <c r="AZ57" s="12">
        <f t="shared" si="0"/>
        <v>43</v>
      </c>
      <c r="BA57" s="12">
        <f t="shared" si="0"/>
        <v>2044</v>
      </c>
      <c r="BB57" s="12">
        <f t="shared" si="0"/>
        <v>31</v>
      </c>
      <c r="BC57" s="12">
        <f t="shared" si="0"/>
        <v>1834</v>
      </c>
      <c r="BD57" s="12">
        <f t="shared" si="0"/>
        <v>4</v>
      </c>
      <c r="BE57" s="12">
        <f t="shared" si="0"/>
        <v>287</v>
      </c>
      <c r="BF57" s="12">
        <f t="shared" si="0"/>
        <v>56</v>
      </c>
      <c r="BG57" s="12">
        <f t="shared" si="0"/>
        <v>2266</v>
      </c>
      <c r="BH57" s="12">
        <f t="shared" si="0"/>
        <v>34</v>
      </c>
      <c r="BI57" s="12">
        <f t="shared" si="0"/>
        <v>1409</v>
      </c>
      <c r="BJ57" s="12">
        <f t="shared" si="0"/>
        <v>3</v>
      </c>
      <c r="BK57" s="12">
        <f t="shared" si="0"/>
        <v>140</v>
      </c>
      <c r="BL57" s="12">
        <f t="shared" si="0"/>
        <v>17</v>
      </c>
      <c r="BM57" s="12">
        <f t="shared" si="0"/>
        <v>508</v>
      </c>
      <c r="BN57" s="12">
        <f>SUM(BN9:BN56)</f>
        <v>8</v>
      </c>
      <c r="BO57" s="12">
        <f>SUM(BO9:BO56)</f>
        <v>230</v>
      </c>
      <c r="BP57" s="12">
        <f>SUM(BP9:BP56)</f>
        <v>1</v>
      </c>
      <c r="BQ57" s="12">
        <f>SUM(BQ9:BQ56)</f>
        <v>23</v>
      </c>
      <c r="BR57" s="12">
        <v>1574</v>
      </c>
      <c r="BS57" s="12">
        <v>284912</v>
      </c>
    </row>
    <row r="58" spans="1:71">
      <c r="A58" s="48" t="s">
        <v>189</v>
      </c>
      <c r="B58" s="2"/>
      <c r="C58" s="2"/>
      <c r="BR58" s="49"/>
      <c r="BS58" s="49"/>
    </row>
    <row r="59" spans="1:71">
      <c r="A59" s="50" t="s">
        <v>190</v>
      </c>
      <c r="B59" s="2"/>
      <c r="C59" s="2"/>
      <c r="BR59" s="29"/>
      <c r="BS59" s="29"/>
    </row>
    <row r="60" spans="1:71" s="28" customFormat="1" ht="12.75">
      <c r="A60" s="50" t="s">
        <v>191</v>
      </c>
      <c r="BR60" s="29"/>
      <c r="BS60" s="29"/>
    </row>
  </sheetData>
  <sheetProtection password="C668" sheet="1"/>
  <mergeCells count="36">
    <mergeCell ref="V6:W6"/>
    <mergeCell ref="A6:A8"/>
    <mergeCell ref="B6:C6"/>
    <mergeCell ref="D6:E6"/>
    <mergeCell ref="F6:G6"/>
    <mergeCell ref="H6:I6"/>
    <mergeCell ref="J6:K6"/>
    <mergeCell ref="L6:M6"/>
    <mergeCell ref="N6:O6"/>
    <mergeCell ref="P6:Q6"/>
    <mergeCell ref="R6:S6"/>
    <mergeCell ref="T6:U6"/>
    <mergeCell ref="AT6:AU6"/>
    <mergeCell ref="X6:Y6"/>
    <mergeCell ref="Z6:AA6"/>
    <mergeCell ref="AB6:AC6"/>
    <mergeCell ref="AD6:AE6"/>
    <mergeCell ref="AF6:AG6"/>
    <mergeCell ref="AH6:AI6"/>
    <mergeCell ref="AJ6:AK6"/>
    <mergeCell ref="AL6:AM6"/>
    <mergeCell ref="AN6:AO6"/>
    <mergeCell ref="AP6:AQ6"/>
    <mergeCell ref="AR6:AS6"/>
    <mergeCell ref="BR6:BS6"/>
    <mergeCell ref="AV6:AW6"/>
    <mergeCell ref="AX6:AY6"/>
    <mergeCell ref="AZ6:BA6"/>
    <mergeCell ref="BB6:BC6"/>
    <mergeCell ref="BD6:BE6"/>
    <mergeCell ref="BF6:BG6"/>
    <mergeCell ref="BH6:BI6"/>
    <mergeCell ref="BJ6:BK6"/>
    <mergeCell ref="BL6:BM6"/>
    <mergeCell ref="BN6:BO6"/>
    <mergeCell ref="BP6:BQ6"/>
  </mergeCells>
  <conditionalFormatting sqref="A2:XFD52 BR53:BS56 A53:BQ60 BT53:IV60 BR59:BS60">
    <cfRule type="expression" priority="6">
      <formula>SI(0," ")</formula>
    </cfRule>
  </conditionalFormatting>
  <conditionalFormatting sqref="H2">
    <cfRule type="expression" priority="2">
      <formula>SI($C$38," ")</formula>
    </cfRule>
  </conditionalFormatting>
  <conditionalFormatting sqref="J4">
    <cfRule type="expression" priority="1">
      <formula>SI($E$38," ")</formula>
    </cfRule>
  </conditionalFormatting>
  <conditionalFormatting sqref="BS9:BS51 A9:BR56 BR52:BS56">
    <cfRule type="expression" dxfId="7" priority="5" stopIfTrue="1">
      <formula>MOD(ROW(),2)=0</formula>
    </cfRule>
  </conditionalFormatting>
  <pageMargins left="0" right="0" top="0" bottom="0" header="0.31496062992125984" footer="0.31496062992125984"/>
  <pageSetup paperSize="8" scale="70" orientation="landscape" r:id="rId1"/>
  <colBreaks count="4" manualBreakCount="4">
    <brk id="15" max="1048575" man="1"/>
    <brk id="29" max="1048575" man="1"/>
    <brk id="43" max="1048575" man="1"/>
    <brk id="57" max="1048575"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3:T45"/>
  <sheetViews>
    <sheetView showGridLines="0" workbookViewId="0"/>
  </sheetViews>
  <sheetFormatPr baseColWidth="10" defaultRowHeight="15"/>
  <cols>
    <col min="1" max="1" width="18.140625" customWidth="1"/>
    <col min="3" max="3" width="17" bestFit="1" customWidth="1"/>
    <col min="4" max="4" width="15.140625" bestFit="1" customWidth="1"/>
    <col min="5" max="5" width="14" bestFit="1" customWidth="1"/>
    <col min="8" max="8" width="16.140625" customWidth="1"/>
    <col min="10" max="10" width="17" bestFit="1" customWidth="1"/>
    <col min="11" max="11" width="15.140625" bestFit="1" customWidth="1"/>
    <col min="12" max="12" width="14" bestFit="1" customWidth="1"/>
  </cols>
  <sheetData>
    <row r="3" spans="1:20" s="15" customFormat="1" ht="16.5">
      <c r="A3" s="13" t="s">
        <v>181</v>
      </c>
      <c r="B3" s="14"/>
      <c r="H3" s="14"/>
      <c r="I3" s="14"/>
    </row>
    <row r="4" spans="1:20" s="15" customFormat="1" ht="16.5">
      <c r="A4" s="16" t="s">
        <v>182</v>
      </c>
      <c r="B4" s="17"/>
      <c r="C4" s="18"/>
      <c r="D4" s="18"/>
      <c r="E4" s="18"/>
      <c r="F4" s="18"/>
      <c r="G4" s="18"/>
      <c r="H4" s="14"/>
      <c r="I4" s="14"/>
      <c r="P4" s="18"/>
      <c r="Q4" s="18"/>
      <c r="R4" s="18"/>
      <c r="S4" s="18"/>
      <c r="T4" s="18"/>
    </row>
    <row r="5" spans="1:20" s="15" customFormat="1" ht="16.5">
      <c r="A5" s="16" t="s">
        <v>183</v>
      </c>
      <c r="B5" s="17"/>
      <c r="C5" s="18"/>
      <c r="D5" s="18"/>
      <c r="E5" s="18"/>
      <c r="F5" s="18"/>
      <c r="G5" s="18"/>
      <c r="H5" s="14"/>
      <c r="I5" s="14"/>
    </row>
    <row r="6" spans="1:20" s="15" customFormat="1" ht="16.5">
      <c r="A6" s="16"/>
      <c r="B6" s="17"/>
      <c r="C6" s="18"/>
      <c r="D6" s="18"/>
      <c r="E6" s="18"/>
      <c r="F6" s="18"/>
      <c r="G6" s="18"/>
      <c r="H6" s="14"/>
      <c r="I6" s="14"/>
    </row>
    <row r="7" spans="1:20" s="15" customFormat="1" ht="12.75">
      <c r="A7" s="14"/>
      <c r="B7" s="14"/>
      <c r="H7" s="14"/>
      <c r="I7" s="14"/>
    </row>
    <row r="8" spans="1:20" s="15" customFormat="1" ht="12.75">
      <c r="A8" s="143" t="s">
        <v>104</v>
      </c>
      <c r="B8" s="143"/>
      <c r="C8" s="107" t="s">
        <v>105</v>
      </c>
      <c r="D8" s="107" t="s">
        <v>106</v>
      </c>
      <c r="E8" s="107" t="s">
        <v>107</v>
      </c>
      <c r="F8" s="107" t="s">
        <v>108</v>
      </c>
      <c r="H8" s="143" t="s">
        <v>104</v>
      </c>
      <c r="I8" s="143"/>
      <c r="J8" s="107" t="s">
        <v>105</v>
      </c>
      <c r="K8" s="107" t="s">
        <v>106</v>
      </c>
      <c r="L8" s="107" t="s">
        <v>107</v>
      </c>
      <c r="M8" s="107" t="s">
        <v>108</v>
      </c>
    </row>
    <row r="9" spans="1:20" s="18" customFormat="1" ht="12.75">
      <c r="A9" s="144" t="s">
        <v>109</v>
      </c>
      <c r="B9" s="144"/>
      <c r="C9" s="108" t="s">
        <v>110</v>
      </c>
      <c r="D9" s="108" t="s">
        <v>111</v>
      </c>
      <c r="E9" s="108" t="s">
        <v>112</v>
      </c>
      <c r="F9" s="108" t="s">
        <v>113</v>
      </c>
      <c r="H9" s="144" t="s">
        <v>109</v>
      </c>
      <c r="I9" s="144"/>
      <c r="J9" s="108" t="s">
        <v>110</v>
      </c>
      <c r="K9" s="108" t="s">
        <v>111</v>
      </c>
      <c r="L9" s="108" t="s">
        <v>112</v>
      </c>
      <c r="M9" s="108" t="s">
        <v>113</v>
      </c>
    </row>
    <row r="10" spans="1:20" s="18" customFormat="1" ht="12.75">
      <c r="A10" s="144" t="s">
        <v>114</v>
      </c>
      <c r="B10" s="144"/>
      <c r="C10" s="108" t="s">
        <v>115</v>
      </c>
      <c r="D10" s="108" t="s">
        <v>116</v>
      </c>
      <c r="E10" s="108" t="s">
        <v>117</v>
      </c>
      <c r="F10" s="108" t="s">
        <v>118</v>
      </c>
      <c r="H10" s="144" t="s">
        <v>114</v>
      </c>
      <c r="I10" s="144"/>
      <c r="J10" s="108" t="s">
        <v>115</v>
      </c>
      <c r="K10" s="108" t="s">
        <v>116</v>
      </c>
      <c r="L10" s="108" t="s">
        <v>117</v>
      </c>
      <c r="M10" s="108" t="s">
        <v>118</v>
      </c>
    </row>
    <row r="11" spans="1:20" s="15" customFormat="1">
      <c r="A11" s="139" t="s">
        <v>119</v>
      </c>
      <c r="B11" s="139"/>
      <c r="C11" s="6">
        <v>120</v>
      </c>
      <c r="D11" s="6">
        <v>2193</v>
      </c>
      <c r="E11" s="6">
        <v>6799</v>
      </c>
      <c r="F11" s="20">
        <v>0.15562269678866533</v>
      </c>
      <c r="G11" s="47"/>
      <c r="H11" s="139" t="s">
        <v>25</v>
      </c>
      <c r="I11" s="139"/>
      <c r="J11" s="6">
        <v>2</v>
      </c>
      <c r="K11" s="6">
        <v>33</v>
      </c>
      <c r="L11" s="6">
        <v>106</v>
      </c>
      <c r="M11" s="20">
        <v>1.4131825938566553E-3</v>
      </c>
    </row>
    <row r="12" spans="1:20" s="15" customFormat="1">
      <c r="A12" s="139" t="s">
        <v>120</v>
      </c>
      <c r="B12" s="139"/>
      <c r="C12" s="6">
        <v>136</v>
      </c>
      <c r="D12" s="6">
        <v>5718</v>
      </c>
      <c r="E12" s="6">
        <v>15324</v>
      </c>
      <c r="F12" s="20">
        <v>0.35075190551397378</v>
      </c>
      <c r="G12" s="47"/>
      <c r="H12" s="139" t="s">
        <v>26</v>
      </c>
      <c r="I12" s="139"/>
      <c r="J12" s="6">
        <v>10</v>
      </c>
      <c r="K12" s="6">
        <v>568</v>
      </c>
      <c r="L12" s="6">
        <v>1502</v>
      </c>
      <c r="M12" s="20">
        <v>2.0024530716723551E-2</v>
      </c>
    </row>
    <row r="13" spans="1:20" s="15" customFormat="1">
      <c r="A13" s="139" t="s">
        <v>121</v>
      </c>
      <c r="B13" s="139"/>
      <c r="C13" s="6">
        <v>109</v>
      </c>
      <c r="D13" s="6">
        <v>7470</v>
      </c>
      <c r="E13" s="6">
        <v>19473</v>
      </c>
      <c r="F13" s="20">
        <v>0.44571860193641422</v>
      </c>
      <c r="G13" s="47"/>
      <c r="H13" s="139" t="s">
        <v>27</v>
      </c>
      <c r="I13" s="139"/>
      <c r="J13" s="6">
        <v>87</v>
      </c>
      <c r="K13" s="6">
        <v>15594</v>
      </c>
      <c r="L13" s="6">
        <v>36319</v>
      </c>
      <c r="M13" s="20">
        <v>0.48420168515358364</v>
      </c>
    </row>
    <row r="14" spans="1:20" s="15" customFormat="1">
      <c r="A14" s="139" t="s">
        <v>122</v>
      </c>
      <c r="B14" s="139"/>
      <c r="C14" s="6">
        <v>7</v>
      </c>
      <c r="D14" s="6">
        <v>645</v>
      </c>
      <c r="E14" s="6">
        <v>2093</v>
      </c>
      <c r="F14" s="20">
        <v>4.790679576094669E-2</v>
      </c>
      <c r="G14" s="47"/>
      <c r="H14" s="139" t="s">
        <v>28</v>
      </c>
      <c r="I14" s="139"/>
      <c r="J14" s="6">
        <v>83</v>
      </c>
      <c r="K14" s="6">
        <v>16717</v>
      </c>
      <c r="L14" s="6">
        <v>36515</v>
      </c>
      <c r="M14" s="20">
        <v>0.48681473976109213</v>
      </c>
    </row>
    <row r="15" spans="1:20" s="15" customFormat="1">
      <c r="A15" s="140" t="s">
        <v>123</v>
      </c>
      <c r="B15" s="140"/>
      <c r="C15" s="41">
        <v>372</v>
      </c>
      <c r="D15" s="21">
        <v>16026</v>
      </c>
      <c r="E15" s="21">
        <v>43689</v>
      </c>
      <c r="F15" s="22">
        <v>1</v>
      </c>
      <c r="G15" s="47"/>
      <c r="H15" s="139" t="s">
        <v>29</v>
      </c>
      <c r="I15" s="139"/>
      <c r="J15" s="6">
        <v>4</v>
      </c>
      <c r="K15" s="6">
        <v>292</v>
      </c>
      <c r="L15" s="6">
        <v>566</v>
      </c>
      <c r="M15" s="20">
        <v>7.5458617747440277E-3</v>
      </c>
    </row>
    <row r="16" spans="1:20" s="15" customFormat="1">
      <c r="A16" s="139"/>
      <c r="B16" s="139"/>
      <c r="C16" s="6"/>
      <c r="D16" s="6"/>
      <c r="E16" s="6"/>
      <c r="F16" s="20"/>
      <c r="G16" s="47"/>
      <c r="H16" s="140" t="s">
        <v>124</v>
      </c>
      <c r="I16" s="140"/>
      <c r="J16" s="21">
        <v>186</v>
      </c>
      <c r="K16" s="21">
        <v>33204</v>
      </c>
      <c r="L16" s="21">
        <v>75008</v>
      </c>
      <c r="M16" s="22">
        <v>1</v>
      </c>
    </row>
    <row r="17" spans="1:13" s="15" customFormat="1">
      <c r="A17" s="140" t="s">
        <v>7</v>
      </c>
      <c r="B17" s="140"/>
      <c r="C17" s="21">
        <v>31</v>
      </c>
      <c r="D17" s="21">
        <v>583</v>
      </c>
      <c r="E17" s="21">
        <v>1134</v>
      </c>
      <c r="F17" s="22">
        <v>1</v>
      </c>
      <c r="G17" s="47"/>
      <c r="H17" s="139"/>
      <c r="I17" s="139"/>
      <c r="J17" s="6"/>
      <c r="K17" s="6"/>
      <c r="L17" s="6"/>
      <c r="M17" s="20"/>
    </row>
    <row r="18" spans="1:13" s="15" customFormat="1">
      <c r="A18" s="140" t="s">
        <v>167</v>
      </c>
      <c r="B18" s="140"/>
      <c r="C18" s="21">
        <v>175</v>
      </c>
      <c r="D18" s="21">
        <v>1200</v>
      </c>
      <c r="E18" s="21">
        <v>2507</v>
      </c>
      <c r="F18" s="22">
        <v>1</v>
      </c>
      <c r="G18" s="47"/>
      <c r="H18" s="139" t="s">
        <v>30</v>
      </c>
      <c r="I18" s="139"/>
      <c r="J18" s="6"/>
      <c r="K18" s="6"/>
      <c r="L18" s="6"/>
      <c r="M18" s="20"/>
    </row>
    <row r="19" spans="1:13" s="15" customFormat="1">
      <c r="A19" s="140" t="s">
        <v>8</v>
      </c>
      <c r="B19" s="140"/>
      <c r="C19" s="21">
        <v>60</v>
      </c>
      <c r="D19" s="21">
        <v>395</v>
      </c>
      <c r="E19" s="21">
        <v>773</v>
      </c>
      <c r="F19" s="22">
        <v>1</v>
      </c>
      <c r="G19" s="47"/>
      <c r="H19" s="139" t="s">
        <v>31</v>
      </c>
      <c r="I19" s="139"/>
      <c r="J19" s="6"/>
      <c r="K19" s="6"/>
      <c r="L19" s="6"/>
      <c r="M19" s="20"/>
    </row>
    <row r="20" spans="1:13" s="15" customFormat="1">
      <c r="A20" s="141"/>
      <c r="B20" s="141"/>
      <c r="C20" s="6"/>
      <c r="D20" s="6"/>
      <c r="E20" s="6"/>
      <c r="F20" s="20"/>
      <c r="G20" s="47"/>
      <c r="H20" s="139" t="s">
        <v>32</v>
      </c>
      <c r="I20" s="139"/>
      <c r="J20" s="6"/>
      <c r="K20" s="6"/>
      <c r="L20" s="6"/>
      <c r="M20" s="20"/>
    </row>
    <row r="21" spans="1:13" s="15" customFormat="1">
      <c r="A21" s="139" t="s">
        <v>11</v>
      </c>
      <c r="B21" s="139"/>
      <c r="C21" s="6"/>
      <c r="D21" s="23"/>
      <c r="E21" s="6"/>
      <c r="F21" s="20"/>
      <c r="G21" s="47"/>
      <c r="H21" s="139" t="s">
        <v>33</v>
      </c>
      <c r="I21" s="139"/>
      <c r="J21" s="6"/>
      <c r="K21" s="6"/>
      <c r="L21" s="6"/>
      <c r="M21" s="20"/>
    </row>
    <row r="22" spans="1:13" s="15" customFormat="1">
      <c r="A22" s="139" t="s">
        <v>10</v>
      </c>
      <c r="B22" s="139"/>
      <c r="C22" s="6"/>
      <c r="D22" s="23"/>
      <c r="E22" s="6"/>
      <c r="F22" s="20"/>
      <c r="G22" s="47"/>
      <c r="H22" s="140" t="s">
        <v>125</v>
      </c>
      <c r="I22" s="140"/>
      <c r="J22" s="21"/>
      <c r="K22" s="21"/>
      <c r="L22" s="21"/>
      <c r="M22" s="24"/>
    </row>
    <row r="23" spans="1:13" s="15" customFormat="1">
      <c r="A23" s="139" t="s">
        <v>9</v>
      </c>
      <c r="B23" s="139"/>
      <c r="C23" s="6"/>
      <c r="D23" s="6"/>
      <c r="E23" s="6"/>
      <c r="F23" s="20"/>
      <c r="G23" s="47"/>
      <c r="H23" s="139"/>
      <c r="I23" s="139"/>
      <c r="J23" s="6"/>
      <c r="K23" s="6"/>
      <c r="L23" s="6"/>
      <c r="M23" s="20"/>
    </row>
    <row r="24" spans="1:13" s="15" customFormat="1">
      <c r="A24" s="139" t="s">
        <v>126</v>
      </c>
      <c r="B24" s="139"/>
      <c r="C24" s="6">
        <v>1</v>
      </c>
      <c r="D24" s="6">
        <v>163</v>
      </c>
      <c r="E24" s="6">
        <v>500</v>
      </c>
      <c r="F24" s="25">
        <v>1</v>
      </c>
      <c r="G24" s="47"/>
      <c r="H24" s="139" t="s">
        <v>35</v>
      </c>
      <c r="I24" s="139"/>
      <c r="J24" s="6">
        <v>47</v>
      </c>
      <c r="K24" s="6">
        <v>1166</v>
      </c>
      <c r="L24" s="6">
        <v>2193</v>
      </c>
      <c r="M24" s="20">
        <v>0.47334340600043168</v>
      </c>
    </row>
    <row r="25" spans="1:13" s="15" customFormat="1">
      <c r="A25" s="140" t="s">
        <v>127</v>
      </c>
      <c r="B25" s="140"/>
      <c r="C25" s="21">
        <v>1</v>
      </c>
      <c r="D25" s="21">
        <v>163</v>
      </c>
      <c r="E25" s="21">
        <v>500</v>
      </c>
      <c r="F25" s="22">
        <v>1</v>
      </c>
      <c r="G25" s="47"/>
      <c r="H25" s="139" t="s">
        <v>36</v>
      </c>
      <c r="I25" s="139"/>
      <c r="J25" s="6">
        <v>36</v>
      </c>
      <c r="K25" s="6">
        <v>1084</v>
      </c>
      <c r="L25" s="6">
        <v>2058</v>
      </c>
      <c r="M25" s="20">
        <v>0.44420461903734082</v>
      </c>
    </row>
    <row r="26" spans="1:13" s="15" customFormat="1">
      <c r="A26" s="139"/>
      <c r="B26" s="139"/>
      <c r="C26" s="6"/>
      <c r="D26" s="6"/>
      <c r="E26" s="6"/>
      <c r="F26" s="20"/>
      <c r="G26" s="47"/>
      <c r="H26" s="139" t="s">
        <v>37</v>
      </c>
      <c r="I26" s="139"/>
      <c r="J26" s="6">
        <v>5</v>
      </c>
      <c r="K26" s="6">
        <v>214</v>
      </c>
      <c r="L26" s="6">
        <v>382</v>
      </c>
      <c r="M26" s="20">
        <v>8.2451974962227503E-2</v>
      </c>
    </row>
    <row r="27" spans="1:13" s="15" customFormat="1">
      <c r="A27" s="139" t="s">
        <v>12</v>
      </c>
      <c r="B27" s="139"/>
      <c r="C27" s="6"/>
      <c r="D27" s="6"/>
      <c r="E27" s="6"/>
      <c r="F27" s="20"/>
      <c r="G27" s="47"/>
      <c r="H27" s="140" t="s">
        <v>128</v>
      </c>
      <c r="I27" s="140"/>
      <c r="J27" s="21">
        <v>88</v>
      </c>
      <c r="K27" s="21">
        <v>2464</v>
      </c>
      <c r="L27" s="21">
        <v>4633</v>
      </c>
      <c r="M27" s="22">
        <v>1</v>
      </c>
    </row>
    <row r="28" spans="1:13" s="15" customFormat="1">
      <c r="A28" s="139" t="s">
        <v>13</v>
      </c>
      <c r="B28" s="139"/>
      <c r="C28" s="6">
        <v>1</v>
      </c>
      <c r="D28" s="6">
        <v>324</v>
      </c>
      <c r="E28" s="6">
        <v>660</v>
      </c>
      <c r="F28" s="20">
        <v>0.37120359955005622</v>
      </c>
      <c r="G28" s="47"/>
      <c r="H28" s="139"/>
      <c r="I28" s="139"/>
      <c r="J28" s="6"/>
      <c r="K28" s="6"/>
      <c r="L28" s="6"/>
      <c r="M28" s="20"/>
    </row>
    <row r="29" spans="1:13" s="15" customFormat="1">
      <c r="A29" s="139" t="s">
        <v>14</v>
      </c>
      <c r="B29" s="139"/>
      <c r="C29" s="6">
        <v>1</v>
      </c>
      <c r="D29" s="6">
        <v>413</v>
      </c>
      <c r="E29" s="6">
        <v>1118</v>
      </c>
      <c r="F29" s="20">
        <v>0.62879640044994378</v>
      </c>
      <c r="G29" s="47"/>
      <c r="H29" s="139" t="s">
        <v>38</v>
      </c>
      <c r="I29" s="139"/>
      <c r="J29" s="6">
        <v>58</v>
      </c>
      <c r="K29" s="6">
        <v>1246</v>
      </c>
      <c r="L29" s="6">
        <v>2298</v>
      </c>
      <c r="M29" s="20">
        <v>0.57971745711402622</v>
      </c>
    </row>
    <row r="30" spans="1:13" s="15" customFormat="1">
      <c r="A30" s="140" t="s">
        <v>129</v>
      </c>
      <c r="B30" s="140"/>
      <c r="C30" s="21">
        <v>2</v>
      </c>
      <c r="D30" s="21">
        <v>737</v>
      </c>
      <c r="E30" s="21">
        <v>1778</v>
      </c>
      <c r="F30" s="22">
        <v>1</v>
      </c>
      <c r="G30" s="47"/>
      <c r="H30" s="139" t="s">
        <v>39</v>
      </c>
      <c r="I30" s="139"/>
      <c r="J30" s="6">
        <v>37</v>
      </c>
      <c r="K30" s="6">
        <v>821</v>
      </c>
      <c r="L30" s="6">
        <v>1526</v>
      </c>
      <c r="M30" s="20">
        <v>0.38496468213925328</v>
      </c>
    </row>
    <row r="31" spans="1:13" s="15" customFormat="1">
      <c r="A31" s="139"/>
      <c r="B31" s="139"/>
      <c r="C31" s="6"/>
      <c r="D31" s="6"/>
      <c r="E31" s="6"/>
      <c r="F31" s="20"/>
      <c r="G31" s="47"/>
      <c r="H31" s="139" t="s">
        <v>40</v>
      </c>
      <c r="I31" s="139"/>
      <c r="J31" s="6">
        <v>3</v>
      </c>
      <c r="K31" s="6">
        <v>74</v>
      </c>
      <c r="L31" s="6">
        <v>140</v>
      </c>
      <c r="M31" s="20">
        <v>3.5317860746720484E-2</v>
      </c>
    </row>
    <row r="32" spans="1:13" s="15" customFormat="1">
      <c r="A32" s="139" t="s">
        <v>15</v>
      </c>
      <c r="B32" s="139"/>
      <c r="C32" s="6">
        <v>30</v>
      </c>
      <c r="D32" s="6">
        <v>1476</v>
      </c>
      <c r="E32" s="6">
        <v>2723</v>
      </c>
      <c r="F32" s="20">
        <v>1.8031440793568807E-2</v>
      </c>
      <c r="G32" s="47"/>
      <c r="H32" s="140" t="s">
        <v>130</v>
      </c>
      <c r="I32" s="140"/>
      <c r="J32" s="21">
        <v>98</v>
      </c>
      <c r="K32" s="21">
        <v>2141</v>
      </c>
      <c r="L32" s="21">
        <v>3964</v>
      </c>
      <c r="M32" s="22">
        <v>1</v>
      </c>
    </row>
    <row r="33" spans="1:13" s="15" customFormat="1">
      <c r="A33" s="139" t="s">
        <v>16</v>
      </c>
      <c r="B33" s="139"/>
      <c r="C33" s="6">
        <v>58</v>
      </c>
      <c r="D33" s="6">
        <v>4999</v>
      </c>
      <c r="E33" s="6">
        <v>9365</v>
      </c>
      <c r="F33" s="20">
        <v>6.2014117896353978E-2</v>
      </c>
      <c r="G33" s="47"/>
      <c r="H33" s="139"/>
      <c r="I33" s="139"/>
    </row>
    <row r="34" spans="1:13" s="15" customFormat="1">
      <c r="A34" s="139" t="s">
        <v>17</v>
      </c>
      <c r="B34" s="139"/>
      <c r="C34" s="6">
        <v>280</v>
      </c>
      <c r="D34" s="6">
        <v>44572</v>
      </c>
      <c r="E34" s="6">
        <v>83864</v>
      </c>
      <c r="F34" s="20">
        <v>0.5553392400704571</v>
      </c>
      <c r="G34" s="47"/>
      <c r="H34" s="140" t="s">
        <v>42</v>
      </c>
      <c r="I34" s="140"/>
      <c r="J34" s="21">
        <v>19</v>
      </c>
      <c r="K34" s="21">
        <v>298</v>
      </c>
      <c r="L34" s="21">
        <v>566</v>
      </c>
      <c r="M34" s="22">
        <v>1</v>
      </c>
    </row>
    <row r="35" spans="1:13" s="15" customFormat="1">
      <c r="A35" s="139" t="s">
        <v>168</v>
      </c>
      <c r="B35" s="139"/>
      <c r="C35" s="6">
        <v>166</v>
      </c>
      <c r="D35" s="6">
        <v>25761</v>
      </c>
      <c r="E35" s="6">
        <v>49029</v>
      </c>
      <c r="F35" s="20">
        <v>0.32466526282331437</v>
      </c>
      <c r="G35" s="47"/>
      <c r="H35" s="140" t="s">
        <v>43</v>
      </c>
      <c r="I35" s="140"/>
      <c r="J35" s="21">
        <v>9</v>
      </c>
      <c r="K35" s="21">
        <v>138</v>
      </c>
      <c r="L35" s="21">
        <v>248</v>
      </c>
      <c r="M35" s="22">
        <v>1</v>
      </c>
    </row>
    <row r="36" spans="1:13" s="15" customFormat="1">
      <c r="A36" s="139" t="s">
        <v>19</v>
      </c>
      <c r="B36" s="139"/>
      <c r="C36" s="6">
        <v>23</v>
      </c>
      <c r="D36" s="6">
        <v>2534</v>
      </c>
      <c r="E36" s="6">
        <v>5134</v>
      </c>
      <c r="F36" s="20">
        <v>3.3996847974359992E-2</v>
      </c>
      <c r="G36" s="47"/>
      <c r="H36" s="140" t="s">
        <v>44</v>
      </c>
      <c r="I36" s="140"/>
      <c r="J36" s="21">
        <v>1</v>
      </c>
      <c r="K36" s="21">
        <v>12</v>
      </c>
      <c r="L36" s="21">
        <v>23</v>
      </c>
      <c r="M36" s="22">
        <v>1</v>
      </c>
    </row>
    <row r="37" spans="1:13" s="15" customFormat="1">
      <c r="A37" s="139" t="s">
        <v>169</v>
      </c>
      <c r="B37" s="142"/>
      <c r="C37" s="6">
        <v>3</v>
      </c>
      <c r="D37" s="6">
        <v>470</v>
      </c>
      <c r="E37" s="6">
        <v>899</v>
      </c>
      <c r="F37" s="20">
        <v>5.9530904419457797E-3</v>
      </c>
      <c r="G37" s="47"/>
      <c r="H37" s="139"/>
      <c r="I37" s="139"/>
      <c r="J37" s="6"/>
      <c r="K37" s="6"/>
      <c r="L37" s="6"/>
      <c r="M37" s="6"/>
    </row>
    <row r="38" spans="1:13" s="15" customFormat="1">
      <c r="A38" s="140" t="s">
        <v>131</v>
      </c>
      <c r="B38" s="140"/>
      <c r="C38" s="21">
        <v>560</v>
      </c>
      <c r="D38" s="21">
        <v>79812</v>
      </c>
      <c r="E38" s="21">
        <v>151014</v>
      </c>
      <c r="F38" s="22">
        <v>1</v>
      </c>
      <c r="G38" s="47"/>
      <c r="H38" s="139"/>
      <c r="I38" s="139"/>
      <c r="J38" s="6"/>
      <c r="K38" s="6"/>
      <c r="L38" s="6"/>
      <c r="M38" s="6"/>
    </row>
    <row r="39" spans="1:13" s="15" customFormat="1">
      <c r="A39" s="139"/>
      <c r="B39" s="139"/>
      <c r="C39" s="6"/>
      <c r="D39" s="6"/>
      <c r="E39" s="6"/>
      <c r="F39" s="20"/>
      <c r="G39" s="47"/>
      <c r="H39" s="141"/>
      <c r="I39" s="141"/>
      <c r="J39" s="6"/>
      <c r="K39" s="6"/>
      <c r="L39" s="6"/>
      <c r="M39" s="6"/>
    </row>
    <row r="40" spans="1:13" s="15" customFormat="1">
      <c r="A40" s="139" t="s">
        <v>20</v>
      </c>
      <c r="B40" s="139"/>
      <c r="C40" s="6">
        <v>4</v>
      </c>
      <c r="D40" s="6">
        <v>71</v>
      </c>
      <c r="E40" s="6">
        <v>130</v>
      </c>
      <c r="F40" s="20">
        <v>0.16645326504481434</v>
      </c>
      <c r="G40" s="47"/>
      <c r="H40" s="19"/>
      <c r="I40" s="19"/>
      <c r="J40" s="6"/>
      <c r="K40" s="6"/>
      <c r="L40" s="6"/>
      <c r="M40" s="26"/>
    </row>
    <row r="41" spans="1:13" s="15" customFormat="1">
      <c r="A41" s="139" t="s">
        <v>21</v>
      </c>
      <c r="B41" s="139"/>
      <c r="C41" s="6">
        <v>3</v>
      </c>
      <c r="D41" s="6">
        <v>129</v>
      </c>
      <c r="E41" s="6">
        <v>244</v>
      </c>
      <c r="F41" s="20">
        <v>0.31241997439180536</v>
      </c>
      <c r="G41" s="47"/>
      <c r="H41" s="140" t="s">
        <v>45</v>
      </c>
      <c r="I41" s="140"/>
      <c r="J41" s="21">
        <v>1614</v>
      </c>
      <c r="K41" s="21">
        <v>137593</v>
      </c>
      <c r="L41" s="21">
        <v>286618</v>
      </c>
      <c r="M41" s="6"/>
    </row>
    <row r="42" spans="1:13" s="15" customFormat="1">
      <c r="A42" s="139" t="s">
        <v>22</v>
      </c>
      <c r="B42" s="139"/>
      <c r="C42" s="6">
        <v>3</v>
      </c>
      <c r="D42" s="6">
        <v>138</v>
      </c>
      <c r="E42" s="6">
        <v>251</v>
      </c>
      <c r="F42" s="20">
        <v>0.32138284250960308</v>
      </c>
      <c r="G42" s="47"/>
      <c r="H42" s="19"/>
      <c r="I42" s="19"/>
      <c r="J42" s="6"/>
      <c r="K42" s="6"/>
      <c r="L42" s="6"/>
      <c r="M42" s="26"/>
    </row>
    <row r="43" spans="1:13" s="15" customFormat="1">
      <c r="A43" s="139" t="s">
        <v>172</v>
      </c>
      <c r="B43" s="139"/>
      <c r="C43" s="6">
        <v>2</v>
      </c>
      <c r="D43" s="6">
        <v>82</v>
      </c>
      <c r="E43" s="6">
        <v>156</v>
      </c>
      <c r="F43" s="20">
        <v>0.1997439180537772</v>
      </c>
      <c r="G43" s="47"/>
      <c r="H43" s="19"/>
      <c r="I43" s="19"/>
      <c r="J43" s="26"/>
      <c r="K43" s="26"/>
      <c r="L43" s="26"/>
      <c r="M43" s="26"/>
    </row>
    <row r="44" spans="1:13" s="15" customFormat="1">
      <c r="A44" s="139" t="s">
        <v>24</v>
      </c>
      <c r="B44" s="139"/>
      <c r="C44" s="6"/>
      <c r="D44" s="6"/>
      <c r="E44" s="6"/>
      <c r="F44" s="20"/>
      <c r="G44" s="47"/>
      <c r="H44" s="19"/>
      <c r="I44" s="19"/>
      <c r="J44" s="26"/>
      <c r="K44" s="26"/>
      <c r="L44" s="26"/>
      <c r="M44" s="26"/>
    </row>
    <row r="45" spans="1:13" s="15" customFormat="1">
      <c r="A45" s="140" t="s">
        <v>132</v>
      </c>
      <c r="B45" s="140"/>
      <c r="C45" s="21">
        <v>12</v>
      </c>
      <c r="D45" s="21">
        <v>420</v>
      </c>
      <c r="E45" s="21">
        <v>781</v>
      </c>
      <c r="F45" s="22">
        <v>1</v>
      </c>
      <c r="G45" s="47"/>
      <c r="H45"/>
      <c r="I45"/>
      <c r="J45"/>
      <c r="K45"/>
      <c r="L45"/>
      <c r="M45"/>
    </row>
  </sheetData>
  <sheetProtection algorithmName="SHA-512" hashValue="AOftygrKJaNTzagqKfQzqTzJc8S2/NWkHOfSu4QZKxz7W/83z2QfON1vQtZLm3/F0wFelpRmXOmpwLSgxYuqJg==" saltValue="3BFeIO2cc50LwSMWgJ07qg==" spinCount="100000" sheet="1"/>
  <mergeCells count="71">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 ref="A21:B21"/>
    <mergeCell ref="H21:I21"/>
    <mergeCell ref="A22:B22"/>
    <mergeCell ref="H22:I22"/>
    <mergeCell ref="A24:B24"/>
    <mergeCell ref="H23:I23"/>
    <mergeCell ref="A25:B25"/>
    <mergeCell ref="H24:I24"/>
    <mergeCell ref="A26:B26"/>
    <mergeCell ref="H25:I25"/>
    <mergeCell ref="A23:B23"/>
    <mergeCell ref="A27:B27"/>
    <mergeCell ref="H26:I26"/>
    <mergeCell ref="A28:B28"/>
    <mergeCell ref="H27:I27"/>
    <mergeCell ref="A29:B29"/>
    <mergeCell ref="H28:I28"/>
    <mergeCell ref="A30:B30"/>
    <mergeCell ref="H29:I29"/>
    <mergeCell ref="A31:B31"/>
    <mergeCell ref="H30:I30"/>
    <mergeCell ref="A32:B32"/>
    <mergeCell ref="H31:I31"/>
    <mergeCell ref="A33:B33"/>
    <mergeCell ref="H32:I32"/>
    <mergeCell ref="A34:B34"/>
    <mergeCell ref="H33:I33"/>
    <mergeCell ref="A35:B35"/>
    <mergeCell ref="H34:I34"/>
    <mergeCell ref="A36:B36"/>
    <mergeCell ref="H35:I35"/>
    <mergeCell ref="A37:B37"/>
    <mergeCell ref="H36:I36"/>
    <mergeCell ref="A38:B38"/>
    <mergeCell ref="H37:I37"/>
    <mergeCell ref="A43:B43"/>
    <mergeCell ref="A44:B44"/>
    <mergeCell ref="A45:B45"/>
    <mergeCell ref="A39:B39"/>
    <mergeCell ref="H38:I38"/>
    <mergeCell ref="A40:B40"/>
    <mergeCell ref="H39:I39"/>
    <mergeCell ref="A41:B41"/>
    <mergeCell ref="A42:B42"/>
    <mergeCell ref="H41:I41"/>
  </mergeCells>
  <printOptions horizontalCentered="1" verticalCentered="1"/>
  <pageMargins left="0" right="0" top="0" bottom="0" header="0.31496062992125984" footer="0.31496062992125984"/>
  <pageSetup paperSize="9" scale="78"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DR57"/>
  <sheetViews>
    <sheetView showGridLines="0" zoomScaleNormal="100" workbookViewId="0"/>
  </sheetViews>
  <sheetFormatPr baseColWidth="10" defaultRowHeight="15"/>
  <cols>
    <col min="1" max="1" width="79.7109375" customWidth="1"/>
    <col min="93" max="93" width="9.85546875" customWidth="1"/>
  </cols>
  <sheetData>
    <row r="2" spans="1:122" ht="16.5">
      <c r="A2" s="1" t="s">
        <v>164</v>
      </c>
      <c r="B2" s="2"/>
      <c r="C2" s="2"/>
      <c r="CN2" s="29"/>
      <c r="CO2" s="29"/>
    </row>
    <row r="3" spans="1:122" ht="16.5">
      <c r="A3" s="3" t="s">
        <v>165</v>
      </c>
      <c r="B3" s="2"/>
      <c r="C3" s="2"/>
      <c r="R3" s="28"/>
      <c r="S3" s="28"/>
      <c r="T3" s="28"/>
      <c r="CN3" s="29"/>
      <c r="CO3" s="29"/>
    </row>
    <row r="4" spans="1:122" ht="16.5">
      <c r="A4" s="3" t="s">
        <v>166</v>
      </c>
      <c r="B4" s="2"/>
      <c r="C4" s="2"/>
      <c r="G4" s="28"/>
      <c r="H4" s="28"/>
      <c r="CN4" s="29"/>
      <c r="CO4" s="29"/>
    </row>
    <row r="5" spans="1:122">
      <c r="A5" s="30"/>
      <c r="B5" s="2"/>
      <c r="C5" s="2"/>
      <c r="CN5" s="29"/>
      <c r="CO5" s="29"/>
    </row>
    <row r="6" spans="1:122" s="29" customFormat="1" ht="15" customHeight="1">
      <c r="A6" s="138" t="s">
        <v>97</v>
      </c>
      <c r="B6" s="137" t="s">
        <v>167</v>
      </c>
      <c r="C6" s="137"/>
      <c r="D6" s="137" t="s">
        <v>119</v>
      </c>
      <c r="E6" s="137"/>
      <c r="F6" s="137" t="s">
        <v>120</v>
      </c>
      <c r="G6" s="137"/>
      <c r="H6" s="137" t="s">
        <v>121</v>
      </c>
      <c r="I6" s="137"/>
      <c r="J6" s="137" t="s">
        <v>122</v>
      </c>
      <c r="K6" s="137"/>
      <c r="L6" s="137" t="s">
        <v>42</v>
      </c>
      <c r="M6" s="137"/>
      <c r="N6" s="137" t="s">
        <v>12</v>
      </c>
      <c r="O6" s="137"/>
      <c r="P6" s="137" t="s">
        <v>13</v>
      </c>
      <c r="Q6" s="137"/>
      <c r="R6" s="137" t="s">
        <v>14</v>
      </c>
      <c r="S6" s="137"/>
      <c r="T6" s="137" t="s">
        <v>43</v>
      </c>
      <c r="U6" s="137"/>
      <c r="V6" s="137" t="s">
        <v>35</v>
      </c>
      <c r="W6" s="137"/>
      <c r="X6" s="137" t="s">
        <v>36</v>
      </c>
      <c r="Y6" s="137"/>
      <c r="Z6" s="137" t="s">
        <v>37</v>
      </c>
      <c r="AA6" s="137"/>
      <c r="AB6" s="137" t="s">
        <v>38</v>
      </c>
      <c r="AC6" s="137"/>
      <c r="AD6" s="137" t="s">
        <v>39</v>
      </c>
      <c r="AE6" s="137"/>
      <c r="AF6" s="137" t="s">
        <v>40</v>
      </c>
      <c r="AG6" s="137"/>
      <c r="AH6" s="137" t="s">
        <v>15</v>
      </c>
      <c r="AI6" s="137"/>
      <c r="AJ6" s="137" t="s">
        <v>16</v>
      </c>
      <c r="AK6" s="137"/>
      <c r="AL6" s="137" t="s">
        <v>17</v>
      </c>
      <c r="AM6" s="137"/>
      <c r="AN6" s="137" t="s">
        <v>168</v>
      </c>
      <c r="AO6" s="137"/>
      <c r="AP6" s="137" t="s">
        <v>19</v>
      </c>
      <c r="AQ6" s="137"/>
      <c r="AR6" s="137" t="s">
        <v>169</v>
      </c>
      <c r="AS6" s="137"/>
      <c r="AT6" s="137" t="s">
        <v>25</v>
      </c>
      <c r="AU6" s="137"/>
      <c r="AV6" s="137" t="s">
        <v>26</v>
      </c>
      <c r="AW6" s="137"/>
      <c r="AX6" s="137" t="s">
        <v>27</v>
      </c>
      <c r="AY6" s="137"/>
      <c r="AZ6" s="137" t="s">
        <v>28</v>
      </c>
      <c r="BA6" s="137"/>
      <c r="BB6" s="137" t="s">
        <v>29</v>
      </c>
      <c r="BC6" s="137"/>
      <c r="BD6" s="137" t="s">
        <v>170</v>
      </c>
      <c r="BE6" s="137"/>
      <c r="BF6" s="137" t="s">
        <v>171</v>
      </c>
      <c r="BG6" s="137"/>
      <c r="BH6" s="137" t="s">
        <v>21</v>
      </c>
      <c r="BI6" s="137"/>
      <c r="BJ6" s="137" t="s">
        <v>22</v>
      </c>
      <c r="BK6" s="137"/>
      <c r="BL6" s="137" t="s">
        <v>172</v>
      </c>
      <c r="BM6" s="137"/>
      <c r="BN6" s="137" t="s">
        <v>24</v>
      </c>
      <c r="BO6" s="137"/>
      <c r="BP6" s="137" t="s">
        <v>173</v>
      </c>
      <c r="BQ6" s="137"/>
      <c r="BR6" s="137" t="s">
        <v>174</v>
      </c>
      <c r="BS6" s="137"/>
      <c r="BT6" s="137" t="s">
        <v>44</v>
      </c>
      <c r="BU6" s="137"/>
      <c r="BV6" s="137" t="s">
        <v>175</v>
      </c>
      <c r="BW6" s="137"/>
      <c r="BX6" s="137" t="s">
        <v>30</v>
      </c>
      <c r="BY6" s="137"/>
      <c r="BZ6" s="137" t="s">
        <v>31</v>
      </c>
      <c r="CA6" s="137"/>
      <c r="CB6" s="137" t="s">
        <v>32</v>
      </c>
      <c r="CC6" s="137"/>
      <c r="CD6" s="137" t="s">
        <v>33</v>
      </c>
      <c r="CE6" s="137"/>
      <c r="CF6" s="137" t="s">
        <v>34</v>
      </c>
      <c r="CG6" s="137"/>
      <c r="CH6" s="137" t="s">
        <v>7</v>
      </c>
      <c r="CI6" s="137"/>
      <c r="CJ6" s="137" t="s">
        <v>8</v>
      </c>
      <c r="CK6" s="137"/>
      <c r="CL6" s="137" t="s">
        <v>126</v>
      </c>
      <c r="CM6" s="137"/>
      <c r="CN6" s="137" t="s">
        <v>45</v>
      </c>
      <c r="CO6" s="137"/>
    </row>
    <row r="7" spans="1:122" s="29" customFormat="1">
      <c r="A7" s="138"/>
      <c r="B7" s="4"/>
      <c r="C7" s="4" t="s">
        <v>176</v>
      </c>
      <c r="D7" s="4"/>
      <c r="E7" s="4" t="s">
        <v>176</v>
      </c>
      <c r="F7" s="4"/>
      <c r="G7" s="4"/>
      <c r="H7" s="4"/>
      <c r="I7" s="4"/>
      <c r="J7" s="4"/>
      <c r="K7" s="4" t="s">
        <v>176</v>
      </c>
      <c r="L7" s="4"/>
      <c r="M7" s="4" t="s">
        <v>176</v>
      </c>
      <c r="N7" s="4"/>
      <c r="O7" s="4" t="s">
        <v>176</v>
      </c>
      <c r="P7" s="4"/>
      <c r="Q7" s="4" t="s">
        <v>176</v>
      </c>
      <c r="R7" s="4"/>
      <c r="S7" s="4" t="s">
        <v>176</v>
      </c>
      <c r="T7" s="4"/>
      <c r="U7" s="4" t="s">
        <v>176</v>
      </c>
      <c r="V7" s="4"/>
      <c r="W7" s="4" t="s">
        <v>176</v>
      </c>
      <c r="X7" s="4"/>
      <c r="Y7" s="4" t="s">
        <v>176</v>
      </c>
      <c r="Z7" s="4"/>
      <c r="AA7" s="4" t="s">
        <v>176</v>
      </c>
      <c r="AB7" s="4"/>
      <c r="AC7" s="4" t="s">
        <v>176</v>
      </c>
      <c r="AD7" s="4"/>
      <c r="AE7" s="4" t="s">
        <v>176</v>
      </c>
      <c r="AF7" s="4"/>
      <c r="AG7" s="4" t="s">
        <v>176</v>
      </c>
      <c r="AH7" s="4"/>
      <c r="AI7" s="4" t="s">
        <v>176</v>
      </c>
      <c r="AJ7" s="4"/>
      <c r="AK7" s="4" t="s">
        <v>176</v>
      </c>
      <c r="AL7" s="4"/>
      <c r="AM7" s="4" t="s">
        <v>176</v>
      </c>
      <c r="AN7" s="4"/>
      <c r="AO7" s="4" t="s">
        <v>176</v>
      </c>
      <c r="AP7" s="4"/>
      <c r="AQ7" s="4" t="s">
        <v>176</v>
      </c>
      <c r="AR7" s="4"/>
      <c r="AS7" s="4" t="s">
        <v>176</v>
      </c>
      <c r="AT7" s="4"/>
      <c r="AU7" s="4" t="s">
        <v>176</v>
      </c>
      <c r="AV7" s="4"/>
      <c r="AW7" s="4" t="s">
        <v>176</v>
      </c>
      <c r="AX7" s="4"/>
      <c r="AY7" s="4" t="s">
        <v>176</v>
      </c>
      <c r="AZ7" s="4"/>
      <c r="BA7" s="4" t="s">
        <v>176</v>
      </c>
      <c r="BB7" s="4"/>
      <c r="BC7" s="4" t="s">
        <v>176</v>
      </c>
      <c r="BD7" s="4"/>
      <c r="BE7" s="4" t="s">
        <v>176</v>
      </c>
      <c r="BF7" s="4"/>
      <c r="BG7" s="4" t="s">
        <v>176</v>
      </c>
      <c r="BH7" s="4"/>
      <c r="BI7" s="4" t="s">
        <v>176</v>
      </c>
      <c r="BJ7" s="4"/>
      <c r="BK7" s="4" t="s">
        <v>176</v>
      </c>
      <c r="BL7" s="4"/>
      <c r="BM7" s="4" t="s">
        <v>176</v>
      </c>
      <c r="BN7" s="4"/>
      <c r="BO7" s="4" t="s">
        <v>176</v>
      </c>
      <c r="BP7" s="4"/>
      <c r="BQ7" s="4" t="s">
        <v>176</v>
      </c>
      <c r="BR7" s="4"/>
      <c r="BS7" s="4" t="s">
        <v>176</v>
      </c>
      <c r="BT7" s="4"/>
      <c r="BU7" s="4" t="s">
        <v>176</v>
      </c>
      <c r="BV7" s="4"/>
      <c r="BW7" s="4" t="s">
        <v>176</v>
      </c>
      <c r="BX7" s="4"/>
      <c r="BY7" s="4" t="s">
        <v>176</v>
      </c>
      <c r="BZ7" s="4"/>
      <c r="CA7" s="4" t="s">
        <v>176</v>
      </c>
      <c r="CB7" s="4"/>
      <c r="CC7" s="4" t="s">
        <v>176</v>
      </c>
      <c r="CD7" s="4"/>
      <c r="CE7" s="4" t="s">
        <v>176</v>
      </c>
      <c r="CF7" s="4"/>
      <c r="CG7" s="4" t="s">
        <v>176</v>
      </c>
      <c r="CH7" s="4"/>
      <c r="CI7" s="4" t="s">
        <v>176</v>
      </c>
      <c r="CJ7" s="4"/>
      <c r="CK7" s="4" t="s">
        <v>176</v>
      </c>
      <c r="CL7" s="4"/>
      <c r="CM7" s="4" t="s">
        <v>176</v>
      </c>
      <c r="CN7" s="4"/>
      <c r="CO7" s="4"/>
    </row>
    <row r="8" spans="1:122" s="29" customFormat="1">
      <c r="A8" s="138"/>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46</v>
      </c>
      <c r="BC8" s="4" t="s">
        <v>47</v>
      </c>
      <c r="BD8" s="4" t="s">
        <v>46</v>
      </c>
      <c r="BE8" s="4" t="s">
        <v>47</v>
      </c>
      <c r="BF8" s="4" t="s">
        <v>46</v>
      </c>
      <c r="BG8" s="4" t="s">
        <v>47</v>
      </c>
      <c r="BH8" s="4" t="s">
        <v>46</v>
      </c>
      <c r="BI8" s="4" t="s">
        <v>47</v>
      </c>
      <c r="BJ8" s="4" t="s">
        <v>46</v>
      </c>
      <c r="BK8" s="4" t="s">
        <v>47</v>
      </c>
      <c r="BL8" s="4" t="s">
        <v>46</v>
      </c>
      <c r="BM8" s="4" t="s">
        <v>47</v>
      </c>
      <c r="BN8" s="4" t="s">
        <v>46</v>
      </c>
      <c r="BO8" s="4" t="s">
        <v>47</v>
      </c>
      <c r="BP8" s="4" t="s">
        <v>46</v>
      </c>
      <c r="BQ8" s="4" t="s">
        <v>47</v>
      </c>
      <c r="BR8" s="4" t="s">
        <v>46</v>
      </c>
      <c r="BS8" s="4" t="s">
        <v>47</v>
      </c>
      <c r="BT8" s="4" t="s">
        <v>46</v>
      </c>
      <c r="BU8" s="4" t="s">
        <v>47</v>
      </c>
      <c r="BV8" s="4" t="s">
        <v>46</v>
      </c>
      <c r="BW8" s="4" t="s">
        <v>47</v>
      </c>
      <c r="BX8" s="4" t="s">
        <v>46</v>
      </c>
      <c r="BY8" s="4" t="s">
        <v>47</v>
      </c>
      <c r="BZ8" s="4" t="s">
        <v>46</v>
      </c>
      <c r="CA8" s="4" t="s">
        <v>47</v>
      </c>
      <c r="CB8" s="4" t="s">
        <v>46</v>
      </c>
      <c r="CC8" s="4" t="s">
        <v>47</v>
      </c>
      <c r="CD8" s="4" t="s">
        <v>46</v>
      </c>
      <c r="CE8" s="4" t="s">
        <v>47</v>
      </c>
      <c r="CF8" s="4" t="s">
        <v>46</v>
      </c>
      <c r="CG8" s="4" t="s">
        <v>47</v>
      </c>
      <c r="CH8" s="4" t="s">
        <v>46</v>
      </c>
      <c r="CI8" s="4" t="s">
        <v>47</v>
      </c>
      <c r="CJ8" s="4" t="s">
        <v>46</v>
      </c>
      <c r="CK8" s="4" t="s">
        <v>47</v>
      </c>
      <c r="CL8" s="4" t="s">
        <v>46</v>
      </c>
      <c r="CM8" s="4" t="s">
        <v>47</v>
      </c>
      <c r="CN8" s="4" t="s">
        <v>46</v>
      </c>
      <c r="CO8" s="4" t="s">
        <v>47</v>
      </c>
    </row>
    <row r="9" spans="1:122" ht="15" customHeight="1">
      <c r="A9" s="5" t="s">
        <v>48</v>
      </c>
      <c r="B9" s="6">
        <v>2</v>
      </c>
      <c r="C9" s="6">
        <v>16</v>
      </c>
      <c r="D9" s="7"/>
      <c r="E9" s="7"/>
      <c r="F9" s="7"/>
      <c r="G9" s="7"/>
      <c r="H9" s="7"/>
      <c r="I9" s="7"/>
      <c r="J9" s="7"/>
      <c r="K9" s="7"/>
      <c r="L9" s="7"/>
      <c r="M9" s="7"/>
      <c r="N9" s="7"/>
      <c r="O9" s="7"/>
      <c r="P9" s="7"/>
      <c r="Q9" s="7"/>
      <c r="R9" s="7"/>
      <c r="S9" s="7"/>
      <c r="T9" s="7"/>
      <c r="U9" s="7"/>
      <c r="V9" s="7"/>
      <c r="W9" s="7"/>
      <c r="X9" s="7"/>
      <c r="Y9" s="7"/>
      <c r="Z9" s="7"/>
      <c r="AA9" s="7"/>
      <c r="AB9" s="7"/>
      <c r="AC9" s="7"/>
      <c r="AD9" s="7">
        <v>1</v>
      </c>
      <c r="AE9" s="7">
        <v>21</v>
      </c>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v>1</v>
      </c>
      <c r="CI9" s="7">
        <v>50</v>
      </c>
      <c r="CJ9" s="7">
        <v>3</v>
      </c>
      <c r="CK9" s="7">
        <v>38</v>
      </c>
      <c r="CL9" s="7"/>
      <c r="CM9" s="7"/>
      <c r="CN9" s="8">
        <v>7</v>
      </c>
      <c r="CO9" s="8">
        <v>125</v>
      </c>
      <c r="CP9" s="45"/>
      <c r="CQ9" s="45"/>
      <c r="DR9" s="46"/>
    </row>
    <row r="10" spans="1:122">
      <c r="A10" s="10" t="s">
        <v>49</v>
      </c>
      <c r="B10" s="6">
        <v>3</v>
      </c>
      <c r="C10" s="6">
        <v>34</v>
      </c>
      <c r="D10" s="6">
        <v>5</v>
      </c>
      <c r="E10" s="7">
        <v>273</v>
      </c>
      <c r="F10" s="7">
        <v>19</v>
      </c>
      <c r="G10" s="7">
        <v>2949</v>
      </c>
      <c r="H10" s="7">
        <v>6</v>
      </c>
      <c r="I10" s="7">
        <v>4752</v>
      </c>
      <c r="J10" s="7"/>
      <c r="K10" s="7"/>
      <c r="L10" s="7"/>
      <c r="M10" s="7"/>
      <c r="N10" s="7"/>
      <c r="O10" s="7"/>
      <c r="P10" s="7"/>
      <c r="Q10" s="7"/>
      <c r="R10" s="7"/>
      <c r="S10" s="7"/>
      <c r="T10" s="7">
        <v>1</v>
      </c>
      <c r="U10" s="7">
        <v>32</v>
      </c>
      <c r="V10" s="7">
        <v>3</v>
      </c>
      <c r="W10" s="7">
        <v>147</v>
      </c>
      <c r="X10" s="7"/>
      <c r="Y10" s="7"/>
      <c r="Z10" s="7"/>
      <c r="AA10" s="7"/>
      <c r="AB10" s="7">
        <v>1</v>
      </c>
      <c r="AC10" s="7">
        <v>55</v>
      </c>
      <c r="AD10" s="7">
        <v>1</v>
      </c>
      <c r="AE10" s="7">
        <v>39</v>
      </c>
      <c r="AF10" s="7"/>
      <c r="AG10" s="7"/>
      <c r="AH10" s="7"/>
      <c r="AI10" s="7"/>
      <c r="AJ10" s="7"/>
      <c r="AK10" s="7"/>
      <c r="AL10" s="7">
        <v>17</v>
      </c>
      <c r="AM10" s="7">
        <v>7935</v>
      </c>
      <c r="AN10" s="7">
        <v>4</v>
      </c>
      <c r="AO10" s="7">
        <v>2406</v>
      </c>
      <c r="AP10" s="7"/>
      <c r="AQ10" s="7"/>
      <c r="AR10" s="7"/>
      <c r="AS10" s="7"/>
      <c r="AT10" s="7"/>
      <c r="AU10" s="7"/>
      <c r="AV10" s="7">
        <v>1</v>
      </c>
      <c r="AW10" s="7">
        <v>615</v>
      </c>
      <c r="AX10" s="7">
        <v>9</v>
      </c>
      <c r="AY10" s="7">
        <v>3698</v>
      </c>
      <c r="AZ10" s="7">
        <v>10</v>
      </c>
      <c r="BA10" s="7">
        <v>3294</v>
      </c>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v>5</v>
      </c>
      <c r="CK10" s="7">
        <v>54</v>
      </c>
      <c r="CL10" s="7"/>
      <c r="CM10" s="7"/>
      <c r="CN10" s="8">
        <v>85</v>
      </c>
      <c r="CO10" s="8">
        <v>26283</v>
      </c>
      <c r="CP10" s="45"/>
      <c r="CQ10" s="45"/>
    </row>
    <row r="11" spans="1:122">
      <c r="A11" s="5" t="s">
        <v>50</v>
      </c>
      <c r="B11" s="6">
        <v>1</v>
      </c>
      <c r="C11" s="6">
        <v>20</v>
      </c>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v>1</v>
      </c>
      <c r="AM11" s="7">
        <v>28</v>
      </c>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v>1</v>
      </c>
      <c r="CI11" s="7">
        <v>31</v>
      </c>
      <c r="CJ11" s="7">
        <v>1</v>
      </c>
      <c r="CK11" s="7">
        <v>10</v>
      </c>
      <c r="CL11" s="7"/>
      <c r="CM11" s="7"/>
      <c r="CN11" s="8">
        <v>4</v>
      </c>
      <c r="CO11" s="8">
        <v>89</v>
      </c>
      <c r="CP11" s="45"/>
      <c r="CQ11" s="45"/>
    </row>
    <row r="12" spans="1:122">
      <c r="A12" s="5" t="s">
        <v>51</v>
      </c>
      <c r="B12" s="6">
        <v>2</v>
      </c>
      <c r="C12" s="6">
        <v>24</v>
      </c>
      <c r="D12" s="7">
        <v>1</v>
      </c>
      <c r="E12" s="7">
        <v>54</v>
      </c>
      <c r="F12" s="7"/>
      <c r="G12" s="7"/>
      <c r="H12" s="7">
        <v>3</v>
      </c>
      <c r="I12" s="7">
        <v>544</v>
      </c>
      <c r="J12" s="7"/>
      <c r="K12" s="7"/>
      <c r="L12" s="7"/>
      <c r="M12" s="7"/>
      <c r="N12" s="7"/>
      <c r="O12" s="7"/>
      <c r="P12" s="7"/>
      <c r="Q12" s="7"/>
      <c r="R12" s="7"/>
      <c r="S12" s="7"/>
      <c r="T12" s="7"/>
      <c r="U12" s="7"/>
      <c r="V12" s="7">
        <v>1</v>
      </c>
      <c r="W12" s="7">
        <v>40</v>
      </c>
      <c r="X12" s="7">
        <v>1</v>
      </c>
      <c r="Y12" s="7">
        <v>30</v>
      </c>
      <c r="Z12" s="7"/>
      <c r="AA12" s="7"/>
      <c r="AB12" s="7"/>
      <c r="AC12" s="7"/>
      <c r="AD12" s="7">
        <v>1</v>
      </c>
      <c r="AE12" s="7">
        <v>28</v>
      </c>
      <c r="AF12" s="7"/>
      <c r="AG12" s="7"/>
      <c r="AH12" s="7"/>
      <c r="AI12" s="7"/>
      <c r="AJ12" s="7"/>
      <c r="AK12" s="7"/>
      <c r="AL12" s="7">
        <v>2</v>
      </c>
      <c r="AM12" s="7">
        <v>309</v>
      </c>
      <c r="AN12" s="7">
        <v>4</v>
      </c>
      <c r="AO12" s="7">
        <v>1703</v>
      </c>
      <c r="AP12" s="7">
        <v>1</v>
      </c>
      <c r="AQ12" s="7">
        <v>330</v>
      </c>
      <c r="AR12" s="7"/>
      <c r="AS12" s="7"/>
      <c r="AT12" s="7"/>
      <c r="AU12" s="7"/>
      <c r="AV12" s="7"/>
      <c r="AW12" s="7"/>
      <c r="AX12" s="7">
        <v>1</v>
      </c>
      <c r="AY12" s="7">
        <v>192</v>
      </c>
      <c r="AZ12" s="7">
        <v>2</v>
      </c>
      <c r="BA12" s="7">
        <v>354</v>
      </c>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v>1</v>
      </c>
      <c r="CK12" s="7">
        <v>8</v>
      </c>
      <c r="CL12" s="7"/>
      <c r="CM12" s="7"/>
      <c r="CN12" s="8">
        <v>20</v>
      </c>
      <c r="CO12" s="8">
        <v>3616</v>
      </c>
      <c r="CP12" s="45"/>
      <c r="CQ12" s="45"/>
    </row>
    <row r="13" spans="1:122">
      <c r="A13" s="5" t="s">
        <v>52</v>
      </c>
      <c r="B13" s="6">
        <v>6</v>
      </c>
      <c r="C13" s="6">
        <v>61</v>
      </c>
      <c r="D13" s="7">
        <v>1</v>
      </c>
      <c r="E13" s="7">
        <v>38</v>
      </c>
      <c r="F13" s="7"/>
      <c r="G13" s="7"/>
      <c r="H13" s="7"/>
      <c r="I13" s="7"/>
      <c r="J13" s="7"/>
      <c r="K13" s="7"/>
      <c r="L13" s="7"/>
      <c r="M13" s="7"/>
      <c r="N13" s="7"/>
      <c r="O13" s="7"/>
      <c r="P13" s="7"/>
      <c r="Q13" s="7"/>
      <c r="R13" s="7"/>
      <c r="S13" s="7"/>
      <c r="T13" s="7"/>
      <c r="U13" s="7"/>
      <c r="V13" s="7">
        <v>1</v>
      </c>
      <c r="W13" s="7">
        <v>15</v>
      </c>
      <c r="X13" s="7">
        <v>1</v>
      </c>
      <c r="Y13" s="7">
        <v>12</v>
      </c>
      <c r="Z13" s="7"/>
      <c r="AA13" s="7"/>
      <c r="AB13" s="7"/>
      <c r="AC13" s="7"/>
      <c r="AD13" s="7"/>
      <c r="AE13" s="7"/>
      <c r="AF13" s="7"/>
      <c r="AG13" s="7"/>
      <c r="AH13" s="7"/>
      <c r="AI13" s="7"/>
      <c r="AJ13" s="7"/>
      <c r="AK13" s="7"/>
      <c r="AL13" s="7"/>
      <c r="AM13" s="7"/>
      <c r="AN13" s="7">
        <v>1</v>
      </c>
      <c r="AO13" s="7">
        <v>16</v>
      </c>
      <c r="AP13" s="7"/>
      <c r="AQ13" s="7"/>
      <c r="AR13" s="7"/>
      <c r="AS13" s="7"/>
      <c r="AT13" s="7"/>
      <c r="AU13" s="7"/>
      <c r="AV13" s="7"/>
      <c r="AW13" s="7"/>
      <c r="AX13" s="7"/>
      <c r="AY13" s="7"/>
      <c r="AZ13" s="7">
        <v>1</v>
      </c>
      <c r="BA13" s="7">
        <v>89</v>
      </c>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v>1</v>
      </c>
      <c r="CI13" s="7">
        <v>50</v>
      </c>
      <c r="CJ13" s="7">
        <v>3</v>
      </c>
      <c r="CK13" s="7">
        <v>40</v>
      </c>
      <c r="CL13" s="7"/>
      <c r="CM13" s="7"/>
      <c r="CN13" s="8">
        <v>15</v>
      </c>
      <c r="CO13" s="8">
        <v>321</v>
      </c>
      <c r="CP13" s="45"/>
      <c r="CQ13" s="45"/>
    </row>
    <row r="14" spans="1:122">
      <c r="A14" s="5" t="s">
        <v>53</v>
      </c>
      <c r="B14" s="6"/>
      <c r="C14" s="6"/>
      <c r="D14" s="7"/>
      <c r="E14" s="7"/>
      <c r="F14" s="7"/>
      <c r="G14" s="7"/>
      <c r="H14" s="7"/>
      <c r="I14" s="7"/>
      <c r="J14" s="7"/>
      <c r="K14" s="7"/>
      <c r="L14" s="7"/>
      <c r="M14" s="7"/>
      <c r="N14" s="7"/>
      <c r="O14" s="7"/>
      <c r="P14" s="7"/>
      <c r="Q14" s="7"/>
      <c r="R14" s="7"/>
      <c r="S14" s="7"/>
      <c r="T14" s="7"/>
      <c r="U14" s="7"/>
      <c r="V14" s="7"/>
      <c r="W14" s="7"/>
      <c r="X14" s="7">
        <v>1</v>
      </c>
      <c r="Y14" s="7">
        <v>75</v>
      </c>
      <c r="Z14" s="7"/>
      <c r="AA14" s="7"/>
      <c r="AB14" s="7"/>
      <c r="AC14" s="7"/>
      <c r="AD14" s="7"/>
      <c r="AE14" s="7"/>
      <c r="AF14" s="7"/>
      <c r="AG14" s="7"/>
      <c r="AH14" s="7"/>
      <c r="AI14" s="7"/>
      <c r="AJ14" s="7"/>
      <c r="AK14" s="7"/>
      <c r="AL14" s="7">
        <v>2</v>
      </c>
      <c r="AM14" s="7">
        <v>121</v>
      </c>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v>3</v>
      </c>
      <c r="CK14" s="7">
        <v>35</v>
      </c>
      <c r="CL14" s="7"/>
      <c r="CM14" s="7"/>
      <c r="CN14" s="8">
        <v>6</v>
      </c>
      <c r="CO14" s="8">
        <v>231</v>
      </c>
      <c r="CP14" s="45"/>
      <c r="CQ14" s="45"/>
    </row>
    <row r="15" spans="1:122">
      <c r="A15" s="5" t="s">
        <v>54</v>
      </c>
      <c r="B15" s="6">
        <v>2</v>
      </c>
      <c r="C15" s="6">
        <v>43</v>
      </c>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v>1</v>
      </c>
      <c r="BM15" s="7">
        <v>33</v>
      </c>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8">
        <v>3</v>
      </c>
      <c r="CO15" s="8">
        <v>76</v>
      </c>
      <c r="CP15" s="45"/>
      <c r="CQ15" s="45"/>
    </row>
    <row r="16" spans="1:122">
      <c r="A16" s="5" t="s">
        <v>55</v>
      </c>
      <c r="B16" s="6">
        <v>1</v>
      </c>
      <c r="C16" s="6">
        <v>12</v>
      </c>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8">
        <v>1</v>
      </c>
      <c r="CO16" s="8">
        <v>12</v>
      </c>
      <c r="CP16" s="45"/>
      <c r="CQ16" s="45"/>
    </row>
    <row r="17" spans="1:95">
      <c r="A17" s="5" t="s">
        <v>56</v>
      </c>
      <c r="B17" s="6">
        <v>11</v>
      </c>
      <c r="C17" s="6">
        <v>140</v>
      </c>
      <c r="D17" s="7"/>
      <c r="E17" s="7"/>
      <c r="F17" s="7"/>
      <c r="G17" s="7"/>
      <c r="H17" s="7"/>
      <c r="I17" s="7"/>
      <c r="J17" s="7"/>
      <c r="K17" s="7"/>
      <c r="L17" s="7"/>
      <c r="M17" s="7"/>
      <c r="N17" s="7"/>
      <c r="O17" s="7"/>
      <c r="P17" s="7"/>
      <c r="Q17" s="7"/>
      <c r="R17" s="7"/>
      <c r="S17" s="7"/>
      <c r="T17" s="7"/>
      <c r="U17" s="7"/>
      <c r="V17" s="7"/>
      <c r="W17" s="7"/>
      <c r="X17" s="7"/>
      <c r="Y17" s="7"/>
      <c r="Z17" s="7"/>
      <c r="AA17" s="7"/>
      <c r="AB17" s="7"/>
      <c r="AC17" s="7"/>
      <c r="AD17" s="7">
        <v>1</v>
      </c>
      <c r="AE17" s="7">
        <v>30</v>
      </c>
      <c r="AF17" s="7"/>
      <c r="AG17" s="7"/>
      <c r="AH17" s="7"/>
      <c r="AI17" s="7"/>
      <c r="AJ17" s="7"/>
      <c r="AK17" s="7"/>
      <c r="AL17" s="7"/>
      <c r="AM17" s="7"/>
      <c r="AN17" s="7">
        <v>1</v>
      </c>
      <c r="AO17" s="7">
        <v>38</v>
      </c>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8">
        <v>13</v>
      </c>
      <c r="CO17" s="8">
        <v>208</v>
      </c>
      <c r="CP17" s="45"/>
      <c r="CQ17" s="45"/>
    </row>
    <row r="18" spans="1:95">
      <c r="A18" s="5" t="s">
        <v>57</v>
      </c>
      <c r="B18" s="6">
        <v>4</v>
      </c>
      <c r="C18" s="6">
        <v>52</v>
      </c>
      <c r="D18" s="7">
        <v>19</v>
      </c>
      <c r="E18" s="7">
        <v>1440</v>
      </c>
      <c r="F18" s="7">
        <v>29</v>
      </c>
      <c r="G18" s="7">
        <v>4283</v>
      </c>
      <c r="H18" s="7">
        <v>25</v>
      </c>
      <c r="I18" s="7">
        <v>4156</v>
      </c>
      <c r="J18" s="7">
        <v>5</v>
      </c>
      <c r="K18" s="7">
        <v>973</v>
      </c>
      <c r="L18" s="7">
        <v>1</v>
      </c>
      <c r="M18" s="7">
        <v>13</v>
      </c>
      <c r="N18" s="7"/>
      <c r="O18" s="7"/>
      <c r="P18" s="7"/>
      <c r="Q18" s="7"/>
      <c r="R18" s="7">
        <v>1</v>
      </c>
      <c r="S18" s="7">
        <v>1118</v>
      </c>
      <c r="T18" s="7"/>
      <c r="U18" s="7"/>
      <c r="V18" s="7">
        <v>3</v>
      </c>
      <c r="W18" s="7">
        <v>81</v>
      </c>
      <c r="X18" s="7">
        <v>7</v>
      </c>
      <c r="Y18" s="7">
        <v>446</v>
      </c>
      <c r="Z18" s="7">
        <v>2</v>
      </c>
      <c r="AA18" s="7">
        <v>100</v>
      </c>
      <c r="AB18" s="7">
        <v>9</v>
      </c>
      <c r="AC18" s="7">
        <v>345</v>
      </c>
      <c r="AD18" s="7">
        <v>4</v>
      </c>
      <c r="AE18" s="7">
        <v>180</v>
      </c>
      <c r="AF18" s="7">
        <v>2</v>
      </c>
      <c r="AG18" s="7">
        <v>86</v>
      </c>
      <c r="AH18" s="7">
        <v>3</v>
      </c>
      <c r="AI18" s="7">
        <v>203</v>
      </c>
      <c r="AJ18" s="7">
        <v>12</v>
      </c>
      <c r="AK18" s="7">
        <v>2285</v>
      </c>
      <c r="AL18" s="7">
        <v>57</v>
      </c>
      <c r="AM18" s="7">
        <v>19644</v>
      </c>
      <c r="AN18" s="7">
        <v>40</v>
      </c>
      <c r="AO18" s="7">
        <v>11348</v>
      </c>
      <c r="AP18" s="7">
        <v>4</v>
      </c>
      <c r="AQ18" s="7">
        <v>572</v>
      </c>
      <c r="AR18" s="7">
        <v>1</v>
      </c>
      <c r="AS18" s="7">
        <v>262</v>
      </c>
      <c r="AT18" s="7"/>
      <c r="AU18" s="7"/>
      <c r="AV18" s="7">
        <v>2</v>
      </c>
      <c r="AW18" s="7">
        <v>159</v>
      </c>
      <c r="AX18" s="7">
        <v>19</v>
      </c>
      <c r="AY18" s="7">
        <v>8666</v>
      </c>
      <c r="AZ18" s="7">
        <v>7</v>
      </c>
      <c r="BA18" s="7">
        <v>3215</v>
      </c>
      <c r="BB18" s="7"/>
      <c r="BC18" s="7"/>
      <c r="BD18" s="7"/>
      <c r="BE18" s="7"/>
      <c r="BF18" s="7">
        <v>1</v>
      </c>
      <c r="BG18" s="7">
        <v>27</v>
      </c>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8">
        <v>257</v>
      </c>
      <c r="CO18" s="8">
        <v>59654</v>
      </c>
      <c r="CP18" s="45"/>
      <c r="CQ18" s="45"/>
    </row>
    <row r="19" spans="1:95">
      <c r="A19" s="5" t="s">
        <v>58</v>
      </c>
      <c r="B19" s="6">
        <v>2</v>
      </c>
      <c r="C19" s="6">
        <v>45</v>
      </c>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v>1</v>
      </c>
      <c r="CI19" s="7">
        <v>50</v>
      </c>
      <c r="CJ19" s="7">
        <v>1</v>
      </c>
      <c r="CK19" s="7">
        <v>12</v>
      </c>
      <c r="CL19" s="7"/>
      <c r="CM19" s="7"/>
      <c r="CN19" s="8">
        <v>4</v>
      </c>
      <c r="CO19" s="8">
        <v>107</v>
      </c>
      <c r="CP19" s="45"/>
      <c r="CQ19" s="45"/>
    </row>
    <row r="20" spans="1:95">
      <c r="A20" s="5" t="s">
        <v>59</v>
      </c>
      <c r="B20" s="6">
        <v>17</v>
      </c>
      <c r="C20" s="6">
        <v>271</v>
      </c>
      <c r="D20" s="7"/>
      <c r="E20" s="7"/>
      <c r="F20" s="7"/>
      <c r="G20" s="7"/>
      <c r="H20" s="7"/>
      <c r="I20" s="7"/>
      <c r="J20" s="7"/>
      <c r="K20" s="7"/>
      <c r="L20" s="7"/>
      <c r="M20" s="7"/>
      <c r="N20" s="7"/>
      <c r="O20" s="7"/>
      <c r="P20" s="7"/>
      <c r="Q20" s="7"/>
      <c r="R20" s="7"/>
      <c r="S20" s="7"/>
      <c r="T20" s="7"/>
      <c r="U20" s="7"/>
      <c r="V20" s="7"/>
      <c r="W20" s="7"/>
      <c r="X20" s="7"/>
      <c r="Y20" s="7"/>
      <c r="Z20" s="7"/>
      <c r="AA20" s="7"/>
      <c r="AB20" s="7">
        <v>1</v>
      </c>
      <c r="AC20" s="7">
        <v>41</v>
      </c>
      <c r="AD20" s="7"/>
      <c r="AE20" s="7"/>
      <c r="AF20" s="7"/>
      <c r="AG20" s="7"/>
      <c r="AH20" s="7"/>
      <c r="AI20" s="7"/>
      <c r="AJ20" s="7">
        <v>1</v>
      </c>
      <c r="AK20" s="7">
        <v>37</v>
      </c>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v>1</v>
      </c>
      <c r="CI20" s="7">
        <v>20</v>
      </c>
      <c r="CJ20" s="7">
        <v>1</v>
      </c>
      <c r="CK20" s="7">
        <v>16</v>
      </c>
      <c r="CL20" s="7"/>
      <c r="CM20" s="7"/>
      <c r="CN20" s="8">
        <v>21</v>
      </c>
      <c r="CO20" s="8">
        <v>385</v>
      </c>
      <c r="CP20" s="45"/>
      <c r="CQ20" s="45"/>
    </row>
    <row r="21" spans="1:95">
      <c r="A21" s="5" t="s">
        <v>60</v>
      </c>
      <c r="B21" s="6">
        <v>2</v>
      </c>
      <c r="C21" s="6">
        <v>32</v>
      </c>
      <c r="D21" s="7">
        <v>12</v>
      </c>
      <c r="E21" s="7">
        <v>654</v>
      </c>
      <c r="F21" s="7">
        <v>11</v>
      </c>
      <c r="G21" s="7">
        <v>579</v>
      </c>
      <c r="H21" s="7">
        <v>9</v>
      </c>
      <c r="I21" s="7">
        <v>1511</v>
      </c>
      <c r="J21" s="7"/>
      <c r="K21" s="7"/>
      <c r="L21" s="7"/>
      <c r="M21" s="7"/>
      <c r="N21" s="7"/>
      <c r="O21" s="7"/>
      <c r="P21" s="7"/>
      <c r="Q21" s="7"/>
      <c r="R21" s="7"/>
      <c r="S21" s="7"/>
      <c r="T21" s="7">
        <v>1</v>
      </c>
      <c r="U21" s="7">
        <v>68</v>
      </c>
      <c r="V21" s="7">
        <v>7</v>
      </c>
      <c r="W21" s="7">
        <v>543</v>
      </c>
      <c r="X21" s="7">
        <v>5</v>
      </c>
      <c r="Y21" s="7">
        <v>291</v>
      </c>
      <c r="Z21" s="7">
        <v>1</v>
      </c>
      <c r="AA21" s="7">
        <v>22</v>
      </c>
      <c r="AB21" s="7">
        <v>7</v>
      </c>
      <c r="AC21" s="7">
        <v>235</v>
      </c>
      <c r="AD21" s="7">
        <v>2</v>
      </c>
      <c r="AE21" s="7">
        <v>83</v>
      </c>
      <c r="AF21" s="7"/>
      <c r="AG21" s="7"/>
      <c r="AH21" s="7">
        <v>6</v>
      </c>
      <c r="AI21" s="7">
        <v>305</v>
      </c>
      <c r="AJ21" s="7">
        <v>2</v>
      </c>
      <c r="AK21" s="7">
        <v>322</v>
      </c>
      <c r="AL21" s="7">
        <v>18</v>
      </c>
      <c r="AM21" s="7">
        <v>4038</v>
      </c>
      <c r="AN21" s="7">
        <v>13</v>
      </c>
      <c r="AO21" s="7">
        <v>3558</v>
      </c>
      <c r="AP21" s="7">
        <v>2</v>
      </c>
      <c r="AQ21" s="7">
        <v>437</v>
      </c>
      <c r="AR21" s="7"/>
      <c r="AS21" s="7"/>
      <c r="AT21" s="7">
        <v>2</v>
      </c>
      <c r="AU21" s="7">
        <v>106</v>
      </c>
      <c r="AV21" s="7">
        <v>1</v>
      </c>
      <c r="AW21" s="7">
        <v>155</v>
      </c>
      <c r="AX21" s="7">
        <v>6</v>
      </c>
      <c r="AY21" s="7">
        <v>1690</v>
      </c>
      <c r="AZ21" s="7">
        <v>7</v>
      </c>
      <c r="BA21" s="7">
        <v>3638</v>
      </c>
      <c r="BB21" s="7">
        <v>1</v>
      </c>
      <c r="BC21" s="7">
        <v>64</v>
      </c>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v>1</v>
      </c>
      <c r="CI21" s="7">
        <v>36</v>
      </c>
      <c r="CJ21" s="7"/>
      <c r="CK21" s="7"/>
      <c r="CL21" s="7"/>
      <c r="CM21" s="7"/>
      <c r="CN21" s="8">
        <v>116</v>
      </c>
      <c r="CO21" s="8">
        <v>18367</v>
      </c>
      <c r="CP21" s="45"/>
      <c r="CQ21" s="45"/>
    </row>
    <row r="22" spans="1:95">
      <c r="A22" s="5" t="s">
        <v>61</v>
      </c>
      <c r="B22" s="6"/>
      <c r="C22" s="6"/>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v>1</v>
      </c>
      <c r="CK22" s="7">
        <v>16</v>
      </c>
      <c r="CL22" s="7"/>
      <c r="CM22" s="7"/>
      <c r="CN22" s="8">
        <v>1</v>
      </c>
      <c r="CO22" s="8">
        <v>16</v>
      </c>
      <c r="CP22" s="45"/>
      <c r="CQ22" s="45"/>
    </row>
    <row r="23" spans="1:95">
      <c r="A23" s="5" t="s">
        <v>62</v>
      </c>
      <c r="B23" s="6">
        <v>1</v>
      </c>
      <c r="C23" s="6">
        <v>16</v>
      </c>
      <c r="D23" s="7"/>
      <c r="E23" s="7"/>
      <c r="F23" s="7"/>
      <c r="G23" s="7"/>
      <c r="H23" s="7"/>
      <c r="I23" s="7"/>
      <c r="J23" s="7"/>
      <c r="K23" s="7"/>
      <c r="L23" s="7"/>
      <c r="M23" s="7"/>
      <c r="N23" s="7"/>
      <c r="O23" s="7"/>
      <c r="P23" s="7"/>
      <c r="Q23" s="7"/>
      <c r="R23" s="7"/>
      <c r="S23" s="7"/>
      <c r="T23" s="7">
        <v>1</v>
      </c>
      <c r="U23" s="7">
        <v>17</v>
      </c>
      <c r="V23" s="7">
        <v>1</v>
      </c>
      <c r="W23" s="7">
        <v>14</v>
      </c>
      <c r="X23" s="7"/>
      <c r="Y23" s="7"/>
      <c r="Z23" s="7"/>
      <c r="AA23" s="7"/>
      <c r="AB23" s="7"/>
      <c r="AC23" s="7"/>
      <c r="AD23" s="7"/>
      <c r="AE23" s="7"/>
      <c r="AF23" s="7"/>
      <c r="AG23" s="7"/>
      <c r="AH23" s="7"/>
      <c r="AI23" s="7"/>
      <c r="AJ23" s="7"/>
      <c r="AK23" s="7"/>
      <c r="AL23" s="7">
        <v>1</v>
      </c>
      <c r="AM23" s="7">
        <v>79</v>
      </c>
      <c r="AN23" s="7">
        <v>1</v>
      </c>
      <c r="AO23" s="7">
        <v>165</v>
      </c>
      <c r="AP23" s="7"/>
      <c r="AQ23" s="7"/>
      <c r="AR23" s="7"/>
      <c r="AS23" s="7"/>
      <c r="AT23" s="7"/>
      <c r="AU23" s="7"/>
      <c r="AV23" s="7"/>
      <c r="AW23" s="7"/>
      <c r="AX23" s="7"/>
      <c r="AY23" s="7"/>
      <c r="AZ23" s="7"/>
      <c r="BA23" s="7"/>
      <c r="BB23" s="7"/>
      <c r="BC23" s="7"/>
      <c r="BD23" s="7"/>
      <c r="BE23" s="7"/>
      <c r="BF23" s="7"/>
      <c r="BG23" s="7"/>
      <c r="BH23" s="7"/>
      <c r="BI23" s="7"/>
      <c r="BJ23" s="7"/>
      <c r="BK23" s="7"/>
      <c r="BL23" s="7">
        <v>1</v>
      </c>
      <c r="BM23" s="7">
        <v>123</v>
      </c>
      <c r="BN23" s="7"/>
      <c r="BO23" s="7"/>
      <c r="BP23" s="7"/>
      <c r="BQ23" s="7"/>
      <c r="BR23" s="7"/>
      <c r="BS23" s="7"/>
      <c r="BT23" s="7"/>
      <c r="BU23" s="7"/>
      <c r="BV23" s="7"/>
      <c r="BW23" s="7"/>
      <c r="BX23" s="7"/>
      <c r="BY23" s="7"/>
      <c r="BZ23" s="7"/>
      <c r="CA23" s="7"/>
      <c r="CB23" s="7"/>
      <c r="CC23" s="7"/>
      <c r="CD23" s="7"/>
      <c r="CE23" s="7"/>
      <c r="CF23" s="7"/>
      <c r="CG23" s="7"/>
      <c r="CH23" s="7"/>
      <c r="CI23" s="7"/>
      <c r="CJ23" s="7">
        <v>1</v>
      </c>
      <c r="CK23" s="7">
        <v>16</v>
      </c>
      <c r="CL23" s="7"/>
      <c r="CM23" s="7"/>
      <c r="CN23" s="8">
        <v>7</v>
      </c>
      <c r="CO23" s="8">
        <v>430</v>
      </c>
      <c r="CP23" s="45"/>
      <c r="CQ23" s="45"/>
    </row>
    <row r="24" spans="1:95">
      <c r="A24" s="5" t="s">
        <v>63</v>
      </c>
      <c r="B24" s="6">
        <v>6</v>
      </c>
      <c r="C24" s="6">
        <v>105</v>
      </c>
      <c r="D24" s="7"/>
      <c r="E24" s="7"/>
      <c r="F24" s="7"/>
      <c r="G24" s="7"/>
      <c r="H24" s="7"/>
      <c r="I24" s="7"/>
      <c r="J24" s="7"/>
      <c r="K24" s="7"/>
      <c r="L24" s="7"/>
      <c r="M24" s="7"/>
      <c r="N24" s="7"/>
      <c r="O24" s="7"/>
      <c r="P24" s="7"/>
      <c r="Q24" s="7"/>
      <c r="R24" s="7"/>
      <c r="S24" s="7"/>
      <c r="T24" s="7"/>
      <c r="U24" s="7"/>
      <c r="V24" s="7">
        <v>1</v>
      </c>
      <c r="W24" s="7">
        <v>16</v>
      </c>
      <c r="X24" s="7"/>
      <c r="Y24" s="7"/>
      <c r="Z24" s="7"/>
      <c r="AA24" s="7"/>
      <c r="AB24" s="7"/>
      <c r="AC24" s="7"/>
      <c r="AD24" s="7"/>
      <c r="AE24" s="7"/>
      <c r="AF24" s="7"/>
      <c r="AG24" s="7"/>
      <c r="AH24" s="7"/>
      <c r="AI24" s="7"/>
      <c r="AJ24" s="7"/>
      <c r="AK24" s="7"/>
      <c r="AL24" s="7"/>
      <c r="AM24" s="7"/>
      <c r="AN24" s="7">
        <v>1</v>
      </c>
      <c r="AO24" s="7">
        <v>37</v>
      </c>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8">
        <v>8</v>
      </c>
      <c r="CO24" s="8">
        <v>158</v>
      </c>
      <c r="CP24" s="45"/>
      <c r="CQ24" s="45"/>
    </row>
    <row r="25" spans="1:95">
      <c r="A25" s="5" t="s">
        <v>64</v>
      </c>
      <c r="B25" s="6">
        <v>1</v>
      </c>
      <c r="C25" s="6">
        <v>10</v>
      </c>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v>1</v>
      </c>
      <c r="AO25" s="7">
        <v>103</v>
      </c>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v>2</v>
      </c>
      <c r="CK25" s="7">
        <v>26</v>
      </c>
      <c r="CL25" s="7"/>
      <c r="CM25" s="7"/>
      <c r="CN25" s="8">
        <v>4</v>
      </c>
      <c r="CO25" s="8">
        <v>139</v>
      </c>
      <c r="CP25" s="45"/>
      <c r="CQ25" s="45"/>
    </row>
    <row r="26" spans="1:95">
      <c r="A26" s="5" t="s">
        <v>65</v>
      </c>
      <c r="B26" s="6">
        <v>9</v>
      </c>
      <c r="C26" s="6">
        <v>121</v>
      </c>
      <c r="D26" s="7">
        <v>11</v>
      </c>
      <c r="E26" s="7">
        <v>330</v>
      </c>
      <c r="F26" s="7">
        <v>13</v>
      </c>
      <c r="G26" s="7">
        <v>1226</v>
      </c>
      <c r="H26" s="7">
        <v>3</v>
      </c>
      <c r="I26" s="7">
        <v>549</v>
      </c>
      <c r="J26" s="7"/>
      <c r="K26" s="7"/>
      <c r="L26" s="7"/>
      <c r="M26" s="7"/>
      <c r="N26" s="7"/>
      <c r="O26" s="7"/>
      <c r="P26" s="7"/>
      <c r="Q26" s="7"/>
      <c r="R26" s="7"/>
      <c r="S26" s="7"/>
      <c r="T26" s="7"/>
      <c r="U26" s="7"/>
      <c r="V26" s="7">
        <v>1</v>
      </c>
      <c r="W26" s="7">
        <v>35</v>
      </c>
      <c r="X26" s="7"/>
      <c r="Y26" s="7"/>
      <c r="Z26" s="7"/>
      <c r="AA26" s="7"/>
      <c r="AB26" s="7">
        <v>2</v>
      </c>
      <c r="AC26" s="7">
        <v>75</v>
      </c>
      <c r="AD26" s="7"/>
      <c r="AE26" s="7"/>
      <c r="AF26" s="7"/>
      <c r="AG26" s="7"/>
      <c r="AH26" s="7">
        <v>1</v>
      </c>
      <c r="AI26" s="7">
        <v>48</v>
      </c>
      <c r="AJ26" s="7">
        <v>2</v>
      </c>
      <c r="AK26" s="7">
        <v>152</v>
      </c>
      <c r="AL26" s="7">
        <v>5</v>
      </c>
      <c r="AM26" s="7">
        <v>1612</v>
      </c>
      <c r="AN26" s="7">
        <v>3</v>
      </c>
      <c r="AO26" s="7">
        <v>1419</v>
      </c>
      <c r="AP26" s="7">
        <v>1</v>
      </c>
      <c r="AQ26" s="7">
        <v>20</v>
      </c>
      <c r="AR26" s="7"/>
      <c r="AS26" s="7"/>
      <c r="AT26" s="7"/>
      <c r="AU26" s="7"/>
      <c r="AV26" s="7"/>
      <c r="AW26" s="7"/>
      <c r="AX26" s="7"/>
      <c r="AY26" s="7"/>
      <c r="AZ26" s="7">
        <v>1</v>
      </c>
      <c r="BA26" s="7">
        <v>606</v>
      </c>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v>3</v>
      </c>
      <c r="CI26" s="7">
        <v>83</v>
      </c>
      <c r="CJ26" s="7"/>
      <c r="CK26" s="7"/>
      <c r="CL26" s="7"/>
      <c r="CM26" s="7"/>
      <c r="CN26" s="8">
        <v>55</v>
      </c>
      <c r="CO26" s="8">
        <v>6276</v>
      </c>
      <c r="CP26" s="45"/>
      <c r="CQ26" s="45"/>
    </row>
    <row r="27" spans="1:95">
      <c r="A27" s="5" t="s">
        <v>66</v>
      </c>
      <c r="B27" s="6">
        <v>2</v>
      </c>
      <c r="C27" s="6">
        <v>25</v>
      </c>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v>2</v>
      </c>
      <c r="BA27" s="7">
        <v>62</v>
      </c>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v>2</v>
      </c>
      <c r="CK27" s="7">
        <v>29</v>
      </c>
      <c r="CL27" s="7"/>
      <c r="CM27" s="7"/>
      <c r="CN27" s="8">
        <v>6</v>
      </c>
      <c r="CO27" s="8">
        <v>116</v>
      </c>
      <c r="CP27" s="45"/>
      <c r="CQ27" s="45"/>
    </row>
    <row r="28" spans="1:95">
      <c r="A28" s="5" t="s">
        <v>67</v>
      </c>
      <c r="B28" s="6">
        <v>1</v>
      </c>
      <c r="C28" s="6">
        <v>6</v>
      </c>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v>1</v>
      </c>
      <c r="CI28" s="7">
        <v>30</v>
      </c>
      <c r="CJ28" s="7"/>
      <c r="CK28" s="7"/>
      <c r="CL28" s="7"/>
      <c r="CM28" s="7"/>
      <c r="CN28" s="8">
        <v>2</v>
      </c>
      <c r="CO28" s="8">
        <v>36</v>
      </c>
      <c r="CP28" s="45"/>
      <c r="CQ28" s="45"/>
    </row>
    <row r="29" spans="1:95">
      <c r="A29" s="5" t="s">
        <v>68</v>
      </c>
      <c r="B29" s="6">
        <v>2</v>
      </c>
      <c r="C29" s="6">
        <v>38</v>
      </c>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8">
        <v>2</v>
      </c>
      <c r="CO29" s="8">
        <v>38</v>
      </c>
      <c r="CP29" s="45"/>
      <c r="CQ29" s="45"/>
    </row>
    <row r="30" spans="1:95">
      <c r="A30" s="5" t="s">
        <v>69</v>
      </c>
      <c r="B30" s="6">
        <v>1</v>
      </c>
      <c r="C30" s="6">
        <v>9</v>
      </c>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v>1</v>
      </c>
      <c r="CK30" s="7">
        <v>16</v>
      </c>
      <c r="CL30" s="7"/>
      <c r="CM30" s="7"/>
      <c r="CN30" s="8">
        <v>2</v>
      </c>
      <c r="CO30" s="8">
        <v>25</v>
      </c>
      <c r="CP30" s="45"/>
      <c r="CQ30" s="45"/>
    </row>
    <row r="31" spans="1:95">
      <c r="A31" s="5" t="s">
        <v>177</v>
      </c>
      <c r="B31" s="6"/>
      <c r="C31" s="6"/>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v>2</v>
      </c>
      <c r="CK31" s="7">
        <v>18</v>
      </c>
      <c r="CL31" s="7"/>
      <c r="CM31" s="7"/>
      <c r="CN31" s="8">
        <v>2</v>
      </c>
      <c r="CO31" s="8">
        <v>18</v>
      </c>
      <c r="CP31" s="45"/>
      <c r="CQ31" s="45"/>
    </row>
    <row r="32" spans="1:95">
      <c r="A32" s="5" t="s">
        <v>71</v>
      </c>
      <c r="B32" s="6">
        <v>14</v>
      </c>
      <c r="C32" s="6">
        <v>171</v>
      </c>
      <c r="D32" s="7">
        <v>1</v>
      </c>
      <c r="E32" s="7">
        <v>120</v>
      </c>
      <c r="F32" s="7"/>
      <c r="G32" s="7"/>
      <c r="H32" s="7"/>
      <c r="I32" s="7"/>
      <c r="J32" s="7">
        <v>1</v>
      </c>
      <c r="K32" s="7">
        <v>936</v>
      </c>
      <c r="L32" s="7"/>
      <c r="M32" s="7"/>
      <c r="N32" s="7"/>
      <c r="O32" s="7"/>
      <c r="P32" s="7">
        <v>1</v>
      </c>
      <c r="Q32" s="7">
        <v>660</v>
      </c>
      <c r="R32" s="7"/>
      <c r="S32" s="7"/>
      <c r="T32" s="7">
        <v>1</v>
      </c>
      <c r="U32" s="7">
        <v>20</v>
      </c>
      <c r="V32" s="7">
        <v>3</v>
      </c>
      <c r="W32" s="7">
        <v>161</v>
      </c>
      <c r="X32" s="7"/>
      <c r="Y32" s="7"/>
      <c r="Z32" s="7"/>
      <c r="AA32" s="7"/>
      <c r="AB32" s="7">
        <v>3</v>
      </c>
      <c r="AC32" s="7">
        <v>153</v>
      </c>
      <c r="AD32" s="7">
        <v>2</v>
      </c>
      <c r="AE32" s="7">
        <v>80</v>
      </c>
      <c r="AF32" s="7"/>
      <c r="AG32" s="7"/>
      <c r="AH32" s="7"/>
      <c r="AI32" s="7"/>
      <c r="AJ32" s="7">
        <v>9</v>
      </c>
      <c r="AK32" s="7">
        <v>2109</v>
      </c>
      <c r="AL32" s="7">
        <v>21</v>
      </c>
      <c r="AM32" s="7">
        <v>6466</v>
      </c>
      <c r="AN32" s="7">
        <v>2</v>
      </c>
      <c r="AO32" s="7">
        <v>1004</v>
      </c>
      <c r="AP32" s="7">
        <v>2</v>
      </c>
      <c r="AQ32" s="7">
        <v>493</v>
      </c>
      <c r="AR32" s="7"/>
      <c r="AS32" s="7"/>
      <c r="AT32" s="7"/>
      <c r="AU32" s="7"/>
      <c r="AV32" s="7"/>
      <c r="AW32" s="7"/>
      <c r="AX32" s="7">
        <v>1</v>
      </c>
      <c r="AY32" s="7">
        <v>346</v>
      </c>
      <c r="AZ32" s="7">
        <v>1</v>
      </c>
      <c r="BA32" s="7">
        <v>164</v>
      </c>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v>1</v>
      </c>
      <c r="CI32" s="7">
        <v>4</v>
      </c>
      <c r="CJ32" s="7"/>
      <c r="CK32" s="7"/>
      <c r="CL32" s="7"/>
      <c r="CM32" s="7"/>
      <c r="CN32" s="8">
        <v>63</v>
      </c>
      <c r="CO32" s="8">
        <v>12887</v>
      </c>
      <c r="CP32" s="45"/>
      <c r="CQ32" s="45"/>
    </row>
    <row r="33" spans="1:95">
      <c r="A33" s="5" t="s">
        <v>72</v>
      </c>
      <c r="B33" s="6">
        <v>19</v>
      </c>
      <c r="C33" s="6">
        <v>252</v>
      </c>
      <c r="D33" s="7">
        <v>5</v>
      </c>
      <c r="E33" s="7">
        <v>1063</v>
      </c>
      <c r="F33" s="7">
        <v>6</v>
      </c>
      <c r="G33" s="7">
        <v>579</v>
      </c>
      <c r="H33" s="7">
        <v>3</v>
      </c>
      <c r="I33" s="7">
        <v>123</v>
      </c>
      <c r="J33" s="7"/>
      <c r="K33" s="7"/>
      <c r="L33" s="7">
        <v>3</v>
      </c>
      <c r="M33" s="7">
        <v>94</v>
      </c>
      <c r="N33" s="7"/>
      <c r="O33" s="7"/>
      <c r="P33" s="7"/>
      <c r="Q33" s="7"/>
      <c r="R33" s="7"/>
      <c r="S33" s="7"/>
      <c r="T33" s="7"/>
      <c r="U33" s="7"/>
      <c r="V33" s="7">
        <v>1</v>
      </c>
      <c r="W33" s="7">
        <v>111</v>
      </c>
      <c r="X33" s="7">
        <v>1</v>
      </c>
      <c r="Y33" s="7">
        <v>46</v>
      </c>
      <c r="Z33" s="7"/>
      <c r="AA33" s="7"/>
      <c r="AB33" s="7"/>
      <c r="AC33" s="7"/>
      <c r="AD33" s="7"/>
      <c r="AE33" s="7"/>
      <c r="AF33" s="7"/>
      <c r="AG33" s="7"/>
      <c r="AH33" s="7">
        <v>1</v>
      </c>
      <c r="AI33" s="7">
        <v>222</v>
      </c>
      <c r="AJ33" s="7">
        <v>2</v>
      </c>
      <c r="AK33" s="7">
        <v>441</v>
      </c>
      <c r="AL33" s="7">
        <v>14</v>
      </c>
      <c r="AM33" s="7">
        <v>5461</v>
      </c>
      <c r="AN33" s="7">
        <v>2</v>
      </c>
      <c r="AO33" s="7">
        <v>695</v>
      </c>
      <c r="AP33" s="7"/>
      <c r="AQ33" s="7"/>
      <c r="AR33" s="7"/>
      <c r="AS33" s="7"/>
      <c r="AT33" s="7"/>
      <c r="AU33" s="7"/>
      <c r="AV33" s="7"/>
      <c r="AW33" s="7"/>
      <c r="AX33" s="7">
        <v>4</v>
      </c>
      <c r="AY33" s="7">
        <v>2612</v>
      </c>
      <c r="AZ33" s="7">
        <v>2</v>
      </c>
      <c r="BA33" s="7">
        <v>2957</v>
      </c>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v>3</v>
      </c>
      <c r="CI33" s="7">
        <v>98</v>
      </c>
      <c r="CJ33" s="7"/>
      <c r="CK33" s="7"/>
      <c r="CL33" s="7"/>
      <c r="CM33" s="7"/>
      <c r="CN33" s="8">
        <v>66</v>
      </c>
      <c r="CO33" s="8">
        <v>14754</v>
      </c>
      <c r="CP33" s="45"/>
      <c r="CQ33" s="45"/>
    </row>
    <row r="34" spans="1:95">
      <c r="A34" s="5" t="s">
        <v>73</v>
      </c>
      <c r="B34" s="6">
        <v>3</v>
      </c>
      <c r="C34" s="6">
        <v>22</v>
      </c>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v>1</v>
      </c>
      <c r="CK34" s="7">
        <v>16</v>
      </c>
      <c r="CL34" s="7"/>
      <c r="CM34" s="7"/>
      <c r="CN34" s="8">
        <v>4</v>
      </c>
      <c r="CO34" s="8">
        <v>38</v>
      </c>
      <c r="CP34" s="45"/>
      <c r="CQ34" s="45"/>
    </row>
    <row r="35" spans="1:95">
      <c r="A35" s="5" t="s">
        <v>74</v>
      </c>
      <c r="B35" s="6">
        <v>1</v>
      </c>
      <c r="C35" s="6">
        <v>16</v>
      </c>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8">
        <v>1</v>
      </c>
      <c r="CO35" s="8">
        <v>16</v>
      </c>
      <c r="CP35" s="45"/>
      <c r="CQ35" s="45"/>
    </row>
    <row r="36" spans="1:95">
      <c r="A36" s="5" t="s">
        <v>75</v>
      </c>
      <c r="B36" s="6">
        <v>3</v>
      </c>
      <c r="C36" s="6">
        <v>38</v>
      </c>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v>2</v>
      </c>
      <c r="CI36" s="7">
        <v>95</v>
      </c>
      <c r="CJ36" s="7"/>
      <c r="CK36" s="7"/>
      <c r="CL36" s="7"/>
      <c r="CM36" s="7"/>
      <c r="CN36" s="8">
        <v>5</v>
      </c>
      <c r="CO36" s="8">
        <v>133</v>
      </c>
      <c r="CP36" s="45"/>
      <c r="CQ36" s="45"/>
    </row>
    <row r="37" spans="1:95">
      <c r="A37" s="5" t="s">
        <v>76</v>
      </c>
      <c r="B37" s="6"/>
      <c r="C37" s="6"/>
      <c r="D37" s="7"/>
      <c r="E37" s="7"/>
      <c r="F37" s="7">
        <v>2</v>
      </c>
      <c r="G37" s="7">
        <v>426</v>
      </c>
      <c r="H37" s="7">
        <v>8</v>
      </c>
      <c r="I37" s="7">
        <v>1262</v>
      </c>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v>3</v>
      </c>
      <c r="AM37" s="7">
        <v>817</v>
      </c>
      <c r="AN37" s="7">
        <v>7</v>
      </c>
      <c r="AO37" s="7">
        <v>3893</v>
      </c>
      <c r="AP37" s="7">
        <v>1</v>
      </c>
      <c r="AQ37" s="7">
        <v>268</v>
      </c>
      <c r="AR37" s="7"/>
      <c r="AS37" s="7"/>
      <c r="AT37" s="7"/>
      <c r="AU37" s="7"/>
      <c r="AV37" s="7"/>
      <c r="AW37" s="7"/>
      <c r="AX37" s="7">
        <v>7</v>
      </c>
      <c r="AY37" s="7">
        <v>4139</v>
      </c>
      <c r="AZ37" s="7">
        <v>9</v>
      </c>
      <c r="BA37" s="7">
        <v>4968</v>
      </c>
      <c r="BB37" s="7">
        <v>1</v>
      </c>
      <c r="BC37" s="7">
        <v>272</v>
      </c>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v>1</v>
      </c>
      <c r="CI37" s="7">
        <v>30</v>
      </c>
      <c r="CJ37" s="7"/>
      <c r="CK37" s="7"/>
      <c r="CL37" s="7">
        <v>1</v>
      </c>
      <c r="CM37" s="7">
        <v>500</v>
      </c>
      <c r="CN37" s="8">
        <v>40</v>
      </c>
      <c r="CO37" s="8">
        <v>16575</v>
      </c>
      <c r="CP37" s="45"/>
      <c r="CQ37" s="45"/>
    </row>
    <row r="38" spans="1:95">
      <c r="A38" s="5" t="s">
        <v>77</v>
      </c>
      <c r="B38" s="6"/>
      <c r="C38" s="6"/>
      <c r="D38" s="7">
        <v>5</v>
      </c>
      <c r="E38" s="7">
        <v>356</v>
      </c>
      <c r="F38" s="7">
        <v>7</v>
      </c>
      <c r="G38" s="7">
        <v>942</v>
      </c>
      <c r="H38" s="7">
        <v>8</v>
      </c>
      <c r="I38" s="7">
        <v>930</v>
      </c>
      <c r="J38" s="7"/>
      <c r="K38" s="7"/>
      <c r="L38" s="7">
        <v>7</v>
      </c>
      <c r="M38" s="7">
        <v>228</v>
      </c>
      <c r="N38" s="7"/>
      <c r="O38" s="7"/>
      <c r="P38" s="7"/>
      <c r="Q38" s="7"/>
      <c r="R38" s="7"/>
      <c r="S38" s="7"/>
      <c r="T38" s="7">
        <v>1</v>
      </c>
      <c r="U38" s="7">
        <v>12</v>
      </c>
      <c r="V38" s="7">
        <v>6</v>
      </c>
      <c r="W38" s="7">
        <v>201</v>
      </c>
      <c r="X38" s="7">
        <v>5</v>
      </c>
      <c r="Y38" s="7">
        <v>389</v>
      </c>
      <c r="Z38" s="7">
        <v>1</v>
      </c>
      <c r="AA38" s="7">
        <v>118</v>
      </c>
      <c r="AB38" s="7">
        <v>19</v>
      </c>
      <c r="AC38" s="7">
        <v>776</v>
      </c>
      <c r="AD38" s="7">
        <v>9</v>
      </c>
      <c r="AE38" s="7">
        <v>427</v>
      </c>
      <c r="AF38" s="7"/>
      <c r="AG38" s="7"/>
      <c r="AH38" s="7">
        <v>10</v>
      </c>
      <c r="AI38" s="7">
        <v>834</v>
      </c>
      <c r="AJ38" s="7">
        <v>14</v>
      </c>
      <c r="AK38" s="7">
        <v>1870</v>
      </c>
      <c r="AL38" s="7">
        <v>68</v>
      </c>
      <c r="AM38" s="7">
        <v>19993</v>
      </c>
      <c r="AN38" s="7">
        <v>42</v>
      </c>
      <c r="AO38" s="7">
        <v>10202</v>
      </c>
      <c r="AP38" s="7">
        <v>4</v>
      </c>
      <c r="AQ38" s="7">
        <v>810</v>
      </c>
      <c r="AR38" s="7">
        <v>2</v>
      </c>
      <c r="AS38" s="7">
        <v>637</v>
      </c>
      <c r="AT38" s="7"/>
      <c r="AU38" s="7"/>
      <c r="AV38" s="7">
        <v>3</v>
      </c>
      <c r="AW38" s="7">
        <v>355</v>
      </c>
      <c r="AX38" s="7">
        <v>6</v>
      </c>
      <c r="AY38" s="7">
        <v>1615</v>
      </c>
      <c r="AZ38" s="7">
        <v>5</v>
      </c>
      <c r="BA38" s="7">
        <v>2475</v>
      </c>
      <c r="BB38" s="7"/>
      <c r="BC38" s="7"/>
      <c r="BD38" s="7"/>
      <c r="BE38" s="7"/>
      <c r="BF38" s="7">
        <v>1</v>
      </c>
      <c r="BG38" s="7">
        <v>19</v>
      </c>
      <c r="BH38" s="7">
        <v>1</v>
      </c>
      <c r="BI38" s="7">
        <v>67</v>
      </c>
      <c r="BJ38" s="7">
        <v>2</v>
      </c>
      <c r="BK38" s="7">
        <v>239</v>
      </c>
      <c r="BL38" s="7"/>
      <c r="BM38" s="7"/>
      <c r="BN38" s="7"/>
      <c r="BO38" s="7"/>
      <c r="BP38" s="7"/>
      <c r="BQ38" s="7"/>
      <c r="BR38" s="7"/>
      <c r="BS38" s="7"/>
      <c r="BT38" s="7"/>
      <c r="BU38" s="7"/>
      <c r="BV38" s="7"/>
      <c r="BW38" s="7"/>
      <c r="BX38" s="7"/>
      <c r="BY38" s="7"/>
      <c r="BZ38" s="7"/>
      <c r="CA38" s="7"/>
      <c r="CB38" s="7"/>
      <c r="CC38" s="7"/>
      <c r="CD38" s="7"/>
      <c r="CE38" s="7"/>
      <c r="CF38" s="7"/>
      <c r="CG38" s="7"/>
      <c r="CH38" s="7">
        <v>1</v>
      </c>
      <c r="CI38" s="7">
        <v>41</v>
      </c>
      <c r="CJ38" s="7">
        <v>2</v>
      </c>
      <c r="CK38" s="7">
        <v>39</v>
      </c>
      <c r="CL38" s="7"/>
      <c r="CM38" s="7"/>
      <c r="CN38" s="8">
        <v>229</v>
      </c>
      <c r="CO38" s="8">
        <v>43575</v>
      </c>
      <c r="CP38" s="45"/>
      <c r="CQ38" s="45"/>
    </row>
    <row r="39" spans="1:95">
      <c r="A39" s="5" t="s">
        <v>78</v>
      </c>
      <c r="B39" s="6">
        <v>3</v>
      </c>
      <c r="C39" s="6">
        <v>40</v>
      </c>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v>1</v>
      </c>
      <c r="CK39" s="7">
        <v>6</v>
      </c>
      <c r="CL39" s="7"/>
      <c r="CM39" s="7"/>
      <c r="CN39" s="8">
        <v>4</v>
      </c>
      <c r="CO39" s="8">
        <v>46</v>
      </c>
      <c r="CP39" s="45"/>
      <c r="CQ39" s="45"/>
    </row>
    <row r="40" spans="1:95">
      <c r="A40" s="5" t="s">
        <v>178</v>
      </c>
      <c r="B40" s="6">
        <v>2</v>
      </c>
      <c r="C40" s="6">
        <v>28</v>
      </c>
      <c r="D40" s="7"/>
      <c r="E40" s="7"/>
      <c r="F40" s="7"/>
      <c r="G40" s="7"/>
      <c r="H40" s="7"/>
      <c r="I40" s="7"/>
      <c r="J40" s="7"/>
      <c r="K40" s="7"/>
      <c r="L40" s="7"/>
      <c r="M40" s="7"/>
      <c r="N40" s="7"/>
      <c r="O40" s="7"/>
      <c r="P40" s="7"/>
      <c r="Q40" s="7"/>
      <c r="R40" s="7"/>
      <c r="S40" s="7"/>
      <c r="T40" s="7">
        <v>1</v>
      </c>
      <c r="U40" s="7">
        <v>11</v>
      </c>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8">
        <v>3</v>
      </c>
      <c r="CO40" s="8">
        <v>39</v>
      </c>
      <c r="CP40" s="45"/>
      <c r="CQ40" s="45"/>
    </row>
    <row r="41" spans="1:95">
      <c r="A41" s="5" t="s">
        <v>79</v>
      </c>
      <c r="B41" s="6">
        <v>6</v>
      </c>
      <c r="C41" s="6">
        <v>86</v>
      </c>
      <c r="D41" s="7">
        <v>8</v>
      </c>
      <c r="E41" s="7">
        <v>355</v>
      </c>
      <c r="F41" s="7">
        <v>10</v>
      </c>
      <c r="G41" s="7">
        <v>601</v>
      </c>
      <c r="H41" s="7">
        <v>14</v>
      </c>
      <c r="I41" s="7">
        <v>1438</v>
      </c>
      <c r="J41" s="7"/>
      <c r="K41" s="7"/>
      <c r="L41" s="7"/>
      <c r="M41" s="7"/>
      <c r="N41" s="7"/>
      <c r="O41" s="7"/>
      <c r="P41" s="7"/>
      <c r="Q41" s="7"/>
      <c r="R41" s="7"/>
      <c r="S41" s="7"/>
      <c r="T41" s="7"/>
      <c r="U41" s="7"/>
      <c r="V41" s="7">
        <v>1</v>
      </c>
      <c r="W41" s="7">
        <v>60</v>
      </c>
      <c r="X41" s="7">
        <v>3</v>
      </c>
      <c r="Y41" s="7">
        <v>127</v>
      </c>
      <c r="Z41" s="7"/>
      <c r="AA41" s="7"/>
      <c r="AB41" s="7">
        <v>1</v>
      </c>
      <c r="AC41" s="7">
        <v>48</v>
      </c>
      <c r="AD41" s="7">
        <v>3</v>
      </c>
      <c r="AE41" s="7">
        <v>167</v>
      </c>
      <c r="AF41" s="7"/>
      <c r="AG41" s="7"/>
      <c r="AH41" s="7">
        <v>1</v>
      </c>
      <c r="AI41" s="7">
        <v>47</v>
      </c>
      <c r="AJ41" s="7">
        <v>2</v>
      </c>
      <c r="AK41" s="7">
        <v>190</v>
      </c>
      <c r="AL41" s="7">
        <v>8</v>
      </c>
      <c r="AM41" s="7">
        <v>1651</v>
      </c>
      <c r="AN41" s="7">
        <v>3</v>
      </c>
      <c r="AO41" s="7">
        <v>470</v>
      </c>
      <c r="AP41" s="7">
        <v>3</v>
      </c>
      <c r="AQ41" s="7">
        <v>329</v>
      </c>
      <c r="AR41" s="7"/>
      <c r="AS41" s="7"/>
      <c r="AT41" s="7"/>
      <c r="AU41" s="7"/>
      <c r="AV41" s="7"/>
      <c r="AW41" s="7"/>
      <c r="AX41" s="7">
        <v>3</v>
      </c>
      <c r="AY41" s="7">
        <v>721</v>
      </c>
      <c r="AZ41" s="7">
        <v>4</v>
      </c>
      <c r="BA41" s="7">
        <v>849</v>
      </c>
      <c r="BB41" s="7"/>
      <c r="BC41" s="7"/>
      <c r="BD41" s="7"/>
      <c r="BE41" s="7"/>
      <c r="BF41" s="7">
        <v>1</v>
      </c>
      <c r="BG41" s="7">
        <v>39</v>
      </c>
      <c r="BH41" s="7"/>
      <c r="BI41" s="7"/>
      <c r="BJ41" s="7">
        <v>1</v>
      </c>
      <c r="BK41" s="7">
        <v>12</v>
      </c>
      <c r="BL41" s="7"/>
      <c r="BM41" s="7"/>
      <c r="BN41" s="7"/>
      <c r="BO41" s="7"/>
      <c r="BP41" s="7"/>
      <c r="BQ41" s="7"/>
      <c r="BR41" s="7"/>
      <c r="BS41" s="7"/>
      <c r="BT41" s="7">
        <v>1</v>
      </c>
      <c r="BU41" s="7">
        <v>23</v>
      </c>
      <c r="BV41" s="7"/>
      <c r="BW41" s="7"/>
      <c r="BX41" s="7"/>
      <c r="BY41" s="7"/>
      <c r="BZ41" s="7"/>
      <c r="CA41" s="7"/>
      <c r="CB41" s="7"/>
      <c r="CC41" s="7"/>
      <c r="CD41" s="7"/>
      <c r="CE41" s="7"/>
      <c r="CF41" s="7"/>
      <c r="CG41" s="7"/>
      <c r="CH41" s="7"/>
      <c r="CI41" s="7"/>
      <c r="CJ41" s="7">
        <v>5</v>
      </c>
      <c r="CK41" s="7">
        <v>72</v>
      </c>
      <c r="CL41" s="7"/>
      <c r="CM41" s="7"/>
      <c r="CN41" s="8">
        <v>78</v>
      </c>
      <c r="CO41" s="8">
        <v>7285</v>
      </c>
      <c r="CP41" s="45"/>
      <c r="CQ41" s="45"/>
    </row>
    <row r="42" spans="1:95">
      <c r="A42" s="5" t="s">
        <v>80</v>
      </c>
      <c r="B42" s="6">
        <v>4</v>
      </c>
      <c r="C42" s="6">
        <v>68</v>
      </c>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v>2</v>
      </c>
      <c r="CI42" s="7">
        <v>87</v>
      </c>
      <c r="CJ42" s="7"/>
      <c r="CK42" s="7"/>
      <c r="CL42" s="7"/>
      <c r="CM42" s="7"/>
      <c r="CN42" s="8">
        <v>6</v>
      </c>
      <c r="CO42" s="8">
        <v>155</v>
      </c>
      <c r="CP42" s="45"/>
      <c r="CQ42" s="45"/>
    </row>
    <row r="43" spans="1:95">
      <c r="A43" s="5" t="s">
        <v>81</v>
      </c>
      <c r="B43" s="6">
        <v>2</v>
      </c>
      <c r="C43" s="6">
        <v>20</v>
      </c>
      <c r="D43" s="7"/>
      <c r="E43" s="7"/>
      <c r="F43" s="7"/>
      <c r="G43" s="7"/>
      <c r="H43" s="7">
        <v>1</v>
      </c>
      <c r="I43" s="7">
        <v>25</v>
      </c>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v>2</v>
      </c>
      <c r="CI43" s="7">
        <v>96</v>
      </c>
      <c r="CJ43" s="7"/>
      <c r="CK43" s="7"/>
      <c r="CL43" s="7"/>
      <c r="CM43" s="7"/>
      <c r="CN43" s="8">
        <v>5</v>
      </c>
      <c r="CO43" s="8">
        <v>141</v>
      </c>
      <c r="CP43" s="45"/>
      <c r="CQ43" s="45"/>
    </row>
    <row r="44" spans="1:95">
      <c r="A44" s="5" t="s">
        <v>179</v>
      </c>
      <c r="B44" s="6">
        <v>2</v>
      </c>
      <c r="C44" s="6">
        <v>24</v>
      </c>
      <c r="D44" s="7">
        <v>8</v>
      </c>
      <c r="E44" s="7">
        <v>254</v>
      </c>
      <c r="F44" s="7">
        <v>2</v>
      </c>
      <c r="G44" s="7">
        <v>72</v>
      </c>
      <c r="H44" s="7">
        <v>4</v>
      </c>
      <c r="I44" s="7">
        <v>122</v>
      </c>
      <c r="J44" s="7"/>
      <c r="K44" s="7"/>
      <c r="L44" s="7"/>
      <c r="M44" s="7"/>
      <c r="N44" s="7"/>
      <c r="O44" s="7"/>
      <c r="P44" s="7"/>
      <c r="Q44" s="7"/>
      <c r="R44" s="7"/>
      <c r="S44" s="7"/>
      <c r="T44" s="7"/>
      <c r="U44" s="7"/>
      <c r="V44" s="7">
        <v>3</v>
      </c>
      <c r="W44" s="7">
        <v>79</v>
      </c>
      <c r="X44" s="7">
        <v>2</v>
      </c>
      <c r="Y44" s="7">
        <v>42</v>
      </c>
      <c r="Z44" s="7"/>
      <c r="AA44" s="7"/>
      <c r="AB44" s="7"/>
      <c r="AC44" s="7"/>
      <c r="AD44" s="7"/>
      <c r="AE44" s="7"/>
      <c r="AF44" s="7">
        <v>1</v>
      </c>
      <c r="AG44" s="7">
        <v>54</v>
      </c>
      <c r="AH44" s="7"/>
      <c r="AI44" s="7"/>
      <c r="AJ44" s="7"/>
      <c r="AK44" s="7"/>
      <c r="AL44" s="7">
        <v>6</v>
      </c>
      <c r="AM44" s="7">
        <v>1324</v>
      </c>
      <c r="AN44" s="7">
        <v>7</v>
      </c>
      <c r="AO44" s="7">
        <v>1845</v>
      </c>
      <c r="AP44" s="7"/>
      <c r="AQ44" s="7"/>
      <c r="AR44" s="7"/>
      <c r="AS44" s="7"/>
      <c r="AT44" s="7"/>
      <c r="AU44" s="7"/>
      <c r="AV44" s="7"/>
      <c r="AW44" s="7"/>
      <c r="AX44" s="7"/>
      <c r="AY44" s="7"/>
      <c r="AZ44" s="7">
        <v>1</v>
      </c>
      <c r="BA44" s="7">
        <v>156</v>
      </c>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v>1</v>
      </c>
      <c r="CI44" s="7">
        <v>18</v>
      </c>
      <c r="CJ44" s="7"/>
      <c r="CK44" s="7"/>
      <c r="CL44" s="7"/>
      <c r="CM44" s="7"/>
      <c r="CN44" s="8">
        <v>37</v>
      </c>
      <c r="CO44" s="8">
        <v>3990</v>
      </c>
      <c r="CP44" s="45"/>
      <c r="CQ44" s="45"/>
    </row>
    <row r="45" spans="1:95">
      <c r="A45" s="5" t="s">
        <v>180</v>
      </c>
      <c r="B45" s="6">
        <v>4</v>
      </c>
      <c r="C45" s="6">
        <v>74</v>
      </c>
      <c r="D45" s="7">
        <v>6</v>
      </c>
      <c r="E45" s="7">
        <v>424</v>
      </c>
      <c r="F45" s="7">
        <v>6</v>
      </c>
      <c r="G45" s="7">
        <v>433</v>
      </c>
      <c r="H45" s="7">
        <v>9</v>
      </c>
      <c r="I45" s="7">
        <v>1623</v>
      </c>
      <c r="J45" s="7">
        <v>1</v>
      </c>
      <c r="K45" s="7">
        <v>184</v>
      </c>
      <c r="L45" s="7">
        <v>3</v>
      </c>
      <c r="M45" s="7">
        <v>116</v>
      </c>
      <c r="N45" s="7"/>
      <c r="O45" s="7"/>
      <c r="P45" s="7"/>
      <c r="Q45" s="7"/>
      <c r="R45" s="7"/>
      <c r="S45" s="7"/>
      <c r="T45" s="7"/>
      <c r="U45" s="7"/>
      <c r="V45" s="7"/>
      <c r="W45" s="7"/>
      <c r="X45" s="7">
        <v>2</v>
      </c>
      <c r="Y45" s="7">
        <v>94</v>
      </c>
      <c r="Z45" s="7"/>
      <c r="AA45" s="7"/>
      <c r="AB45" s="7">
        <v>1</v>
      </c>
      <c r="AC45" s="7">
        <v>34</v>
      </c>
      <c r="AD45" s="7">
        <v>2</v>
      </c>
      <c r="AE45" s="7">
        <v>71</v>
      </c>
      <c r="AF45" s="7"/>
      <c r="AG45" s="7"/>
      <c r="AH45" s="7">
        <v>1</v>
      </c>
      <c r="AI45" s="7">
        <v>175</v>
      </c>
      <c r="AJ45" s="7">
        <v>2</v>
      </c>
      <c r="AK45" s="7">
        <v>508</v>
      </c>
      <c r="AL45" s="7">
        <v>12</v>
      </c>
      <c r="AM45" s="7">
        <v>2583</v>
      </c>
      <c r="AN45" s="7">
        <v>18</v>
      </c>
      <c r="AO45" s="7">
        <v>6754</v>
      </c>
      <c r="AP45" s="7">
        <v>3</v>
      </c>
      <c r="AQ45" s="7">
        <v>1042</v>
      </c>
      <c r="AR45" s="7"/>
      <c r="AS45" s="7"/>
      <c r="AT45" s="7"/>
      <c r="AU45" s="7"/>
      <c r="AV45" s="7"/>
      <c r="AW45" s="7"/>
      <c r="AX45" s="7">
        <v>11</v>
      </c>
      <c r="AY45" s="7">
        <v>5437</v>
      </c>
      <c r="AZ45" s="7">
        <v>11</v>
      </c>
      <c r="BA45" s="7">
        <v>5566</v>
      </c>
      <c r="BB45" s="7"/>
      <c r="BC45" s="7"/>
      <c r="BD45" s="7"/>
      <c r="BE45" s="7"/>
      <c r="BF45" s="7">
        <v>1</v>
      </c>
      <c r="BG45" s="7">
        <v>45</v>
      </c>
      <c r="BH45" s="7">
        <v>2</v>
      </c>
      <c r="BI45" s="7">
        <v>177</v>
      </c>
      <c r="BJ45" s="7"/>
      <c r="BK45" s="7"/>
      <c r="BL45" s="7"/>
      <c r="BM45" s="7"/>
      <c r="BN45" s="7"/>
      <c r="BO45" s="7"/>
      <c r="BP45" s="7"/>
      <c r="BQ45" s="7"/>
      <c r="BR45" s="7"/>
      <c r="BS45" s="7"/>
      <c r="BT45" s="7"/>
      <c r="BU45" s="7"/>
      <c r="BV45" s="7"/>
      <c r="BW45" s="7"/>
      <c r="BX45" s="7"/>
      <c r="BY45" s="7"/>
      <c r="BZ45" s="7"/>
      <c r="CA45" s="7"/>
      <c r="CB45" s="7"/>
      <c r="CC45" s="7"/>
      <c r="CD45" s="7"/>
      <c r="CE45" s="7"/>
      <c r="CF45" s="7"/>
      <c r="CG45" s="7"/>
      <c r="CH45" s="7">
        <v>1</v>
      </c>
      <c r="CI45" s="7">
        <v>44</v>
      </c>
      <c r="CJ45" s="7"/>
      <c r="CK45" s="7"/>
      <c r="CL45" s="7"/>
      <c r="CM45" s="7"/>
      <c r="CN45" s="8">
        <v>96</v>
      </c>
      <c r="CO45" s="8">
        <v>25384</v>
      </c>
      <c r="CP45" s="45"/>
      <c r="CQ45" s="45"/>
    </row>
    <row r="46" spans="1:95">
      <c r="A46" s="5" t="s">
        <v>84</v>
      </c>
      <c r="B46" s="6">
        <v>1</v>
      </c>
      <c r="C46" s="6">
        <v>10</v>
      </c>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8">
        <v>1</v>
      </c>
      <c r="CO46" s="8">
        <v>10</v>
      </c>
      <c r="CP46" s="45"/>
      <c r="CQ46" s="45"/>
    </row>
    <row r="47" spans="1:95">
      <c r="A47" s="5" t="s">
        <v>85</v>
      </c>
      <c r="B47" s="6">
        <v>5</v>
      </c>
      <c r="C47" s="6">
        <v>76</v>
      </c>
      <c r="D47" s="7">
        <v>5</v>
      </c>
      <c r="E47" s="7">
        <v>270</v>
      </c>
      <c r="F47" s="7">
        <v>6</v>
      </c>
      <c r="G47" s="7">
        <v>285</v>
      </c>
      <c r="H47" s="7"/>
      <c r="I47" s="7"/>
      <c r="J47" s="7"/>
      <c r="K47" s="7"/>
      <c r="L47" s="7"/>
      <c r="M47" s="7"/>
      <c r="N47" s="7"/>
      <c r="O47" s="7"/>
      <c r="P47" s="7"/>
      <c r="Q47" s="7"/>
      <c r="R47" s="7"/>
      <c r="S47" s="7"/>
      <c r="T47" s="7"/>
      <c r="U47" s="7"/>
      <c r="V47" s="7">
        <v>1</v>
      </c>
      <c r="W47" s="7">
        <v>69</v>
      </c>
      <c r="X47" s="7">
        <v>1</v>
      </c>
      <c r="Y47" s="7">
        <v>68</v>
      </c>
      <c r="Z47" s="7">
        <v>1</v>
      </c>
      <c r="AA47" s="7">
        <v>142</v>
      </c>
      <c r="AB47" s="7">
        <v>2</v>
      </c>
      <c r="AC47" s="7">
        <v>64</v>
      </c>
      <c r="AD47" s="7"/>
      <c r="AE47" s="7"/>
      <c r="AF47" s="7"/>
      <c r="AG47" s="7"/>
      <c r="AH47" s="7">
        <v>2</v>
      </c>
      <c r="AI47" s="7">
        <v>276</v>
      </c>
      <c r="AJ47" s="7">
        <v>1</v>
      </c>
      <c r="AK47" s="7">
        <v>154</v>
      </c>
      <c r="AL47" s="7">
        <v>18</v>
      </c>
      <c r="AM47" s="7">
        <v>5828</v>
      </c>
      <c r="AN47" s="7">
        <v>2</v>
      </c>
      <c r="AO47" s="7">
        <v>875</v>
      </c>
      <c r="AP47" s="7"/>
      <c r="AQ47" s="7"/>
      <c r="AR47" s="7"/>
      <c r="AS47" s="7"/>
      <c r="AT47" s="7"/>
      <c r="AU47" s="7"/>
      <c r="AV47" s="7"/>
      <c r="AW47" s="7"/>
      <c r="AX47" s="7">
        <v>5</v>
      </c>
      <c r="AY47" s="7">
        <v>647</v>
      </c>
      <c r="AZ47" s="7">
        <v>10</v>
      </c>
      <c r="BA47" s="7">
        <v>4190</v>
      </c>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v>1</v>
      </c>
      <c r="CI47" s="7">
        <v>50</v>
      </c>
      <c r="CJ47" s="7"/>
      <c r="CK47" s="7"/>
      <c r="CL47" s="7"/>
      <c r="CM47" s="7"/>
      <c r="CN47" s="8">
        <v>60</v>
      </c>
      <c r="CO47" s="8">
        <v>12994</v>
      </c>
      <c r="CP47" s="45"/>
      <c r="CQ47" s="45"/>
    </row>
    <row r="48" spans="1:95">
      <c r="A48" s="5" t="s">
        <v>86</v>
      </c>
      <c r="B48" s="6">
        <v>2</v>
      </c>
      <c r="C48" s="6">
        <v>22</v>
      </c>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v>1</v>
      </c>
      <c r="CI48" s="7">
        <v>41</v>
      </c>
      <c r="CJ48" s="7"/>
      <c r="CK48" s="7"/>
      <c r="CL48" s="7"/>
      <c r="CM48" s="7"/>
      <c r="CN48" s="8">
        <v>3</v>
      </c>
      <c r="CO48" s="8">
        <v>63</v>
      </c>
      <c r="CP48" s="45"/>
      <c r="CQ48" s="45"/>
    </row>
    <row r="49" spans="1:95">
      <c r="A49" s="5" t="s">
        <v>87</v>
      </c>
      <c r="B49" s="6">
        <v>3</v>
      </c>
      <c r="C49" s="6">
        <v>44</v>
      </c>
      <c r="D49" s="7">
        <v>12</v>
      </c>
      <c r="E49" s="7">
        <v>246</v>
      </c>
      <c r="F49" s="7">
        <v>19</v>
      </c>
      <c r="G49" s="7">
        <v>2247</v>
      </c>
      <c r="H49" s="7">
        <v>9</v>
      </c>
      <c r="I49" s="7">
        <v>1327</v>
      </c>
      <c r="J49" s="7"/>
      <c r="K49" s="7"/>
      <c r="L49" s="7">
        <v>3</v>
      </c>
      <c r="M49" s="7">
        <v>80</v>
      </c>
      <c r="N49" s="7"/>
      <c r="O49" s="7"/>
      <c r="P49" s="7"/>
      <c r="Q49" s="7"/>
      <c r="R49" s="7"/>
      <c r="S49" s="7"/>
      <c r="T49" s="7">
        <v>2</v>
      </c>
      <c r="U49" s="7">
        <v>70</v>
      </c>
      <c r="V49" s="7">
        <v>9</v>
      </c>
      <c r="W49" s="7">
        <v>385</v>
      </c>
      <c r="X49" s="7">
        <v>5</v>
      </c>
      <c r="Y49" s="7">
        <v>274</v>
      </c>
      <c r="Z49" s="7"/>
      <c r="AA49" s="7"/>
      <c r="AB49" s="7">
        <v>7</v>
      </c>
      <c r="AC49" s="7">
        <v>279</v>
      </c>
      <c r="AD49" s="7">
        <v>7</v>
      </c>
      <c r="AE49" s="7">
        <v>199</v>
      </c>
      <c r="AF49" s="7"/>
      <c r="AG49" s="7"/>
      <c r="AH49" s="7">
        <v>1</v>
      </c>
      <c r="AI49" s="7">
        <v>76</v>
      </c>
      <c r="AJ49" s="7">
        <v>3</v>
      </c>
      <c r="AK49" s="7">
        <v>244</v>
      </c>
      <c r="AL49" s="7">
        <v>11</v>
      </c>
      <c r="AM49" s="7">
        <v>2910</v>
      </c>
      <c r="AN49" s="7">
        <v>6</v>
      </c>
      <c r="AO49" s="7">
        <v>1206</v>
      </c>
      <c r="AP49" s="7">
        <v>1</v>
      </c>
      <c r="AQ49" s="7">
        <v>759</v>
      </c>
      <c r="AR49" s="7"/>
      <c r="AS49" s="7"/>
      <c r="AT49" s="7"/>
      <c r="AU49" s="7"/>
      <c r="AV49" s="7">
        <v>2</v>
      </c>
      <c r="AW49" s="7">
        <v>108</v>
      </c>
      <c r="AX49" s="7">
        <v>10</v>
      </c>
      <c r="AY49" s="7">
        <v>5096</v>
      </c>
      <c r="AZ49" s="7">
        <v>3</v>
      </c>
      <c r="BA49" s="7">
        <v>1164</v>
      </c>
      <c r="BB49" s="7">
        <v>1</v>
      </c>
      <c r="BC49" s="7">
        <v>94</v>
      </c>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v>3</v>
      </c>
      <c r="CK49" s="7">
        <v>41</v>
      </c>
      <c r="CL49" s="7"/>
      <c r="CM49" s="7"/>
      <c r="CN49" s="8">
        <v>117</v>
      </c>
      <c r="CO49" s="8">
        <v>16849</v>
      </c>
      <c r="CP49" s="45"/>
      <c r="CQ49" s="45"/>
    </row>
    <row r="50" spans="1:95">
      <c r="A50" s="5" t="s">
        <v>88</v>
      </c>
      <c r="B50" s="6">
        <v>6</v>
      </c>
      <c r="C50" s="6">
        <v>124</v>
      </c>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v>5</v>
      </c>
      <c r="CK50" s="7">
        <v>70</v>
      </c>
      <c r="CL50" s="7"/>
      <c r="CM50" s="7"/>
      <c r="CN50" s="8">
        <v>11</v>
      </c>
      <c r="CO50" s="8">
        <v>194</v>
      </c>
      <c r="CP50" s="45"/>
      <c r="CQ50" s="45"/>
    </row>
    <row r="51" spans="1:95">
      <c r="A51" s="5" t="s">
        <v>89</v>
      </c>
      <c r="B51" s="6">
        <v>1</v>
      </c>
      <c r="C51" s="6">
        <v>14</v>
      </c>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v>1</v>
      </c>
      <c r="CI51" s="7">
        <v>39</v>
      </c>
      <c r="CJ51" s="7">
        <v>1</v>
      </c>
      <c r="CK51" s="7">
        <v>4</v>
      </c>
      <c r="CL51" s="7"/>
      <c r="CM51" s="7"/>
      <c r="CN51" s="8">
        <v>3</v>
      </c>
      <c r="CO51" s="8">
        <v>57</v>
      </c>
      <c r="CP51" s="45"/>
      <c r="CQ51" s="45"/>
    </row>
    <row r="52" spans="1:95" s="2" customFormat="1">
      <c r="A52" s="5" t="s">
        <v>91</v>
      </c>
      <c r="B52" s="6">
        <v>1</v>
      </c>
      <c r="C52" s="6">
        <v>20</v>
      </c>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v>1</v>
      </c>
      <c r="AM52" s="6">
        <v>12</v>
      </c>
      <c r="AN52" s="6">
        <v>1</v>
      </c>
      <c r="AO52" s="6">
        <v>16</v>
      </c>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v>3</v>
      </c>
      <c r="CK52" s="6">
        <v>34</v>
      </c>
      <c r="CL52" s="6"/>
      <c r="CM52" s="6"/>
      <c r="CN52" s="8">
        <v>6</v>
      </c>
      <c r="CO52" s="8">
        <v>82</v>
      </c>
      <c r="CP52" s="45"/>
      <c r="CQ52" s="45"/>
    </row>
    <row r="53" spans="1:95">
      <c r="A53" s="5" t="s">
        <v>92</v>
      </c>
      <c r="B53" s="6">
        <v>8</v>
      </c>
      <c r="C53" s="6">
        <v>103</v>
      </c>
      <c r="D53" s="6">
        <v>2</v>
      </c>
      <c r="E53" s="6">
        <v>18</v>
      </c>
      <c r="F53" s="6"/>
      <c r="G53" s="6"/>
      <c r="H53" s="6">
        <v>1</v>
      </c>
      <c r="I53" s="6">
        <v>82</v>
      </c>
      <c r="J53" s="6"/>
      <c r="K53" s="6"/>
      <c r="L53" s="6">
        <v>1</v>
      </c>
      <c r="M53" s="6">
        <v>15</v>
      </c>
      <c r="N53" s="6"/>
      <c r="O53" s="6"/>
      <c r="P53" s="6"/>
      <c r="Q53" s="6"/>
      <c r="R53" s="6"/>
      <c r="S53" s="6"/>
      <c r="T53" s="6"/>
      <c r="U53" s="6"/>
      <c r="V53" s="6">
        <v>3</v>
      </c>
      <c r="W53" s="6">
        <v>171</v>
      </c>
      <c r="X53" s="6"/>
      <c r="Y53" s="6"/>
      <c r="Z53" s="6"/>
      <c r="AA53" s="6"/>
      <c r="AB53" s="6"/>
      <c r="AC53" s="6"/>
      <c r="AD53" s="6">
        <v>2</v>
      </c>
      <c r="AE53" s="6">
        <v>87</v>
      </c>
      <c r="AF53" s="6"/>
      <c r="AG53" s="6"/>
      <c r="AH53" s="6">
        <v>1</v>
      </c>
      <c r="AI53" s="6">
        <v>63</v>
      </c>
      <c r="AJ53" s="6">
        <v>5</v>
      </c>
      <c r="AK53" s="6">
        <v>601</v>
      </c>
      <c r="AL53" s="6">
        <v>4</v>
      </c>
      <c r="AM53" s="6">
        <v>1005</v>
      </c>
      <c r="AN53" s="6">
        <v>3</v>
      </c>
      <c r="AO53" s="6">
        <v>182</v>
      </c>
      <c r="AP53" s="6">
        <v>1</v>
      </c>
      <c r="AQ53" s="6">
        <v>74</v>
      </c>
      <c r="AR53" s="6"/>
      <c r="AS53" s="6"/>
      <c r="AT53" s="6"/>
      <c r="AU53" s="6"/>
      <c r="AV53" s="6"/>
      <c r="AW53" s="6"/>
      <c r="AX53" s="6">
        <v>1</v>
      </c>
      <c r="AY53" s="6">
        <v>208</v>
      </c>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v>1</v>
      </c>
      <c r="CI53" s="6">
        <v>16</v>
      </c>
      <c r="CJ53" s="6">
        <v>9</v>
      </c>
      <c r="CK53" s="6">
        <v>119</v>
      </c>
      <c r="CL53" s="6"/>
      <c r="CM53" s="6"/>
      <c r="CN53" s="8">
        <v>42</v>
      </c>
      <c r="CO53" s="8">
        <v>2744</v>
      </c>
      <c r="CP53" s="45"/>
      <c r="CQ53" s="45"/>
    </row>
    <row r="54" spans="1:95">
      <c r="A54" s="5" t="s">
        <v>93</v>
      </c>
      <c r="B54" s="6">
        <v>4</v>
      </c>
      <c r="C54" s="6">
        <v>78</v>
      </c>
      <c r="D54" s="6">
        <v>19</v>
      </c>
      <c r="E54" s="6">
        <v>904</v>
      </c>
      <c r="F54" s="6">
        <v>6</v>
      </c>
      <c r="G54" s="6">
        <v>702</v>
      </c>
      <c r="H54" s="6">
        <v>6</v>
      </c>
      <c r="I54" s="6">
        <v>1029</v>
      </c>
      <c r="J54" s="6"/>
      <c r="K54" s="6"/>
      <c r="L54" s="6">
        <v>1</v>
      </c>
      <c r="M54" s="6">
        <v>20</v>
      </c>
      <c r="N54" s="6"/>
      <c r="O54" s="6"/>
      <c r="P54" s="6"/>
      <c r="Q54" s="6"/>
      <c r="R54" s="6"/>
      <c r="S54" s="6"/>
      <c r="T54" s="6">
        <v>1</v>
      </c>
      <c r="U54" s="6">
        <v>18</v>
      </c>
      <c r="V54" s="6">
        <v>1</v>
      </c>
      <c r="W54" s="6">
        <v>49</v>
      </c>
      <c r="X54" s="6">
        <v>2</v>
      </c>
      <c r="Y54" s="6">
        <v>164</v>
      </c>
      <c r="Z54" s="6"/>
      <c r="AA54" s="6"/>
      <c r="AB54" s="6">
        <v>5</v>
      </c>
      <c r="AC54" s="6">
        <v>193</v>
      </c>
      <c r="AD54" s="6">
        <v>2</v>
      </c>
      <c r="AE54" s="6">
        <v>114</v>
      </c>
      <c r="AF54" s="6"/>
      <c r="AG54" s="6"/>
      <c r="AH54" s="6">
        <v>3</v>
      </c>
      <c r="AI54" s="6">
        <v>474</v>
      </c>
      <c r="AJ54" s="6">
        <v>3</v>
      </c>
      <c r="AK54" s="6">
        <v>452</v>
      </c>
      <c r="AL54" s="6">
        <v>11</v>
      </c>
      <c r="AM54" s="6">
        <v>2048</v>
      </c>
      <c r="AN54" s="6">
        <v>4</v>
      </c>
      <c r="AO54" s="6">
        <v>1094</v>
      </c>
      <c r="AP54" s="6"/>
      <c r="AQ54" s="6"/>
      <c r="AR54" s="6"/>
      <c r="AS54" s="6"/>
      <c r="AT54" s="6"/>
      <c r="AU54" s="6"/>
      <c r="AV54" s="6"/>
      <c r="AW54" s="6"/>
      <c r="AX54" s="6">
        <v>4</v>
      </c>
      <c r="AY54" s="6">
        <v>1252</v>
      </c>
      <c r="AZ54" s="6">
        <v>7</v>
      </c>
      <c r="BA54" s="6">
        <v>2768</v>
      </c>
      <c r="BB54" s="6">
        <v>1</v>
      </c>
      <c r="BC54" s="6">
        <v>136</v>
      </c>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v>1</v>
      </c>
      <c r="CI54" s="6">
        <v>45</v>
      </c>
      <c r="CJ54" s="6">
        <v>1</v>
      </c>
      <c r="CK54" s="6">
        <v>10</v>
      </c>
      <c r="CL54" s="6"/>
      <c r="CM54" s="6"/>
      <c r="CN54" s="8">
        <v>82</v>
      </c>
      <c r="CO54" s="8">
        <v>11550</v>
      </c>
      <c r="CP54" s="45"/>
      <c r="CQ54" s="45"/>
    </row>
    <row r="55" spans="1:95">
      <c r="A55" s="5" t="s">
        <v>94</v>
      </c>
      <c r="B55" s="6">
        <v>4</v>
      </c>
      <c r="C55" s="6">
        <v>77</v>
      </c>
      <c r="D55" s="6"/>
      <c r="E55" s="6"/>
      <c r="F55" s="6"/>
      <c r="G55" s="6"/>
      <c r="H55" s="6"/>
      <c r="I55" s="6"/>
      <c r="J55" s="6"/>
      <c r="K55" s="6"/>
      <c r="L55" s="6"/>
      <c r="M55" s="6"/>
      <c r="N55" s="6"/>
      <c r="O55" s="6"/>
      <c r="P55" s="6"/>
      <c r="Q55" s="6"/>
      <c r="R55" s="6"/>
      <c r="S55" s="6"/>
      <c r="T55" s="6"/>
      <c r="U55" s="6"/>
      <c r="V55" s="6">
        <v>1</v>
      </c>
      <c r="W55" s="6">
        <v>16</v>
      </c>
      <c r="X55" s="6"/>
      <c r="Y55" s="6"/>
      <c r="Z55" s="6"/>
      <c r="AA55" s="6"/>
      <c r="AB55" s="6"/>
      <c r="AC55" s="6"/>
      <c r="AD55" s="6"/>
      <c r="AE55" s="6"/>
      <c r="AF55" s="6"/>
      <c r="AG55" s="6"/>
      <c r="AH55" s="6"/>
      <c r="AI55" s="6"/>
      <c r="AJ55" s="6"/>
      <c r="AK55" s="6"/>
      <c r="AL55" s="6"/>
      <c r="AM55" s="6"/>
      <c r="AN55" s="6"/>
      <c r="AO55" s="6"/>
      <c r="AP55" s="6"/>
      <c r="AQ55" s="6"/>
      <c r="AR55" s="6"/>
      <c r="AS55" s="6"/>
      <c r="AT55" s="6"/>
      <c r="AU55" s="6"/>
      <c r="AV55" s="6">
        <v>1</v>
      </c>
      <c r="AW55" s="6">
        <v>110</v>
      </c>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v>1</v>
      </c>
      <c r="CI55" s="6">
        <v>32</v>
      </c>
      <c r="CJ55" s="6">
        <v>2</v>
      </c>
      <c r="CK55" s="6">
        <v>28</v>
      </c>
      <c r="CL55" s="6"/>
      <c r="CM55" s="6"/>
      <c r="CN55" s="8">
        <v>9</v>
      </c>
      <c r="CO55" s="8">
        <v>263</v>
      </c>
      <c r="CP55" s="45"/>
      <c r="CQ55" s="45"/>
    </row>
    <row r="56" spans="1:95">
      <c r="A56" s="5" t="s">
        <v>95</v>
      </c>
      <c r="B56" s="6">
        <v>1</v>
      </c>
      <c r="C56" s="6">
        <v>20</v>
      </c>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v>1</v>
      </c>
      <c r="CI56" s="6">
        <v>48</v>
      </c>
      <c r="CJ56" s="6"/>
      <c r="CK56" s="6"/>
      <c r="CL56" s="6"/>
      <c r="CM56" s="6"/>
      <c r="CN56" s="8">
        <v>2</v>
      </c>
      <c r="CO56" s="8">
        <v>68</v>
      </c>
      <c r="CP56" s="45"/>
      <c r="CQ56" s="45"/>
    </row>
    <row r="57" spans="1:95" s="29" customFormat="1">
      <c r="A57" s="11" t="s">
        <v>96</v>
      </c>
      <c r="B57" s="12">
        <v>175</v>
      </c>
      <c r="C57" s="12">
        <v>2507</v>
      </c>
      <c r="D57" s="12">
        <v>120</v>
      </c>
      <c r="E57" s="12">
        <v>6799</v>
      </c>
      <c r="F57" s="12">
        <v>136</v>
      </c>
      <c r="G57" s="12">
        <v>15324</v>
      </c>
      <c r="H57" s="12">
        <v>109</v>
      </c>
      <c r="I57" s="12">
        <v>19473</v>
      </c>
      <c r="J57" s="12">
        <v>7</v>
      </c>
      <c r="K57" s="12">
        <v>2093</v>
      </c>
      <c r="L57" s="12">
        <v>19</v>
      </c>
      <c r="M57" s="12">
        <v>566</v>
      </c>
      <c r="N57" s="12">
        <v>0</v>
      </c>
      <c r="O57" s="12">
        <v>0</v>
      </c>
      <c r="P57" s="12">
        <v>1</v>
      </c>
      <c r="Q57" s="12">
        <v>660</v>
      </c>
      <c r="R57" s="12">
        <v>1</v>
      </c>
      <c r="S57" s="12">
        <v>1118</v>
      </c>
      <c r="T57" s="12">
        <v>9</v>
      </c>
      <c r="U57" s="12">
        <v>248</v>
      </c>
      <c r="V57" s="12">
        <v>47</v>
      </c>
      <c r="W57" s="12">
        <v>2193</v>
      </c>
      <c r="X57" s="12">
        <v>36</v>
      </c>
      <c r="Y57" s="12">
        <v>2058</v>
      </c>
      <c r="Z57" s="12">
        <v>5</v>
      </c>
      <c r="AA57" s="12">
        <v>382</v>
      </c>
      <c r="AB57" s="12">
        <v>58</v>
      </c>
      <c r="AC57" s="12">
        <v>2298</v>
      </c>
      <c r="AD57" s="12">
        <v>37</v>
      </c>
      <c r="AE57" s="12">
        <v>1526</v>
      </c>
      <c r="AF57" s="12">
        <v>3</v>
      </c>
      <c r="AG57" s="12">
        <v>140</v>
      </c>
      <c r="AH57" s="12">
        <v>30</v>
      </c>
      <c r="AI57" s="12">
        <v>2723</v>
      </c>
      <c r="AJ57" s="12">
        <v>58</v>
      </c>
      <c r="AK57" s="12">
        <v>9365</v>
      </c>
      <c r="AL57" s="12">
        <v>280</v>
      </c>
      <c r="AM57" s="12">
        <v>83864</v>
      </c>
      <c r="AN57" s="12">
        <v>166</v>
      </c>
      <c r="AO57" s="12">
        <v>49029</v>
      </c>
      <c r="AP57" s="12">
        <v>23</v>
      </c>
      <c r="AQ57" s="12">
        <v>5134</v>
      </c>
      <c r="AR57" s="12">
        <v>3</v>
      </c>
      <c r="AS57" s="12">
        <v>899</v>
      </c>
      <c r="AT57" s="12">
        <v>2</v>
      </c>
      <c r="AU57" s="12">
        <v>106</v>
      </c>
      <c r="AV57" s="12">
        <v>10</v>
      </c>
      <c r="AW57" s="12">
        <v>1502</v>
      </c>
      <c r="AX57" s="12">
        <v>87</v>
      </c>
      <c r="AY57" s="12">
        <v>36319</v>
      </c>
      <c r="AZ57" s="12">
        <v>83</v>
      </c>
      <c r="BA57" s="12">
        <v>36515</v>
      </c>
      <c r="BB57" s="12">
        <v>4</v>
      </c>
      <c r="BC57" s="12">
        <v>566</v>
      </c>
      <c r="BD57" s="12"/>
      <c r="BE57" s="12"/>
      <c r="BF57" s="12">
        <v>4</v>
      </c>
      <c r="BG57" s="12">
        <v>130</v>
      </c>
      <c r="BH57" s="12">
        <v>3</v>
      </c>
      <c r="BI57" s="12">
        <v>244</v>
      </c>
      <c r="BJ57" s="12">
        <v>3</v>
      </c>
      <c r="BK57" s="12">
        <v>251</v>
      </c>
      <c r="BL57" s="12">
        <v>2</v>
      </c>
      <c r="BM57" s="12">
        <v>156</v>
      </c>
      <c r="BN57" s="12"/>
      <c r="BO57" s="12"/>
      <c r="BP57" s="12"/>
      <c r="BQ57" s="12"/>
      <c r="BR57" s="12"/>
      <c r="BS57" s="12"/>
      <c r="BT57" s="12">
        <v>1</v>
      </c>
      <c r="BU57" s="12">
        <v>23</v>
      </c>
      <c r="BV57" s="12"/>
      <c r="BW57" s="12"/>
      <c r="BX57" s="12"/>
      <c r="BY57" s="12"/>
      <c r="BZ57" s="12"/>
      <c r="CA57" s="12"/>
      <c r="CB57" s="12"/>
      <c r="CC57" s="12"/>
      <c r="CD57" s="12"/>
      <c r="CE57" s="12"/>
      <c r="CF57" s="12"/>
      <c r="CG57" s="12"/>
      <c r="CH57" s="12">
        <v>31</v>
      </c>
      <c r="CI57" s="12">
        <v>1134</v>
      </c>
      <c r="CJ57" s="12">
        <v>60</v>
      </c>
      <c r="CK57" s="12">
        <v>773</v>
      </c>
      <c r="CL57" s="12">
        <v>1</v>
      </c>
      <c r="CM57" s="12">
        <v>500</v>
      </c>
      <c r="CN57" s="12">
        <v>1614</v>
      </c>
      <c r="CO57" s="12">
        <v>286618</v>
      </c>
      <c r="CP57" s="45"/>
      <c r="CQ57" s="45"/>
    </row>
  </sheetData>
  <sheetProtection password="C668" sheet="1"/>
  <mergeCells count="47">
    <mergeCell ref="J6:K6"/>
    <mergeCell ref="A6:A8"/>
    <mergeCell ref="B6:C6"/>
    <mergeCell ref="D6:E6"/>
    <mergeCell ref="F6:G6"/>
    <mergeCell ref="H6:I6"/>
    <mergeCell ref="AH6:AI6"/>
    <mergeCell ref="L6:M6"/>
    <mergeCell ref="N6:O6"/>
    <mergeCell ref="P6:Q6"/>
    <mergeCell ref="R6:S6"/>
    <mergeCell ref="T6:U6"/>
    <mergeCell ref="V6:W6"/>
    <mergeCell ref="X6:Y6"/>
    <mergeCell ref="Z6:AA6"/>
    <mergeCell ref="AB6:AC6"/>
    <mergeCell ref="AD6:AE6"/>
    <mergeCell ref="AF6:AG6"/>
    <mergeCell ref="BF6:BG6"/>
    <mergeCell ref="AJ6:AK6"/>
    <mergeCell ref="AL6:AM6"/>
    <mergeCell ref="AN6:AO6"/>
    <mergeCell ref="AP6:AQ6"/>
    <mergeCell ref="AR6:AS6"/>
    <mergeCell ref="AT6:AU6"/>
    <mergeCell ref="AV6:AW6"/>
    <mergeCell ref="AX6:AY6"/>
    <mergeCell ref="AZ6:BA6"/>
    <mergeCell ref="BB6:BC6"/>
    <mergeCell ref="BD6:BE6"/>
    <mergeCell ref="CD6:CE6"/>
    <mergeCell ref="BH6:BI6"/>
    <mergeCell ref="BJ6:BK6"/>
    <mergeCell ref="BL6:BM6"/>
    <mergeCell ref="BN6:BO6"/>
    <mergeCell ref="BP6:BQ6"/>
    <mergeCell ref="BR6:BS6"/>
    <mergeCell ref="BT6:BU6"/>
    <mergeCell ref="BV6:BW6"/>
    <mergeCell ref="BX6:BY6"/>
    <mergeCell ref="BZ6:CA6"/>
    <mergeCell ref="CB6:CC6"/>
    <mergeCell ref="CF6:CG6"/>
    <mergeCell ref="CH6:CI6"/>
    <mergeCell ref="CJ6:CK6"/>
    <mergeCell ref="CL6:CM6"/>
    <mergeCell ref="CN6:CO6"/>
  </mergeCells>
  <conditionalFormatting sqref="A9:CO56">
    <cfRule type="expression" dxfId="6" priority="2" stopIfTrue="1">
      <formula>MOD(ROW(),2)=0</formula>
    </cfRule>
  </conditionalFormatting>
  <conditionalFormatting sqref="J4">
    <cfRule type="expression" priority="1">
      <formula>SI($E$38," ")</formula>
    </cfRule>
  </conditionalFormatting>
  <pageMargins left="0" right="0" top="0" bottom="0" header="0.31496062992125984" footer="0.31496062992125984"/>
  <pageSetup paperSize="8" scale="70" orientation="landscape" r:id="rId1"/>
  <colBreaks count="6" manualBreakCount="6">
    <brk id="15" max="1048575" man="1"/>
    <brk id="29" max="1048575" man="1"/>
    <brk id="43" max="1048575" man="1"/>
    <brk id="57" max="1048575" man="1"/>
    <brk id="71" max="1048575" man="1"/>
    <brk id="85" max="1048575"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3:T43"/>
  <sheetViews>
    <sheetView showGridLines="0" workbookViewId="0"/>
  </sheetViews>
  <sheetFormatPr baseColWidth="10" defaultRowHeight="15"/>
  <cols>
    <col min="1" max="1" width="15.42578125" customWidth="1"/>
    <col min="3" max="3" width="17" bestFit="1" customWidth="1"/>
    <col min="4" max="4" width="15.140625" bestFit="1" customWidth="1"/>
    <col min="5" max="5" width="14" bestFit="1" customWidth="1"/>
    <col min="8" max="8" width="15.5703125" customWidth="1"/>
    <col min="10" max="10" width="17" bestFit="1" customWidth="1"/>
    <col min="11" max="11" width="15.140625" bestFit="1" customWidth="1"/>
    <col min="12" max="12" width="14" bestFit="1" customWidth="1"/>
  </cols>
  <sheetData>
    <row r="3" spans="1:20" s="15" customFormat="1" ht="16.5">
      <c r="A3" s="13" t="s">
        <v>160</v>
      </c>
      <c r="B3" s="14"/>
      <c r="H3" s="14"/>
      <c r="I3" s="14"/>
    </row>
    <row r="4" spans="1:20" s="15" customFormat="1" ht="16.5">
      <c r="A4" s="16" t="s">
        <v>161</v>
      </c>
      <c r="B4" s="17"/>
      <c r="C4" s="18"/>
      <c r="D4" s="18"/>
      <c r="E4" s="18"/>
      <c r="F4" s="18"/>
      <c r="G4" s="18"/>
      <c r="H4" s="14"/>
      <c r="I4" s="14"/>
      <c r="P4" s="18"/>
      <c r="Q4" s="18"/>
      <c r="R4" s="18"/>
      <c r="S4" s="18"/>
      <c r="T4" s="18"/>
    </row>
    <row r="5" spans="1:20" s="15" customFormat="1" ht="16.5">
      <c r="A5" s="16" t="s">
        <v>162</v>
      </c>
      <c r="B5" s="17"/>
      <c r="C5" s="18"/>
      <c r="D5" s="18"/>
      <c r="E5" s="18"/>
      <c r="F5" s="18"/>
      <c r="G5" s="18"/>
      <c r="H5" s="14"/>
      <c r="I5" s="14"/>
    </row>
    <row r="6" spans="1:20" s="15" customFormat="1" ht="16.5">
      <c r="A6" s="16"/>
      <c r="B6" s="17"/>
      <c r="C6" s="18"/>
      <c r="D6" s="18"/>
      <c r="E6" s="18"/>
      <c r="F6" s="18"/>
      <c r="G6" s="18"/>
      <c r="H6" s="14"/>
      <c r="I6" s="14"/>
    </row>
    <row r="7" spans="1:20" s="15" customFormat="1" ht="12.75">
      <c r="A7" s="143" t="s">
        <v>104</v>
      </c>
      <c r="B7" s="143"/>
      <c r="C7" s="107" t="s">
        <v>105</v>
      </c>
      <c r="D7" s="107" t="s">
        <v>106</v>
      </c>
      <c r="E7" s="107" t="s">
        <v>107</v>
      </c>
      <c r="F7" s="107" t="s">
        <v>108</v>
      </c>
      <c r="G7" s="18"/>
      <c r="H7" s="143" t="s">
        <v>104</v>
      </c>
      <c r="I7" s="143"/>
      <c r="J7" s="107" t="s">
        <v>105</v>
      </c>
      <c r="K7" s="107" t="s">
        <v>106</v>
      </c>
      <c r="L7" s="107" t="s">
        <v>107</v>
      </c>
      <c r="M7" s="107" t="s">
        <v>108</v>
      </c>
    </row>
    <row r="8" spans="1:20" s="109" customFormat="1" ht="12.75">
      <c r="A8" s="144" t="s">
        <v>109</v>
      </c>
      <c r="B8" s="144"/>
      <c r="C8" s="108" t="s">
        <v>110</v>
      </c>
      <c r="D8" s="108" t="s">
        <v>111</v>
      </c>
      <c r="E8" s="108" t="s">
        <v>112</v>
      </c>
      <c r="F8" s="108" t="s">
        <v>113</v>
      </c>
      <c r="G8" s="18"/>
      <c r="H8" s="144" t="s">
        <v>109</v>
      </c>
      <c r="I8" s="144"/>
      <c r="J8" s="108" t="s">
        <v>110</v>
      </c>
      <c r="K8" s="108" t="s">
        <v>111</v>
      </c>
      <c r="L8" s="108" t="s">
        <v>112</v>
      </c>
      <c r="M8" s="108" t="s">
        <v>113</v>
      </c>
    </row>
    <row r="9" spans="1:20" s="109" customFormat="1" ht="12.75">
      <c r="A9" s="144" t="s">
        <v>114</v>
      </c>
      <c r="B9" s="144"/>
      <c r="C9" s="108" t="s">
        <v>115</v>
      </c>
      <c r="D9" s="108" t="s">
        <v>116</v>
      </c>
      <c r="E9" s="108" t="s">
        <v>117</v>
      </c>
      <c r="F9" s="108" t="s">
        <v>118</v>
      </c>
      <c r="G9" s="18"/>
      <c r="H9" s="144" t="s">
        <v>114</v>
      </c>
      <c r="I9" s="144"/>
      <c r="J9" s="108" t="s">
        <v>115</v>
      </c>
      <c r="K9" s="108" t="s">
        <v>116</v>
      </c>
      <c r="L9" s="108" t="s">
        <v>117</v>
      </c>
      <c r="M9" s="108" t="s">
        <v>118</v>
      </c>
    </row>
    <row r="10" spans="1:20">
      <c r="A10" s="139" t="s">
        <v>3</v>
      </c>
      <c r="B10" s="139"/>
      <c r="C10" s="6">
        <v>125</v>
      </c>
      <c r="D10" s="6">
        <v>2462</v>
      </c>
      <c r="E10" s="6">
        <v>7374</v>
      </c>
      <c r="F10" s="82">
        <v>0.1618880351262349</v>
      </c>
      <c r="G10" s="18"/>
      <c r="H10" s="139" t="s">
        <v>25</v>
      </c>
      <c r="I10" s="139"/>
      <c r="J10" s="6">
        <v>3</v>
      </c>
      <c r="K10" s="6">
        <v>338</v>
      </c>
      <c r="L10" s="6">
        <v>716</v>
      </c>
      <c r="M10" s="20">
        <v>9.8286843839226878E-3</v>
      </c>
    </row>
    <row r="11" spans="1:20">
      <c r="A11" s="139" t="s">
        <v>4</v>
      </c>
      <c r="B11" s="139"/>
      <c r="C11" s="6">
        <v>136</v>
      </c>
      <c r="D11" s="6">
        <v>6025</v>
      </c>
      <c r="E11" s="6">
        <v>16125</v>
      </c>
      <c r="F11" s="82">
        <v>0.35400658616904501</v>
      </c>
      <c r="G11" s="18"/>
      <c r="H11" s="139" t="s">
        <v>26</v>
      </c>
      <c r="I11" s="139"/>
      <c r="J11" s="6">
        <v>9</v>
      </c>
      <c r="K11" s="6">
        <v>555</v>
      </c>
      <c r="L11" s="6">
        <v>1475</v>
      </c>
      <c r="M11" s="20">
        <v>2.0247638919393806E-2</v>
      </c>
    </row>
    <row r="12" spans="1:20">
      <c r="A12" s="139" t="s">
        <v>5</v>
      </c>
      <c r="B12" s="139"/>
      <c r="C12" s="6">
        <v>112</v>
      </c>
      <c r="D12" s="6">
        <v>7682</v>
      </c>
      <c r="E12" s="6">
        <v>19958</v>
      </c>
      <c r="F12" s="82">
        <v>0.43815587266739847</v>
      </c>
      <c r="G12" s="18"/>
      <c r="H12" s="139" t="s">
        <v>27</v>
      </c>
      <c r="I12" s="139"/>
      <c r="J12" s="6">
        <v>82</v>
      </c>
      <c r="K12" s="6">
        <v>15314</v>
      </c>
      <c r="L12" s="6">
        <v>35620</v>
      </c>
      <c r="M12" s="20">
        <v>0.48896332088732702</v>
      </c>
    </row>
    <row r="13" spans="1:20">
      <c r="A13" s="139" t="s">
        <v>6</v>
      </c>
      <c r="B13" s="139"/>
      <c r="C13" s="6">
        <v>7</v>
      </c>
      <c r="D13" s="6">
        <v>645</v>
      </c>
      <c r="E13" s="6">
        <v>2093</v>
      </c>
      <c r="F13" s="82">
        <v>4.5949506037321626E-2</v>
      </c>
      <c r="G13" s="18"/>
      <c r="H13" s="139" t="s">
        <v>28</v>
      </c>
      <c r="I13" s="139"/>
      <c r="J13" s="6">
        <v>80</v>
      </c>
      <c r="K13" s="6">
        <v>15849</v>
      </c>
      <c r="L13" s="6">
        <v>34589</v>
      </c>
      <c r="M13" s="20">
        <v>0.47481056446299141</v>
      </c>
    </row>
    <row r="14" spans="1:20">
      <c r="A14" s="140" t="s">
        <v>163</v>
      </c>
      <c r="B14" s="140"/>
      <c r="C14" s="41">
        <v>380</v>
      </c>
      <c r="D14" s="21">
        <v>16814</v>
      </c>
      <c r="E14" s="21">
        <v>45550</v>
      </c>
      <c r="F14" s="42">
        <v>1</v>
      </c>
      <c r="G14" s="18"/>
      <c r="H14" s="139" t="s">
        <v>29</v>
      </c>
      <c r="I14" s="139"/>
      <c r="J14" s="6">
        <v>3</v>
      </c>
      <c r="K14" s="6">
        <v>226</v>
      </c>
      <c r="L14" s="6">
        <v>448</v>
      </c>
      <c r="M14" s="20">
        <v>6.1497913463650338E-3</v>
      </c>
    </row>
    <row r="15" spans="1:20">
      <c r="A15" s="139"/>
      <c r="B15" s="139"/>
      <c r="C15" s="6"/>
      <c r="D15" s="6"/>
      <c r="E15" s="6"/>
      <c r="F15" s="40"/>
      <c r="G15" s="18"/>
      <c r="H15" s="140" t="s">
        <v>124</v>
      </c>
      <c r="I15" s="140"/>
      <c r="J15" s="21">
        <v>177</v>
      </c>
      <c r="K15" s="21">
        <v>32282</v>
      </c>
      <c r="L15" s="21">
        <v>72848</v>
      </c>
      <c r="M15" s="22">
        <v>1</v>
      </c>
    </row>
    <row r="16" spans="1:20">
      <c r="A16" s="140" t="s">
        <v>7</v>
      </c>
      <c r="B16" s="140"/>
      <c r="C16" s="21">
        <v>30</v>
      </c>
      <c r="D16" s="21">
        <v>549</v>
      </c>
      <c r="E16" s="21">
        <v>1069</v>
      </c>
      <c r="F16" s="42">
        <v>1</v>
      </c>
      <c r="G16" s="18"/>
      <c r="H16" s="139"/>
      <c r="I16" s="139"/>
      <c r="J16" s="6"/>
      <c r="K16" s="6"/>
      <c r="L16" s="6"/>
      <c r="M16" s="25"/>
    </row>
    <row r="17" spans="1:13">
      <c r="A17" s="140" t="s">
        <v>167</v>
      </c>
      <c r="B17" s="140"/>
      <c r="C17" s="21">
        <v>158</v>
      </c>
      <c r="D17" s="21">
        <v>1072</v>
      </c>
      <c r="E17" s="21">
        <v>2236</v>
      </c>
      <c r="F17" s="42">
        <v>1</v>
      </c>
      <c r="G17" s="18"/>
      <c r="H17" s="139" t="s">
        <v>30</v>
      </c>
      <c r="I17" s="139"/>
      <c r="J17" s="6"/>
      <c r="K17" s="6"/>
      <c r="L17" s="6"/>
      <c r="M17" s="25"/>
    </row>
    <row r="18" spans="1:13">
      <c r="A18" s="140" t="s">
        <v>8</v>
      </c>
      <c r="B18" s="140"/>
      <c r="C18" s="21">
        <v>54</v>
      </c>
      <c r="D18" s="21">
        <v>351</v>
      </c>
      <c r="E18" s="21">
        <v>683</v>
      </c>
      <c r="F18" s="42">
        <v>1</v>
      </c>
      <c r="G18" s="18"/>
      <c r="H18" s="139" t="s">
        <v>31</v>
      </c>
      <c r="I18" s="139"/>
      <c r="J18" s="6"/>
      <c r="K18" s="6"/>
      <c r="L18" s="6"/>
      <c r="M18" s="25"/>
    </row>
    <row r="19" spans="1:13">
      <c r="A19" s="141"/>
      <c r="B19" s="141"/>
      <c r="C19" s="6"/>
      <c r="D19" s="6"/>
      <c r="E19" s="6"/>
      <c r="F19" s="40"/>
      <c r="G19" s="18"/>
      <c r="H19" s="139" t="s">
        <v>32</v>
      </c>
      <c r="I19" s="139"/>
      <c r="J19" s="6"/>
      <c r="K19" s="6"/>
      <c r="L19" s="6"/>
      <c r="M19" s="25"/>
    </row>
    <row r="20" spans="1:13">
      <c r="A20" s="139" t="s">
        <v>11</v>
      </c>
      <c r="B20" s="139"/>
      <c r="C20" s="6"/>
      <c r="D20" s="23"/>
      <c r="E20" s="6"/>
      <c r="F20" s="40"/>
      <c r="G20" s="18"/>
      <c r="H20" s="139" t="s">
        <v>33</v>
      </c>
      <c r="I20" s="139"/>
      <c r="J20" s="6"/>
      <c r="K20" s="6"/>
      <c r="L20" s="6"/>
      <c r="M20" s="25"/>
    </row>
    <row r="21" spans="1:13">
      <c r="A21" s="139" t="s">
        <v>10</v>
      </c>
      <c r="B21" s="139"/>
      <c r="C21" s="6"/>
      <c r="D21" s="23"/>
      <c r="E21" s="6"/>
      <c r="F21" s="40"/>
      <c r="G21" s="18"/>
      <c r="H21" s="139" t="s">
        <v>34</v>
      </c>
      <c r="I21" s="139"/>
      <c r="J21" s="6"/>
      <c r="K21" s="6"/>
      <c r="L21" s="6"/>
      <c r="M21" s="25"/>
    </row>
    <row r="22" spans="1:13">
      <c r="A22" s="139" t="s">
        <v>9</v>
      </c>
      <c r="B22" s="139"/>
      <c r="C22" s="6"/>
      <c r="D22" s="6"/>
      <c r="E22" s="6"/>
      <c r="F22" s="40"/>
      <c r="G22" s="18"/>
      <c r="H22" s="140" t="s">
        <v>125</v>
      </c>
      <c r="I22" s="140"/>
      <c r="J22" s="21"/>
      <c r="K22" s="21"/>
      <c r="L22" s="21"/>
      <c r="M22" s="42"/>
    </row>
    <row r="23" spans="1:13">
      <c r="A23" s="139" t="s">
        <v>126</v>
      </c>
      <c r="B23" s="139"/>
      <c r="C23" s="6">
        <v>1</v>
      </c>
      <c r="D23" s="6">
        <v>163</v>
      </c>
      <c r="E23" s="6">
        <v>500</v>
      </c>
      <c r="F23" s="40">
        <v>1</v>
      </c>
      <c r="G23" s="18"/>
      <c r="H23" s="139"/>
      <c r="I23" s="139"/>
      <c r="J23" s="6"/>
      <c r="K23" s="6"/>
      <c r="L23" s="6"/>
      <c r="M23" s="25"/>
    </row>
    <row r="24" spans="1:13">
      <c r="A24" s="140" t="s">
        <v>127</v>
      </c>
      <c r="B24" s="140"/>
      <c r="C24" s="21">
        <v>1</v>
      </c>
      <c r="D24" s="21">
        <v>163</v>
      </c>
      <c r="E24" s="21">
        <v>500</v>
      </c>
      <c r="F24" s="42">
        <v>1</v>
      </c>
      <c r="G24" s="18"/>
      <c r="H24" s="139" t="s">
        <v>35</v>
      </c>
      <c r="I24" s="139"/>
      <c r="J24" s="6">
        <v>51</v>
      </c>
      <c r="K24" s="6">
        <v>1492</v>
      </c>
      <c r="L24" s="6">
        <v>2880</v>
      </c>
      <c r="M24" s="20">
        <v>0.54659328145758213</v>
      </c>
    </row>
    <row r="25" spans="1:13">
      <c r="A25" s="139"/>
      <c r="B25" s="139"/>
      <c r="C25" s="6"/>
      <c r="D25" s="6"/>
      <c r="E25" s="6"/>
      <c r="F25" s="40"/>
      <c r="G25" s="18"/>
      <c r="H25" s="139" t="s">
        <v>36</v>
      </c>
      <c r="I25" s="139"/>
      <c r="J25" s="6">
        <v>36</v>
      </c>
      <c r="K25" s="6">
        <v>1084</v>
      </c>
      <c r="L25" s="6">
        <v>2058</v>
      </c>
      <c r="M25" s="20">
        <v>0.39058644904156387</v>
      </c>
    </row>
    <row r="26" spans="1:13">
      <c r="A26" s="139" t="s">
        <v>12</v>
      </c>
      <c r="B26" s="139"/>
      <c r="C26" s="6"/>
      <c r="D26" s="6"/>
      <c r="E26" s="6"/>
      <c r="F26" s="40"/>
      <c r="G26" s="18"/>
      <c r="H26" s="139" t="s">
        <v>37</v>
      </c>
      <c r="I26" s="139"/>
      <c r="J26" s="6">
        <v>4</v>
      </c>
      <c r="K26" s="6">
        <v>187</v>
      </c>
      <c r="L26" s="6">
        <v>331</v>
      </c>
      <c r="M26" s="20">
        <v>6.2820269500854051E-2</v>
      </c>
    </row>
    <row r="27" spans="1:13">
      <c r="A27" s="139" t="s">
        <v>13</v>
      </c>
      <c r="B27" s="139"/>
      <c r="C27" s="6">
        <v>1</v>
      </c>
      <c r="D27" s="6">
        <v>324</v>
      </c>
      <c r="E27" s="6">
        <v>660</v>
      </c>
      <c r="F27" s="82">
        <v>0.37120359955005622</v>
      </c>
      <c r="G27" s="18"/>
      <c r="H27" s="140" t="s">
        <v>128</v>
      </c>
      <c r="I27" s="140"/>
      <c r="J27" s="21">
        <v>91</v>
      </c>
      <c r="K27" s="21">
        <v>2763</v>
      </c>
      <c r="L27" s="21">
        <v>5269</v>
      </c>
      <c r="M27" s="22">
        <v>1</v>
      </c>
    </row>
    <row r="28" spans="1:13">
      <c r="A28" s="139" t="s">
        <v>14</v>
      </c>
      <c r="B28" s="139"/>
      <c r="C28" s="6">
        <v>1</v>
      </c>
      <c r="D28" s="6">
        <v>413</v>
      </c>
      <c r="E28" s="6">
        <v>1118</v>
      </c>
      <c r="F28" s="82">
        <v>0.62879640044994378</v>
      </c>
      <c r="G28" s="18"/>
      <c r="H28" s="139"/>
      <c r="I28" s="139"/>
      <c r="J28" s="6"/>
      <c r="K28" s="6"/>
      <c r="L28" s="6"/>
      <c r="M28" s="25"/>
    </row>
    <row r="29" spans="1:13">
      <c r="A29" s="140" t="s">
        <v>129</v>
      </c>
      <c r="B29" s="140"/>
      <c r="C29" s="21">
        <v>2</v>
      </c>
      <c r="D29" s="21">
        <v>737</v>
      </c>
      <c r="E29" s="21">
        <v>1778</v>
      </c>
      <c r="F29" s="42">
        <v>1</v>
      </c>
      <c r="G29" s="18"/>
      <c r="H29" s="139" t="s">
        <v>38</v>
      </c>
      <c r="I29" s="139"/>
      <c r="J29" s="6">
        <v>59</v>
      </c>
      <c r="K29" s="6">
        <v>1261</v>
      </c>
      <c r="L29" s="6">
        <v>2330</v>
      </c>
      <c r="M29" s="20">
        <v>0.5830830830830831</v>
      </c>
    </row>
    <row r="30" spans="1:13">
      <c r="A30" s="139"/>
      <c r="B30" s="139"/>
      <c r="C30" s="6"/>
      <c r="D30" s="6"/>
      <c r="E30" s="6"/>
      <c r="F30" s="40"/>
      <c r="G30" s="18"/>
      <c r="H30" s="139" t="s">
        <v>39</v>
      </c>
      <c r="I30" s="139"/>
      <c r="J30" s="6">
        <v>37</v>
      </c>
      <c r="K30" s="6">
        <v>821</v>
      </c>
      <c r="L30" s="6">
        <v>1526</v>
      </c>
      <c r="M30" s="20">
        <v>0.38188188188188188</v>
      </c>
    </row>
    <row r="31" spans="1:13">
      <c r="A31" s="139" t="s">
        <v>15</v>
      </c>
      <c r="B31" s="139"/>
      <c r="C31" s="6">
        <v>30</v>
      </c>
      <c r="D31" s="6">
        <v>1465</v>
      </c>
      <c r="E31" s="6">
        <v>2694</v>
      </c>
      <c r="F31" s="82">
        <v>1.8025492623197619E-2</v>
      </c>
      <c r="G31" s="18"/>
      <c r="H31" s="139" t="s">
        <v>40</v>
      </c>
      <c r="I31" s="139"/>
      <c r="J31" s="6">
        <v>3</v>
      </c>
      <c r="K31" s="6">
        <v>74</v>
      </c>
      <c r="L31" s="6">
        <v>140</v>
      </c>
      <c r="M31" s="20">
        <v>3.5035035035035036E-2</v>
      </c>
    </row>
    <row r="32" spans="1:13">
      <c r="A32" s="139" t="s">
        <v>16</v>
      </c>
      <c r="B32" s="139"/>
      <c r="C32" s="6">
        <v>60</v>
      </c>
      <c r="D32" s="6">
        <v>5237</v>
      </c>
      <c r="E32" s="6">
        <v>9818</v>
      </c>
      <c r="F32" s="82">
        <v>6.5692014318691247E-2</v>
      </c>
      <c r="G32" s="18"/>
      <c r="H32" s="141"/>
      <c r="I32" s="141"/>
      <c r="J32" s="8"/>
      <c r="K32" s="8"/>
      <c r="L32" s="8"/>
      <c r="M32" s="43"/>
    </row>
    <row r="33" spans="1:13">
      <c r="A33" s="139" t="s">
        <v>17</v>
      </c>
      <c r="B33" s="139"/>
      <c r="C33" s="6">
        <v>289</v>
      </c>
      <c r="D33" s="6">
        <v>45159</v>
      </c>
      <c r="E33" s="6">
        <v>84900</v>
      </c>
      <c r="F33" s="82">
        <v>0.56806396574219664</v>
      </c>
      <c r="G33" s="18"/>
      <c r="H33" s="140" t="s">
        <v>130</v>
      </c>
      <c r="I33" s="140"/>
      <c r="J33" s="21">
        <v>99</v>
      </c>
      <c r="K33" s="21">
        <v>2156</v>
      </c>
      <c r="L33" s="21">
        <v>3996</v>
      </c>
      <c r="M33" s="22">
        <v>1</v>
      </c>
    </row>
    <row r="34" spans="1:13">
      <c r="A34" s="139" t="s">
        <v>168</v>
      </c>
      <c r="B34" s="139"/>
      <c r="C34" s="6">
        <v>155</v>
      </c>
      <c r="D34" s="6">
        <v>24541</v>
      </c>
      <c r="E34" s="6">
        <v>46490</v>
      </c>
      <c r="F34" s="82">
        <v>0.31106353082867755</v>
      </c>
      <c r="G34" s="18"/>
      <c r="H34" s="139"/>
      <c r="I34" s="139"/>
      <c r="J34" s="8"/>
      <c r="K34" s="8"/>
      <c r="L34" s="8"/>
      <c r="M34" s="43"/>
    </row>
    <row r="35" spans="1:13">
      <c r="A35" s="139" t="s">
        <v>19</v>
      </c>
      <c r="B35" s="139"/>
      <c r="C35" s="6">
        <v>24</v>
      </c>
      <c r="D35" s="6">
        <v>2765</v>
      </c>
      <c r="E35" s="6">
        <v>5553</v>
      </c>
      <c r="F35" s="82">
        <v>3.7154996487236962E-2</v>
      </c>
      <c r="G35" s="18"/>
      <c r="H35" s="140" t="s">
        <v>42</v>
      </c>
      <c r="I35" s="140"/>
      <c r="J35" s="21">
        <v>19</v>
      </c>
      <c r="K35" s="21">
        <v>298</v>
      </c>
      <c r="L35" s="21">
        <v>566</v>
      </c>
      <c r="M35" s="22">
        <v>1</v>
      </c>
    </row>
    <row r="36" spans="1:13">
      <c r="A36" s="140" t="s">
        <v>131</v>
      </c>
      <c r="B36" s="140"/>
      <c r="C36" s="21">
        <v>558</v>
      </c>
      <c r="D36" s="21">
        <v>79167</v>
      </c>
      <c r="E36" s="21">
        <v>149455</v>
      </c>
      <c r="F36" s="42">
        <v>1</v>
      </c>
      <c r="G36" s="18"/>
      <c r="H36" s="140" t="s">
        <v>43</v>
      </c>
      <c r="I36" s="140"/>
      <c r="J36" s="21">
        <v>9</v>
      </c>
      <c r="K36" s="21">
        <v>138</v>
      </c>
      <c r="L36" s="21">
        <v>248</v>
      </c>
      <c r="M36" s="22">
        <v>1</v>
      </c>
    </row>
    <row r="37" spans="1:13">
      <c r="A37" s="141"/>
      <c r="B37" s="141"/>
      <c r="C37" s="8"/>
      <c r="D37" s="8"/>
      <c r="E37" s="8"/>
      <c r="F37" s="44"/>
      <c r="G37" s="18"/>
      <c r="H37" s="140" t="s">
        <v>44</v>
      </c>
      <c r="I37" s="140"/>
      <c r="J37" s="21">
        <v>1</v>
      </c>
      <c r="K37" s="21">
        <v>12</v>
      </c>
      <c r="L37" s="21">
        <v>23</v>
      </c>
      <c r="M37" s="22">
        <v>1</v>
      </c>
    </row>
    <row r="38" spans="1:13">
      <c r="A38" s="139" t="s">
        <v>20</v>
      </c>
      <c r="B38" s="139"/>
      <c r="C38" s="6">
        <v>5</v>
      </c>
      <c r="D38" s="6">
        <v>112</v>
      </c>
      <c r="E38" s="6">
        <v>209</v>
      </c>
      <c r="F38" s="82">
        <v>0.24763033175355451</v>
      </c>
      <c r="G38" s="18"/>
      <c r="H38" s="139"/>
      <c r="I38" s="139"/>
      <c r="J38" s="6"/>
      <c r="K38" s="6"/>
      <c r="L38" s="6"/>
      <c r="M38" s="6"/>
    </row>
    <row r="39" spans="1:13">
      <c r="A39" s="139" t="s">
        <v>21</v>
      </c>
      <c r="B39" s="139"/>
      <c r="C39" s="6">
        <v>3</v>
      </c>
      <c r="D39" s="6">
        <v>122</v>
      </c>
      <c r="E39" s="6">
        <v>228</v>
      </c>
      <c r="F39" s="82">
        <v>0.27014218009478674</v>
      </c>
      <c r="G39" s="18"/>
      <c r="H39" s="141"/>
      <c r="I39" s="141"/>
      <c r="J39" s="6"/>
      <c r="K39" s="6"/>
      <c r="L39" s="6"/>
      <c r="M39" s="6"/>
    </row>
    <row r="40" spans="1:13">
      <c r="A40" s="139" t="s">
        <v>22</v>
      </c>
      <c r="B40" s="139"/>
      <c r="C40" s="6">
        <v>3</v>
      </c>
      <c r="D40" s="6">
        <v>138</v>
      </c>
      <c r="E40" s="6">
        <v>251</v>
      </c>
      <c r="F40" s="82">
        <v>0.29739336492890994</v>
      </c>
      <c r="G40" s="18"/>
      <c r="H40" s="19"/>
      <c r="I40" s="19"/>
      <c r="J40" s="6"/>
      <c r="K40" s="6"/>
      <c r="L40" s="6"/>
      <c r="M40" s="26"/>
    </row>
    <row r="41" spans="1:13">
      <c r="A41" s="139" t="s">
        <v>172</v>
      </c>
      <c r="B41" s="139"/>
      <c r="C41" s="6">
        <v>2</v>
      </c>
      <c r="D41" s="6">
        <v>82</v>
      </c>
      <c r="E41" s="6">
        <v>156</v>
      </c>
      <c r="F41" s="82">
        <v>0.18483412322274881</v>
      </c>
      <c r="G41" s="18"/>
      <c r="H41" s="141"/>
      <c r="I41" s="141"/>
      <c r="J41" s="8"/>
      <c r="K41" s="8"/>
      <c r="L41" s="8"/>
      <c r="M41" s="6"/>
    </row>
    <row r="42" spans="1:13">
      <c r="A42" s="139" t="s">
        <v>24</v>
      </c>
      <c r="B42" s="139"/>
      <c r="C42" s="6"/>
      <c r="D42" s="6"/>
      <c r="E42" s="6"/>
      <c r="F42" s="82"/>
      <c r="G42" s="18"/>
      <c r="H42" s="140" t="s">
        <v>45</v>
      </c>
      <c r="I42" s="140"/>
      <c r="J42" s="21">
        <v>1592</v>
      </c>
      <c r="K42" s="21">
        <v>136956</v>
      </c>
      <c r="L42" s="21">
        <v>285065</v>
      </c>
      <c r="M42" s="20"/>
    </row>
    <row r="43" spans="1:13">
      <c r="A43" s="140" t="s">
        <v>132</v>
      </c>
      <c r="B43" s="140"/>
      <c r="C43" s="21">
        <v>13</v>
      </c>
      <c r="D43" s="21">
        <v>454</v>
      </c>
      <c r="E43" s="21">
        <v>844</v>
      </c>
      <c r="F43" s="42">
        <v>1</v>
      </c>
      <c r="G43" s="18"/>
    </row>
  </sheetData>
  <sheetProtection algorithmName="SHA-512" hashValue="OKL8rS35Qptjb0wLWBGNHtwrs/tRtgqIL4FUoztaeU+lTN3OAVyzUH6IHiAK1lEPTQoSE19l0dVk2thRGS34oA==" saltValue="qdUq1BqvOkHbtUEhOWKe2w==" spinCount="100000" sheet="1" objects="1" scenarios="1"/>
  <mergeCells count="72">
    <mergeCell ref="A7:B7"/>
    <mergeCell ref="H7:I7"/>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 ref="A21:B21"/>
    <mergeCell ref="H21:I21"/>
    <mergeCell ref="A22:B22"/>
    <mergeCell ref="H22:I22"/>
    <mergeCell ref="A23:B23"/>
    <mergeCell ref="H23:I23"/>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43:B43"/>
    <mergeCell ref="A37:B37"/>
    <mergeCell ref="H37:I37"/>
    <mergeCell ref="A38:B38"/>
    <mergeCell ref="H38:I38"/>
    <mergeCell ref="A39:B39"/>
    <mergeCell ref="H39:I39"/>
    <mergeCell ref="A40:B40"/>
    <mergeCell ref="A41:B41"/>
    <mergeCell ref="H41:I41"/>
    <mergeCell ref="A42:B42"/>
    <mergeCell ref="H42:I4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CM57"/>
  <sheetViews>
    <sheetView showGridLines="0" zoomScaleNormal="100" workbookViewId="0"/>
  </sheetViews>
  <sheetFormatPr baseColWidth="10" defaultRowHeight="15"/>
  <cols>
    <col min="1" max="1" width="79.85546875" customWidth="1"/>
    <col min="90" max="91" width="11.42578125" style="84"/>
  </cols>
  <sheetData>
    <row r="2" spans="1:91" ht="16.5">
      <c r="A2" s="1" t="s">
        <v>157</v>
      </c>
      <c r="B2" s="2"/>
      <c r="M2" s="28"/>
      <c r="N2" s="28"/>
      <c r="BK2" s="29"/>
      <c r="BL2" s="30"/>
    </row>
    <row r="3" spans="1:91" ht="16.5">
      <c r="A3" s="3" t="s">
        <v>158</v>
      </c>
      <c r="B3" s="2"/>
      <c r="BK3" s="29"/>
      <c r="BL3" s="30"/>
    </row>
    <row r="4" spans="1:91" ht="16.5">
      <c r="A4" s="3" t="s">
        <v>159</v>
      </c>
      <c r="B4" s="2"/>
      <c r="E4" s="28"/>
      <c r="F4" s="28"/>
      <c r="BK4" s="29"/>
      <c r="BL4" s="30"/>
    </row>
    <row r="5" spans="1:91" ht="9" customHeight="1">
      <c r="B5" s="3"/>
      <c r="C5" s="2"/>
      <c r="F5" s="28"/>
      <c r="BK5" s="29"/>
      <c r="BL5" s="30"/>
    </row>
    <row r="6" spans="1:91" ht="15" customHeight="1">
      <c r="A6" s="138" t="s">
        <v>97</v>
      </c>
      <c r="B6" s="137" t="s">
        <v>3</v>
      </c>
      <c r="C6" s="137"/>
      <c r="D6" s="137" t="s">
        <v>4</v>
      </c>
      <c r="E6" s="137"/>
      <c r="F6" s="137" t="s">
        <v>5</v>
      </c>
      <c r="G6" s="137"/>
      <c r="H6" s="137" t="s">
        <v>6</v>
      </c>
      <c r="I6" s="137"/>
      <c r="J6" s="137" t="s">
        <v>7</v>
      </c>
      <c r="K6" s="137"/>
      <c r="L6" s="137" t="s">
        <v>167</v>
      </c>
      <c r="M6" s="137"/>
      <c r="N6" s="137" t="s">
        <v>8</v>
      </c>
      <c r="O6" s="137"/>
      <c r="P6" s="137" t="s">
        <v>11</v>
      </c>
      <c r="Q6" s="137"/>
      <c r="R6" s="137" t="s">
        <v>10</v>
      </c>
      <c r="S6" s="137"/>
      <c r="T6" s="137" t="s">
        <v>9</v>
      </c>
      <c r="U6" s="137"/>
      <c r="V6" s="137" t="s">
        <v>126</v>
      </c>
      <c r="W6" s="137"/>
      <c r="X6" s="137" t="s">
        <v>12</v>
      </c>
      <c r="Y6" s="137"/>
      <c r="Z6" s="137" t="s">
        <v>13</v>
      </c>
      <c r="AA6" s="137"/>
      <c r="AB6" s="137" t="s">
        <v>14</v>
      </c>
      <c r="AC6" s="137"/>
      <c r="AD6" s="137" t="s">
        <v>15</v>
      </c>
      <c r="AE6" s="137"/>
      <c r="AF6" s="137" t="s">
        <v>16</v>
      </c>
      <c r="AG6" s="137"/>
      <c r="AH6" s="137" t="s">
        <v>17</v>
      </c>
      <c r="AI6" s="137"/>
      <c r="AJ6" s="137" t="s">
        <v>18</v>
      </c>
      <c r="AK6" s="137"/>
      <c r="AL6" s="137" t="s">
        <v>19</v>
      </c>
      <c r="AM6" s="137"/>
      <c r="AN6" s="137" t="s">
        <v>20</v>
      </c>
      <c r="AO6" s="137"/>
      <c r="AP6" s="137" t="s">
        <v>21</v>
      </c>
      <c r="AQ6" s="137"/>
      <c r="AR6" s="137" t="s">
        <v>22</v>
      </c>
      <c r="AS6" s="137"/>
      <c r="AT6" s="137" t="s">
        <v>23</v>
      </c>
      <c r="AU6" s="137"/>
      <c r="AV6" s="137" t="s">
        <v>24</v>
      </c>
      <c r="AW6" s="137"/>
      <c r="AX6" s="137" t="s">
        <v>25</v>
      </c>
      <c r="AY6" s="137"/>
      <c r="AZ6" s="137" t="s">
        <v>26</v>
      </c>
      <c r="BA6" s="137"/>
      <c r="BB6" s="137" t="s">
        <v>27</v>
      </c>
      <c r="BC6" s="137"/>
      <c r="BD6" s="137" t="s">
        <v>28</v>
      </c>
      <c r="BE6" s="137"/>
      <c r="BF6" s="137" t="s">
        <v>29</v>
      </c>
      <c r="BG6" s="137"/>
      <c r="BH6" s="137" t="s">
        <v>30</v>
      </c>
      <c r="BI6" s="137"/>
      <c r="BJ6" s="137" t="s">
        <v>31</v>
      </c>
      <c r="BK6" s="137"/>
      <c r="BL6" s="137" t="s">
        <v>32</v>
      </c>
      <c r="BM6" s="137"/>
      <c r="BN6" s="137" t="s">
        <v>33</v>
      </c>
      <c r="BO6" s="137"/>
      <c r="BP6" s="137" t="s">
        <v>34</v>
      </c>
      <c r="BQ6" s="137"/>
      <c r="BR6" s="137" t="s">
        <v>35</v>
      </c>
      <c r="BS6" s="137"/>
      <c r="BT6" s="137" t="s">
        <v>36</v>
      </c>
      <c r="BU6" s="137"/>
      <c r="BV6" s="137" t="s">
        <v>37</v>
      </c>
      <c r="BW6" s="137"/>
      <c r="BX6" s="137" t="s">
        <v>38</v>
      </c>
      <c r="BY6" s="137"/>
      <c r="BZ6" s="137" t="s">
        <v>39</v>
      </c>
      <c r="CA6" s="137"/>
      <c r="CB6" s="137" t="s">
        <v>40</v>
      </c>
      <c r="CC6" s="137"/>
      <c r="CD6" s="137" t="s">
        <v>41</v>
      </c>
      <c r="CE6" s="137"/>
      <c r="CF6" s="137" t="s">
        <v>42</v>
      </c>
      <c r="CG6" s="137"/>
      <c r="CH6" s="137" t="s">
        <v>43</v>
      </c>
      <c r="CI6" s="137"/>
      <c r="CJ6" s="137" t="s">
        <v>44</v>
      </c>
      <c r="CK6" s="137"/>
      <c r="CL6" s="137" t="s">
        <v>45</v>
      </c>
      <c r="CM6" s="137"/>
    </row>
    <row r="7" spans="1:91">
      <c r="A7" s="138"/>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31"/>
      <c r="BL7" s="31"/>
      <c r="BM7" s="4"/>
      <c r="BN7" s="4"/>
      <c r="BO7" s="4"/>
      <c r="BP7" s="4"/>
      <c r="BQ7" s="4"/>
      <c r="BR7" s="4"/>
      <c r="BS7" s="4"/>
      <c r="BT7" s="4"/>
      <c r="BU7" s="4"/>
      <c r="BV7" s="4"/>
      <c r="BW7" s="4"/>
      <c r="BX7" s="4"/>
      <c r="BY7" s="4"/>
      <c r="BZ7" s="4"/>
      <c r="CA7" s="4"/>
      <c r="CB7" s="4"/>
      <c r="CC7" s="4"/>
      <c r="CD7" s="4"/>
      <c r="CE7" s="4"/>
      <c r="CF7" s="4"/>
      <c r="CG7" s="4"/>
      <c r="CH7" s="4"/>
      <c r="CI7" s="4"/>
      <c r="CJ7" s="4"/>
      <c r="CK7" s="4"/>
      <c r="CL7" s="4"/>
      <c r="CM7" s="4"/>
    </row>
    <row r="8" spans="1:91" ht="15" customHeight="1">
      <c r="A8" s="138"/>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46</v>
      </c>
      <c r="BC8" s="4" t="s">
        <v>47</v>
      </c>
      <c r="BD8" s="4" t="s">
        <v>46</v>
      </c>
      <c r="BE8" s="4" t="s">
        <v>47</v>
      </c>
      <c r="BF8" s="4" t="s">
        <v>46</v>
      </c>
      <c r="BG8" s="4" t="s">
        <v>47</v>
      </c>
      <c r="BH8" s="4" t="s">
        <v>46</v>
      </c>
      <c r="BI8" s="4" t="s">
        <v>47</v>
      </c>
      <c r="BJ8" s="4" t="s">
        <v>46</v>
      </c>
      <c r="BK8" s="4" t="s">
        <v>47</v>
      </c>
      <c r="BL8" s="4" t="s">
        <v>46</v>
      </c>
      <c r="BM8" s="4" t="s">
        <v>47</v>
      </c>
      <c r="BN8" s="4" t="s">
        <v>46</v>
      </c>
      <c r="BO8" s="4" t="s">
        <v>47</v>
      </c>
      <c r="BP8" s="4" t="s">
        <v>46</v>
      </c>
      <c r="BQ8" s="4" t="s">
        <v>47</v>
      </c>
      <c r="BR8" s="4" t="s">
        <v>46</v>
      </c>
      <c r="BS8" s="4" t="s">
        <v>47</v>
      </c>
      <c r="BT8" s="4" t="s">
        <v>46</v>
      </c>
      <c r="BU8" s="4" t="s">
        <v>47</v>
      </c>
      <c r="BV8" s="4" t="s">
        <v>46</v>
      </c>
      <c r="BW8" s="4" t="s">
        <v>47</v>
      </c>
      <c r="BX8" s="4" t="s">
        <v>46</v>
      </c>
      <c r="BY8" s="4" t="s">
        <v>47</v>
      </c>
      <c r="BZ8" s="4" t="s">
        <v>46</v>
      </c>
      <c r="CA8" s="4" t="s">
        <v>47</v>
      </c>
      <c r="CB8" s="4" t="s">
        <v>46</v>
      </c>
      <c r="CC8" s="4" t="s">
        <v>47</v>
      </c>
      <c r="CD8" s="4" t="s">
        <v>46</v>
      </c>
      <c r="CE8" s="4" t="s">
        <v>47</v>
      </c>
      <c r="CF8" s="4" t="s">
        <v>46</v>
      </c>
      <c r="CG8" s="4" t="s">
        <v>47</v>
      </c>
      <c r="CH8" s="4" t="s">
        <v>46</v>
      </c>
      <c r="CI8" s="4" t="s">
        <v>47</v>
      </c>
      <c r="CJ8" s="4" t="s">
        <v>46</v>
      </c>
      <c r="CK8" s="4" t="s">
        <v>47</v>
      </c>
      <c r="CL8" s="4" t="s">
        <v>46</v>
      </c>
      <c r="CM8" s="4" t="s">
        <v>47</v>
      </c>
    </row>
    <row r="9" spans="1:91" s="38" customFormat="1">
      <c r="A9" s="32" t="s">
        <v>48</v>
      </c>
      <c r="B9" s="33"/>
      <c r="C9" s="34"/>
      <c r="D9" s="34"/>
      <c r="E9" s="34"/>
      <c r="F9" s="34"/>
      <c r="G9" s="34"/>
      <c r="H9" s="34"/>
      <c r="I9" s="34"/>
      <c r="J9" s="34">
        <v>1</v>
      </c>
      <c r="K9" s="34">
        <v>50</v>
      </c>
      <c r="L9" s="34">
        <v>1</v>
      </c>
      <c r="M9" s="34">
        <v>12</v>
      </c>
      <c r="N9" s="34">
        <v>2</v>
      </c>
      <c r="O9" s="34">
        <v>30</v>
      </c>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5"/>
      <c r="BK9" s="36"/>
      <c r="BL9" s="36"/>
      <c r="BM9" s="33"/>
      <c r="BN9" s="34"/>
      <c r="BO9" s="34"/>
      <c r="BP9" s="34"/>
      <c r="BQ9" s="34"/>
      <c r="BR9" s="34"/>
      <c r="BS9" s="34"/>
      <c r="BT9" s="34"/>
      <c r="BU9" s="34"/>
      <c r="BV9" s="34"/>
      <c r="BW9" s="34"/>
      <c r="BX9" s="34"/>
      <c r="BY9" s="34"/>
      <c r="BZ9" s="34">
        <v>1</v>
      </c>
      <c r="CA9" s="34">
        <v>21</v>
      </c>
      <c r="CB9" s="34"/>
      <c r="CC9" s="34"/>
      <c r="CD9" s="34"/>
      <c r="CE9" s="34"/>
      <c r="CF9" s="34"/>
      <c r="CG9" s="34"/>
      <c r="CH9" s="34"/>
      <c r="CI9" s="34"/>
      <c r="CJ9" s="34"/>
      <c r="CK9" s="34"/>
      <c r="CL9" s="37">
        <v>5</v>
      </c>
      <c r="CM9" s="37">
        <v>113</v>
      </c>
    </row>
    <row r="10" spans="1:91" s="38" customFormat="1">
      <c r="A10" s="39" t="s">
        <v>49</v>
      </c>
      <c r="B10" s="33">
        <v>7</v>
      </c>
      <c r="C10" s="33">
        <v>499</v>
      </c>
      <c r="D10" s="34">
        <v>17</v>
      </c>
      <c r="E10" s="34">
        <v>2720</v>
      </c>
      <c r="F10" s="34">
        <v>7</v>
      </c>
      <c r="G10" s="34">
        <v>4892</v>
      </c>
      <c r="H10" s="34"/>
      <c r="I10" s="34"/>
      <c r="J10" s="34"/>
      <c r="K10" s="34"/>
      <c r="L10" s="34">
        <v>3</v>
      </c>
      <c r="M10" s="34">
        <v>34</v>
      </c>
      <c r="N10" s="34">
        <v>5</v>
      </c>
      <c r="O10" s="34">
        <v>54</v>
      </c>
      <c r="P10" s="34"/>
      <c r="Q10" s="34"/>
      <c r="R10" s="34"/>
      <c r="S10" s="34"/>
      <c r="T10" s="34"/>
      <c r="U10" s="34"/>
      <c r="V10" s="34"/>
      <c r="W10" s="34"/>
      <c r="X10" s="34"/>
      <c r="Y10" s="34"/>
      <c r="Z10" s="34"/>
      <c r="AA10" s="34"/>
      <c r="AB10" s="34"/>
      <c r="AC10" s="34"/>
      <c r="AD10" s="34"/>
      <c r="AE10" s="34"/>
      <c r="AF10" s="34"/>
      <c r="AG10" s="34"/>
      <c r="AH10" s="34">
        <v>17</v>
      </c>
      <c r="AI10" s="34">
        <v>7935</v>
      </c>
      <c r="AJ10" s="34">
        <v>4</v>
      </c>
      <c r="AK10" s="34">
        <v>2406</v>
      </c>
      <c r="AL10" s="34"/>
      <c r="AM10" s="34"/>
      <c r="AN10" s="34"/>
      <c r="AO10" s="34"/>
      <c r="AP10" s="34"/>
      <c r="AQ10" s="34"/>
      <c r="AR10" s="34"/>
      <c r="AS10" s="34"/>
      <c r="AT10" s="34"/>
      <c r="AU10" s="34"/>
      <c r="AV10" s="34"/>
      <c r="AW10" s="34"/>
      <c r="AX10" s="34"/>
      <c r="AY10" s="34"/>
      <c r="AZ10" s="34">
        <v>1</v>
      </c>
      <c r="BA10" s="34">
        <v>615</v>
      </c>
      <c r="BB10" s="34">
        <v>9</v>
      </c>
      <c r="BC10" s="34">
        <v>4144</v>
      </c>
      <c r="BD10" s="34">
        <v>9</v>
      </c>
      <c r="BE10" s="34">
        <v>2686</v>
      </c>
      <c r="BF10" s="34"/>
      <c r="BG10" s="34"/>
      <c r="BH10" s="34"/>
      <c r="BI10" s="34"/>
      <c r="BJ10" s="35"/>
      <c r="BK10" s="36"/>
      <c r="BL10" s="36"/>
      <c r="BM10" s="33"/>
      <c r="BN10" s="33"/>
      <c r="BO10" s="34"/>
      <c r="BP10" s="34"/>
      <c r="BQ10" s="34"/>
      <c r="BR10" s="34">
        <v>3</v>
      </c>
      <c r="BS10" s="34">
        <v>147</v>
      </c>
      <c r="BT10" s="34"/>
      <c r="BU10" s="34"/>
      <c r="BV10" s="34"/>
      <c r="BW10" s="34"/>
      <c r="BX10" s="34">
        <v>1</v>
      </c>
      <c r="BY10" s="34">
        <v>55</v>
      </c>
      <c r="BZ10" s="34">
        <v>1</v>
      </c>
      <c r="CA10" s="34">
        <v>39</v>
      </c>
      <c r="CB10" s="34"/>
      <c r="CC10" s="34"/>
      <c r="CD10" s="34"/>
      <c r="CE10" s="34"/>
      <c r="CF10" s="34"/>
      <c r="CG10" s="34"/>
      <c r="CH10" s="34">
        <v>1</v>
      </c>
      <c r="CI10" s="34">
        <v>32</v>
      </c>
      <c r="CJ10" s="34"/>
      <c r="CK10" s="34"/>
      <c r="CL10" s="37">
        <v>85</v>
      </c>
      <c r="CM10" s="37">
        <v>26258</v>
      </c>
    </row>
    <row r="11" spans="1:91" s="38" customFormat="1">
      <c r="A11" s="32" t="s">
        <v>50</v>
      </c>
      <c r="B11" s="33"/>
      <c r="C11" s="34"/>
      <c r="D11" s="34"/>
      <c r="E11" s="34"/>
      <c r="F11" s="34"/>
      <c r="G11" s="34"/>
      <c r="H11" s="34"/>
      <c r="I11" s="34"/>
      <c r="J11" s="34">
        <v>1</v>
      </c>
      <c r="K11" s="34">
        <v>31</v>
      </c>
      <c r="L11" s="34">
        <v>1</v>
      </c>
      <c r="M11" s="34">
        <v>20</v>
      </c>
      <c r="N11" s="34">
        <v>1</v>
      </c>
      <c r="O11" s="34">
        <v>10</v>
      </c>
      <c r="P11" s="34"/>
      <c r="Q11" s="34"/>
      <c r="R11" s="34"/>
      <c r="S11" s="34"/>
      <c r="T11" s="34"/>
      <c r="U11" s="34"/>
      <c r="V11" s="34"/>
      <c r="W11" s="34"/>
      <c r="X11" s="34"/>
      <c r="Y11" s="34"/>
      <c r="Z11" s="34"/>
      <c r="AA11" s="34"/>
      <c r="AB11" s="34"/>
      <c r="AC11" s="34"/>
      <c r="AD11" s="34"/>
      <c r="AE11" s="34"/>
      <c r="AF11" s="34"/>
      <c r="AG11" s="34"/>
      <c r="AH11" s="34">
        <v>1</v>
      </c>
      <c r="AI11" s="34">
        <v>28</v>
      </c>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5"/>
      <c r="BK11" s="36"/>
      <c r="BL11" s="36"/>
      <c r="BM11" s="33"/>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7">
        <v>4</v>
      </c>
      <c r="CM11" s="37">
        <v>89</v>
      </c>
    </row>
    <row r="12" spans="1:91" s="38" customFormat="1">
      <c r="A12" s="32" t="s">
        <v>51</v>
      </c>
      <c r="B12" s="33">
        <v>1</v>
      </c>
      <c r="C12" s="34">
        <v>54</v>
      </c>
      <c r="D12" s="34"/>
      <c r="E12" s="34"/>
      <c r="F12" s="34">
        <v>2</v>
      </c>
      <c r="G12" s="34">
        <v>446</v>
      </c>
      <c r="H12" s="34"/>
      <c r="I12" s="34"/>
      <c r="J12" s="34"/>
      <c r="K12" s="34"/>
      <c r="L12" s="34">
        <v>1</v>
      </c>
      <c r="M12" s="34">
        <v>14</v>
      </c>
      <c r="N12" s="34">
        <v>1</v>
      </c>
      <c r="O12" s="34">
        <v>8</v>
      </c>
      <c r="P12" s="34"/>
      <c r="Q12" s="34"/>
      <c r="R12" s="34"/>
      <c r="S12" s="34"/>
      <c r="T12" s="34"/>
      <c r="U12" s="34"/>
      <c r="V12" s="34"/>
      <c r="W12" s="34"/>
      <c r="X12" s="34"/>
      <c r="Y12" s="34"/>
      <c r="Z12" s="34"/>
      <c r="AA12" s="34"/>
      <c r="AB12" s="34"/>
      <c r="AC12" s="34"/>
      <c r="AD12" s="34"/>
      <c r="AE12" s="34"/>
      <c r="AF12" s="34"/>
      <c r="AG12" s="34"/>
      <c r="AH12" s="34">
        <v>3</v>
      </c>
      <c r="AI12" s="34">
        <v>407</v>
      </c>
      <c r="AJ12" s="34">
        <v>4</v>
      </c>
      <c r="AK12" s="34">
        <v>1679</v>
      </c>
      <c r="AL12" s="34">
        <v>1</v>
      </c>
      <c r="AM12" s="34">
        <v>330</v>
      </c>
      <c r="AN12" s="34"/>
      <c r="AO12" s="34"/>
      <c r="AP12" s="34"/>
      <c r="AQ12" s="34"/>
      <c r="AR12" s="34"/>
      <c r="AS12" s="34"/>
      <c r="AT12" s="34"/>
      <c r="AU12" s="34"/>
      <c r="AV12" s="34"/>
      <c r="AW12" s="34"/>
      <c r="AX12" s="34"/>
      <c r="AY12" s="34"/>
      <c r="AZ12" s="34"/>
      <c r="BA12" s="34"/>
      <c r="BB12" s="34">
        <v>1</v>
      </c>
      <c r="BC12" s="34">
        <v>192</v>
      </c>
      <c r="BD12" s="34">
        <v>2</v>
      </c>
      <c r="BE12" s="34">
        <v>354</v>
      </c>
      <c r="BF12" s="34"/>
      <c r="BG12" s="34"/>
      <c r="BH12" s="34"/>
      <c r="BI12" s="34"/>
      <c r="BJ12" s="35"/>
      <c r="BK12" s="36"/>
      <c r="BL12" s="36"/>
      <c r="BM12" s="33"/>
      <c r="BN12" s="34"/>
      <c r="BO12" s="34"/>
      <c r="BP12" s="34"/>
      <c r="BQ12" s="34"/>
      <c r="BR12" s="34">
        <v>1</v>
      </c>
      <c r="BS12" s="34">
        <v>40</v>
      </c>
      <c r="BT12" s="34">
        <v>1</v>
      </c>
      <c r="BU12" s="34">
        <v>30</v>
      </c>
      <c r="BV12" s="34"/>
      <c r="BW12" s="34"/>
      <c r="BX12" s="34"/>
      <c r="BY12" s="34"/>
      <c r="BZ12" s="34">
        <v>1</v>
      </c>
      <c r="CA12" s="34">
        <v>28</v>
      </c>
      <c r="CB12" s="34"/>
      <c r="CC12" s="34"/>
      <c r="CD12" s="34"/>
      <c r="CE12" s="34"/>
      <c r="CF12" s="34"/>
      <c r="CG12" s="34"/>
      <c r="CH12" s="34"/>
      <c r="CI12" s="34"/>
      <c r="CJ12" s="34"/>
      <c r="CK12" s="34"/>
      <c r="CL12" s="37">
        <v>19</v>
      </c>
      <c r="CM12" s="37">
        <v>3582</v>
      </c>
    </row>
    <row r="13" spans="1:91" s="38" customFormat="1">
      <c r="A13" s="32" t="s">
        <v>52</v>
      </c>
      <c r="B13" s="33">
        <v>1</v>
      </c>
      <c r="C13" s="34">
        <v>38</v>
      </c>
      <c r="D13" s="34"/>
      <c r="E13" s="34"/>
      <c r="F13" s="34"/>
      <c r="G13" s="34"/>
      <c r="H13" s="34"/>
      <c r="I13" s="34"/>
      <c r="J13" s="34">
        <v>1</v>
      </c>
      <c r="K13" s="34">
        <v>50</v>
      </c>
      <c r="L13" s="34">
        <v>6</v>
      </c>
      <c r="M13" s="34">
        <v>61</v>
      </c>
      <c r="N13" s="34">
        <v>3</v>
      </c>
      <c r="O13" s="34">
        <v>40</v>
      </c>
      <c r="P13" s="34"/>
      <c r="Q13" s="34"/>
      <c r="R13" s="34"/>
      <c r="S13" s="34"/>
      <c r="T13" s="34"/>
      <c r="U13" s="34"/>
      <c r="V13" s="34"/>
      <c r="W13" s="34"/>
      <c r="X13" s="34"/>
      <c r="Y13" s="34"/>
      <c r="Z13" s="34"/>
      <c r="AA13" s="34"/>
      <c r="AB13" s="34"/>
      <c r="AC13" s="34"/>
      <c r="AD13" s="34"/>
      <c r="AE13" s="34"/>
      <c r="AF13" s="34"/>
      <c r="AG13" s="34"/>
      <c r="AH13" s="34"/>
      <c r="AI13" s="34"/>
      <c r="AJ13" s="34">
        <v>1</v>
      </c>
      <c r="AK13" s="34">
        <v>16</v>
      </c>
      <c r="AL13" s="34"/>
      <c r="AM13" s="34"/>
      <c r="AN13" s="34"/>
      <c r="AO13" s="34"/>
      <c r="AP13" s="34"/>
      <c r="AQ13" s="34"/>
      <c r="AR13" s="34"/>
      <c r="AS13" s="34"/>
      <c r="AT13" s="34"/>
      <c r="AU13" s="34"/>
      <c r="AV13" s="34"/>
      <c r="AW13" s="34"/>
      <c r="AX13" s="34"/>
      <c r="AY13" s="34"/>
      <c r="AZ13" s="34"/>
      <c r="BA13" s="34"/>
      <c r="BB13" s="34"/>
      <c r="BC13" s="34"/>
      <c r="BD13" s="34">
        <v>1</v>
      </c>
      <c r="BE13" s="34">
        <v>89</v>
      </c>
      <c r="BF13" s="34"/>
      <c r="BG13" s="34"/>
      <c r="BH13" s="34"/>
      <c r="BI13" s="34"/>
      <c r="BJ13" s="35"/>
      <c r="BK13" s="36"/>
      <c r="BL13" s="36"/>
      <c r="BM13" s="33"/>
      <c r="BN13" s="34"/>
      <c r="BO13" s="34"/>
      <c r="BP13" s="34"/>
      <c r="BQ13" s="34"/>
      <c r="BR13" s="34">
        <v>1</v>
      </c>
      <c r="BS13" s="34">
        <v>15</v>
      </c>
      <c r="BT13" s="34">
        <v>1</v>
      </c>
      <c r="BU13" s="34">
        <v>12</v>
      </c>
      <c r="BV13" s="34"/>
      <c r="BW13" s="34"/>
      <c r="BX13" s="34"/>
      <c r="BY13" s="34"/>
      <c r="BZ13" s="34"/>
      <c r="CA13" s="34"/>
      <c r="CB13" s="34"/>
      <c r="CC13" s="34"/>
      <c r="CD13" s="34"/>
      <c r="CE13" s="34"/>
      <c r="CF13" s="34"/>
      <c r="CG13" s="34"/>
      <c r="CH13" s="34"/>
      <c r="CI13" s="34"/>
      <c r="CJ13" s="34"/>
      <c r="CK13" s="34"/>
      <c r="CL13" s="37">
        <v>15</v>
      </c>
      <c r="CM13" s="37">
        <v>321</v>
      </c>
    </row>
    <row r="14" spans="1:91" s="38" customFormat="1">
      <c r="A14" s="32" t="s">
        <v>53</v>
      </c>
      <c r="B14" s="33"/>
      <c r="C14" s="34"/>
      <c r="D14" s="34"/>
      <c r="E14" s="34"/>
      <c r="F14" s="34"/>
      <c r="G14" s="34"/>
      <c r="H14" s="34"/>
      <c r="I14" s="34"/>
      <c r="J14" s="34"/>
      <c r="K14" s="34"/>
      <c r="L14" s="34"/>
      <c r="M14" s="34"/>
      <c r="N14" s="34">
        <v>3</v>
      </c>
      <c r="O14" s="34">
        <v>35</v>
      </c>
      <c r="P14" s="34"/>
      <c r="Q14" s="34"/>
      <c r="R14" s="34"/>
      <c r="S14" s="34"/>
      <c r="T14" s="34"/>
      <c r="U14" s="34"/>
      <c r="V14" s="34"/>
      <c r="W14" s="34"/>
      <c r="X14" s="34"/>
      <c r="Y14" s="34"/>
      <c r="Z14" s="34"/>
      <c r="AA14" s="34"/>
      <c r="AB14" s="34"/>
      <c r="AC14" s="34"/>
      <c r="AD14" s="34"/>
      <c r="AE14" s="34"/>
      <c r="AF14" s="34"/>
      <c r="AG14" s="34"/>
      <c r="AH14" s="34">
        <v>2</v>
      </c>
      <c r="AI14" s="34">
        <v>121</v>
      </c>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5"/>
      <c r="BK14" s="36"/>
      <c r="BL14" s="36"/>
      <c r="BM14" s="33"/>
      <c r="BN14" s="34"/>
      <c r="BO14" s="34"/>
      <c r="BP14" s="34"/>
      <c r="BQ14" s="34"/>
      <c r="BR14" s="34"/>
      <c r="BS14" s="34"/>
      <c r="BT14" s="34">
        <v>1</v>
      </c>
      <c r="BU14" s="34">
        <v>75</v>
      </c>
      <c r="BV14" s="34"/>
      <c r="BW14" s="34"/>
      <c r="BX14" s="34"/>
      <c r="BY14" s="34"/>
      <c r="BZ14" s="34"/>
      <c r="CA14" s="34"/>
      <c r="CB14" s="34"/>
      <c r="CC14" s="34"/>
      <c r="CD14" s="34"/>
      <c r="CE14" s="34"/>
      <c r="CF14" s="34"/>
      <c r="CG14" s="34"/>
      <c r="CH14" s="34"/>
      <c r="CI14" s="34"/>
      <c r="CJ14" s="34"/>
      <c r="CK14" s="34"/>
      <c r="CL14" s="37">
        <v>6</v>
      </c>
      <c r="CM14" s="37">
        <v>231</v>
      </c>
    </row>
    <row r="15" spans="1:91" s="38" customFormat="1">
      <c r="A15" s="32" t="s">
        <v>54</v>
      </c>
      <c r="B15" s="33"/>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v>1</v>
      </c>
      <c r="AU15" s="34">
        <v>33</v>
      </c>
      <c r="AV15" s="34"/>
      <c r="AW15" s="34"/>
      <c r="AX15" s="34"/>
      <c r="AY15" s="34"/>
      <c r="AZ15" s="34"/>
      <c r="BA15" s="34"/>
      <c r="BB15" s="34"/>
      <c r="BC15" s="34"/>
      <c r="BD15" s="34"/>
      <c r="BE15" s="34"/>
      <c r="BF15" s="34"/>
      <c r="BG15" s="34"/>
      <c r="BH15" s="34"/>
      <c r="BI15" s="34"/>
      <c r="BJ15" s="35"/>
      <c r="BK15" s="36"/>
      <c r="BL15" s="36"/>
      <c r="BM15" s="33"/>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7">
        <v>1</v>
      </c>
      <c r="CM15" s="37">
        <v>33</v>
      </c>
    </row>
    <row r="16" spans="1:91" s="38" customFormat="1">
      <c r="A16" s="32" t="s">
        <v>55</v>
      </c>
      <c r="B16" s="33"/>
      <c r="C16" s="34"/>
      <c r="D16" s="34"/>
      <c r="E16" s="34"/>
      <c r="F16" s="34"/>
      <c r="G16" s="34"/>
      <c r="H16" s="34"/>
      <c r="I16" s="34"/>
      <c r="J16" s="34"/>
      <c r="K16" s="34"/>
      <c r="L16" s="34">
        <v>1</v>
      </c>
      <c r="M16" s="34">
        <v>12</v>
      </c>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5"/>
      <c r="BK16" s="36"/>
      <c r="BL16" s="36"/>
      <c r="BM16" s="33"/>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7">
        <v>1</v>
      </c>
      <c r="CM16" s="37">
        <v>12</v>
      </c>
    </row>
    <row r="17" spans="1:91" s="38" customFormat="1">
      <c r="A17" s="32" t="s">
        <v>56</v>
      </c>
      <c r="B17" s="33"/>
      <c r="C17" s="34"/>
      <c r="D17" s="34"/>
      <c r="E17" s="34"/>
      <c r="F17" s="34"/>
      <c r="G17" s="34"/>
      <c r="H17" s="34"/>
      <c r="I17" s="34"/>
      <c r="J17" s="34"/>
      <c r="K17" s="34"/>
      <c r="L17" s="34">
        <v>10</v>
      </c>
      <c r="M17" s="34">
        <v>128</v>
      </c>
      <c r="N17" s="34"/>
      <c r="O17" s="34"/>
      <c r="P17" s="34"/>
      <c r="Q17" s="34"/>
      <c r="R17" s="34"/>
      <c r="S17" s="34"/>
      <c r="T17" s="34"/>
      <c r="U17" s="34"/>
      <c r="V17" s="34"/>
      <c r="W17" s="34"/>
      <c r="X17" s="34"/>
      <c r="Y17" s="34"/>
      <c r="Z17" s="34"/>
      <c r="AA17" s="34"/>
      <c r="AB17" s="34"/>
      <c r="AC17" s="34"/>
      <c r="AD17" s="34"/>
      <c r="AE17" s="34"/>
      <c r="AF17" s="34"/>
      <c r="AG17" s="34"/>
      <c r="AH17" s="34"/>
      <c r="AI17" s="34"/>
      <c r="AJ17" s="34">
        <v>1</v>
      </c>
      <c r="AK17" s="34">
        <v>38</v>
      </c>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5"/>
      <c r="BK17" s="36"/>
      <c r="BL17" s="36"/>
      <c r="BM17" s="33"/>
      <c r="BN17" s="34"/>
      <c r="BO17" s="34"/>
      <c r="BP17" s="34"/>
      <c r="BQ17" s="34"/>
      <c r="BR17" s="34"/>
      <c r="BS17" s="34"/>
      <c r="BT17" s="34"/>
      <c r="BU17" s="34"/>
      <c r="BV17" s="34"/>
      <c r="BW17" s="34"/>
      <c r="BX17" s="34"/>
      <c r="BY17" s="34"/>
      <c r="BZ17" s="34">
        <v>1</v>
      </c>
      <c r="CA17" s="34">
        <v>30</v>
      </c>
      <c r="CB17" s="34"/>
      <c r="CC17" s="34"/>
      <c r="CD17" s="34"/>
      <c r="CE17" s="34"/>
      <c r="CF17" s="34"/>
      <c r="CG17" s="34"/>
      <c r="CH17" s="34"/>
      <c r="CI17" s="34"/>
      <c r="CJ17" s="34"/>
      <c r="CK17" s="34"/>
      <c r="CL17" s="37">
        <v>12</v>
      </c>
      <c r="CM17" s="37">
        <v>196</v>
      </c>
    </row>
    <row r="18" spans="1:91" s="38" customFormat="1">
      <c r="A18" s="32" t="s">
        <v>57</v>
      </c>
      <c r="B18" s="33">
        <v>20</v>
      </c>
      <c r="C18" s="34">
        <v>1698</v>
      </c>
      <c r="D18" s="34">
        <v>30</v>
      </c>
      <c r="E18" s="34">
        <v>4707</v>
      </c>
      <c r="F18" s="34">
        <v>27</v>
      </c>
      <c r="G18" s="34">
        <v>4460</v>
      </c>
      <c r="H18" s="34">
        <v>5</v>
      </c>
      <c r="I18" s="34">
        <v>973</v>
      </c>
      <c r="J18" s="34"/>
      <c r="K18" s="34"/>
      <c r="L18" s="34">
        <v>4</v>
      </c>
      <c r="M18" s="34">
        <v>52</v>
      </c>
      <c r="N18" s="34"/>
      <c r="O18" s="34"/>
      <c r="P18" s="34"/>
      <c r="Q18" s="34"/>
      <c r="R18" s="34"/>
      <c r="S18" s="34"/>
      <c r="T18" s="34"/>
      <c r="U18" s="34"/>
      <c r="V18" s="34"/>
      <c r="W18" s="34"/>
      <c r="X18" s="34"/>
      <c r="Y18" s="34"/>
      <c r="Z18" s="34"/>
      <c r="AA18" s="34"/>
      <c r="AB18" s="34">
        <v>1</v>
      </c>
      <c r="AC18" s="34">
        <v>1118</v>
      </c>
      <c r="AD18" s="34">
        <v>3</v>
      </c>
      <c r="AE18" s="34">
        <v>203</v>
      </c>
      <c r="AF18" s="34">
        <v>12</v>
      </c>
      <c r="AG18" s="34">
        <v>2285</v>
      </c>
      <c r="AH18" s="34">
        <v>58</v>
      </c>
      <c r="AI18" s="34">
        <v>19118</v>
      </c>
      <c r="AJ18" s="34">
        <v>39</v>
      </c>
      <c r="AK18" s="34">
        <v>11246</v>
      </c>
      <c r="AL18" s="34">
        <v>5</v>
      </c>
      <c r="AM18" s="34">
        <v>834</v>
      </c>
      <c r="AN18" s="34">
        <v>1</v>
      </c>
      <c r="AO18" s="34">
        <v>27</v>
      </c>
      <c r="AP18" s="34"/>
      <c r="AQ18" s="34"/>
      <c r="AR18" s="34"/>
      <c r="AS18" s="34"/>
      <c r="AT18" s="34"/>
      <c r="AU18" s="34"/>
      <c r="AV18" s="34"/>
      <c r="AW18" s="34"/>
      <c r="AX18" s="34">
        <v>1</v>
      </c>
      <c r="AY18" s="34">
        <v>610</v>
      </c>
      <c r="AZ18" s="34">
        <v>2</v>
      </c>
      <c r="BA18" s="34">
        <v>159</v>
      </c>
      <c r="BB18" s="34">
        <v>17</v>
      </c>
      <c r="BC18" s="34">
        <v>7938</v>
      </c>
      <c r="BD18" s="34">
        <v>6</v>
      </c>
      <c r="BE18" s="34">
        <v>2645</v>
      </c>
      <c r="BF18" s="34"/>
      <c r="BG18" s="34"/>
      <c r="BH18" s="34"/>
      <c r="BI18" s="34"/>
      <c r="BJ18" s="35"/>
      <c r="BK18" s="36"/>
      <c r="BL18" s="36"/>
      <c r="BM18" s="33"/>
      <c r="BN18" s="34"/>
      <c r="BO18" s="34"/>
      <c r="BP18" s="34"/>
      <c r="BQ18" s="34"/>
      <c r="BR18" s="34">
        <v>3</v>
      </c>
      <c r="BS18" s="34">
        <v>81</v>
      </c>
      <c r="BT18" s="34">
        <v>7</v>
      </c>
      <c r="BU18" s="34">
        <v>446</v>
      </c>
      <c r="BV18" s="34">
        <v>1</v>
      </c>
      <c r="BW18" s="34">
        <v>49</v>
      </c>
      <c r="BX18" s="34">
        <v>9</v>
      </c>
      <c r="BY18" s="34">
        <v>345</v>
      </c>
      <c r="BZ18" s="34">
        <v>4</v>
      </c>
      <c r="CA18" s="34">
        <v>180</v>
      </c>
      <c r="CB18" s="34">
        <v>2</v>
      </c>
      <c r="CC18" s="34">
        <v>86</v>
      </c>
      <c r="CD18" s="34"/>
      <c r="CE18" s="34"/>
      <c r="CF18" s="34">
        <v>1</v>
      </c>
      <c r="CG18" s="34">
        <v>13</v>
      </c>
      <c r="CH18" s="34"/>
      <c r="CI18" s="34"/>
      <c r="CJ18" s="34"/>
      <c r="CK18" s="34"/>
      <c r="CL18" s="37">
        <v>258</v>
      </c>
      <c r="CM18" s="37">
        <v>59273</v>
      </c>
    </row>
    <row r="19" spans="1:91" s="38" customFormat="1">
      <c r="A19" s="32" t="s">
        <v>58</v>
      </c>
      <c r="B19" s="33"/>
      <c r="C19" s="34"/>
      <c r="D19" s="34"/>
      <c r="E19" s="34"/>
      <c r="F19" s="34"/>
      <c r="G19" s="34"/>
      <c r="H19" s="34"/>
      <c r="I19" s="34"/>
      <c r="J19" s="34">
        <v>1</v>
      </c>
      <c r="K19" s="34">
        <v>50</v>
      </c>
      <c r="L19" s="34">
        <v>2</v>
      </c>
      <c r="M19" s="34">
        <v>33</v>
      </c>
      <c r="N19" s="34">
        <v>1</v>
      </c>
      <c r="O19" s="34">
        <v>12</v>
      </c>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5"/>
      <c r="BK19" s="36"/>
      <c r="BL19" s="36"/>
      <c r="BM19" s="33"/>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7">
        <v>4</v>
      </c>
      <c r="CM19" s="37">
        <v>95</v>
      </c>
    </row>
    <row r="20" spans="1:91" s="38" customFormat="1">
      <c r="A20" s="32" t="s">
        <v>59</v>
      </c>
      <c r="B20" s="33"/>
      <c r="C20" s="34"/>
      <c r="D20" s="34"/>
      <c r="E20" s="34"/>
      <c r="F20" s="34"/>
      <c r="G20" s="34"/>
      <c r="H20" s="34"/>
      <c r="I20" s="34"/>
      <c r="J20" s="34">
        <v>1</v>
      </c>
      <c r="K20" s="34">
        <v>20</v>
      </c>
      <c r="L20" s="34">
        <v>16</v>
      </c>
      <c r="M20" s="34">
        <v>231</v>
      </c>
      <c r="N20" s="34"/>
      <c r="O20" s="34"/>
      <c r="P20" s="34"/>
      <c r="Q20" s="34"/>
      <c r="R20" s="34"/>
      <c r="S20" s="34"/>
      <c r="T20" s="34"/>
      <c r="U20" s="34"/>
      <c r="V20" s="34"/>
      <c r="W20" s="34"/>
      <c r="X20" s="34"/>
      <c r="Y20" s="34"/>
      <c r="Z20" s="34"/>
      <c r="AA20" s="34"/>
      <c r="AB20" s="34"/>
      <c r="AC20" s="34"/>
      <c r="AD20" s="34"/>
      <c r="AE20" s="34"/>
      <c r="AF20" s="34">
        <v>1</v>
      </c>
      <c r="AG20" s="34">
        <v>37</v>
      </c>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5"/>
      <c r="BK20" s="36"/>
      <c r="BL20" s="36"/>
      <c r="BM20" s="33"/>
      <c r="BN20" s="34"/>
      <c r="BO20" s="34"/>
      <c r="BP20" s="34"/>
      <c r="BQ20" s="34"/>
      <c r="BR20" s="34"/>
      <c r="BS20" s="34"/>
      <c r="BT20" s="34"/>
      <c r="BU20" s="34"/>
      <c r="BV20" s="34"/>
      <c r="BW20" s="34"/>
      <c r="BX20" s="34">
        <v>1</v>
      </c>
      <c r="BY20" s="34">
        <v>41</v>
      </c>
      <c r="BZ20" s="34"/>
      <c r="CA20" s="34"/>
      <c r="CB20" s="34"/>
      <c r="CC20" s="34"/>
      <c r="CD20" s="34"/>
      <c r="CE20" s="34"/>
      <c r="CF20" s="34"/>
      <c r="CG20" s="34"/>
      <c r="CH20" s="34"/>
      <c r="CI20" s="34"/>
      <c r="CJ20" s="34"/>
      <c r="CK20" s="34"/>
      <c r="CL20" s="37">
        <v>19</v>
      </c>
      <c r="CM20" s="37">
        <v>329</v>
      </c>
    </row>
    <row r="21" spans="1:91" s="38" customFormat="1">
      <c r="A21" s="32" t="s">
        <v>60</v>
      </c>
      <c r="B21" s="33">
        <v>12</v>
      </c>
      <c r="C21" s="34">
        <v>654</v>
      </c>
      <c r="D21" s="34">
        <v>11</v>
      </c>
      <c r="E21" s="34">
        <v>579</v>
      </c>
      <c r="F21" s="34">
        <v>9</v>
      </c>
      <c r="G21" s="34">
        <v>1511</v>
      </c>
      <c r="H21" s="34"/>
      <c r="I21" s="34"/>
      <c r="J21" s="34">
        <v>1</v>
      </c>
      <c r="K21" s="34">
        <v>36</v>
      </c>
      <c r="L21" s="34">
        <v>2</v>
      </c>
      <c r="M21" s="34">
        <v>32</v>
      </c>
      <c r="N21" s="34"/>
      <c r="O21" s="34"/>
      <c r="P21" s="34"/>
      <c r="Q21" s="34"/>
      <c r="R21" s="34"/>
      <c r="S21" s="34"/>
      <c r="T21" s="34"/>
      <c r="U21" s="34"/>
      <c r="V21" s="34"/>
      <c r="W21" s="34"/>
      <c r="X21" s="34"/>
      <c r="Y21" s="34"/>
      <c r="Z21" s="34"/>
      <c r="AA21" s="34"/>
      <c r="AB21" s="34"/>
      <c r="AC21" s="34"/>
      <c r="AD21" s="34">
        <v>6</v>
      </c>
      <c r="AE21" s="34">
        <v>305</v>
      </c>
      <c r="AF21" s="34">
        <v>2</v>
      </c>
      <c r="AG21" s="34">
        <v>322</v>
      </c>
      <c r="AH21" s="34">
        <v>19</v>
      </c>
      <c r="AI21" s="34">
        <v>4288</v>
      </c>
      <c r="AJ21" s="34">
        <v>10</v>
      </c>
      <c r="AK21" s="34">
        <v>2733</v>
      </c>
      <c r="AL21" s="34">
        <v>2</v>
      </c>
      <c r="AM21" s="34">
        <v>437</v>
      </c>
      <c r="AN21" s="34"/>
      <c r="AO21" s="34"/>
      <c r="AP21" s="34"/>
      <c r="AQ21" s="34"/>
      <c r="AR21" s="34"/>
      <c r="AS21" s="34"/>
      <c r="AT21" s="34"/>
      <c r="AU21" s="34"/>
      <c r="AV21" s="34"/>
      <c r="AW21" s="34"/>
      <c r="AX21" s="34">
        <v>2</v>
      </c>
      <c r="AY21" s="34">
        <v>106</v>
      </c>
      <c r="AZ21" s="34">
        <v>1</v>
      </c>
      <c r="BA21" s="34">
        <v>155</v>
      </c>
      <c r="BB21" s="34">
        <v>6</v>
      </c>
      <c r="BC21" s="34">
        <v>1690</v>
      </c>
      <c r="BD21" s="34">
        <v>8</v>
      </c>
      <c r="BE21" s="34">
        <v>3702</v>
      </c>
      <c r="BF21" s="34"/>
      <c r="BG21" s="34"/>
      <c r="BH21" s="34"/>
      <c r="BI21" s="34"/>
      <c r="BJ21" s="35"/>
      <c r="BK21" s="36"/>
      <c r="BL21" s="36"/>
      <c r="BM21" s="33"/>
      <c r="BN21" s="34"/>
      <c r="BO21" s="34"/>
      <c r="BP21" s="34"/>
      <c r="BQ21" s="34"/>
      <c r="BR21" s="34">
        <v>9</v>
      </c>
      <c r="BS21" s="34">
        <v>1143</v>
      </c>
      <c r="BT21" s="34">
        <v>5</v>
      </c>
      <c r="BU21" s="34">
        <v>291</v>
      </c>
      <c r="BV21" s="34">
        <v>1</v>
      </c>
      <c r="BW21" s="34">
        <v>22</v>
      </c>
      <c r="BX21" s="34">
        <v>7</v>
      </c>
      <c r="BY21" s="34">
        <v>235</v>
      </c>
      <c r="BZ21" s="34">
        <v>2</v>
      </c>
      <c r="CA21" s="34">
        <v>83</v>
      </c>
      <c r="CB21" s="34"/>
      <c r="CC21" s="34"/>
      <c r="CD21" s="34"/>
      <c r="CE21" s="34"/>
      <c r="CF21" s="34"/>
      <c r="CG21" s="34"/>
      <c r="CH21" s="34">
        <v>1</v>
      </c>
      <c r="CI21" s="34">
        <v>68</v>
      </c>
      <c r="CJ21" s="34"/>
      <c r="CK21" s="34"/>
      <c r="CL21" s="37">
        <v>116</v>
      </c>
      <c r="CM21" s="37">
        <v>18392</v>
      </c>
    </row>
    <row r="22" spans="1:91" s="38" customFormat="1">
      <c r="A22" s="32" t="s">
        <v>61</v>
      </c>
      <c r="B22" s="33"/>
      <c r="C22" s="34"/>
      <c r="D22" s="34"/>
      <c r="E22" s="34"/>
      <c r="F22" s="34"/>
      <c r="G22" s="34"/>
      <c r="H22" s="34"/>
      <c r="I22" s="34"/>
      <c r="J22" s="34"/>
      <c r="K22" s="34"/>
      <c r="L22" s="34"/>
      <c r="M22" s="34"/>
      <c r="N22" s="34">
        <v>1</v>
      </c>
      <c r="O22" s="34">
        <v>16</v>
      </c>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5"/>
      <c r="BK22" s="36"/>
      <c r="BL22" s="36"/>
      <c r="BM22" s="33"/>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7">
        <v>1</v>
      </c>
      <c r="CM22" s="37">
        <v>16</v>
      </c>
    </row>
    <row r="23" spans="1:91" s="38" customFormat="1">
      <c r="A23" s="32" t="s">
        <v>62</v>
      </c>
      <c r="B23" s="33"/>
      <c r="C23" s="34"/>
      <c r="D23" s="34"/>
      <c r="E23" s="34"/>
      <c r="F23" s="34"/>
      <c r="G23" s="34"/>
      <c r="H23" s="34"/>
      <c r="I23" s="34"/>
      <c r="J23" s="34"/>
      <c r="K23" s="34"/>
      <c r="L23" s="34">
        <v>1</v>
      </c>
      <c r="M23" s="34">
        <v>16</v>
      </c>
      <c r="N23" s="34">
        <v>1</v>
      </c>
      <c r="O23" s="34">
        <v>16</v>
      </c>
      <c r="P23" s="34"/>
      <c r="Q23" s="34"/>
      <c r="R23" s="34"/>
      <c r="S23" s="34"/>
      <c r="T23" s="34"/>
      <c r="U23" s="34"/>
      <c r="V23" s="34"/>
      <c r="W23" s="34"/>
      <c r="X23" s="34"/>
      <c r="Y23" s="34"/>
      <c r="Z23" s="34"/>
      <c r="AA23" s="34"/>
      <c r="AB23" s="34"/>
      <c r="AC23" s="34"/>
      <c r="AD23" s="34"/>
      <c r="AE23" s="34"/>
      <c r="AF23" s="34"/>
      <c r="AG23" s="34"/>
      <c r="AH23" s="34"/>
      <c r="AI23" s="34"/>
      <c r="AJ23" s="34">
        <v>2</v>
      </c>
      <c r="AK23" s="34">
        <v>244</v>
      </c>
      <c r="AL23" s="34"/>
      <c r="AM23" s="34"/>
      <c r="AN23" s="34"/>
      <c r="AO23" s="34"/>
      <c r="AP23" s="34"/>
      <c r="AQ23" s="34"/>
      <c r="AR23" s="34"/>
      <c r="AS23" s="34"/>
      <c r="AT23" s="34">
        <v>1</v>
      </c>
      <c r="AU23" s="34">
        <v>123</v>
      </c>
      <c r="AV23" s="34"/>
      <c r="AW23" s="34"/>
      <c r="AX23" s="34"/>
      <c r="AY23" s="34"/>
      <c r="AZ23" s="34"/>
      <c r="BA23" s="34"/>
      <c r="BB23" s="34"/>
      <c r="BC23" s="34"/>
      <c r="BD23" s="34"/>
      <c r="BE23" s="34"/>
      <c r="BF23" s="34"/>
      <c r="BG23" s="34"/>
      <c r="BH23" s="34"/>
      <c r="BI23" s="34"/>
      <c r="BJ23" s="35"/>
      <c r="BK23" s="36"/>
      <c r="BL23" s="36"/>
      <c r="BM23" s="33"/>
      <c r="BN23" s="34"/>
      <c r="BO23" s="34"/>
      <c r="BP23" s="34"/>
      <c r="BQ23" s="34"/>
      <c r="BR23" s="34">
        <v>1</v>
      </c>
      <c r="BS23" s="34">
        <v>14</v>
      </c>
      <c r="BT23" s="34"/>
      <c r="BU23" s="34"/>
      <c r="BV23" s="34"/>
      <c r="BW23" s="34"/>
      <c r="BX23" s="34"/>
      <c r="BY23" s="34"/>
      <c r="BZ23" s="34"/>
      <c r="CA23" s="34"/>
      <c r="CB23" s="34"/>
      <c r="CC23" s="34"/>
      <c r="CD23" s="34"/>
      <c r="CE23" s="34"/>
      <c r="CF23" s="34"/>
      <c r="CG23" s="34"/>
      <c r="CH23" s="34">
        <v>1</v>
      </c>
      <c r="CI23" s="34">
        <v>17</v>
      </c>
      <c r="CJ23" s="34"/>
      <c r="CK23" s="34"/>
      <c r="CL23" s="37">
        <v>7</v>
      </c>
      <c r="CM23" s="37">
        <v>430</v>
      </c>
    </row>
    <row r="24" spans="1:91" s="38" customFormat="1">
      <c r="A24" s="32" t="s">
        <v>63</v>
      </c>
      <c r="B24" s="33"/>
      <c r="C24" s="34"/>
      <c r="D24" s="34"/>
      <c r="E24" s="34"/>
      <c r="F24" s="34"/>
      <c r="G24" s="34"/>
      <c r="H24" s="34"/>
      <c r="I24" s="34"/>
      <c r="J24" s="34"/>
      <c r="K24" s="34"/>
      <c r="L24" s="34">
        <v>6</v>
      </c>
      <c r="M24" s="34">
        <v>105</v>
      </c>
      <c r="N24" s="34"/>
      <c r="O24" s="34"/>
      <c r="P24" s="34"/>
      <c r="Q24" s="34"/>
      <c r="R24" s="34"/>
      <c r="S24" s="34"/>
      <c r="T24" s="34"/>
      <c r="U24" s="34"/>
      <c r="V24" s="34"/>
      <c r="W24" s="34"/>
      <c r="X24" s="34"/>
      <c r="Y24" s="34"/>
      <c r="Z24" s="34"/>
      <c r="AA24" s="34"/>
      <c r="AB24" s="34"/>
      <c r="AC24" s="34"/>
      <c r="AD24" s="34"/>
      <c r="AE24" s="34"/>
      <c r="AF24" s="34"/>
      <c r="AG24" s="34"/>
      <c r="AH24" s="34"/>
      <c r="AI24" s="34"/>
      <c r="AJ24" s="34">
        <v>1</v>
      </c>
      <c r="AK24" s="34">
        <v>37</v>
      </c>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5"/>
      <c r="BK24" s="36"/>
      <c r="BL24" s="36"/>
      <c r="BM24" s="33"/>
      <c r="BN24" s="34"/>
      <c r="BO24" s="34"/>
      <c r="BP24" s="34"/>
      <c r="BQ24" s="34"/>
      <c r="BR24" s="34">
        <v>1</v>
      </c>
      <c r="BS24" s="34">
        <v>16</v>
      </c>
      <c r="BT24" s="34"/>
      <c r="BU24" s="34"/>
      <c r="BV24" s="34"/>
      <c r="BW24" s="34"/>
      <c r="BX24" s="34"/>
      <c r="BY24" s="34"/>
      <c r="BZ24" s="34"/>
      <c r="CA24" s="34"/>
      <c r="CB24" s="34"/>
      <c r="CC24" s="34"/>
      <c r="CD24" s="34"/>
      <c r="CE24" s="34"/>
      <c r="CF24" s="34"/>
      <c r="CG24" s="34"/>
      <c r="CH24" s="34"/>
      <c r="CI24" s="34"/>
      <c r="CJ24" s="34"/>
      <c r="CK24" s="34"/>
      <c r="CL24" s="37">
        <v>8</v>
      </c>
      <c r="CM24" s="37">
        <v>158</v>
      </c>
    </row>
    <row r="25" spans="1:91" s="38" customFormat="1">
      <c r="A25" s="32" t="s">
        <v>64</v>
      </c>
      <c r="B25" s="33"/>
      <c r="C25" s="34"/>
      <c r="D25" s="34"/>
      <c r="E25" s="34"/>
      <c r="F25" s="34"/>
      <c r="G25" s="34"/>
      <c r="H25" s="34"/>
      <c r="I25" s="34"/>
      <c r="J25" s="34"/>
      <c r="K25" s="34"/>
      <c r="L25" s="34">
        <v>1</v>
      </c>
      <c r="M25" s="34">
        <v>10</v>
      </c>
      <c r="N25" s="34">
        <v>2</v>
      </c>
      <c r="O25" s="34">
        <v>26</v>
      </c>
      <c r="P25" s="34"/>
      <c r="Q25" s="34"/>
      <c r="R25" s="34"/>
      <c r="S25" s="34"/>
      <c r="T25" s="34"/>
      <c r="U25" s="34"/>
      <c r="V25" s="34"/>
      <c r="W25" s="34"/>
      <c r="X25" s="34"/>
      <c r="Y25" s="34"/>
      <c r="Z25" s="34"/>
      <c r="AA25" s="34"/>
      <c r="AB25" s="34"/>
      <c r="AC25" s="34"/>
      <c r="AD25" s="34"/>
      <c r="AE25" s="34"/>
      <c r="AF25" s="34">
        <v>1</v>
      </c>
      <c r="AG25" s="34">
        <v>101</v>
      </c>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5"/>
      <c r="BK25" s="36"/>
      <c r="BL25" s="36"/>
      <c r="BM25" s="33"/>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7">
        <v>4</v>
      </c>
      <c r="CM25" s="37">
        <v>137</v>
      </c>
    </row>
    <row r="26" spans="1:91" s="38" customFormat="1">
      <c r="A26" s="32" t="s">
        <v>65</v>
      </c>
      <c r="B26" s="33">
        <v>11</v>
      </c>
      <c r="C26" s="34">
        <v>330</v>
      </c>
      <c r="D26" s="34">
        <v>14</v>
      </c>
      <c r="E26" s="34">
        <v>1832</v>
      </c>
      <c r="F26" s="34">
        <v>3</v>
      </c>
      <c r="G26" s="34">
        <v>549</v>
      </c>
      <c r="H26" s="34"/>
      <c r="I26" s="34"/>
      <c r="J26" s="34">
        <v>3</v>
      </c>
      <c r="K26" s="34">
        <v>74</v>
      </c>
      <c r="L26" s="34">
        <v>8</v>
      </c>
      <c r="M26" s="34">
        <v>111</v>
      </c>
      <c r="N26" s="34"/>
      <c r="O26" s="34"/>
      <c r="P26" s="34"/>
      <c r="Q26" s="34"/>
      <c r="R26" s="34"/>
      <c r="S26" s="34"/>
      <c r="T26" s="34"/>
      <c r="U26" s="34"/>
      <c r="V26" s="34"/>
      <c r="W26" s="34"/>
      <c r="X26" s="34"/>
      <c r="Y26" s="34"/>
      <c r="Z26" s="34"/>
      <c r="AA26" s="34"/>
      <c r="AB26" s="34"/>
      <c r="AC26" s="34"/>
      <c r="AD26" s="34">
        <v>1</v>
      </c>
      <c r="AE26" s="34">
        <v>48</v>
      </c>
      <c r="AF26" s="34">
        <v>2</v>
      </c>
      <c r="AG26" s="34">
        <v>152</v>
      </c>
      <c r="AH26" s="34">
        <v>5</v>
      </c>
      <c r="AI26" s="34">
        <v>1612</v>
      </c>
      <c r="AJ26" s="34">
        <v>3</v>
      </c>
      <c r="AK26" s="34">
        <v>1452</v>
      </c>
      <c r="AL26" s="34">
        <v>1</v>
      </c>
      <c r="AM26" s="34">
        <v>20</v>
      </c>
      <c r="AN26" s="34"/>
      <c r="AO26" s="34"/>
      <c r="AP26" s="34"/>
      <c r="AQ26" s="34"/>
      <c r="AR26" s="34"/>
      <c r="AS26" s="34"/>
      <c r="AT26" s="34"/>
      <c r="AU26" s="34"/>
      <c r="AV26" s="34"/>
      <c r="AW26" s="34"/>
      <c r="AX26" s="34"/>
      <c r="AY26" s="34"/>
      <c r="AZ26" s="34"/>
      <c r="BA26" s="34"/>
      <c r="BB26" s="34"/>
      <c r="BC26" s="34"/>
      <c r="BD26" s="34"/>
      <c r="BE26" s="34"/>
      <c r="BF26" s="34"/>
      <c r="BG26" s="34"/>
      <c r="BH26" s="34"/>
      <c r="BI26" s="34"/>
      <c r="BJ26" s="35"/>
      <c r="BK26" s="36"/>
      <c r="BL26" s="36"/>
      <c r="BM26" s="33"/>
      <c r="BN26" s="34"/>
      <c r="BO26" s="34"/>
      <c r="BP26" s="34"/>
      <c r="BQ26" s="34"/>
      <c r="BR26" s="34">
        <v>1</v>
      </c>
      <c r="BS26" s="34">
        <v>35</v>
      </c>
      <c r="BT26" s="34"/>
      <c r="BU26" s="34"/>
      <c r="BV26" s="34"/>
      <c r="BW26" s="34"/>
      <c r="BX26" s="34">
        <v>2</v>
      </c>
      <c r="BY26" s="34">
        <v>75</v>
      </c>
      <c r="BZ26" s="34"/>
      <c r="CA26" s="34"/>
      <c r="CB26" s="34"/>
      <c r="CC26" s="34"/>
      <c r="CD26" s="34"/>
      <c r="CE26" s="34"/>
      <c r="CF26" s="34"/>
      <c r="CG26" s="34"/>
      <c r="CH26" s="34"/>
      <c r="CI26" s="34"/>
      <c r="CJ26" s="34"/>
      <c r="CK26" s="34"/>
      <c r="CL26" s="37">
        <v>54</v>
      </c>
      <c r="CM26" s="37">
        <v>6290</v>
      </c>
    </row>
    <row r="27" spans="1:91" s="38" customFormat="1">
      <c r="A27" s="32" t="s">
        <v>66</v>
      </c>
      <c r="B27" s="33"/>
      <c r="C27" s="34"/>
      <c r="D27" s="34"/>
      <c r="E27" s="34"/>
      <c r="F27" s="34"/>
      <c r="G27" s="34"/>
      <c r="H27" s="34"/>
      <c r="I27" s="34"/>
      <c r="J27" s="34"/>
      <c r="K27" s="34"/>
      <c r="L27" s="34">
        <v>2</v>
      </c>
      <c r="M27" s="34">
        <v>25</v>
      </c>
      <c r="N27" s="34">
        <v>2</v>
      </c>
      <c r="O27" s="34">
        <v>29</v>
      </c>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v>2</v>
      </c>
      <c r="BE27" s="34">
        <v>62</v>
      </c>
      <c r="BF27" s="34"/>
      <c r="BG27" s="34"/>
      <c r="BH27" s="34"/>
      <c r="BI27" s="34"/>
      <c r="BJ27" s="35"/>
      <c r="BK27" s="36"/>
      <c r="BL27" s="36"/>
      <c r="BM27" s="33"/>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7">
        <v>6</v>
      </c>
      <c r="CM27" s="37">
        <v>116</v>
      </c>
    </row>
    <row r="28" spans="1:91" s="38" customFormat="1">
      <c r="A28" s="32" t="s">
        <v>67</v>
      </c>
      <c r="B28" s="33"/>
      <c r="C28" s="34"/>
      <c r="D28" s="34"/>
      <c r="E28" s="34"/>
      <c r="F28" s="34"/>
      <c r="G28" s="34"/>
      <c r="H28" s="34"/>
      <c r="I28" s="34"/>
      <c r="J28" s="34">
        <v>1</v>
      </c>
      <c r="K28" s="34">
        <v>30</v>
      </c>
      <c r="L28" s="34">
        <v>1</v>
      </c>
      <c r="M28" s="34">
        <v>6</v>
      </c>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5"/>
      <c r="BK28" s="36"/>
      <c r="BL28" s="36"/>
      <c r="BM28" s="33"/>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7">
        <v>2</v>
      </c>
      <c r="CM28" s="37">
        <v>36</v>
      </c>
    </row>
    <row r="29" spans="1:91" s="38" customFormat="1">
      <c r="A29" s="32" t="s">
        <v>68</v>
      </c>
      <c r="B29" s="33"/>
      <c r="C29" s="34"/>
      <c r="D29" s="34"/>
      <c r="E29" s="34"/>
      <c r="F29" s="34"/>
      <c r="G29" s="34"/>
      <c r="H29" s="34"/>
      <c r="I29" s="34"/>
      <c r="J29" s="34"/>
      <c r="K29" s="34"/>
      <c r="L29" s="34">
        <v>2</v>
      </c>
      <c r="M29" s="34">
        <v>38</v>
      </c>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5"/>
      <c r="BK29" s="36"/>
      <c r="BL29" s="36"/>
      <c r="BM29" s="33"/>
      <c r="BN29" s="34"/>
      <c r="BO29" s="34"/>
      <c r="BP29" s="34"/>
      <c r="BQ29" s="34"/>
      <c r="BR29" s="34"/>
      <c r="BS29" s="34"/>
      <c r="BT29" s="34"/>
      <c r="BU29" s="34"/>
      <c r="BV29" s="34"/>
      <c r="BW29" s="34"/>
      <c r="BX29" s="34"/>
      <c r="BY29" s="34"/>
      <c r="BZ29" s="34"/>
      <c r="CA29" s="34"/>
      <c r="CB29" s="34"/>
      <c r="CC29" s="34"/>
      <c r="CD29" s="34"/>
      <c r="CE29" s="34"/>
      <c r="CF29" s="34"/>
      <c r="CG29" s="34"/>
      <c r="CH29" s="34"/>
      <c r="CI29" s="34"/>
      <c r="CJ29" s="34"/>
      <c r="CK29" s="34"/>
      <c r="CL29" s="37">
        <v>2</v>
      </c>
      <c r="CM29" s="37">
        <v>38</v>
      </c>
    </row>
    <row r="30" spans="1:91" s="38" customFormat="1">
      <c r="A30" s="32" t="s">
        <v>69</v>
      </c>
      <c r="B30" s="33"/>
      <c r="C30" s="34"/>
      <c r="D30" s="34"/>
      <c r="E30" s="34"/>
      <c r="F30" s="34"/>
      <c r="G30" s="34"/>
      <c r="H30" s="34"/>
      <c r="I30" s="34"/>
      <c r="J30" s="34"/>
      <c r="K30" s="34"/>
      <c r="L30" s="34">
        <v>1</v>
      </c>
      <c r="M30" s="34">
        <v>9</v>
      </c>
      <c r="N30" s="34">
        <v>1</v>
      </c>
      <c r="O30" s="34">
        <v>16</v>
      </c>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5"/>
      <c r="BK30" s="36"/>
      <c r="BL30" s="36"/>
      <c r="BM30" s="33"/>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7">
        <v>2</v>
      </c>
      <c r="CM30" s="37">
        <v>25</v>
      </c>
    </row>
    <row r="31" spans="1:91" s="38" customFormat="1">
      <c r="A31" s="32" t="s">
        <v>70</v>
      </c>
      <c r="B31" s="33"/>
      <c r="C31" s="34"/>
      <c r="D31" s="34"/>
      <c r="E31" s="34"/>
      <c r="F31" s="34"/>
      <c r="G31" s="34"/>
      <c r="H31" s="34"/>
      <c r="I31" s="34"/>
      <c r="J31" s="34"/>
      <c r="K31" s="34"/>
      <c r="L31" s="34"/>
      <c r="M31" s="34"/>
      <c r="N31" s="34">
        <v>1</v>
      </c>
      <c r="O31" s="34">
        <v>6</v>
      </c>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5"/>
      <c r="BK31" s="36"/>
      <c r="BL31" s="36"/>
      <c r="BM31" s="33"/>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7">
        <v>1</v>
      </c>
      <c r="CM31" s="37">
        <v>6</v>
      </c>
    </row>
    <row r="32" spans="1:91" s="38" customFormat="1">
      <c r="A32" s="32" t="s">
        <v>71</v>
      </c>
      <c r="B32" s="33">
        <v>1</v>
      </c>
      <c r="C32" s="34">
        <v>120</v>
      </c>
      <c r="D32" s="34"/>
      <c r="E32" s="34"/>
      <c r="F32" s="34"/>
      <c r="G32" s="34"/>
      <c r="H32" s="34">
        <v>1</v>
      </c>
      <c r="I32" s="34">
        <v>936</v>
      </c>
      <c r="J32" s="34">
        <v>1</v>
      </c>
      <c r="K32" s="34">
        <v>4</v>
      </c>
      <c r="L32" s="34">
        <v>11</v>
      </c>
      <c r="M32" s="34">
        <v>141</v>
      </c>
      <c r="N32" s="34"/>
      <c r="O32" s="34"/>
      <c r="P32" s="34"/>
      <c r="Q32" s="34"/>
      <c r="R32" s="34"/>
      <c r="S32" s="34"/>
      <c r="T32" s="34"/>
      <c r="U32" s="34"/>
      <c r="V32" s="34"/>
      <c r="W32" s="34"/>
      <c r="X32" s="34"/>
      <c r="Y32" s="34"/>
      <c r="Z32" s="34">
        <v>1</v>
      </c>
      <c r="AA32" s="34">
        <v>660</v>
      </c>
      <c r="AB32" s="34"/>
      <c r="AC32" s="34"/>
      <c r="AD32" s="34"/>
      <c r="AE32" s="34"/>
      <c r="AF32" s="34">
        <v>10</v>
      </c>
      <c r="AG32" s="34">
        <v>2303</v>
      </c>
      <c r="AH32" s="34">
        <v>21</v>
      </c>
      <c r="AI32" s="34">
        <v>6451</v>
      </c>
      <c r="AJ32" s="34">
        <v>2</v>
      </c>
      <c r="AK32" s="34">
        <v>1004</v>
      </c>
      <c r="AL32" s="34">
        <v>2</v>
      </c>
      <c r="AM32" s="34">
        <v>493</v>
      </c>
      <c r="AN32" s="34"/>
      <c r="AO32" s="34"/>
      <c r="AP32" s="34"/>
      <c r="AQ32" s="34"/>
      <c r="AR32" s="34"/>
      <c r="AS32" s="34"/>
      <c r="AT32" s="34"/>
      <c r="AU32" s="34"/>
      <c r="AV32" s="34"/>
      <c r="AW32" s="34"/>
      <c r="AX32" s="34"/>
      <c r="AY32" s="34"/>
      <c r="AZ32" s="34"/>
      <c r="BA32" s="34"/>
      <c r="BB32" s="34">
        <v>1</v>
      </c>
      <c r="BC32" s="34">
        <v>346</v>
      </c>
      <c r="BD32" s="34"/>
      <c r="BE32" s="34"/>
      <c r="BF32" s="34"/>
      <c r="BG32" s="34"/>
      <c r="BH32" s="34"/>
      <c r="BI32" s="34"/>
      <c r="BJ32" s="35"/>
      <c r="BK32" s="36"/>
      <c r="BL32" s="36"/>
      <c r="BM32" s="33"/>
      <c r="BN32" s="34"/>
      <c r="BO32" s="34"/>
      <c r="BP32" s="34"/>
      <c r="BQ32" s="34"/>
      <c r="BR32" s="34">
        <v>3</v>
      </c>
      <c r="BS32" s="34">
        <v>161</v>
      </c>
      <c r="BT32" s="34"/>
      <c r="BU32" s="34"/>
      <c r="BV32" s="34"/>
      <c r="BW32" s="34"/>
      <c r="BX32" s="34">
        <v>3</v>
      </c>
      <c r="BY32" s="34">
        <v>153</v>
      </c>
      <c r="BZ32" s="34">
        <v>2</v>
      </c>
      <c r="CA32" s="34">
        <v>80</v>
      </c>
      <c r="CB32" s="34"/>
      <c r="CC32" s="34"/>
      <c r="CD32" s="34"/>
      <c r="CE32" s="34"/>
      <c r="CF32" s="34"/>
      <c r="CG32" s="34"/>
      <c r="CH32" s="34">
        <v>1</v>
      </c>
      <c r="CI32" s="34">
        <v>20</v>
      </c>
      <c r="CJ32" s="34"/>
      <c r="CK32" s="34"/>
      <c r="CL32" s="37">
        <v>60</v>
      </c>
      <c r="CM32" s="37">
        <v>12872</v>
      </c>
    </row>
    <row r="33" spans="1:91" s="38" customFormat="1">
      <c r="A33" s="32" t="s">
        <v>72</v>
      </c>
      <c r="B33" s="33">
        <v>5</v>
      </c>
      <c r="C33" s="34">
        <v>1063</v>
      </c>
      <c r="D33" s="34">
        <v>6</v>
      </c>
      <c r="E33" s="34">
        <v>579</v>
      </c>
      <c r="F33" s="34">
        <v>3</v>
      </c>
      <c r="G33" s="34">
        <v>123</v>
      </c>
      <c r="H33" s="34"/>
      <c r="I33" s="34"/>
      <c r="J33" s="34">
        <v>3</v>
      </c>
      <c r="K33" s="34">
        <v>98</v>
      </c>
      <c r="L33" s="34">
        <v>15</v>
      </c>
      <c r="M33" s="34">
        <v>195</v>
      </c>
      <c r="N33" s="34"/>
      <c r="O33" s="34"/>
      <c r="P33" s="34"/>
      <c r="Q33" s="34"/>
      <c r="R33" s="34"/>
      <c r="S33" s="34"/>
      <c r="T33" s="34"/>
      <c r="U33" s="34"/>
      <c r="V33" s="34"/>
      <c r="W33" s="34"/>
      <c r="X33" s="34"/>
      <c r="Y33" s="34"/>
      <c r="Z33" s="34"/>
      <c r="AA33" s="34"/>
      <c r="AB33" s="34"/>
      <c r="AC33" s="34"/>
      <c r="AD33" s="34">
        <v>1</v>
      </c>
      <c r="AE33" s="34">
        <v>222</v>
      </c>
      <c r="AF33" s="34">
        <v>2</v>
      </c>
      <c r="AG33" s="34">
        <v>441</v>
      </c>
      <c r="AH33" s="34">
        <v>14</v>
      </c>
      <c r="AI33" s="34">
        <v>5461</v>
      </c>
      <c r="AJ33" s="34">
        <v>2</v>
      </c>
      <c r="AK33" s="34">
        <v>695</v>
      </c>
      <c r="AL33" s="34"/>
      <c r="AM33" s="34"/>
      <c r="AN33" s="34"/>
      <c r="AO33" s="34"/>
      <c r="AP33" s="34"/>
      <c r="AQ33" s="34"/>
      <c r="AR33" s="34"/>
      <c r="AS33" s="34"/>
      <c r="AT33" s="34"/>
      <c r="AU33" s="34"/>
      <c r="AV33" s="34"/>
      <c r="AW33" s="34"/>
      <c r="AX33" s="34"/>
      <c r="AY33" s="34"/>
      <c r="AZ33" s="34"/>
      <c r="BA33" s="34"/>
      <c r="BB33" s="34">
        <v>4</v>
      </c>
      <c r="BC33" s="34">
        <v>2612</v>
      </c>
      <c r="BD33" s="34">
        <v>2</v>
      </c>
      <c r="BE33" s="34">
        <v>2957</v>
      </c>
      <c r="BF33" s="34"/>
      <c r="BG33" s="34"/>
      <c r="BH33" s="34"/>
      <c r="BI33" s="34"/>
      <c r="BJ33" s="35"/>
      <c r="BK33" s="36"/>
      <c r="BL33" s="36"/>
      <c r="BM33" s="33"/>
      <c r="BN33" s="34"/>
      <c r="BO33" s="34"/>
      <c r="BP33" s="34"/>
      <c r="BQ33" s="34"/>
      <c r="BR33" s="34">
        <v>1</v>
      </c>
      <c r="BS33" s="34">
        <v>111</v>
      </c>
      <c r="BT33" s="34">
        <v>1</v>
      </c>
      <c r="BU33" s="34">
        <v>46</v>
      </c>
      <c r="BV33" s="34"/>
      <c r="BW33" s="34"/>
      <c r="BX33" s="34"/>
      <c r="BY33" s="34"/>
      <c r="BZ33" s="34"/>
      <c r="CA33" s="34"/>
      <c r="CB33" s="34"/>
      <c r="CC33" s="34"/>
      <c r="CD33" s="34"/>
      <c r="CE33" s="34"/>
      <c r="CF33" s="34">
        <v>3</v>
      </c>
      <c r="CG33" s="34">
        <v>94</v>
      </c>
      <c r="CH33" s="34"/>
      <c r="CI33" s="34"/>
      <c r="CJ33" s="34"/>
      <c r="CK33" s="34"/>
      <c r="CL33" s="37">
        <v>62</v>
      </c>
      <c r="CM33" s="37">
        <v>14697</v>
      </c>
    </row>
    <row r="34" spans="1:91" s="38" customFormat="1">
      <c r="A34" s="32" t="s">
        <v>73</v>
      </c>
      <c r="B34" s="33"/>
      <c r="C34" s="34"/>
      <c r="D34" s="34"/>
      <c r="E34" s="34"/>
      <c r="F34" s="34"/>
      <c r="G34" s="34"/>
      <c r="H34" s="34"/>
      <c r="I34" s="34"/>
      <c r="J34" s="34"/>
      <c r="K34" s="34"/>
      <c r="L34" s="34">
        <v>3</v>
      </c>
      <c r="M34" s="34">
        <v>22</v>
      </c>
      <c r="N34" s="34">
        <v>1</v>
      </c>
      <c r="O34" s="34">
        <v>16</v>
      </c>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5"/>
      <c r="BK34" s="36"/>
      <c r="BL34" s="36"/>
      <c r="BM34" s="33"/>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7">
        <v>4</v>
      </c>
      <c r="CM34" s="37">
        <v>38</v>
      </c>
    </row>
    <row r="35" spans="1:91" s="38" customFormat="1">
      <c r="A35" s="32" t="s">
        <v>74</v>
      </c>
      <c r="B35" s="33"/>
      <c r="C35" s="34"/>
      <c r="D35" s="34"/>
      <c r="E35" s="34"/>
      <c r="F35" s="34"/>
      <c r="G35" s="34"/>
      <c r="H35" s="34"/>
      <c r="I35" s="34"/>
      <c r="J35" s="34"/>
      <c r="K35" s="34"/>
      <c r="L35" s="34">
        <v>1</v>
      </c>
      <c r="M35" s="34">
        <v>16</v>
      </c>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5"/>
      <c r="BK35" s="36"/>
      <c r="BL35" s="36"/>
      <c r="BM35" s="33"/>
      <c r="BN35" s="34"/>
      <c r="BO35" s="34"/>
      <c r="BP35" s="34"/>
      <c r="BQ35" s="34"/>
      <c r="BR35" s="34"/>
      <c r="BS35" s="34"/>
      <c r="BT35" s="34"/>
      <c r="BU35" s="34"/>
      <c r="BV35" s="34"/>
      <c r="BW35" s="34"/>
      <c r="BX35" s="34"/>
      <c r="BY35" s="34"/>
      <c r="BZ35" s="34"/>
      <c r="CA35" s="34"/>
      <c r="CB35" s="34"/>
      <c r="CC35" s="34"/>
      <c r="CD35" s="34"/>
      <c r="CE35" s="34"/>
      <c r="CF35" s="34"/>
      <c r="CG35" s="34"/>
      <c r="CH35" s="34"/>
      <c r="CI35" s="34"/>
      <c r="CJ35" s="34"/>
      <c r="CK35" s="34"/>
      <c r="CL35" s="37">
        <v>1</v>
      </c>
      <c r="CM35" s="37">
        <v>16</v>
      </c>
    </row>
    <row r="36" spans="1:91" s="38" customFormat="1">
      <c r="A36" s="32" t="s">
        <v>75</v>
      </c>
      <c r="B36" s="33"/>
      <c r="C36" s="34"/>
      <c r="D36" s="34"/>
      <c r="E36" s="34"/>
      <c r="F36" s="34"/>
      <c r="G36" s="34"/>
      <c r="H36" s="34"/>
      <c r="I36" s="34"/>
      <c r="J36" s="34">
        <v>2</v>
      </c>
      <c r="K36" s="34">
        <v>95</v>
      </c>
      <c r="L36" s="34">
        <v>3</v>
      </c>
      <c r="M36" s="34">
        <v>38</v>
      </c>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5"/>
      <c r="BK36" s="36"/>
      <c r="BL36" s="36"/>
      <c r="BM36" s="33"/>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7">
        <v>5</v>
      </c>
      <c r="CM36" s="37">
        <v>133</v>
      </c>
    </row>
    <row r="37" spans="1:91" s="38" customFormat="1">
      <c r="A37" s="32" t="s">
        <v>76</v>
      </c>
      <c r="B37" s="33"/>
      <c r="C37" s="34"/>
      <c r="D37" s="34">
        <v>2</v>
      </c>
      <c r="E37" s="34">
        <v>426</v>
      </c>
      <c r="F37" s="34">
        <v>8</v>
      </c>
      <c r="G37" s="34">
        <v>1262</v>
      </c>
      <c r="H37" s="34"/>
      <c r="I37" s="34"/>
      <c r="J37" s="34">
        <v>1</v>
      </c>
      <c r="K37" s="34">
        <v>30</v>
      </c>
      <c r="L37" s="34"/>
      <c r="M37" s="34"/>
      <c r="N37" s="34"/>
      <c r="O37" s="34"/>
      <c r="P37" s="34"/>
      <c r="Q37" s="34"/>
      <c r="R37" s="34"/>
      <c r="S37" s="34"/>
      <c r="T37" s="34"/>
      <c r="U37" s="34"/>
      <c r="V37" s="34">
        <v>1</v>
      </c>
      <c r="W37" s="34">
        <v>500</v>
      </c>
      <c r="X37" s="34"/>
      <c r="Y37" s="34"/>
      <c r="Z37" s="34"/>
      <c r="AA37" s="34"/>
      <c r="AB37" s="34"/>
      <c r="AC37" s="34"/>
      <c r="AD37" s="34"/>
      <c r="AE37" s="34"/>
      <c r="AF37" s="34"/>
      <c r="AG37" s="34"/>
      <c r="AH37" s="34">
        <v>3</v>
      </c>
      <c r="AI37" s="34">
        <v>817</v>
      </c>
      <c r="AJ37" s="34">
        <v>7</v>
      </c>
      <c r="AK37" s="34">
        <v>3893</v>
      </c>
      <c r="AL37" s="34">
        <v>1</v>
      </c>
      <c r="AM37" s="34">
        <v>268</v>
      </c>
      <c r="AN37" s="34"/>
      <c r="AO37" s="34"/>
      <c r="AP37" s="34"/>
      <c r="AQ37" s="34"/>
      <c r="AR37" s="34"/>
      <c r="AS37" s="34"/>
      <c r="AT37" s="34"/>
      <c r="AU37" s="34"/>
      <c r="AV37" s="34"/>
      <c r="AW37" s="34"/>
      <c r="AX37" s="34"/>
      <c r="AY37" s="34"/>
      <c r="AZ37" s="34"/>
      <c r="BA37" s="34"/>
      <c r="BB37" s="34">
        <v>7</v>
      </c>
      <c r="BC37" s="34">
        <v>4139</v>
      </c>
      <c r="BD37" s="34">
        <v>9</v>
      </c>
      <c r="BE37" s="34">
        <v>4968</v>
      </c>
      <c r="BF37" s="34">
        <v>1</v>
      </c>
      <c r="BG37" s="34">
        <v>218</v>
      </c>
      <c r="BH37" s="34"/>
      <c r="BI37" s="34"/>
      <c r="BJ37" s="35"/>
      <c r="BK37" s="36"/>
      <c r="BL37" s="36"/>
      <c r="BM37" s="33"/>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7">
        <v>40</v>
      </c>
      <c r="CM37" s="37">
        <v>16521</v>
      </c>
    </row>
    <row r="38" spans="1:91" s="38" customFormat="1">
      <c r="A38" s="32" t="s">
        <v>77</v>
      </c>
      <c r="B38" s="33">
        <v>5</v>
      </c>
      <c r="C38" s="34">
        <v>356</v>
      </c>
      <c r="D38" s="34">
        <v>7</v>
      </c>
      <c r="E38" s="34">
        <v>942</v>
      </c>
      <c r="F38" s="34">
        <v>8</v>
      </c>
      <c r="G38" s="34">
        <v>930</v>
      </c>
      <c r="H38" s="34"/>
      <c r="I38" s="34"/>
      <c r="J38" s="34">
        <v>1</v>
      </c>
      <c r="K38" s="34">
        <v>25</v>
      </c>
      <c r="L38" s="34"/>
      <c r="M38" s="34"/>
      <c r="N38" s="34">
        <v>1</v>
      </c>
      <c r="O38" s="34">
        <v>11</v>
      </c>
      <c r="P38" s="34"/>
      <c r="Q38" s="34"/>
      <c r="R38" s="34"/>
      <c r="S38" s="34"/>
      <c r="T38" s="34"/>
      <c r="U38" s="34"/>
      <c r="V38" s="34"/>
      <c r="W38" s="34"/>
      <c r="X38" s="34"/>
      <c r="Y38" s="34"/>
      <c r="Z38" s="34"/>
      <c r="AA38" s="34"/>
      <c r="AB38" s="34"/>
      <c r="AC38" s="34"/>
      <c r="AD38" s="34">
        <v>10</v>
      </c>
      <c r="AE38" s="34">
        <v>805</v>
      </c>
      <c r="AF38" s="34">
        <v>13</v>
      </c>
      <c r="AG38" s="34">
        <v>1820</v>
      </c>
      <c r="AH38" s="34">
        <v>72</v>
      </c>
      <c r="AI38" s="34">
        <v>20402</v>
      </c>
      <c r="AJ38" s="34">
        <v>39</v>
      </c>
      <c r="AK38" s="34">
        <v>9518</v>
      </c>
      <c r="AL38" s="34">
        <v>6</v>
      </c>
      <c r="AM38" s="34">
        <v>1447</v>
      </c>
      <c r="AN38" s="34">
        <v>2</v>
      </c>
      <c r="AO38" s="34">
        <v>98</v>
      </c>
      <c r="AP38" s="34">
        <v>1</v>
      </c>
      <c r="AQ38" s="34">
        <v>51</v>
      </c>
      <c r="AR38" s="34">
        <v>2</v>
      </c>
      <c r="AS38" s="34">
        <v>239</v>
      </c>
      <c r="AT38" s="34"/>
      <c r="AU38" s="34"/>
      <c r="AV38" s="34"/>
      <c r="AW38" s="34"/>
      <c r="AX38" s="34"/>
      <c r="AY38" s="34"/>
      <c r="AZ38" s="34">
        <v>3</v>
      </c>
      <c r="BA38" s="34">
        <v>355</v>
      </c>
      <c r="BB38" s="34">
        <v>6</v>
      </c>
      <c r="BC38" s="34">
        <v>1599</v>
      </c>
      <c r="BD38" s="34">
        <v>5</v>
      </c>
      <c r="BE38" s="34">
        <v>2453</v>
      </c>
      <c r="BF38" s="34"/>
      <c r="BG38" s="34"/>
      <c r="BH38" s="34"/>
      <c r="BI38" s="34"/>
      <c r="BJ38" s="35"/>
      <c r="BK38" s="36"/>
      <c r="BL38" s="36"/>
      <c r="BM38" s="33"/>
      <c r="BN38" s="34"/>
      <c r="BO38" s="34"/>
      <c r="BP38" s="34"/>
      <c r="BQ38" s="34"/>
      <c r="BR38" s="34">
        <v>6</v>
      </c>
      <c r="BS38" s="34">
        <v>201</v>
      </c>
      <c r="BT38" s="34">
        <v>5</v>
      </c>
      <c r="BU38" s="34">
        <v>389</v>
      </c>
      <c r="BV38" s="34">
        <v>1</v>
      </c>
      <c r="BW38" s="34">
        <v>118</v>
      </c>
      <c r="BX38" s="34">
        <v>19</v>
      </c>
      <c r="BY38" s="34">
        <v>776</v>
      </c>
      <c r="BZ38" s="34">
        <v>9</v>
      </c>
      <c r="CA38" s="34">
        <v>427</v>
      </c>
      <c r="CB38" s="34"/>
      <c r="CC38" s="34"/>
      <c r="CD38" s="34"/>
      <c r="CE38" s="34"/>
      <c r="CF38" s="34">
        <v>7</v>
      </c>
      <c r="CG38" s="34">
        <v>228</v>
      </c>
      <c r="CH38" s="34">
        <v>1</v>
      </c>
      <c r="CI38" s="34">
        <v>12</v>
      </c>
      <c r="CJ38" s="34"/>
      <c r="CK38" s="34"/>
      <c r="CL38" s="37">
        <v>229</v>
      </c>
      <c r="CM38" s="37">
        <v>43202</v>
      </c>
    </row>
    <row r="39" spans="1:91" s="38" customFormat="1">
      <c r="A39" s="32" t="s">
        <v>78</v>
      </c>
      <c r="B39" s="33"/>
      <c r="C39" s="34"/>
      <c r="D39" s="34"/>
      <c r="E39" s="34"/>
      <c r="F39" s="34"/>
      <c r="G39" s="34"/>
      <c r="H39" s="34"/>
      <c r="I39" s="34"/>
      <c r="J39" s="34"/>
      <c r="K39" s="34"/>
      <c r="L39" s="34">
        <v>2</v>
      </c>
      <c r="M39" s="34">
        <v>16</v>
      </c>
      <c r="N39" s="34">
        <v>1</v>
      </c>
      <c r="O39" s="34">
        <v>6</v>
      </c>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5"/>
      <c r="BK39" s="36"/>
      <c r="BL39" s="36"/>
      <c r="BM39" s="33"/>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7">
        <v>3</v>
      </c>
      <c r="CM39" s="37">
        <v>22</v>
      </c>
    </row>
    <row r="40" spans="1:91" s="38" customFormat="1">
      <c r="A40" s="32" t="s">
        <v>79</v>
      </c>
      <c r="B40" s="33">
        <v>8</v>
      </c>
      <c r="C40" s="34">
        <v>355</v>
      </c>
      <c r="D40" s="34">
        <v>10</v>
      </c>
      <c r="E40" s="34">
        <v>601</v>
      </c>
      <c r="F40" s="34">
        <v>14</v>
      </c>
      <c r="G40" s="34">
        <v>1438</v>
      </c>
      <c r="H40" s="34"/>
      <c r="I40" s="34"/>
      <c r="J40" s="34">
        <v>1</v>
      </c>
      <c r="K40" s="34">
        <v>46</v>
      </c>
      <c r="L40" s="34">
        <v>6</v>
      </c>
      <c r="M40" s="34">
        <v>86</v>
      </c>
      <c r="N40" s="34">
        <v>5</v>
      </c>
      <c r="O40" s="34">
        <v>72</v>
      </c>
      <c r="P40" s="34"/>
      <c r="Q40" s="34"/>
      <c r="R40" s="34"/>
      <c r="S40" s="34"/>
      <c r="T40" s="34"/>
      <c r="U40" s="34"/>
      <c r="V40" s="34"/>
      <c r="W40" s="34"/>
      <c r="X40" s="34"/>
      <c r="Y40" s="34"/>
      <c r="Z40" s="34"/>
      <c r="AA40" s="34"/>
      <c r="AB40" s="34"/>
      <c r="AC40" s="34"/>
      <c r="AD40" s="34">
        <v>1</v>
      </c>
      <c r="AE40" s="34">
        <v>47</v>
      </c>
      <c r="AF40" s="34">
        <v>2</v>
      </c>
      <c r="AG40" s="34">
        <v>190</v>
      </c>
      <c r="AH40" s="34">
        <v>8</v>
      </c>
      <c r="AI40" s="34">
        <v>1651</v>
      </c>
      <c r="AJ40" s="34">
        <v>3</v>
      </c>
      <c r="AK40" s="34">
        <v>470</v>
      </c>
      <c r="AL40" s="34">
        <v>2</v>
      </c>
      <c r="AM40" s="34">
        <v>283</v>
      </c>
      <c r="AN40" s="34">
        <v>1</v>
      </c>
      <c r="AO40" s="34">
        <v>39</v>
      </c>
      <c r="AP40" s="34"/>
      <c r="AQ40" s="34"/>
      <c r="AR40" s="34">
        <v>1</v>
      </c>
      <c r="AS40" s="34">
        <v>12</v>
      </c>
      <c r="AT40" s="34"/>
      <c r="AU40" s="34"/>
      <c r="AV40" s="34"/>
      <c r="AW40" s="34"/>
      <c r="AX40" s="34"/>
      <c r="AY40" s="34"/>
      <c r="AZ40" s="34"/>
      <c r="BA40" s="34"/>
      <c r="BB40" s="34">
        <v>3</v>
      </c>
      <c r="BC40" s="34">
        <v>721</v>
      </c>
      <c r="BD40" s="34">
        <v>4</v>
      </c>
      <c r="BE40" s="34">
        <v>849</v>
      </c>
      <c r="BF40" s="34"/>
      <c r="BG40" s="34"/>
      <c r="BH40" s="34"/>
      <c r="BI40" s="34"/>
      <c r="BJ40" s="35"/>
      <c r="BK40" s="36"/>
      <c r="BL40" s="36"/>
      <c r="BM40" s="33"/>
      <c r="BN40" s="34"/>
      <c r="BO40" s="34"/>
      <c r="BP40" s="34"/>
      <c r="BQ40" s="34"/>
      <c r="BR40" s="34">
        <v>1</v>
      </c>
      <c r="BS40" s="34">
        <v>60</v>
      </c>
      <c r="BT40" s="34">
        <v>3</v>
      </c>
      <c r="BU40" s="34">
        <v>127</v>
      </c>
      <c r="BV40" s="34"/>
      <c r="BW40" s="34"/>
      <c r="BX40" s="34">
        <v>2</v>
      </c>
      <c r="BY40" s="34">
        <v>80</v>
      </c>
      <c r="BZ40" s="34">
        <v>3</v>
      </c>
      <c r="CA40" s="34">
        <v>167</v>
      </c>
      <c r="CB40" s="34"/>
      <c r="CC40" s="34"/>
      <c r="CD40" s="34"/>
      <c r="CE40" s="34"/>
      <c r="CF40" s="34"/>
      <c r="CG40" s="34"/>
      <c r="CH40" s="34"/>
      <c r="CI40" s="34"/>
      <c r="CJ40" s="34">
        <v>1</v>
      </c>
      <c r="CK40" s="34">
        <v>23</v>
      </c>
      <c r="CL40" s="37">
        <v>79</v>
      </c>
      <c r="CM40" s="37">
        <v>7317</v>
      </c>
    </row>
    <row r="41" spans="1:91" s="38" customFormat="1">
      <c r="A41" s="32" t="s">
        <v>80</v>
      </c>
      <c r="B41" s="33"/>
      <c r="C41" s="34"/>
      <c r="D41" s="34"/>
      <c r="E41" s="34"/>
      <c r="F41" s="34"/>
      <c r="G41" s="34"/>
      <c r="H41" s="34"/>
      <c r="I41" s="34"/>
      <c r="J41" s="34">
        <v>1</v>
      </c>
      <c r="K41" s="34">
        <v>49</v>
      </c>
      <c r="L41" s="34">
        <v>3</v>
      </c>
      <c r="M41" s="34">
        <v>57</v>
      </c>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5"/>
      <c r="BK41" s="36"/>
      <c r="BL41" s="36"/>
      <c r="BM41" s="33"/>
      <c r="BN41" s="34"/>
      <c r="BO41" s="34"/>
      <c r="BP41" s="34"/>
      <c r="BQ41" s="34"/>
      <c r="BR41" s="34"/>
      <c r="BS41" s="34"/>
      <c r="BT41" s="34"/>
      <c r="BU41" s="34"/>
      <c r="BV41" s="34"/>
      <c r="BW41" s="34"/>
      <c r="BX41" s="34"/>
      <c r="BY41" s="34"/>
      <c r="BZ41" s="34"/>
      <c r="CA41" s="34"/>
      <c r="CB41" s="34"/>
      <c r="CC41" s="34"/>
      <c r="CD41" s="34"/>
      <c r="CE41" s="34"/>
      <c r="CF41" s="34"/>
      <c r="CG41" s="34"/>
      <c r="CH41" s="34"/>
      <c r="CI41" s="34"/>
      <c r="CJ41" s="34"/>
      <c r="CK41" s="34"/>
      <c r="CL41" s="37">
        <v>4</v>
      </c>
      <c r="CM41" s="37">
        <v>106</v>
      </c>
    </row>
    <row r="42" spans="1:91" s="38" customFormat="1">
      <c r="A42" s="32" t="s">
        <v>81</v>
      </c>
      <c r="B42" s="33"/>
      <c r="C42" s="34"/>
      <c r="D42" s="34"/>
      <c r="E42" s="34"/>
      <c r="F42" s="34">
        <v>1</v>
      </c>
      <c r="G42" s="34">
        <v>25</v>
      </c>
      <c r="H42" s="34"/>
      <c r="I42" s="34"/>
      <c r="J42" s="34">
        <v>2</v>
      </c>
      <c r="K42" s="34">
        <v>96</v>
      </c>
      <c r="L42" s="34">
        <v>2</v>
      </c>
      <c r="M42" s="34">
        <v>20</v>
      </c>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5"/>
      <c r="BK42" s="36"/>
      <c r="BL42" s="36"/>
      <c r="BM42" s="33"/>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7">
        <v>5</v>
      </c>
      <c r="CM42" s="37">
        <v>141</v>
      </c>
    </row>
    <row r="43" spans="1:91" s="38" customFormat="1">
      <c r="A43" s="32" t="s">
        <v>82</v>
      </c>
      <c r="B43" s="33"/>
      <c r="C43" s="34"/>
      <c r="D43" s="34"/>
      <c r="E43" s="34"/>
      <c r="F43" s="34"/>
      <c r="G43" s="34"/>
      <c r="H43" s="34"/>
      <c r="I43" s="34"/>
      <c r="J43" s="34"/>
      <c r="K43" s="34"/>
      <c r="L43" s="34">
        <v>2</v>
      </c>
      <c r="M43" s="34">
        <v>28</v>
      </c>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5"/>
      <c r="BK43" s="36"/>
      <c r="BL43" s="36"/>
      <c r="BM43" s="33"/>
      <c r="BN43" s="34"/>
      <c r="BO43" s="34"/>
      <c r="BP43" s="34"/>
      <c r="BQ43" s="34"/>
      <c r="BR43" s="34"/>
      <c r="BS43" s="34"/>
      <c r="BT43" s="34"/>
      <c r="BU43" s="34"/>
      <c r="BV43" s="34"/>
      <c r="BW43" s="34"/>
      <c r="BX43" s="34"/>
      <c r="BY43" s="34"/>
      <c r="BZ43" s="34"/>
      <c r="CA43" s="34"/>
      <c r="CB43" s="34"/>
      <c r="CC43" s="34"/>
      <c r="CD43" s="34"/>
      <c r="CE43" s="34"/>
      <c r="CF43" s="34"/>
      <c r="CG43" s="34"/>
      <c r="CH43" s="34">
        <v>1</v>
      </c>
      <c r="CI43" s="34">
        <v>11</v>
      </c>
      <c r="CJ43" s="34"/>
      <c r="CK43" s="34"/>
      <c r="CL43" s="37">
        <v>3</v>
      </c>
      <c r="CM43" s="37">
        <v>39</v>
      </c>
    </row>
    <row r="44" spans="1:91" s="38" customFormat="1">
      <c r="A44" s="32" t="s">
        <v>83</v>
      </c>
      <c r="B44" s="33">
        <v>7</v>
      </c>
      <c r="C44" s="34">
        <v>475</v>
      </c>
      <c r="D44" s="34">
        <v>6</v>
      </c>
      <c r="E44" s="34">
        <v>433</v>
      </c>
      <c r="F44" s="34">
        <v>10</v>
      </c>
      <c r="G44" s="34">
        <v>1773</v>
      </c>
      <c r="H44" s="34">
        <v>1</v>
      </c>
      <c r="I44" s="34">
        <v>184</v>
      </c>
      <c r="J44" s="34">
        <v>1</v>
      </c>
      <c r="K44" s="34">
        <v>44</v>
      </c>
      <c r="L44" s="34">
        <v>4</v>
      </c>
      <c r="M44" s="34">
        <v>74</v>
      </c>
      <c r="N44" s="34"/>
      <c r="O44" s="34"/>
      <c r="P44" s="34"/>
      <c r="Q44" s="34"/>
      <c r="R44" s="34"/>
      <c r="S44" s="34"/>
      <c r="T44" s="34"/>
      <c r="U44" s="34"/>
      <c r="V44" s="34"/>
      <c r="W44" s="34"/>
      <c r="X44" s="34"/>
      <c r="Y44" s="34"/>
      <c r="Z44" s="34"/>
      <c r="AA44" s="34"/>
      <c r="AB44" s="34"/>
      <c r="AC44" s="34"/>
      <c r="AD44" s="34">
        <v>1</v>
      </c>
      <c r="AE44" s="34">
        <v>175</v>
      </c>
      <c r="AF44" s="34">
        <v>2</v>
      </c>
      <c r="AG44" s="34">
        <v>508</v>
      </c>
      <c r="AH44" s="34">
        <v>14</v>
      </c>
      <c r="AI44" s="34">
        <v>3092</v>
      </c>
      <c r="AJ44" s="34">
        <v>16</v>
      </c>
      <c r="AK44" s="34">
        <v>6297</v>
      </c>
      <c r="AL44" s="34">
        <v>2</v>
      </c>
      <c r="AM44" s="34">
        <v>608</v>
      </c>
      <c r="AN44" s="34">
        <v>1</v>
      </c>
      <c r="AO44" s="34">
        <v>45</v>
      </c>
      <c r="AP44" s="34">
        <v>2</v>
      </c>
      <c r="AQ44" s="34">
        <v>177</v>
      </c>
      <c r="AR44" s="34"/>
      <c r="AS44" s="34"/>
      <c r="AT44" s="34"/>
      <c r="AU44" s="34"/>
      <c r="AV44" s="34"/>
      <c r="AW44" s="34"/>
      <c r="AX44" s="34"/>
      <c r="AY44" s="34"/>
      <c r="AZ44" s="34"/>
      <c r="BA44" s="34"/>
      <c r="BB44" s="34">
        <v>10</v>
      </c>
      <c r="BC44" s="34">
        <v>5287</v>
      </c>
      <c r="BD44" s="34">
        <v>10</v>
      </c>
      <c r="BE44" s="34">
        <v>5229</v>
      </c>
      <c r="BF44" s="34"/>
      <c r="BG44" s="34"/>
      <c r="BH44" s="34"/>
      <c r="BI44" s="34"/>
      <c r="BJ44" s="35"/>
      <c r="BK44" s="36"/>
      <c r="BL44" s="36"/>
      <c r="BM44" s="33"/>
      <c r="BN44" s="34"/>
      <c r="BO44" s="34"/>
      <c r="BP44" s="34"/>
      <c r="BQ44" s="34"/>
      <c r="BR44" s="34"/>
      <c r="BS44" s="34"/>
      <c r="BT44" s="34">
        <v>2</v>
      </c>
      <c r="BU44" s="34">
        <v>94</v>
      </c>
      <c r="BV44" s="34"/>
      <c r="BW44" s="34"/>
      <c r="BX44" s="34">
        <v>1</v>
      </c>
      <c r="BY44" s="34">
        <v>34</v>
      </c>
      <c r="BZ44" s="34">
        <v>2</v>
      </c>
      <c r="CA44" s="34">
        <v>71</v>
      </c>
      <c r="CB44" s="34"/>
      <c r="CC44" s="34"/>
      <c r="CD44" s="34"/>
      <c r="CE44" s="34"/>
      <c r="CF44" s="34">
        <v>3</v>
      </c>
      <c r="CG44" s="34">
        <v>116</v>
      </c>
      <c r="CH44" s="34"/>
      <c r="CI44" s="34"/>
      <c r="CJ44" s="34"/>
      <c r="CK44" s="34"/>
      <c r="CL44" s="37">
        <v>95</v>
      </c>
      <c r="CM44" s="37">
        <v>24716</v>
      </c>
    </row>
    <row r="45" spans="1:91" s="38" customFormat="1">
      <c r="A45" s="32" t="s">
        <v>84</v>
      </c>
      <c r="B45" s="33"/>
      <c r="C45" s="34"/>
      <c r="D45" s="34"/>
      <c r="E45" s="34"/>
      <c r="F45" s="34"/>
      <c r="G45" s="34"/>
      <c r="H45" s="34"/>
      <c r="I45" s="34"/>
      <c r="J45" s="34"/>
      <c r="K45" s="34"/>
      <c r="L45" s="34">
        <v>1</v>
      </c>
      <c r="M45" s="34">
        <v>10</v>
      </c>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5"/>
      <c r="BK45" s="36"/>
      <c r="BL45" s="36"/>
      <c r="BM45" s="33"/>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7">
        <v>1</v>
      </c>
      <c r="CM45" s="37">
        <v>10</v>
      </c>
    </row>
    <row r="46" spans="1:91" s="38" customFormat="1">
      <c r="A46" s="32" t="s">
        <v>85</v>
      </c>
      <c r="B46" s="33">
        <v>5</v>
      </c>
      <c r="C46" s="34">
        <v>270</v>
      </c>
      <c r="D46" s="34">
        <v>6</v>
      </c>
      <c r="E46" s="34">
        <v>285</v>
      </c>
      <c r="F46" s="34"/>
      <c r="G46" s="34"/>
      <c r="H46" s="34"/>
      <c r="I46" s="34"/>
      <c r="J46" s="34">
        <v>1</v>
      </c>
      <c r="K46" s="34">
        <v>50</v>
      </c>
      <c r="L46" s="34">
        <v>5</v>
      </c>
      <c r="M46" s="34">
        <v>76</v>
      </c>
      <c r="N46" s="34"/>
      <c r="O46" s="34"/>
      <c r="P46" s="34"/>
      <c r="Q46" s="34"/>
      <c r="R46" s="34"/>
      <c r="S46" s="34"/>
      <c r="T46" s="34"/>
      <c r="U46" s="34"/>
      <c r="V46" s="34"/>
      <c r="W46" s="34"/>
      <c r="X46" s="34"/>
      <c r="Y46" s="34"/>
      <c r="Z46" s="34"/>
      <c r="AA46" s="34"/>
      <c r="AB46" s="34"/>
      <c r="AC46" s="34"/>
      <c r="AD46" s="34">
        <v>2</v>
      </c>
      <c r="AE46" s="34">
        <v>276</v>
      </c>
      <c r="AF46" s="34">
        <v>1</v>
      </c>
      <c r="AG46" s="34">
        <v>154</v>
      </c>
      <c r="AH46" s="34">
        <v>18</v>
      </c>
      <c r="AI46" s="34">
        <v>5828</v>
      </c>
      <c r="AJ46" s="34">
        <v>2</v>
      </c>
      <c r="AK46" s="34">
        <v>875</v>
      </c>
      <c r="AL46" s="34"/>
      <c r="AM46" s="34"/>
      <c r="AN46" s="34"/>
      <c r="AO46" s="34"/>
      <c r="AP46" s="34"/>
      <c r="AQ46" s="34"/>
      <c r="AR46" s="34"/>
      <c r="AS46" s="34"/>
      <c r="AT46" s="34"/>
      <c r="AU46" s="34"/>
      <c r="AV46" s="34"/>
      <c r="AW46" s="34"/>
      <c r="AX46" s="34"/>
      <c r="AY46" s="34"/>
      <c r="AZ46" s="34"/>
      <c r="BA46" s="34"/>
      <c r="BB46" s="34">
        <v>4</v>
      </c>
      <c r="BC46" s="34">
        <v>604</v>
      </c>
      <c r="BD46" s="34">
        <v>10</v>
      </c>
      <c r="BE46" s="34">
        <v>4170</v>
      </c>
      <c r="BF46" s="34"/>
      <c r="BG46" s="34"/>
      <c r="BH46" s="34"/>
      <c r="BI46" s="34"/>
      <c r="BJ46" s="35"/>
      <c r="BK46" s="36"/>
      <c r="BL46" s="36"/>
      <c r="BM46" s="33"/>
      <c r="BN46" s="34"/>
      <c r="BO46" s="34"/>
      <c r="BP46" s="34"/>
      <c r="BQ46" s="34"/>
      <c r="BR46" s="34">
        <v>2</v>
      </c>
      <c r="BS46" s="34">
        <v>141</v>
      </c>
      <c r="BT46" s="34">
        <v>1</v>
      </c>
      <c r="BU46" s="34">
        <v>68</v>
      </c>
      <c r="BV46" s="34">
        <v>1</v>
      </c>
      <c r="BW46" s="34">
        <v>142</v>
      </c>
      <c r="BX46" s="34">
        <v>2</v>
      </c>
      <c r="BY46" s="34">
        <v>64</v>
      </c>
      <c r="BZ46" s="34"/>
      <c r="CA46" s="34"/>
      <c r="CB46" s="34"/>
      <c r="CC46" s="34"/>
      <c r="CD46" s="34"/>
      <c r="CE46" s="34"/>
      <c r="CF46" s="34"/>
      <c r="CG46" s="34"/>
      <c r="CH46" s="34"/>
      <c r="CI46" s="34"/>
      <c r="CJ46" s="34"/>
      <c r="CK46" s="34"/>
      <c r="CL46" s="37">
        <v>60</v>
      </c>
      <c r="CM46" s="37">
        <v>13003</v>
      </c>
    </row>
    <row r="47" spans="1:91" s="38" customFormat="1">
      <c r="A47" s="32" t="s">
        <v>86</v>
      </c>
      <c r="B47" s="33"/>
      <c r="C47" s="34"/>
      <c r="D47" s="34"/>
      <c r="E47" s="34"/>
      <c r="F47" s="34"/>
      <c r="G47" s="34"/>
      <c r="H47" s="34"/>
      <c r="I47" s="34"/>
      <c r="J47" s="34">
        <v>1</v>
      </c>
      <c r="K47" s="34">
        <v>41</v>
      </c>
      <c r="L47" s="34">
        <v>2</v>
      </c>
      <c r="M47" s="34">
        <v>22</v>
      </c>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5"/>
      <c r="BK47" s="36"/>
      <c r="BL47" s="36"/>
      <c r="BM47" s="33"/>
      <c r="BN47" s="34"/>
      <c r="BO47" s="34"/>
      <c r="BP47" s="34"/>
      <c r="BQ47" s="34"/>
      <c r="BR47" s="34"/>
      <c r="BS47" s="34"/>
      <c r="BT47" s="34"/>
      <c r="BU47" s="34"/>
      <c r="BV47" s="34"/>
      <c r="BW47" s="34"/>
      <c r="BX47" s="34"/>
      <c r="BY47" s="34"/>
      <c r="BZ47" s="34"/>
      <c r="CA47" s="34"/>
      <c r="CB47" s="34"/>
      <c r="CC47" s="34"/>
      <c r="CD47" s="34"/>
      <c r="CE47" s="34"/>
      <c r="CF47" s="34"/>
      <c r="CG47" s="34"/>
      <c r="CH47" s="34"/>
      <c r="CI47" s="34"/>
      <c r="CJ47" s="34"/>
      <c r="CK47" s="34"/>
      <c r="CL47" s="37">
        <v>3</v>
      </c>
      <c r="CM47" s="37">
        <v>63</v>
      </c>
    </row>
    <row r="48" spans="1:91" s="38" customFormat="1">
      <c r="A48" s="32" t="s">
        <v>87</v>
      </c>
      <c r="B48" s="33">
        <v>12</v>
      </c>
      <c r="C48" s="34">
        <v>232</v>
      </c>
      <c r="D48" s="34">
        <v>19</v>
      </c>
      <c r="E48" s="34">
        <v>2247</v>
      </c>
      <c r="F48" s="34">
        <v>9</v>
      </c>
      <c r="G48" s="34">
        <v>1322</v>
      </c>
      <c r="H48" s="34"/>
      <c r="I48" s="34"/>
      <c r="J48" s="34"/>
      <c r="K48" s="34"/>
      <c r="L48" s="34">
        <v>3</v>
      </c>
      <c r="M48" s="34">
        <v>44</v>
      </c>
      <c r="N48" s="34">
        <v>2</v>
      </c>
      <c r="O48" s="34">
        <v>31</v>
      </c>
      <c r="P48" s="34"/>
      <c r="Q48" s="34"/>
      <c r="R48" s="34"/>
      <c r="S48" s="34"/>
      <c r="T48" s="34"/>
      <c r="U48" s="34"/>
      <c r="V48" s="34"/>
      <c r="W48" s="34"/>
      <c r="X48" s="34"/>
      <c r="Y48" s="34"/>
      <c r="Z48" s="34"/>
      <c r="AA48" s="34"/>
      <c r="AB48" s="34"/>
      <c r="AC48" s="34"/>
      <c r="AD48" s="34">
        <v>1</v>
      </c>
      <c r="AE48" s="34">
        <v>76</v>
      </c>
      <c r="AF48" s="34">
        <v>3</v>
      </c>
      <c r="AG48" s="34">
        <v>244</v>
      </c>
      <c r="AH48" s="34">
        <v>12</v>
      </c>
      <c r="AI48" s="34">
        <v>3304</v>
      </c>
      <c r="AJ48" s="34">
        <v>5</v>
      </c>
      <c r="AK48" s="34">
        <v>812</v>
      </c>
      <c r="AL48" s="34">
        <v>1</v>
      </c>
      <c r="AM48" s="34">
        <v>759</v>
      </c>
      <c r="AN48" s="34"/>
      <c r="AO48" s="34"/>
      <c r="AP48" s="34"/>
      <c r="AQ48" s="34"/>
      <c r="AR48" s="34"/>
      <c r="AS48" s="34"/>
      <c r="AT48" s="34"/>
      <c r="AU48" s="34"/>
      <c r="AV48" s="34"/>
      <c r="AW48" s="34"/>
      <c r="AX48" s="34"/>
      <c r="AY48" s="34"/>
      <c r="AZ48" s="34">
        <v>1</v>
      </c>
      <c r="BA48" s="34">
        <v>81</v>
      </c>
      <c r="BB48" s="34">
        <v>10</v>
      </c>
      <c r="BC48" s="34">
        <v>5096</v>
      </c>
      <c r="BD48" s="34">
        <v>3</v>
      </c>
      <c r="BE48" s="34">
        <v>1164</v>
      </c>
      <c r="BF48" s="34">
        <v>1</v>
      </c>
      <c r="BG48" s="34">
        <v>94</v>
      </c>
      <c r="BH48" s="34"/>
      <c r="BI48" s="34"/>
      <c r="BJ48" s="35"/>
      <c r="BK48" s="36"/>
      <c r="BL48" s="36"/>
      <c r="BM48" s="33"/>
      <c r="BN48" s="34"/>
      <c r="BO48" s="34"/>
      <c r="BP48" s="34"/>
      <c r="BQ48" s="34"/>
      <c r="BR48" s="34">
        <v>10</v>
      </c>
      <c r="BS48" s="34">
        <v>400</v>
      </c>
      <c r="BT48" s="34">
        <v>5</v>
      </c>
      <c r="BU48" s="34">
        <v>274</v>
      </c>
      <c r="BV48" s="34"/>
      <c r="BW48" s="34"/>
      <c r="BX48" s="34">
        <v>7</v>
      </c>
      <c r="BY48" s="34">
        <v>279</v>
      </c>
      <c r="BZ48" s="34">
        <v>7</v>
      </c>
      <c r="CA48" s="34">
        <v>199</v>
      </c>
      <c r="CB48" s="34"/>
      <c r="CC48" s="34"/>
      <c r="CD48" s="34"/>
      <c r="CE48" s="34"/>
      <c r="CF48" s="34">
        <v>3</v>
      </c>
      <c r="CG48" s="34">
        <v>80</v>
      </c>
      <c r="CH48" s="34">
        <v>2</v>
      </c>
      <c r="CI48" s="34">
        <v>70</v>
      </c>
      <c r="CJ48" s="34"/>
      <c r="CK48" s="34"/>
      <c r="CL48" s="37">
        <v>116</v>
      </c>
      <c r="CM48" s="37">
        <v>16808</v>
      </c>
    </row>
    <row r="49" spans="1:91" s="38" customFormat="1">
      <c r="A49" s="32" t="s">
        <v>88</v>
      </c>
      <c r="B49" s="33"/>
      <c r="C49" s="34"/>
      <c r="D49" s="34"/>
      <c r="E49" s="34"/>
      <c r="F49" s="34"/>
      <c r="G49" s="34"/>
      <c r="H49" s="34"/>
      <c r="I49" s="34"/>
      <c r="J49" s="34"/>
      <c r="K49" s="34"/>
      <c r="L49" s="34">
        <v>6</v>
      </c>
      <c r="M49" s="34">
        <v>124</v>
      </c>
      <c r="N49" s="34">
        <v>4</v>
      </c>
      <c r="O49" s="34">
        <v>54</v>
      </c>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5"/>
      <c r="BK49" s="36"/>
      <c r="BL49" s="36"/>
      <c r="BM49" s="33"/>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7">
        <v>10</v>
      </c>
      <c r="CM49" s="37">
        <v>178</v>
      </c>
    </row>
    <row r="50" spans="1:91" s="38" customFormat="1">
      <c r="A50" s="32" t="s">
        <v>89</v>
      </c>
      <c r="B50" s="33"/>
      <c r="C50" s="34"/>
      <c r="D50" s="34"/>
      <c r="E50" s="34"/>
      <c r="F50" s="34"/>
      <c r="G50" s="34"/>
      <c r="H50" s="34"/>
      <c r="I50" s="34"/>
      <c r="J50" s="34">
        <v>1</v>
      </c>
      <c r="K50" s="34">
        <v>39</v>
      </c>
      <c r="L50" s="34">
        <v>1</v>
      </c>
      <c r="M50" s="34">
        <v>14</v>
      </c>
      <c r="N50" s="34">
        <v>1</v>
      </c>
      <c r="O50" s="34">
        <v>4</v>
      </c>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5"/>
      <c r="BK50" s="36"/>
      <c r="BL50" s="36"/>
      <c r="BM50" s="33"/>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7">
        <v>3</v>
      </c>
      <c r="CM50" s="37">
        <v>57</v>
      </c>
    </row>
    <row r="51" spans="1:91" s="38" customFormat="1">
      <c r="A51" s="32" t="s">
        <v>90</v>
      </c>
      <c r="B51" s="33">
        <v>8</v>
      </c>
      <c r="C51" s="34">
        <v>254</v>
      </c>
      <c r="D51" s="34">
        <v>2</v>
      </c>
      <c r="E51" s="34">
        <v>72</v>
      </c>
      <c r="F51" s="34">
        <v>4</v>
      </c>
      <c r="G51" s="34">
        <v>116</v>
      </c>
      <c r="H51" s="34"/>
      <c r="I51" s="34"/>
      <c r="J51" s="34">
        <v>1</v>
      </c>
      <c r="K51" s="34">
        <v>18</v>
      </c>
      <c r="L51" s="34">
        <v>2</v>
      </c>
      <c r="M51" s="34">
        <v>24</v>
      </c>
      <c r="N51" s="34"/>
      <c r="O51" s="34"/>
      <c r="P51" s="34"/>
      <c r="Q51" s="34"/>
      <c r="R51" s="34"/>
      <c r="S51" s="34"/>
      <c r="T51" s="34"/>
      <c r="U51" s="34"/>
      <c r="V51" s="34"/>
      <c r="W51" s="34"/>
      <c r="X51" s="34"/>
      <c r="Y51" s="34"/>
      <c r="Z51" s="34"/>
      <c r="AA51" s="34"/>
      <c r="AB51" s="34"/>
      <c r="AC51" s="34"/>
      <c r="AD51" s="34"/>
      <c r="AE51" s="34"/>
      <c r="AF51" s="34"/>
      <c r="AG51" s="34"/>
      <c r="AH51" s="34">
        <v>6</v>
      </c>
      <c r="AI51" s="34">
        <v>1320</v>
      </c>
      <c r="AJ51" s="34">
        <v>6</v>
      </c>
      <c r="AK51" s="34">
        <v>1783</v>
      </c>
      <c r="AL51" s="34"/>
      <c r="AM51" s="34"/>
      <c r="AN51" s="34"/>
      <c r="AO51" s="34"/>
      <c r="AP51" s="34"/>
      <c r="AQ51" s="34"/>
      <c r="AR51" s="34"/>
      <c r="AS51" s="34"/>
      <c r="AT51" s="34"/>
      <c r="AU51" s="34"/>
      <c r="AV51" s="34"/>
      <c r="AW51" s="34"/>
      <c r="AX51" s="34"/>
      <c r="AY51" s="34"/>
      <c r="AZ51" s="34"/>
      <c r="BA51" s="34"/>
      <c r="BB51" s="34"/>
      <c r="BC51" s="34"/>
      <c r="BD51" s="34">
        <v>1</v>
      </c>
      <c r="BE51" s="34">
        <v>156</v>
      </c>
      <c r="BF51" s="34"/>
      <c r="BG51" s="34"/>
      <c r="BH51" s="34"/>
      <c r="BI51" s="34"/>
      <c r="BJ51" s="35"/>
      <c r="BK51" s="36"/>
      <c r="BL51" s="36"/>
      <c r="BM51" s="33"/>
      <c r="BN51" s="34"/>
      <c r="BO51" s="34"/>
      <c r="BP51" s="34"/>
      <c r="BQ51" s="34"/>
      <c r="BR51" s="34">
        <v>3</v>
      </c>
      <c r="BS51" s="34">
        <v>79</v>
      </c>
      <c r="BT51" s="34">
        <v>2</v>
      </c>
      <c r="BU51" s="34">
        <v>42</v>
      </c>
      <c r="BV51" s="34"/>
      <c r="BW51" s="34"/>
      <c r="BX51" s="34"/>
      <c r="BY51" s="34"/>
      <c r="BZ51" s="34"/>
      <c r="CA51" s="34"/>
      <c r="CB51" s="34">
        <v>1</v>
      </c>
      <c r="CC51" s="34">
        <v>54</v>
      </c>
      <c r="CD51" s="34"/>
      <c r="CE51" s="34"/>
      <c r="CF51" s="34"/>
      <c r="CG51" s="34"/>
      <c r="CH51" s="34"/>
      <c r="CI51" s="34"/>
      <c r="CJ51" s="34"/>
      <c r="CK51" s="34"/>
      <c r="CL51" s="37">
        <v>36</v>
      </c>
      <c r="CM51" s="37">
        <v>3918</v>
      </c>
    </row>
    <row r="52" spans="1:91" s="38" customFormat="1">
      <c r="A52" s="32" t="s">
        <v>91</v>
      </c>
      <c r="B52" s="33"/>
      <c r="C52" s="34"/>
      <c r="D52" s="34"/>
      <c r="E52" s="34"/>
      <c r="F52" s="34"/>
      <c r="G52" s="34"/>
      <c r="H52" s="34"/>
      <c r="I52" s="34"/>
      <c r="J52" s="34"/>
      <c r="K52" s="34"/>
      <c r="L52" s="34">
        <v>1</v>
      </c>
      <c r="M52" s="34">
        <v>20</v>
      </c>
      <c r="N52" s="34">
        <v>3</v>
      </c>
      <c r="O52" s="34">
        <v>34</v>
      </c>
      <c r="P52" s="34"/>
      <c r="Q52" s="34"/>
      <c r="R52" s="34"/>
      <c r="S52" s="34"/>
      <c r="T52" s="34"/>
      <c r="U52" s="34"/>
      <c r="V52" s="34"/>
      <c r="W52" s="34"/>
      <c r="X52" s="34"/>
      <c r="Y52" s="34"/>
      <c r="Z52" s="34"/>
      <c r="AA52" s="34"/>
      <c r="AB52" s="34"/>
      <c r="AC52" s="34"/>
      <c r="AD52" s="34"/>
      <c r="AE52" s="34"/>
      <c r="AF52" s="34"/>
      <c r="AG52" s="34"/>
      <c r="AH52" s="34">
        <v>1</v>
      </c>
      <c r="AI52" s="34">
        <v>12</v>
      </c>
      <c r="AJ52" s="34">
        <v>1</v>
      </c>
      <c r="AK52" s="34">
        <v>16</v>
      </c>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5"/>
      <c r="BK52" s="36"/>
      <c r="BL52" s="36"/>
      <c r="BM52" s="33"/>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7">
        <v>6</v>
      </c>
      <c r="CM52" s="37">
        <v>82</v>
      </c>
    </row>
    <row r="53" spans="1:91" s="38" customFormat="1">
      <c r="A53" s="32" t="s">
        <v>92</v>
      </c>
      <c r="B53" s="33">
        <v>2</v>
      </c>
      <c r="C53" s="34">
        <v>18</v>
      </c>
      <c r="D53" s="34"/>
      <c r="E53" s="34"/>
      <c r="F53" s="34">
        <v>1</v>
      </c>
      <c r="G53" s="34">
        <v>82</v>
      </c>
      <c r="H53" s="34"/>
      <c r="I53" s="34"/>
      <c r="J53" s="34">
        <v>1</v>
      </c>
      <c r="K53" s="34">
        <v>16</v>
      </c>
      <c r="L53" s="34">
        <v>8</v>
      </c>
      <c r="M53" s="34">
        <v>103</v>
      </c>
      <c r="N53" s="34">
        <v>9</v>
      </c>
      <c r="O53" s="34">
        <v>119</v>
      </c>
      <c r="P53" s="34"/>
      <c r="Q53" s="34"/>
      <c r="R53" s="34"/>
      <c r="S53" s="34"/>
      <c r="T53" s="34"/>
      <c r="U53" s="34"/>
      <c r="V53" s="34"/>
      <c r="W53" s="34"/>
      <c r="X53" s="34"/>
      <c r="Y53" s="34"/>
      <c r="Z53" s="34"/>
      <c r="AA53" s="34"/>
      <c r="AB53" s="34"/>
      <c r="AC53" s="34"/>
      <c r="AD53" s="34">
        <v>1</v>
      </c>
      <c r="AE53" s="34">
        <v>63</v>
      </c>
      <c r="AF53" s="34">
        <v>6</v>
      </c>
      <c r="AG53" s="34">
        <v>809</v>
      </c>
      <c r="AH53" s="34">
        <v>4</v>
      </c>
      <c r="AI53" s="34">
        <v>1005</v>
      </c>
      <c r="AJ53" s="34">
        <v>3</v>
      </c>
      <c r="AK53" s="34">
        <v>182</v>
      </c>
      <c r="AL53" s="34">
        <v>1</v>
      </c>
      <c r="AM53" s="34">
        <v>74</v>
      </c>
      <c r="AN53" s="34"/>
      <c r="AO53" s="34"/>
      <c r="AP53" s="34"/>
      <c r="AQ53" s="34"/>
      <c r="AR53" s="34"/>
      <c r="AS53" s="34"/>
      <c r="AT53" s="34"/>
      <c r="AU53" s="34"/>
      <c r="AV53" s="34"/>
      <c r="AW53" s="34"/>
      <c r="AX53" s="34"/>
      <c r="AY53" s="34"/>
      <c r="AZ53" s="34"/>
      <c r="BA53" s="34"/>
      <c r="BB53" s="34"/>
      <c r="BC53" s="34"/>
      <c r="BD53" s="34"/>
      <c r="BE53" s="34"/>
      <c r="BF53" s="34"/>
      <c r="BG53" s="34"/>
      <c r="BH53" s="34"/>
      <c r="BI53" s="34"/>
      <c r="BJ53" s="35"/>
      <c r="BK53" s="36"/>
      <c r="BL53" s="36"/>
      <c r="BM53" s="33"/>
      <c r="BN53" s="34"/>
      <c r="BO53" s="34"/>
      <c r="BP53" s="34"/>
      <c r="BQ53" s="34"/>
      <c r="BR53" s="34">
        <v>3</v>
      </c>
      <c r="BS53" s="34">
        <v>171</v>
      </c>
      <c r="BT53" s="34"/>
      <c r="BU53" s="34"/>
      <c r="BV53" s="34"/>
      <c r="BW53" s="34"/>
      <c r="BX53" s="34"/>
      <c r="BY53" s="34"/>
      <c r="BZ53" s="34">
        <v>2</v>
      </c>
      <c r="CA53" s="34">
        <v>87</v>
      </c>
      <c r="CB53" s="34"/>
      <c r="CC53" s="34"/>
      <c r="CD53" s="34"/>
      <c r="CE53" s="34"/>
      <c r="CF53" s="34">
        <v>1</v>
      </c>
      <c r="CG53" s="34">
        <v>15</v>
      </c>
      <c r="CH53" s="34"/>
      <c r="CI53" s="34"/>
      <c r="CJ53" s="34"/>
      <c r="CK53" s="34"/>
      <c r="CL53" s="37">
        <v>42</v>
      </c>
      <c r="CM53" s="37">
        <v>2744</v>
      </c>
    </row>
    <row r="54" spans="1:91" s="38" customFormat="1">
      <c r="A54" s="32" t="s">
        <v>93</v>
      </c>
      <c r="B54" s="33">
        <v>20</v>
      </c>
      <c r="C54" s="34">
        <v>958</v>
      </c>
      <c r="D54" s="34">
        <v>6</v>
      </c>
      <c r="E54" s="34">
        <v>702</v>
      </c>
      <c r="F54" s="34">
        <v>6</v>
      </c>
      <c r="G54" s="34">
        <v>1029</v>
      </c>
      <c r="H54" s="34"/>
      <c r="I54" s="34"/>
      <c r="J54" s="34">
        <v>1</v>
      </c>
      <c r="K54" s="34">
        <v>45</v>
      </c>
      <c r="L54" s="34">
        <v>3</v>
      </c>
      <c r="M54" s="34">
        <v>60</v>
      </c>
      <c r="N54" s="34">
        <v>1</v>
      </c>
      <c r="O54" s="34">
        <v>10</v>
      </c>
      <c r="P54" s="34"/>
      <c r="Q54" s="34"/>
      <c r="R54" s="34"/>
      <c r="S54" s="34"/>
      <c r="T54" s="34"/>
      <c r="U54" s="34"/>
      <c r="V54" s="34"/>
      <c r="W54" s="34"/>
      <c r="X54" s="34"/>
      <c r="Y54" s="34"/>
      <c r="Z54" s="34"/>
      <c r="AA54" s="34"/>
      <c r="AB54" s="34"/>
      <c r="AC54" s="34"/>
      <c r="AD54" s="34">
        <v>3</v>
      </c>
      <c r="AE54" s="34">
        <v>474</v>
      </c>
      <c r="AF54" s="34">
        <v>3</v>
      </c>
      <c r="AG54" s="34">
        <v>452</v>
      </c>
      <c r="AH54" s="34">
        <v>11</v>
      </c>
      <c r="AI54" s="34">
        <v>2048</v>
      </c>
      <c r="AJ54" s="34">
        <v>4</v>
      </c>
      <c r="AK54" s="34">
        <v>1094</v>
      </c>
      <c r="AL54" s="34"/>
      <c r="AM54" s="34"/>
      <c r="AN54" s="34"/>
      <c r="AO54" s="34"/>
      <c r="AP54" s="34"/>
      <c r="AQ54" s="34"/>
      <c r="AR54" s="34"/>
      <c r="AS54" s="34"/>
      <c r="AT54" s="34"/>
      <c r="AU54" s="34"/>
      <c r="AV54" s="34"/>
      <c r="AW54" s="34"/>
      <c r="AX54" s="34"/>
      <c r="AY54" s="34"/>
      <c r="AZ54" s="34"/>
      <c r="BA54" s="34"/>
      <c r="BB54" s="34">
        <v>4</v>
      </c>
      <c r="BC54" s="34">
        <v>1252</v>
      </c>
      <c r="BD54" s="34">
        <v>8</v>
      </c>
      <c r="BE54" s="34">
        <v>3105</v>
      </c>
      <c r="BF54" s="34">
        <v>1</v>
      </c>
      <c r="BG54" s="34">
        <v>136</v>
      </c>
      <c r="BH54" s="34"/>
      <c r="BI54" s="34"/>
      <c r="BJ54" s="35"/>
      <c r="BK54" s="36"/>
      <c r="BL54" s="36"/>
      <c r="BM54" s="33"/>
      <c r="BN54" s="34"/>
      <c r="BO54" s="34"/>
      <c r="BP54" s="34"/>
      <c r="BQ54" s="34"/>
      <c r="BR54" s="34">
        <v>1</v>
      </c>
      <c r="BS54" s="34">
        <v>49</v>
      </c>
      <c r="BT54" s="34">
        <v>2</v>
      </c>
      <c r="BU54" s="34">
        <v>164</v>
      </c>
      <c r="BV54" s="34"/>
      <c r="BW54" s="34"/>
      <c r="BX54" s="34">
        <v>5</v>
      </c>
      <c r="BY54" s="34">
        <v>193</v>
      </c>
      <c r="BZ54" s="34">
        <v>2</v>
      </c>
      <c r="CA54" s="34">
        <v>114</v>
      </c>
      <c r="CB54" s="34"/>
      <c r="CC54" s="34"/>
      <c r="CD54" s="34"/>
      <c r="CE54" s="34"/>
      <c r="CF54" s="34">
        <v>1</v>
      </c>
      <c r="CG54" s="34">
        <v>20</v>
      </c>
      <c r="CH54" s="34">
        <v>1</v>
      </c>
      <c r="CI54" s="34">
        <v>18</v>
      </c>
      <c r="CJ54" s="34"/>
      <c r="CK54" s="34"/>
      <c r="CL54" s="37">
        <v>83</v>
      </c>
      <c r="CM54" s="37">
        <v>11923</v>
      </c>
    </row>
    <row r="55" spans="1:91" s="38" customFormat="1">
      <c r="A55" s="32" t="s">
        <v>94</v>
      </c>
      <c r="B55" s="33"/>
      <c r="C55" s="34"/>
      <c r="D55" s="34"/>
      <c r="E55" s="34"/>
      <c r="F55" s="34"/>
      <c r="G55" s="34"/>
      <c r="H55" s="34"/>
      <c r="I55" s="34"/>
      <c r="J55" s="34">
        <v>1</v>
      </c>
      <c r="K55" s="34">
        <v>32</v>
      </c>
      <c r="L55" s="34">
        <v>4</v>
      </c>
      <c r="M55" s="34">
        <v>77</v>
      </c>
      <c r="N55" s="34">
        <v>2</v>
      </c>
      <c r="O55" s="34">
        <v>28</v>
      </c>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v>1</v>
      </c>
      <c r="BA55" s="34">
        <v>110</v>
      </c>
      <c r="BB55" s="34"/>
      <c r="BC55" s="34"/>
      <c r="BD55" s="34"/>
      <c r="BE55" s="34"/>
      <c r="BF55" s="34"/>
      <c r="BG55" s="34"/>
      <c r="BH55" s="34"/>
      <c r="BI55" s="34"/>
      <c r="BJ55" s="35"/>
      <c r="BK55" s="36"/>
      <c r="BL55" s="36"/>
      <c r="BM55" s="33"/>
      <c r="BN55" s="34"/>
      <c r="BO55" s="34"/>
      <c r="BP55" s="34"/>
      <c r="BQ55" s="34"/>
      <c r="BR55" s="34">
        <v>1</v>
      </c>
      <c r="BS55" s="34">
        <v>16</v>
      </c>
      <c r="BT55" s="34"/>
      <c r="BU55" s="34"/>
      <c r="BV55" s="34"/>
      <c r="BW55" s="34"/>
      <c r="BX55" s="34"/>
      <c r="BY55" s="34"/>
      <c r="BZ55" s="34"/>
      <c r="CA55" s="34"/>
      <c r="CB55" s="34"/>
      <c r="CC55" s="34"/>
      <c r="CD55" s="34"/>
      <c r="CE55" s="34"/>
      <c r="CF55" s="34"/>
      <c r="CG55" s="34"/>
      <c r="CH55" s="34"/>
      <c r="CI55" s="34"/>
      <c r="CJ55" s="34"/>
      <c r="CK55" s="34"/>
      <c r="CL55" s="37">
        <v>9</v>
      </c>
      <c r="CM55" s="37">
        <v>263</v>
      </c>
    </row>
    <row r="56" spans="1:91" s="38" customFormat="1">
      <c r="A56" s="32" t="s">
        <v>95</v>
      </c>
      <c r="B56" s="33"/>
      <c r="C56" s="34"/>
      <c r="D56" s="34"/>
      <c r="E56" s="34"/>
      <c r="F56" s="34"/>
      <c r="G56" s="34"/>
      <c r="H56" s="34"/>
      <c r="I56" s="34"/>
      <c r="J56" s="34"/>
      <c r="K56" s="34"/>
      <c r="L56" s="34">
        <v>1</v>
      </c>
      <c r="M56" s="34">
        <v>20</v>
      </c>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5"/>
      <c r="BK56" s="36"/>
      <c r="BL56" s="36"/>
      <c r="BM56" s="33"/>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7">
        <v>1</v>
      </c>
      <c r="CM56" s="37">
        <v>20</v>
      </c>
    </row>
    <row r="57" spans="1:91" s="38" customFormat="1">
      <c r="A57" s="11" t="s">
        <v>96</v>
      </c>
      <c r="B57" s="83">
        <v>125</v>
      </c>
      <c r="C57" s="83">
        <v>7374</v>
      </c>
      <c r="D57" s="83">
        <v>136</v>
      </c>
      <c r="E57" s="83">
        <v>16125</v>
      </c>
      <c r="F57" s="83">
        <v>112</v>
      </c>
      <c r="G57" s="83">
        <v>19958</v>
      </c>
      <c r="H57" s="83">
        <v>7</v>
      </c>
      <c r="I57" s="83">
        <v>2093</v>
      </c>
      <c r="J57" s="83">
        <v>30</v>
      </c>
      <c r="K57" s="83">
        <v>1069</v>
      </c>
      <c r="L57" s="83">
        <v>158</v>
      </c>
      <c r="M57" s="83">
        <v>2236</v>
      </c>
      <c r="N57" s="83">
        <v>54</v>
      </c>
      <c r="O57" s="83">
        <v>683</v>
      </c>
      <c r="P57" s="83">
        <v>0</v>
      </c>
      <c r="Q57" s="83">
        <v>0</v>
      </c>
      <c r="R57" s="83">
        <v>0</v>
      </c>
      <c r="S57" s="83">
        <v>0</v>
      </c>
      <c r="T57" s="83">
        <v>0</v>
      </c>
      <c r="U57" s="83">
        <v>0</v>
      </c>
      <c r="V57" s="83">
        <v>1</v>
      </c>
      <c r="W57" s="83">
        <v>500</v>
      </c>
      <c r="X57" s="83">
        <v>0</v>
      </c>
      <c r="Y57" s="83">
        <v>0</v>
      </c>
      <c r="Z57" s="83">
        <v>1</v>
      </c>
      <c r="AA57" s="83">
        <v>660</v>
      </c>
      <c r="AB57" s="83">
        <v>1</v>
      </c>
      <c r="AC57" s="83">
        <v>1118</v>
      </c>
      <c r="AD57" s="83">
        <v>30</v>
      </c>
      <c r="AE57" s="83">
        <v>2694</v>
      </c>
      <c r="AF57" s="83">
        <v>60</v>
      </c>
      <c r="AG57" s="83">
        <v>9818</v>
      </c>
      <c r="AH57" s="83">
        <v>289</v>
      </c>
      <c r="AI57" s="83">
        <v>84900</v>
      </c>
      <c r="AJ57" s="83">
        <v>155</v>
      </c>
      <c r="AK57" s="83">
        <v>46490</v>
      </c>
      <c r="AL57" s="83">
        <v>24</v>
      </c>
      <c r="AM57" s="83">
        <v>5553</v>
      </c>
      <c r="AN57" s="83">
        <v>5</v>
      </c>
      <c r="AO57" s="83">
        <v>209</v>
      </c>
      <c r="AP57" s="83">
        <v>3</v>
      </c>
      <c r="AQ57" s="83">
        <v>228</v>
      </c>
      <c r="AR57" s="83">
        <v>3</v>
      </c>
      <c r="AS57" s="83">
        <v>251</v>
      </c>
      <c r="AT57" s="83">
        <v>2</v>
      </c>
      <c r="AU57" s="83">
        <v>156</v>
      </c>
      <c r="AV57" s="83">
        <v>0</v>
      </c>
      <c r="AW57" s="83">
        <v>0</v>
      </c>
      <c r="AX57" s="83">
        <v>3</v>
      </c>
      <c r="AY57" s="83">
        <v>716</v>
      </c>
      <c r="AZ57" s="83">
        <v>9</v>
      </c>
      <c r="BA57" s="83">
        <v>1475</v>
      </c>
      <c r="BB57" s="83">
        <v>82</v>
      </c>
      <c r="BC57" s="83">
        <v>35620</v>
      </c>
      <c r="BD57" s="83">
        <v>80</v>
      </c>
      <c r="BE57" s="83">
        <v>34589</v>
      </c>
      <c r="BF57" s="83">
        <v>3</v>
      </c>
      <c r="BG57" s="83">
        <v>448</v>
      </c>
      <c r="BH57" s="83">
        <v>0</v>
      </c>
      <c r="BI57" s="83">
        <v>0</v>
      </c>
      <c r="BJ57" s="83">
        <v>0</v>
      </c>
      <c r="BK57" s="83">
        <v>0</v>
      </c>
      <c r="BL57" s="83">
        <v>0</v>
      </c>
      <c r="BM57" s="83">
        <v>0</v>
      </c>
      <c r="BN57" s="83">
        <v>0</v>
      </c>
      <c r="BO57" s="83">
        <v>0</v>
      </c>
      <c r="BP57" s="83">
        <v>0</v>
      </c>
      <c r="BQ57" s="83">
        <v>0</v>
      </c>
      <c r="BR57" s="83">
        <v>51</v>
      </c>
      <c r="BS57" s="83">
        <v>2880</v>
      </c>
      <c r="BT57" s="83">
        <v>36</v>
      </c>
      <c r="BU57" s="83">
        <v>2058</v>
      </c>
      <c r="BV57" s="83">
        <v>4</v>
      </c>
      <c r="BW57" s="83">
        <v>331</v>
      </c>
      <c r="BX57" s="83">
        <v>59</v>
      </c>
      <c r="BY57" s="83">
        <v>2330</v>
      </c>
      <c r="BZ57" s="83">
        <v>37</v>
      </c>
      <c r="CA57" s="83">
        <v>1526</v>
      </c>
      <c r="CB57" s="83">
        <v>3</v>
      </c>
      <c r="CC57" s="83">
        <v>140</v>
      </c>
      <c r="CD57" s="83">
        <v>0</v>
      </c>
      <c r="CE57" s="83">
        <v>0</v>
      </c>
      <c r="CF57" s="83">
        <v>19</v>
      </c>
      <c r="CG57" s="83">
        <v>566</v>
      </c>
      <c r="CH57" s="83">
        <v>9</v>
      </c>
      <c r="CI57" s="83">
        <v>248</v>
      </c>
      <c r="CJ57" s="83">
        <v>1</v>
      </c>
      <c r="CK57" s="83">
        <v>23</v>
      </c>
      <c r="CL57" s="83">
        <v>1592</v>
      </c>
      <c r="CM57" s="83">
        <v>285065</v>
      </c>
    </row>
  </sheetData>
  <sheetProtection password="C668" sheet="1"/>
  <mergeCells count="46">
    <mergeCell ref="V6:W6"/>
    <mergeCell ref="A6:A8"/>
    <mergeCell ref="B6:C6"/>
    <mergeCell ref="D6:E6"/>
    <mergeCell ref="F6:G6"/>
    <mergeCell ref="H6:I6"/>
    <mergeCell ref="J6:K6"/>
    <mergeCell ref="L6:M6"/>
    <mergeCell ref="N6:O6"/>
    <mergeCell ref="P6:Q6"/>
    <mergeCell ref="R6:S6"/>
    <mergeCell ref="T6:U6"/>
    <mergeCell ref="AT6:AU6"/>
    <mergeCell ref="X6:Y6"/>
    <mergeCell ref="Z6:AA6"/>
    <mergeCell ref="AB6:AC6"/>
    <mergeCell ref="AD6:AE6"/>
    <mergeCell ref="AF6:AG6"/>
    <mergeCell ref="AH6:AI6"/>
    <mergeCell ref="AJ6:AK6"/>
    <mergeCell ref="AL6:AM6"/>
    <mergeCell ref="AN6:AO6"/>
    <mergeCell ref="AP6:AQ6"/>
    <mergeCell ref="AR6:AS6"/>
    <mergeCell ref="BR6:BS6"/>
    <mergeCell ref="AV6:AW6"/>
    <mergeCell ref="AX6:AY6"/>
    <mergeCell ref="AZ6:BA6"/>
    <mergeCell ref="BB6:BC6"/>
    <mergeCell ref="BD6:BE6"/>
    <mergeCell ref="BF6:BG6"/>
    <mergeCell ref="BH6:BI6"/>
    <mergeCell ref="BJ6:BK6"/>
    <mergeCell ref="BL6:BM6"/>
    <mergeCell ref="BN6:BO6"/>
    <mergeCell ref="BP6:BQ6"/>
    <mergeCell ref="CF6:CG6"/>
    <mergeCell ref="CH6:CI6"/>
    <mergeCell ref="CJ6:CK6"/>
    <mergeCell ref="CL6:CM6"/>
    <mergeCell ref="BT6:BU6"/>
    <mergeCell ref="BV6:BW6"/>
    <mergeCell ref="BX6:BY6"/>
    <mergeCell ref="BZ6:CA6"/>
    <mergeCell ref="CB6:CC6"/>
    <mergeCell ref="CD6:CE6"/>
  </mergeCells>
  <conditionalFormatting sqref="A9:CM56">
    <cfRule type="expression" dxfId="5" priority="2" stopIfTrue="1">
      <formula>MOD(ROW(),2)=0</formula>
    </cfRule>
  </conditionalFormatting>
  <conditionalFormatting sqref="H3:H5">
    <cfRule type="expression" priority="1">
      <formula>SI(#REF!," ")</formula>
    </cfRule>
  </conditionalFormatting>
  <pageMargins left="0" right="0" top="0" bottom="0" header="0.31496062992125984" footer="0.31496062992125984"/>
  <pageSetup paperSize="8" scale="69" orientation="landscape" r:id="rId1"/>
  <colBreaks count="5" manualBreakCount="5">
    <brk id="17" max="56" man="1"/>
    <brk id="33" max="56" man="1"/>
    <brk id="49" max="56" man="1"/>
    <brk id="65" max="56" man="1"/>
    <brk id="81" max="56"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3:DW44"/>
  <sheetViews>
    <sheetView showGridLines="0" workbookViewId="0"/>
  </sheetViews>
  <sheetFormatPr baseColWidth="10" defaultRowHeight="15"/>
  <cols>
    <col min="1" max="1" width="16.85546875" customWidth="1"/>
    <col min="3" max="3" width="17" bestFit="1" customWidth="1"/>
    <col min="4" max="4" width="15.140625" bestFit="1" customWidth="1"/>
    <col min="5" max="5" width="14" bestFit="1" customWidth="1"/>
    <col min="8" max="8" width="16.85546875" customWidth="1"/>
    <col min="10" max="10" width="17" bestFit="1" customWidth="1"/>
    <col min="11" max="11" width="15.140625" bestFit="1" customWidth="1"/>
    <col min="12" max="12" width="14" bestFit="1" customWidth="1"/>
  </cols>
  <sheetData>
    <row r="3" spans="1:127" ht="16.5">
      <c r="A3" s="13" t="s">
        <v>154</v>
      </c>
      <c r="B3" s="14"/>
      <c r="C3" s="15"/>
      <c r="D3" s="15"/>
      <c r="E3" s="15"/>
      <c r="F3" s="15"/>
      <c r="DT3" t="s">
        <v>99</v>
      </c>
      <c r="DU3">
        <v>19</v>
      </c>
      <c r="DV3">
        <v>298</v>
      </c>
      <c r="DW3">
        <v>566</v>
      </c>
    </row>
    <row r="4" spans="1:127" ht="16.5">
      <c r="A4" s="16" t="s">
        <v>155</v>
      </c>
      <c r="B4" s="17"/>
      <c r="C4" s="18"/>
      <c r="D4" s="18"/>
      <c r="E4" s="18"/>
      <c r="F4" s="18"/>
      <c r="DT4" t="s">
        <v>101</v>
      </c>
      <c r="DU4">
        <v>9</v>
      </c>
      <c r="DV4">
        <v>138</v>
      </c>
      <c r="DW4">
        <v>248</v>
      </c>
    </row>
    <row r="5" spans="1:127" ht="16.5">
      <c r="A5" s="16" t="s">
        <v>156</v>
      </c>
      <c r="B5" s="17"/>
      <c r="C5" s="18"/>
      <c r="D5" s="18"/>
      <c r="E5" s="18"/>
      <c r="F5" s="18"/>
      <c r="DT5" t="s">
        <v>103</v>
      </c>
      <c r="DU5">
        <v>1</v>
      </c>
      <c r="DV5">
        <v>12</v>
      </c>
      <c r="DW5">
        <v>23</v>
      </c>
    </row>
    <row r="7" spans="1:127" s="109" customFormat="1" ht="12.75">
      <c r="A7" s="143" t="s">
        <v>104</v>
      </c>
      <c r="B7" s="143"/>
      <c r="C7" s="107" t="s">
        <v>105</v>
      </c>
      <c r="D7" s="107" t="s">
        <v>106</v>
      </c>
      <c r="E7" s="107" t="s">
        <v>107</v>
      </c>
      <c r="F7" s="107" t="s">
        <v>108</v>
      </c>
      <c r="H7" s="143" t="s">
        <v>104</v>
      </c>
      <c r="I7" s="143"/>
      <c r="J7" s="107" t="s">
        <v>105</v>
      </c>
      <c r="K7" s="107" t="s">
        <v>106</v>
      </c>
      <c r="L7" s="107" t="s">
        <v>107</v>
      </c>
      <c r="M7" s="107" t="s">
        <v>108</v>
      </c>
    </row>
    <row r="8" spans="1:127" s="109" customFormat="1" ht="12.75">
      <c r="A8" s="144" t="s">
        <v>109</v>
      </c>
      <c r="B8" s="144"/>
      <c r="C8" s="108" t="s">
        <v>110</v>
      </c>
      <c r="D8" s="108" t="s">
        <v>111</v>
      </c>
      <c r="E8" s="108" t="s">
        <v>112</v>
      </c>
      <c r="F8" s="108" t="s">
        <v>113</v>
      </c>
      <c r="H8" s="144" t="s">
        <v>109</v>
      </c>
      <c r="I8" s="144"/>
      <c r="J8" s="108" t="s">
        <v>110</v>
      </c>
      <c r="K8" s="108" t="s">
        <v>111</v>
      </c>
      <c r="L8" s="108" t="s">
        <v>112</v>
      </c>
      <c r="M8" s="108" t="s">
        <v>113</v>
      </c>
    </row>
    <row r="9" spans="1:127" s="109" customFormat="1" ht="12.75">
      <c r="A9" s="144" t="s">
        <v>114</v>
      </c>
      <c r="B9" s="144"/>
      <c r="C9" s="108" t="s">
        <v>115</v>
      </c>
      <c r="D9" s="108" t="s">
        <v>116</v>
      </c>
      <c r="E9" s="108" t="s">
        <v>117</v>
      </c>
      <c r="F9" s="108" t="s">
        <v>118</v>
      </c>
      <c r="H9" s="144" t="s">
        <v>114</v>
      </c>
      <c r="I9" s="144"/>
      <c r="J9" s="108" t="s">
        <v>115</v>
      </c>
      <c r="K9" s="108" t="s">
        <v>116</v>
      </c>
      <c r="L9" s="108" t="s">
        <v>117</v>
      </c>
      <c r="M9" s="108" t="s">
        <v>118</v>
      </c>
    </row>
    <row r="10" spans="1:127">
      <c r="A10" s="139" t="s">
        <v>119</v>
      </c>
      <c r="B10" s="139"/>
      <c r="C10" s="6">
        <v>131</v>
      </c>
      <c r="D10" s="6">
        <v>2715</v>
      </c>
      <c r="E10" s="6">
        <v>7925</v>
      </c>
      <c r="F10" s="20">
        <v>0.17101855848079414</v>
      </c>
      <c r="H10" s="139" t="s">
        <v>25</v>
      </c>
      <c r="I10" s="139"/>
      <c r="J10" s="6">
        <v>2</v>
      </c>
      <c r="K10" s="6">
        <v>33</v>
      </c>
      <c r="L10" s="6">
        <v>106</v>
      </c>
      <c r="M10" s="20">
        <v>1.4656471661850311E-3</v>
      </c>
    </row>
    <row r="11" spans="1:127">
      <c r="A11" s="139" t="s">
        <v>120</v>
      </c>
      <c r="B11" s="139"/>
      <c r="C11" s="6">
        <v>141</v>
      </c>
      <c r="D11" s="6">
        <v>6253</v>
      </c>
      <c r="E11" s="6">
        <v>16750</v>
      </c>
      <c r="F11" s="20">
        <v>0.36145878290893396</v>
      </c>
      <c r="H11" s="139" t="s">
        <v>26</v>
      </c>
      <c r="I11" s="139"/>
      <c r="J11" s="6">
        <v>11</v>
      </c>
      <c r="K11" s="6">
        <v>767</v>
      </c>
      <c r="L11" s="6">
        <v>2024</v>
      </c>
      <c r="M11" s="20">
        <v>2.7985564758099084E-2</v>
      </c>
    </row>
    <row r="12" spans="1:127">
      <c r="A12" s="139" t="s">
        <v>121</v>
      </c>
      <c r="B12" s="139"/>
      <c r="C12" s="6">
        <v>108</v>
      </c>
      <c r="D12" s="6">
        <v>7527</v>
      </c>
      <c r="E12" s="6">
        <v>19572</v>
      </c>
      <c r="F12" s="20">
        <v>0.42235649546827797</v>
      </c>
      <c r="H12" s="139" t="s">
        <v>27</v>
      </c>
      <c r="I12" s="139"/>
      <c r="J12" s="6">
        <v>85</v>
      </c>
      <c r="K12" s="6">
        <v>16137</v>
      </c>
      <c r="L12" s="6">
        <v>37241</v>
      </c>
      <c r="M12" s="20">
        <v>0.51492609543298817</v>
      </c>
    </row>
    <row r="13" spans="1:127">
      <c r="A13" s="139" t="s">
        <v>122</v>
      </c>
      <c r="B13" s="139"/>
      <c r="C13" s="6">
        <v>7</v>
      </c>
      <c r="D13" s="6">
        <v>645</v>
      </c>
      <c r="E13" s="6">
        <v>2093</v>
      </c>
      <c r="F13" s="20">
        <v>4.516616314199396E-2</v>
      </c>
      <c r="H13" s="139" t="s">
        <v>28</v>
      </c>
      <c r="I13" s="139"/>
      <c r="J13" s="6">
        <v>74</v>
      </c>
      <c r="K13" s="6">
        <v>14894</v>
      </c>
      <c r="L13" s="6">
        <v>32504</v>
      </c>
      <c r="M13" s="20">
        <v>0.44942825933658725</v>
      </c>
    </row>
    <row r="14" spans="1:127">
      <c r="A14" s="140" t="s">
        <v>123</v>
      </c>
      <c r="B14" s="140"/>
      <c r="C14" s="21">
        <v>387</v>
      </c>
      <c r="D14" s="21">
        <v>17140</v>
      </c>
      <c r="E14" s="21">
        <v>46340</v>
      </c>
      <c r="F14" s="22">
        <v>1</v>
      </c>
      <c r="H14" s="139" t="s">
        <v>29</v>
      </c>
      <c r="I14" s="139"/>
      <c r="J14" s="6">
        <v>3</v>
      </c>
      <c r="K14" s="6">
        <v>226</v>
      </c>
      <c r="L14" s="6">
        <v>448</v>
      </c>
      <c r="M14" s="20">
        <v>6.1944333061405088E-3</v>
      </c>
    </row>
    <row r="15" spans="1:127">
      <c r="A15" s="139"/>
      <c r="B15" s="139"/>
      <c r="C15" s="6"/>
      <c r="D15" s="6"/>
      <c r="E15" s="6"/>
      <c r="F15" s="20"/>
      <c r="H15" s="140" t="s">
        <v>124</v>
      </c>
      <c r="I15" s="140"/>
      <c r="J15" s="21">
        <v>175</v>
      </c>
      <c r="K15" s="21">
        <v>32057</v>
      </c>
      <c r="L15" s="21">
        <v>72323</v>
      </c>
      <c r="M15" s="22">
        <v>1</v>
      </c>
    </row>
    <row r="16" spans="1:127">
      <c r="A16" s="140" t="s">
        <v>7</v>
      </c>
      <c r="B16" s="140"/>
      <c r="C16" s="21">
        <v>27</v>
      </c>
      <c r="D16" s="21">
        <v>504</v>
      </c>
      <c r="E16" s="21">
        <v>981</v>
      </c>
      <c r="F16" s="22">
        <v>1</v>
      </c>
      <c r="H16" s="139"/>
      <c r="I16" s="139"/>
      <c r="J16" s="6"/>
      <c r="K16" s="6"/>
      <c r="L16" s="6"/>
      <c r="M16" s="20"/>
    </row>
    <row r="17" spans="1:13">
      <c r="A17" s="140" t="s">
        <v>167</v>
      </c>
      <c r="B17" s="140"/>
      <c r="C17" s="21">
        <v>151</v>
      </c>
      <c r="D17" s="21">
        <v>998</v>
      </c>
      <c r="E17" s="21">
        <v>2082</v>
      </c>
      <c r="F17" s="22">
        <v>1</v>
      </c>
      <c r="H17" s="139" t="s">
        <v>30</v>
      </c>
      <c r="I17" s="139"/>
      <c r="J17" s="6"/>
      <c r="K17" s="6"/>
      <c r="L17" s="6"/>
      <c r="M17" s="6"/>
    </row>
    <row r="18" spans="1:13">
      <c r="A18" s="140" t="s">
        <v>8</v>
      </c>
      <c r="B18" s="140"/>
      <c r="C18" s="21">
        <v>48</v>
      </c>
      <c r="D18" s="21">
        <v>312</v>
      </c>
      <c r="E18" s="21">
        <v>607</v>
      </c>
      <c r="F18" s="22">
        <v>1</v>
      </c>
      <c r="H18" s="139" t="s">
        <v>31</v>
      </c>
      <c r="I18" s="139"/>
      <c r="J18" s="6"/>
      <c r="K18" s="6"/>
      <c r="L18" s="6"/>
      <c r="M18" s="6"/>
    </row>
    <row r="19" spans="1:13">
      <c r="A19" s="141"/>
      <c r="B19" s="141"/>
      <c r="C19" s="6"/>
      <c r="D19" s="6"/>
      <c r="E19" s="6"/>
      <c r="F19" s="20"/>
      <c r="H19" s="139" t="s">
        <v>32</v>
      </c>
      <c r="I19" s="139"/>
      <c r="J19" s="6"/>
      <c r="K19" s="6"/>
      <c r="L19" s="6"/>
      <c r="M19" s="6"/>
    </row>
    <row r="20" spans="1:13">
      <c r="A20" s="139" t="s">
        <v>11</v>
      </c>
      <c r="B20" s="139"/>
      <c r="C20" s="6"/>
      <c r="D20" s="23"/>
      <c r="E20" s="6"/>
      <c r="F20" s="20"/>
      <c r="H20" s="139" t="s">
        <v>33</v>
      </c>
      <c r="I20" s="139"/>
      <c r="J20" s="6"/>
      <c r="K20" s="6"/>
      <c r="L20" s="6"/>
      <c r="M20" s="6"/>
    </row>
    <row r="21" spans="1:13">
      <c r="A21" s="139" t="s">
        <v>10</v>
      </c>
      <c r="B21" s="139"/>
      <c r="C21" s="6"/>
      <c r="D21" s="23"/>
      <c r="E21" s="6"/>
      <c r="F21" s="20"/>
      <c r="H21" s="139" t="s">
        <v>34</v>
      </c>
      <c r="I21" s="139"/>
      <c r="J21" s="6"/>
      <c r="K21" s="6"/>
      <c r="L21" s="6"/>
      <c r="M21" s="6"/>
    </row>
    <row r="22" spans="1:13">
      <c r="A22" s="139" t="s">
        <v>9</v>
      </c>
      <c r="B22" s="139"/>
      <c r="C22" s="6"/>
      <c r="D22" s="6"/>
      <c r="E22" s="6"/>
      <c r="F22" s="20"/>
      <c r="H22" s="140" t="s">
        <v>125</v>
      </c>
      <c r="I22" s="140"/>
      <c r="J22" s="21"/>
      <c r="K22" s="21"/>
      <c r="L22" s="21"/>
      <c r="M22" s="24"/>
    </row>
    <row r="23" spans="1:13">
      <c r="A23" s="139" t="s">
        <v>126</v>
      </c>
      <c r="B23" s="139"/>
      <c r="C23" s="6">
        <v>1</v>
      </c>
      <c r="D23" s="6">
        <v>163</v>
      </c>
      <c r="E23" s="6">
        <v>500</v>
      </c>
      <c r="F23" s="25">
        <v>1</v>
      </c>
      <c r="H23" s="139"/>
      <c r="I23" s="139"/>
      <c r="J23" s="6"/>
      <c r="K23" s="6"/>
      <c r="L23" s="6"/>
      <c r="M23" s="20"/>
    </row>
    <row r="24" spans="1:13">
      <c r="A24" s="140" t="s">
        <v>127</v>
      </c>
      <c r="B24" s="140"/>
      <c r="C24" s="21">
        <v>1</v>
      </c>
      <c r="D24" s="21">
        <v>163</v>
      </c>
      <c r="E24" s="21">
        <v>500</v>
      </c>
      <c r="F24" s="22">
        <v>1</v>
      </c>
      <c r="H24" s="139" t="s">
        <v>35</v>
      </c>
      <c r="I24" s="139"/>
      <c r="J24" s="6">
        <v>51</v>
      </c>
      <c r="K24" s="6">
        <v>1494</v>
      </c>
      <c r="L24" s="6">
        <v>2882</v>
      </c>
      <c r="M24" s="20">
        <v>0.53202879822780136</v>
      </c>
    </row>
    <row r="25" spans="1:13">
      <c r="A25" s="139"/>
      <c r="B25" s="139"/>
      <c r="C25" s="6"/>
      <c r="D25" s="6"/>
      <c r="E25" s="6"/>
      <c r="F25" s="20"/>
      <c r="H25" s="139" t="s">
        <v>36</v>
      </c>
      <c r="I25" s="139"/>
      <c r="J25" s="6">
        <v>38</v>
      </c>
      <c r="K25" s="6">
        <v>1132</v>
      </c>
      <c r="L25" s="6">
        <v>2153</v>
      </c>
      <c r="M25" s="20">
        <v>0.39745246446372529</v>
      </c>
    </row>
    <row r="26" spans="1:13">
      <c r="A26" s="139" t="s">
        <v>12</v>
      </c>
      <c r="B26" s="139"/>
      <c r="C26" s="6"/>
      <c r="D26" s="6"/>
      <c r="E26" s="6"/>
      <c r="F26" s="20"/>
      <c r="H26" s="139" t="s">
        <v>37</v>
      </c>
      <c r="I26" s="139"/>
      <c r="J26" s="6">
        <v>5</v>
      </c>
      <c r="K26" s="6">
        <v>213</v>
      </c>
      <c r="L26" s="6">
        <v>382</v>
      </c>
      <c r="M26" s="20">
        <v>7.0518737308473328E-2</v>
      </c>
    </row>
    <row r="27" spans="1:13">
      <c r="A27" s="139" t="s">
        <v>13</v>
      </c>
      <c r="B27" s="139"/>
      <c r="C27" s="6">
        <v>1</v>
      </c>
      <c r="D27" s="6">
        <v>324</v>
      </c>
      <c r="E27" s="6">
        <v>660</v>
      </c>
      <c r="F27" s="20">
        <v>0.37120359955005622</v>
      </c>
      <c r="H27" s="140" t="s">
        <v>128</v>
      </c>
      <c r="I27" s="140"/>
      <c r="J27" s="21">
        <v>94</v>
      </c>
      <c r="K27" s="21">
        <v>2839</v>
      </c>
      <c r="L27" s="21">
        <v>5417</v>
      </c>
      <c r="M27" s="22">
        <v>1</v>
      </c>
    </row>
    <row r="28" spans="1:13">
      <c r="A28" s="139" t="s">
        <v>14</v>
      </c>
      <c r="B28" s="139"/>
      <c r="C28" s="6">
        <v>1</v>
      </c>
      <c r="D28" s="6">
        <v>413</v>
      </c>
      <c r="E28" s="6">
        <v>1118</v>
      </c>
      <c r="F28" s="20">
        <v>0.62879640044994378</v>
      </c>
      <c r="H28" s="139"/>
      <c r="I28" s="139"/>
      <c r="J28" s="6"/>
      <c r="K28" s="6"/>
      <c r="L28" s="6"/>
      <c r="M28" s="20"/>
    </row>
    <row r="29" spans="1:13">
      <c r="A29" s="140" t="s">
        <v>129</v>
      </c>
      <c r="B29" s="140"/>
      <c r="C29" s="21">
        <v>2</v>
      </c>
      <c r="D29" s="21">
        <v>737</v>
      </c>
      <c r="E29" s="21">
        <v>1778</v>
      </c>
      <c r="F29" s="22">
        <v>1</v>
      </c>
      <c r="H29" s="139" t="s">
        <v>38</v>
      </c>
      <c r="I29" s="139"/>
      <c r="J29" s="6">
        <v>64</v>
      </c>
      <c r="K29" s="6">
        <v>1383</v>
      </c>
      <c r="L29" s="6">
        <v>2562</v>
      </c>
      <c r="M29" s="20">
        <v>0.60197368421052633</v>
      </c>
    </row>
    <row r="30" spans="1:13">
      <c r="A30" s="139"/>
      <c r="B30" s="139"/>
      <c r="C30" s="6"/>
      <c r="D30" s="6"/>
      <c r="E30" s="6"/>
      <c r="F30" s="20"/>
      <c r="H30" s="139" t="s">
        <v>39</v>
      </c>
      <c r="I30" s="139"/>
      <c r="J30" s="6">
        <v>38</v>
      </c>
      <c r="K30" s="6">
        <v>835</v>
      </c>
      <c r="L30" s="6">
        <v>1554</v>
      </c>
      <c r="M30" s="20">
        <v>0.36513157894736842</v>
      </c>
    </row>
    <row r="31" spans="1:13">
      <c r="A31" s="139" t="s">
        <v>15</v>
      </c>
      <c r="B31" s="139"/>
      <c r="C31" s="6">
        <v>33</v>
      </c>
      <c r="D31" s="6">
        <v>1609</v>
      </c>
      <c r="E31" s="6">
        <v>2958</v>
      </c>
      <c r="F31" s="20">
        <v>1.979853418560289E-2</v>
      </c>
      <c r="H31" s="139" t="s">
        <v>40</v>
      </c>
      <c r="I31" s="139"/>
      <c r="J31" s="6">
        <v>3</v>
      </c>
      <c r="K31" s="6">
        <v>74</v>
      </c>
      <c r="L31" s="6">
        <v>140</v>
      </c>
      <c r="M31" s="20">
        <v>3.2894736842105261E-2</v>
      </c>
    </row>
    <row r="32" spans="1:13">
      <c r="A32" s="139" t="s">
        <v>16</v>
      </c>
      <c r="B32" s="139"/>
      <c r="C32" s="6">
        <v>60</v>
      </c>
      <c r="D32" s="6">
        <v>5237</v>
      </c>
      <c r="E32" s="6">
        <v>9818</v>
      </c>
      <c r="F32" s="20">
        <v>6.5713998862153206E-2</v>
      </c>
      <c r="H32" s="140" t="s">
        <v>130</v>
      </c>
      <c r="I32" s="140"/>
      <c r="J32" s="21">
        <v>105</v>
      </c>
      <c r="K32" s="21">
        <v>2292</v>
      </c>
      <c r="L32" s="21">
        <v>4256</v>
      </c>
      <c r="M32" s="22">
        <v>1</v>
      </c>
    </row>
    <row r="33" spans="1:13">
      <c r="A33" s="139" t="s">
        <v>17</v>
      </c>
      <c r="B33" s="139"/>
      <c r="C33" s="6">
        <v>293</v>
      </c>
      <c r="D33" s="6">
        <v>46307</v>
      </c>
      <c r="E33" s="6">
        <v>86965</v>
      </c>
      <c r="F33" s="20">
        <v>0.58207556641343994</v>
      </c>
      <c r="H33" s="139"/>
      <c r="I33" s="139"/>
      <c r="J33" s="15"/>
      <c r="K33" s="15"/>
      <c r="L33" s="15"/>
      <c r="M33" s="15"/>
    </row>
    <row r="34" spans="1:13">
      <c r="A34" s="139" t="s">
        <v>168</v>
      </c>
      <c r="B34" s="139"/>
      <c r="C34" s="6">
        <v>146</v>
      </c>
      <c r="D34" s="6">
        <v>23398</v>
      </c>
      <c r="E34" s="6">
        <v>44352</v>
      </c>
      <c r="F34" s="20">
        <v>0.29685753488839062</v>
      </c>
      <c r="H34" s="140" t="s">
        <v>42</v>
      </c>
      <c r="I34" s="140"/>
      <c r="J34" s="21">
        <v>19</v>
      </c>
      <c r="K34" s="21">
        <v>298</v>
      </c>
      <c r="L34" s="21">
        <v>566</v>
      </c>
      <c r="M34" s="22">
        <v>1</v>
      </c>
    </row>
    <row r="35" spans="1:13">
      <c r="A35" s="139" t="s">
        <v>19</v>
      </c>
      <c r="B35" s="139"/>
      <c r="C35" s="6">
        <v>23</v>
      </c>
      <c r="D35" s="6">
        <v>2651</v>
      </c>
      <c r="E35" s="6">
        <v>5312</v>
      </c>
      <c r="F35" s="20">
        <v>3.5554365650413304E-2</v>
      </c>
      <c r="H35" s="140" t="s">
        <v>43</v>
      </c>
      <c r="I35" s="140"/>
      <c r="J35" s="21">
        <v>9</v>
      </c>
      <c r="K35" s="21">
        <v>138</v>
      </c>
      <c r="L35" s="21">
        <v>248</v>
      </c>
      <c r="M35" s="22">
        <v>1</v>
      </c>
    </row>
    <row r="36" spans="1:13">
      <c r="A36" s="139"/>
      <c r="B36" s="142"/>
      <c r="C36" s="6"/>
      <c r="D36" s="6"/>
      <c r="E36" s="6"/>
      <c r="F36" s="20"/>
      <c r="H36" s="140" t="s">
        <v>44</v>
      </c>
      <c r="I36" s="140"/>
      <c r="J36" s="21">
        <v>1</v>
      </c>
      <c r="K36" s="21">
        <v>12</v>
      </c>
      <c r="L36" s="21">
        <v>23</v>
      </c>
      <c r="M36" s="22">
        <v>1</v>
      </c>
    </row>
    <row r="37" spans="1:13">
      <c r="A37" s="140" t="s">
        <v>131</v>
      </c>
      <c r="B37" s="140"/>
      <c r="C37" s="21">
        <v>555</v>
      </c>
      <c r="D37" s="21">
        <v>79202</v>
      </c>
      <c r="E37" s="21">
        <v>149405</v>
      </c>
      <c r="F37" s="22">
        <v>1</v>
      </c>
      <c r="H37" s="139"/>
      <c r="I37" s="139"/>
      <c r="J37" s="6"/>
      <c r="K37" s="6"/>
      <c r="L37" s="6"/>
      <c r="M37" s="6"/>
    </row>
    <row r="38" spans="1:13">
      <c r="A38" s="139"/>
      <c r="B38" s="139"/>
      <c r="C38" s="6"/>
      <c r="D38" s="6"/>
      <c r="E38" s="6"/>
      <c r="F38" s="20"/>
      <c r="H38" s="139"/>
      <c r="I38" s="139"/>
      <c r="J38" s="6"/>
      <c r="K38" s="6"/>
      <c r="L38" s="6"/>
      <c r="M38" s="6"/>
    </row>
    <row r="39" spans="1:13">
      <c r="A39" s="139" t="s">
        <v>20</v>
      </c>
      <c r="B39" s="139"/>
      <c r="C39" s="6">
        <v>5</v>
      </c>
      <c r="D39" s="6">
        <v>112</v>
      </c>
      <c r="E39" s="6">
        <v>209</v>
      </c>
      <c r="F39" s="20">
        <v>0.24763033175355451</v>
      </c>
      <c r="H39" s="141"/>
      <c r="I39" s="141"/>
      <c r="J39" s="6"/>
      <c r="K39" s="6"/>
      <c r="L39" s="6"/>
      <c r="M39" s="6"/>
    </row>
    <row r="40" spans="1:13">
      <c r="A40" s="139" t="s">
        <v>21</v>
      </c>
      <c r="B40" s="139"/>
      <c r="C40" s="6">
        <v>3</v>
      </c>
      <c r="D40" s="6">
        <v>122</v>
      </c>
      <c r="E40" s="6">
        <v>228</v>
      </c>
      <c r="F40" s="20">
        <v>0.27014218009478674</v>
      </c>
      <c r="H40" s="19"/>
      <c r="I40" s="19"/>
      <c r="J40" s="6"/>
      <c r="K40" s="6"/>
      <c r="L40" s="6"/>
      <c r="M40" s="26"/>
    </row>
    <row r="41" spans="1:13">
      <c r="A41" s="139" t="s">
        <v>22</v>
      </c>
      <c r="B41" s="139"/>
      <c r="C41" s="6">
        <v>3</v>
      </c>
      <c r="D41" s="6">
        <v>138</v>
      </c>
      <c r="E41" s="6">
        <v>251</v>
      </c>
      <c r="F41" s="20">
        <v>0.29739336492890994</v>
      </c>
      <c r="H41" s="140" t="s">
        <v>45</v>
      </c>
      <c r="I41" s="140"/>
      <c r="J41" s="21">
        <v>1587</v>
      </c>
      <c r="K41" s="21">
        <v>137146</v>
      </c>
      <c r="L41" s="21">
        <v>285370</v>
      </c>
      <c r="M41" s="6"/>
    </row>
    <row r="42" spans="1:13">
      <c r="A42" s="139" t="s">
        <v>172</v>
      </c>
      <c r="B42" s="139"/>
      <c r="C42" s="6">
        <v>2</v>
      </c>
      <c r="D42" s="6">
        <v>82</v>
      </c>
      <c r="E42" s="6">
        <v>156</v>
      </c>
      <c r="F42" s="20">
        <v>0.18483412322274881</v>
      </c>
    </row>
    <row r="43" spans="1:13">
      <c r="A43" s="139" t="s">
        <v>24</v>
      </c>
      <c r="B43" s="139"/>
      <c r="C43" s="6"/>
      <c r="D43" s="6"/>
      <c r="E43" s="6"/>
      <c r="F43" s="20"/>
    </row>
    <row r="44" spans="1:13">
      <c r="A44" s="140" t="s">
        <v>132</v>
      </c>
      <c r="B44" s="140"/>
      <c r="C44" s="21">
        <v>13</v>
      </c>
      <c r="D44" s="21">
        <v>454</v>
      </c>
      <c r="E44" s="21">
        <v>844</v>
      </c>
      <c r="F44" s="22">
        <v>1</v>
      </c>
    </row>
  </sheetData>
  <sheetProtection algorithmName="SHA-512" hashValue="TuWFRTJzOmpahofQK5Wy8969H4anweZ0Vscz3Bl+hB5nQau6ZXOEKnxu490t4n2Z1G949vBrmK3xGdYExqqimA==" saltValue="3rRm+G4EH2a5CFgc7SSYxg==" spinCount="100000" sheet="1" objects="1" scenarios="1"/>
  <mergeCells count="72">
    <mergeCell ref="A7:B7"/>
    <mergeCell ref="H7:I7"/>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 ref="A21:B21"/>
    <mergeCell ref="H21:I21"/>
    <mergeCell ref="A22:B22"/>
    <mergeCell ref="H22:I22"/>
    <mergeCell ref="A23:B23"/>
    <mergeCell ref="H23:I23"/>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44:B44"/>
    <mergeCell ref="A37:B37"/>
    <mergeCell ref="H37:I37"/>
    <mergeCell ref="A38:B38"/>
    <mergeCell ref="H38:I38"/>
    <mergeCell ref="A39:B39"/>
    <mergeCell ref="H39:I39"/>
    <mergeCell ref="A40:B40"/>
    <mergeCell ref="A41:B41"/>
    <mergeCell ref="H41:I41"/>
    <mergeCell ref="A42:B42"/>
    <mergeCell ref="A43:B43"/>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HB57"/>
  <sheetViews>
    <sheetView showGridLines="0" zoomScaleNormal="100" workbookViewId="0"/>
  </sheetViews>
  <sheetFormatPr baseColWidth="10" defaultRowHeight="15"/>
  <cols>
    <col min="1" max="1" width="79.85546875" customWidth="1"/>
  </cols>
  <sheetData>
    <row r="2" spans="1:210" ht="16.5">
      <c r="A2" s="1" t="s">
        <v>151</v>
      </c>
      <c r="B2" s="2"/>
      <c r="C2" s="2"/>
    </row>
    <row r="3" spans="1:210" ht="16.5">
      <c r="A3" s="3" t="s">
        <v>152</v>
      </c>
      <c r="B3" s="2"/>
      <c r="C3" s="2"/>
    </row>
    <row r="4" spans="1:210" ht="16.5">
      <c r="A4" s="3" t="s">
        <v>153</v>
      </c>
      <c r="B4" s="2"/>
      <c r="C4" s="2"/>
    </row>
    <row r="6" spans="1:210" ht="15" customHeight="1">
      <c r="A6" s="138" t="s">
        <v>97</v>
      </c>
      <c r="B6" s="137" t="s">
        <v>3</v>
      </c>
      <c r="C6" s="137"/>
      <c r="D6" s="137" t="s">
        <v>4</v>
      </c>
      <c r="E6" s="137"/>
      <c r="F6" s="137" t="s">
        <v>5</v>
      </c>
      <c r="G6" s="137"/>
      <c r="H6" s="137" t="s">
        <v>6</v>
      </c>
      <c r="I6" s="137"/>
      <c r="J6" s="137" t="s">
        <v>7</v>
      </c>
      <c r="K6" s="137"/>
      <c r="L6" s="137" t="s">
        <v>167</v>
      </c>
      <c r="M6" s="137"/>
      <c r="N6" s="137" t="s">
        <v>8</v>
      </c>
      <c r="O6" s="137"/>
      <c r="P6" s="137" t="s">
        <v>126</v>
      </c>
      <c r="Q6" s="137"/>
      <c r="R6" s="137" t="s">
        <v>9</v>
      </c>
      <c r="S6" s="137"/>
      <c r="T6" s="137" t="s">
        <v>10</v>
      </c>
      <c r="U6" s="137"/>
      <c r="V6" s="137" t="s">
        <v>11</v>
      </c>
      <c r="W6" s="137"/>
      <c r="X6" s="137" t="s">
        <v>12</v>
      </c>
      <c r="Y6" s="137"/>
      <c r="Z6" s="137" t="s">
        <v>13</v>
      </c>
      <c r="AA6" s="137"/>
      <c r="AB6" s="137" t="s">
        <v>14</v>
      </c>
      <c r="AC6" s="137"/>
      <c r="AD6" s="137" t="s">
        <v>15</v>
      </c>
      <c r="AE6" s="137"/>
      <c r="AF6" s="137" t="s">
        <v>16</v>
      </c>
      <c r="AG6" s="137"/>
      <c r="AH6" s="137" t="s">
        <v>17</v>
      </c>
      <c r="AI6" s="137"/>
      <c r="AJ6" s="137" t="s">
        <v>18</v>
      </c>
      <c r="AK6" s="137"/>
      <c r="AL6" s="137" t="s">
        <v>19</v>
      </c>
      <c r="AM6" s="137"/>
      <c r="AN6" s="137" t="s">
        <v>20</v>
      </c>
      <c r="AO6" s="137"/>
      <c r="AP6" s="137" t="s">
        <v>21</v>
      </c>
      <c r="AQ6" s="137"/>
      <c r="AR6" s="137" t="s">
        <v>22</v>
      </c>
      <c r="AS6" s="137"/>
      <c r="AT6" s="137" t="s">
        <v>23</v>
      </c>
      <c r="AU6" s="137"/>
      <c r="AV6" s="137" t="s">
        <v>24</v>
      </c>
      <c r="AW6" s="137"/>
      <c r="AX6" s="137" t="s">
        <v>25</v>
      </c>
      <c r="AY6" s="137"/>
      <c r="AZ6" s="137" t="s">
        <v>26</v>
      </c>
      <c r="BA6" s="137"/>
      <c r="BB6" s="137" t="s">
        <v>27</v>
      </c>
      <c r="BC6" s="137"/>
      <c r="BD6" s="137" t="s">
        <v>28</v>
      </c>
      <c r="BE6" s="137"/>
      <c r="BF6" s="137" t="s">
        <v>29</v>
      </c>
      <c r="BG6" s="137"/>
      <c r="BH6" s="137" t="s">
        <v>30</v>
      </c>
      <c r="BI6" s="137"/>
      <c r="BJ6" s="137" t="s">
        <v>31</v>
      </c>
      <c r="BK6" s="137"/>
      <c r="BL6" s="137" t="s">
        <v>32</v>
      </c>
      <c r="BM6" s="137"/>
      <c r="BN6" s="137" t="s">
        <v>33</v>
      </c>
      <c r="BO6" s="137"/>
      <c r="BP6" s="137" t="s">
        <v>34</v>
      </c>
      <c r="BQ6" s="137"/>
      <c r="BR6" s="137" t="s">
        <v>35</v>
      </c>
      <c r="BS6" s="137"/>
      <c r="BT6" s="137" t="s">
        <v>36</v>
      </c>
      <c r="BU6" s="137"/>
      <c r="BV6" s="137" t="s">
        <v>37</v>
      </c>
      <c r="BW6" s="137"/>
      <c r="BX6" s="137" t="s">
        <v>38</v>
      </c>
      <c r="BY6" s="137"/>
      <c r="BZ6" s="137" t="s">
        <v>39</v>
      </c>
      <c r="CA6" s="137"/>
      <c r="CB6" s="137" t="s">
        <v>40</v>
      </c>
      <c r="CC6" s="137"/>
      <c r="CD6" s="137" t="s">
        <v>41</v>
      </c>
      <c r="CE6" s="137"/>
      <c r="CF6" s="137" t="s">
        <v>42</v>
      </c>
      <c r="CG6" s="137"/>
      <c r="CH6" s="137" t="s">
        <v>43</v>
      </c>
      <c r="CI6" s="137"/>
      <c r="CJ6" s="137" t="s">
        <v>44</v>
      </c>
      <c r="CK6" s="137"/>
      <c r="CL6" s="137" t="s">
        <v>45</v>
      </c>
      <c r="CM6" s="137"/>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row>
    <row r="7" spans="1:210">
      <c r="A7" s="138"/>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row>
    <row r="8" spans="1:210">
      <c r="A8" s="138"/>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46</v>
      </c>
      <c r="BC8" s="4" t="s">
        <v>47</v>
      </c>
      <c r="BD8" s="4" t="s">
        <v>46</v>
      </c>
      <c r="BE8" s="4" t="s">
        <v>47</v>
      </c>
      <c r="BF8" s="4" t="s">
        <v>46</v>
      </c>
      <c r="BG8" s="4" t="s">
        <v>47</v>
      </c>
      <c r="BH8" s="4" t="s">
        <v>46</v>
      </c>
      <c r="BI8" s="4" t="s">
        <v>47</v>
      </c>
      <c r="BJ8" s="4" t="s">
        <v>46</v>
      </c>
      <c r="BK8" s="4" t="s">
        <v>47</v>
      </c>
      <c r="BL8" s="4" t="s">
        <v>46</v>
      </c>
      <c r="BM8" s="4" t="s">
        <v>47</v>
      </c>
      <c r="BN8" s="4" t="s">
        <v>46</v>
      </c>
      <c r="BO8" s="4" t="s">
        <v>47</v>
      </c>
      <c r="BP8" s="4" t="s">
        <v>46</v>
      </c>
      <c r="BQ8" s="4" t="s">
        <v>47</v>
      </c>
      <c r="BR8" s="4" t="s">
        <v>46</v>
      </c>
      <c r="BS8" s="4" t="s">
        <v>47</v>
      </c>
      <c r="BT8" s="4" t="s">
        <v>46</v>
      </c>
      <c r="BU8" s="4" t="s">
        <v>47</v>
      </c>
      <c r="BV8" s="4" t="s">
        <v>46</v>
      </c>
      <c r="BW8" s="4" t="s">
        <v>47</v>
      </c>
      <c r="BX8" s="4" t="s">
        <v>46</v>
      </c>
      <c r="BY8" s="4" t="s">
        <v>47</v>
      </c>
      <c r="BZ8" s="4" t="s">
        <v>46</v>
      </c>
      <c r="CA8" s="4" t="s">
        <v>47</v>
      </c>
      <c r="CB8" s="4" t="s">
        <v>46</v>
      </c>
      <c r="CC8" s="4" t="s">
        <v>47</v>
      </c>
      <c r="CD8" s="4" t="s">
        <v>46</v>
      </c>
      <c r="CE8" s="4" t="s">
        <v>47</v>
      </c>
      <c r="CF8" s="4" t="s">
        <v>46</v>
      </c>
      <c r="CG8" s="4" t="s">
        <v>47</v>
      </c>
      <c r="CH8" s="4" t="s">
        <v>46</v>
      </c>
      <c r="CI8" s="4" t="s">
        <v>47</v>
      </c>
      <c r="CJ8" s="4" t="s">
        <v>46</v>
      </c>
      <c r="CK8" s="4" t="s">
        <v>47</v>
      </c>
      <c r="CL8" s="4" t="s">
        <v>46</v>
      </c>
      <c r="CM8" s="4" t="s">
        <v>47</v>
      </c>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row>
    <row r="9" spans="1:210">
      <c r="A9" s="5" t="s">
        <v>48</v>
      </c>
      <c r="B9" s="6"/>
      <c r="C9" s="6"/>
      <c r="D9" s="7"/>
      <c r="E9" s="7"/>
      <c r="F9" s="7"/>
      <c r="G9" s="7"/>
      <c r="H9" s="7"/>
      <c r="I9" s="7"/>
      <c r="J9" s="7">
        <v>1</v>
      </c>
      <c r="K9" s="7">
        <v>50</v>
      </c>
      <c r="L9" s="7">
        <v>1</v>
      </c>
      <c r="M9" s="7">
        <v>12</v>
      </c>
      <c r="N9" s="7">
        <v>1</v>
      </c>
      <c r="O9" s="7">
        <v>16</v>
      </c>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v>1</v>
      </c>
      <c r="CA9" s="7">
        <v>21</v>
      </c>
      <c r="CB9" s="7"/>
      <c r="CC9" s="7"/>
      <c r="CD9" s="7"/>
      <c r="CE9" s="7"/>
      <c r="CF9" s="7"/>
      <c r="CG9" s="7"/>
      <c r="CH9" s="7"/>
      <c r="CI9" s="7"/>
      <c r="CJ9" s="8"/>
      <c r="CK9" s="8"/>
      <c r="CL9" s="19">
        <v>4</v>
      </c>
      <c r="CM9" s="8">
        <v>99</v>
      </c>
      <c r="CN9" s="9"/>
      <c r="CO9" s="9"/>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row>
    <row r="10" spans="1:210">
      <c r="A10" s="10" t="s">
        <v>49</v>
      </c>
      <c r="B10" s="6">
        <v>7</v>
      </c>
      <c r="C10" s="6">
        <v>499</v>
      </c>
      <c r="D10" s="6">
        <v>19</v>
      </c>
      <c r="E10" s="7">
        <v>2991</v>
      </c>
      <c r="F10" s="7">
        <v>6</v>
      </c>
      <c r="G10" s="7">
        <v>4852</v>
      </c>
      <c r="H10" s="7"/>
      <c r="I10" s="7"/>
      <c r="J10" s="7"/>
      <c r="K10" s="7"/>
      <c r="L10" s="7">
        <v>3</v>
      </c>
      <c r="M10" s="7">
        <v>34</v>
      </c>
      <c r="N10" s="7">
        <v>4</v>
      </c>
      <c r="O10" s="7">
        <v>46</v>
      </c>
      <c r="P10" s="7"/>
      <c r="Q10" s="7"/>
      <c r="R10" s="7"/>
      <c r="S10" s="7"/>
      <c r="T10" s="7"/>
      <c r="U10" s="7"/>
      <c r="V10" s="7"/>
      <c r="W10" s="7"/>
      <c r="X10" s="7"/>
      <c r="Y10" s="7"/>
      <c r="Z10" s="7"/>
      <c r="AA10" s="7"/>
      <c r="AB10" s="7"/>
      <c r="AC10" s="7"/>
      <c r="AD10" s="7"/>
      <c r="AE10" s="7"/>
      <c r="AF10" s="7"/>
      <c r="AG10" s="7"/>
      <c r="AH10" s="7">
        <v>17</v>
      </c>
      <c r="AI10" s="7">
        <v>7935</v>
      </c>
      <c r="AJ10" s="7">
        <v>4</v>
      </c>
      <c r="AK10" s="7">
        <v>2406</v>
      </c>
      <c r="AL10" s="7"/>
      <c r="AM10" s="7"/>
      <c r="AN10" s="7"/>
      <c r="AO10" s="7"/>
      <c r="AP10" s="7"/>
      <c r="AQ10" s="7"/>
      <c r="AR10" s="7"/>
      <c r="AS10" s="7"/>
      <c r="AT10" s="7"/>
      <c r="AU10" s="7"/>
      <c r="AV10" s="7"/>
      <c r="AW10" s="7"/>
      <c r="AX10" s="7"/>
      <c r="AY10" s="7"/>
      <c r="AZ10" s="7">
        <v>1</v>
      </c>
      <c r="BA10" s="7">
        <v>615</v>
      </c>
      <c r="BB10" s="7">
        <v>10</v>
      </c>
      <c r="BC10" s="7">
        <v>4570</v>
      </c>
      <c r="BD10" s="7">
        <v>8</v>
      </c>
      <c r="BE10" s="7">
        <v>2260</v>
      </c>
      <c r="BF10" s="7"/>
      <c r="BG10" s="7"/>
      <c r="BH10" s="7"/>
      <c r="BI10" s="7"/>
      <c r="BJ10" s="7"/>
      <c r="BK10" s="7"/>
      <c r="BL10" s="7"/>
      <c r="BM10" s="7"/>
      <c r="BN10" s="7"/>
      <c r="BO10" s="7"/>
      <c r="BP10" s="7"/>
      <c r="BQ10" s="7"/>
      <c r="BR10" s="7">
        <v>3</v>
      </c>
      <c r="BS10" s="7">
        <v>147</v>
      </c>
      <c r="BT10" s="7"/>
      <c r="BU10" s="7"/>
      <c r="BV10" s="7"/>
      <c r="BW10" s="7"/>
      <c r="BX10" s="7">
        <v>1</v>
      </c>
      <c r="BY10" s="7">
        <v>55</v>
      </c>
      <c r="BZ10" s="7">
        <v>1</v>
      </c>
      <c r="CA10" s="7">
        <v>39</v>
      </c>
      <c r="CB10" s="7"/>
      <c r="CC10" s="7"/>
      <c r="CD10" s="7"/>
      <c r="CE10" s="7"/>
      <c r="CF10" s="7"/>
      <c r="CG10" s="7"/>
      <c r="CH10" s="7">
        <v>1</v>
      </c>
      <c r="CI10" s="7">
        <v>32</v>
      </c>
      <c r="CJ10" s="8"/>
      <c r="CK10" s="8"/>
      <c r="CL10" s="8">
        <v>85</v>
      </c>
      <c r="CM10" s="8">
        <v>26481</v>
      </c>
      <c r="CN10" s="9"/>
      <c r="CO10" s="9"/>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row>
    <row r="11" spans="1:210">
      <c r="A11" s="5" t="s">
        <v>50</v>
      </c>
      <c r="B11" s="6"/>
      <c r="C11" s="6"/>
      <c r="D11" s="7"/>
      <c r="E11" s="7"/>
      <c r="F11" s="7"/>
      <c r="G11" s="7"/>
      <c r="H11" s="7"/>
      <c r="I11" s="7"/>
      <c r="J11" s="7">
        <v>1</v>
      </c>
      <c r="K11" s="7">
        <v>31</v>
      </c>
      <c r="L11" s="7">
        <v>1</v>
      </c>
      <c r="M11" s="7">
        <v>20</v>
      </c>
      <c r="N11" s="7">
        <v>1</v>
      </c>
      <c r="O11" s="7">
        <v>10</v>
      </c>
      <c r="P11" s="7"/>
      <c r="Q11" s="7"/>
      <c r="R11" s="7"/>
      <c r="S11" s="7"/>
      <c r="T11" s="7"/>
      <c r="U11" s="7"/>
      <c r="V11" s="7"/>
      <c r="W11" s="7"/>
      <c r="X11" s="7"/>
      <c r="Y11" s="7"/>
      <c r="Z11" s="7"/>
      <c r="AA11" s="7"/>
      <c r="AB11" s="7"/>
      <c r="AC11" s="7"/>
      <c r="AD11" s="7"/>
      <c r="AE11" s="7"/>
      <c r="AF11" s="7"/>
      <c r="AG11" s="7"/>
      <c r="AH11" s="7">
        <v>1</v>
      </c>
      <c r="AI11" s="7">
        <v>28</v>
      </c>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8"/>
      <c r="CK11" s="8"/>
      <c r="CL11" s="19">
        <v>4</v>
      </c>
      <c r="CM11" s="8">
        <v>89</v>
      </c>
      <c r="CN11" s="9"/>
      <c r="CO11" s="9"/>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row>
    <row r="12" spans="1:210">
      <c r="A12" s="5" t="s">
        <v>51</v>
      </c>
      <c r="B12" s="6">
        <v>1</v>
      </c>
      <c r="C12" s="6">
        <v>54</v>
      </c>
      <c r="D12" s="7"/>
      <c r="E12" s="7"/>
      <c r="F12" s="7">
        <v>2</v>
      </c>
      <c r="G12" s="7">
        <v>446</v>
      </c>
      <c r="H12" s="7"/>
      <c r="I12" s="7"/>
      <c r="J12" s="7"/>
      <c r="K12" s="7"/>
      <c r="L12" s="7">
        <v>1</v>
      </c>
      <c r="M12" s="7">
        <v>14</v>
      </c>
      <c r="N12" s="7">
        <v>1</v>
      </c>
      <c r="O12" s="7">
        <v>8</v>
      </c>
      <c r="P12" s="7"/>
      <c r="Q12" s="7"/>
      <c r="R12" s="7"/>
      <c r="S12" s="7"/>
      <c r="T12" s="7"/>
      <c r="U12" s="7"/>
      <c r="V12" s="7"/>
      <c r="W12" s="7"/>
      <c r="X12" s="7"/>
      <c r="Y12" s="7"/>
      <c r="Z12" s="7"/>
      <c r="AA12" s="7"/>
      <c r="AB12" s="7"/>
      <c r="AC12" s="7"/>
      <c r="AD12" s="7"/>
      <c r="AE12" s="7"/>
      <c r="AF12" s="7"/>
      <c r="AG12" s="7"/>
      <c r="AH12" s="7">
        <v>3</v>
      </c>
      <c r="AI12" s="7">
        <v>407</v>
      </c>
      <c r="AJ12" s="7">
        <v>4</v>
      </c>
      <c r="AK12" s="7">
        <v>1679</v>
      </c>
      <c r="AL12" s="7">
        <v>1</v>
      </c>
      <c r="AM12" s="7">
        <v>330</v>
      </c>
      <c r="AN12" s="7"/>
      <c r="AO12" s="7"/>
      <c r="AP12" s="7"/>
      <c r="AQ12" s="7"/>
      <c r="AR12" s="7"/>
      <c r="AS12" s="7"/>
      <c r="AT12" s="7"/>
      <c r="AU12" s="7"/>
      <c r="AV12" s="7"/>
      <c r="AW12" s="7"/>
      <c r="AX12" s="7"/>
      <c r="AY12" s="7"/>
      <c r="AZ12" s="7"/>
      <c r="BA12" s="7"/>
      <c r="BB12" s="7">
        <v>2</v>
      </c>
      <c r="BC12" s="7">
        <v>324</v>
      </c>
      <c r="BD12" s="7">
        <v>1</v>
      </c>
      <c r="BE12" s="7">
        <v>222</v>
      </c>
      <c r="BF12" s="7"/>
      <c r="BG12" s="7"/>
      <c r="BH12" s="7"/>
      <c r="BI12" s="7"/>
      <c r="BJ12" s="7"/>
      <c r="BK12" s="7"/>
      <c r="BL12" s="7"/>
      <c r="BM12" s="7"/>
      <c r="BN12" s="7"/>
      <c r="BO12" s="7"/>
      <c r="BP12" s="7"/>
      <c r="BQ12" s="7"/>
      <c r="BR12" s="7">
        <v>1</v>
      </c>
      <c r="BS12" s="7">
        <v>40</v>
      </c>
      <c r="BT12" s="7">
        <v>1</v>
      </c>
      <c r="BU12" s="7">
        <v>30</v>
      </c>
      <c r="BV12" s="7"/>
      <c r="BW12" s="7"/>
      <c r="BX12" s="7"/>
      <c r="BY12" s="7"/>
      <c r="BZ12" s="7">
        <v>1</v>
      </c>
      <c r="CA12" s="7">
        <v>28</v>
      </c>
      <c r="CB12" s="7"/>
      <c r="CC12" s="7"/>
      <c r="CD12" s="7"/>
      <c r="CE12" s="7"/>
      <c r="CF12" s="7"/>
      <c r="CG12" s="7"/>
      <c r="CH12" s="7"/>
      <c r="CI12" s="7"/>
      <c r="CJ12" s="8"/>
      <c r="CK12" s="8"/>
      <c r="CL12" s="19">
        <v>19</v>
      </c>
      <c r="CM12" s="8">
        <v>3582</v>
      </c>
      <c r="CN12" s="9"/>
      <c r="CO12" s="9"/>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row>
    <row r="13" spans="1:210">
      <c r="A13" s="5" t="s">
        <v>52</v>
      </c>
      <c r="B13" s="6">
        <v>1</v>
      </c>
      <c r="C13" s="6">
        <v>38</v>
      </c>
      <c r="D13" s="7"/>
      <c r="E13" s="7"/>
      <c r="F13" s="7"/>
      <c r="G13" s="7"/>
      <c r="H13" s="7"/>
      <c r="I13" s="7"/>
      <c r="J13" s="7">
        <v>1</v>
      </c>
      <c r="K13" s="7">
        <v>50</v>
      </c>
      <c r="L13" s="7">
        <v>5</v>
      </c>
      <c r="M13" s="7">
        <v>46</v>
      </c>
      <c r="N13" s="7">
        <v>3</v>
      </c>
      <c r="O13" s="7">
        <v>40</v>
      </c>
      <c r="P13" s="7"/>
      <c r="Q13" s="7"/>
      <c r="R13" s="7"/>
      <c r="S13" s="7"/>
      <c r="T13" s="7"/>
      <c r="U13" s="7"/>
      <c r="V13" s="7"/>
      <c r="W13" s="7"/>
      <c r="X13" s="7"/>
      <c r="Y13" s="7"/>
      <c r="Z13" s="7"/>
      <c r="AA13" s="7"/>
      <c r="AB13" s="7"/>
      <c r="AC13" s="7"/>
      <c r="AD13" s="7"/>
      <c r="AE13" s="7"/>
      <c r="AF13" s="7"/>
      <c r="AG13" s="7"/>
      <c r="AH13" s="7"/>
      <c r="AI13" s="7"/>
      <c r="AJ13" s="7">
        <v>1</v>
      </c>
      <c r="AK13" s="7">
        <v>16</v>
      </c>
      <c r="AL13" s="7"/>
      <c r="AM13" s="7"/>
      <c r="AN13" s="7"/>
      <c r="AO13" s="7"/>
      <c r="AP13" s="7"/>
      <c r="AQ13" s="7"/>
      <c r="AR13" s="7"/>
      <c r="AS13" s="7"/>
      <c r="AT13" s="7"/>
      <c r="AU13" s="7"/>
      <c r="AV13" s="7"/>
      <c r="AW13" s="7"/>
      <c r="AX13" s="7"/>
      <c r="AY13" s="7"/>
      <c r="AZ13" s="7"/>
      <c r="BA13" s="7"/>
      <c r="BB13" s="7"/>
      <c r="BC13" s="7"/>
      <c r="BD13" s="7">
        <v>1</v>
      </c>
      <c r="BE13" s="7">
        <v>89</v>
      </c>
      <c r="BF13" s="7"/>
      <c r="BG13" s="7"/>
      <c r="BH13" s="7"/>
      <c r="BI13" s="7"/>
      <c r="BJ13" s="7"/>
      <c r="BK13" s="7"/>
      <c r="BL13" s="7"/>
      <c r="BM13" s="7"/>
      <c r="BN13" s="7"/>
      <c r="BO13" s="7"/>
      <c r="BP13" s="7"/>
      <c r="BQ13" s="7"/>
      <c r="BR13" s="7">
        <v>1</v>
      </c>
      <c r="BS13" s="7">
        <v>15</v>
      </c>
      <c r="BT13" s="7">
        <v>1</v>
      </c>
      <c r="BU13" s="7">
        <v>12</v>
      </c>
      <c r="BV13" s="7"/>
      <c r="BW13" s="7"/>
      <c r="BX13" s="7"/>
      <c r="BY13" s="7"/>
      <c r="BZ13" s="7"/>
      <c r="CA13" s="7"/>
      <c r="CB13" s="7"/>
      <c r="CC13" s="7"/>
      <c r="CD13" s="7"/>
      <c r="CE13" s="7"/>
      <c r="CF13" s="7"/>
      <c r="CG13" s="7"/>
      <c r="CH13" s="7"/>
      <c r="CI13" s="7"/>
      <c r="CJ13" s="8"/>
      <c r="CK13" s="8"/>
      <c r="CL13" s="19">
        <v>14</v>
      </c>
      <c r="CM13" s="8">
        <v>306</v>
      </c>
      <c r="CN13" s="9"/>
      <c r="CO13" s="9"/>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row>
    <row r="14" spans="1:210">
      <c r="A14" s="5" t="s">
        <v>53</v>
      </c>
      <c r="B14" s="6"/>
      <c r="C14" s="6"/>
      <c r="D14" s="7"/>
      <c r="E14" s="7"/>
      <c r="F14" s="7"/>
      <c r="G14" s="7"/>
      <c r="H14" s="7"/>
      <c r="I14" s="7"/>
      <c r="J14" s="7"/>
      <c r="K14" s="7"/>
      <c r="L14" s="7"/>
      <c r="M14" s="7"/>
      <c r="N14" s="7">
        <v>3</v>
      </c>
      <c r="O14" s="7">
        <v>35</v>
      </c>
      <c r="P14" s="7"/>
      <c r="Q14" s="7"/>
      <c r="R14" s="7"/>
      <c r="S14" s="7"/>
      <c r="T14" s="7"/>
      <c r="U14" s="7"/>
      <c r="V14" s="7"/>
      <c r="W14" s="7"/>
      <c r="X14" s="7"/>
      <c r="Y14" s="7"/>
      <c r="Z14" s="7"/>
      <c r="AA14" s="7"/>
      <c r="AB14" s="7"/>
      <c r="AC14" s="7"/>
      <c r="AD14" s="7"/>
      <c r="AE14" s="7"/>
      <c r="AF14" s="7"/>
      <c r="AG14" s="7"/>
      <c r="AH14" s="7">
        <v>2</v>
      </c>
      <c r="AI14" s="7">
        <v>121</v>
      </c>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v>1</v>
      </c>
      <c r="BU14" s="7">
        <v>75</v>
      </c>
      <c r="BV14" s="7"/>
      <c r="BW14" s="7"/>
      <c r="BX14" s="7"/>
      <c r="BY14" s="7"/>
      <c r="BZ14" s="7"/>
      <c r="CA14" s="7"/>
      <c r="CB14" s="7"/>
      <c r="CC14" s="7"/>
      <c r="CD14" s="7"/>
      <c r="CE14" s="7"/>
      <c r="CF14" s="7"/>
      <c r="CG14" s="7"/>
      <c r="CH14" s="7"/>
      <c r="CI14" s="7"/>
      <c r="CJ14" s="8"/>
      <c r="CK14" s="8"/>
      <c r="CL14" s="19">
        <v>6</v>
      </c>
      <c r="CM14" s="8">
        <v>231</v>
      </c>
      <c r="CN14" s="9"/>
      <c r="CO14" s="9"/>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row>
    <row r="15" spans="1:210">
      <c r="A15" s="5" t="s">
        <v>54</v>
      </c>
      <c r="B15" s="6"/>
      <c r="C15" s="6"/>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v>1</v>
      </c>
      <c r="AU15" s="7">
        <v>33</v>
      </c>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8"/>
      <c r="CK15" s="8"/>
      <c r="CL15" s="19">
        <v>1</v>
      </c>
      <c r="CM15" s="8">
        <v>33</v>
      </c>
      <c r="CN15" s="9"/>
      <c r="CO15" s="9"/>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row>
    <row r="16" spans="1:210">
      <c r="A16" s="5" t="s">
        <v>55</v>
      </c>
      <c r="B16" s="6"/>
      <c r="C16" s="6"/>
      <c r="D16" s="7"/>
      <c r="E16" s="7"/>
      <c r="F16" s="7"/>
      <c r="G16" s="7"/>
      <c r="H16" s="7"/>
      <c r="I16" s="7"/>
      <c r="J16" s="7"/>
      <c r="K16" s="7"/>
      <c r="L16" s="7">
        <v>1</v>
      </c>
      <c r="M16" s="7">
        <v>12</v>
      </c>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8"/>
      <c r="CK16" s="8"/>
      <c r="CL16" s="19">
        <v>1</v>
      </c>
      <c r="CM16" s="8">
        <v>12</v>
      </c>
      <c r="CN16" s="9"/>
      <c r="CO16" s="9"/>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row>
    <row r="17" spans="1:210">
      <c r="A17" s="5" t="s">
        <v>56</v>
      </c>
      <c r="B17" s="6"/>
      <c r="C17" s="6"/>
      <c r="D17" s="7"/>
      <c r="E17" s="7"/>
      <c r="F17" s="7"/>
      <c r="G17" s="7"/>
      <c r="H17" s="7"/>
      <c r="I17" s="7"/>
      <c r="J17" s="7"/>
      <c r="K17" s="7"/>
      <c r="L17" s="7">
        <v>10</v>
      </c>
      <c r="M17" s="7">
        <v>118</v>
      </c>
      <c r="N17" s="7"/>
      <c r="O17" s="7"/>
      <c r="P17" s="7"/>
      <c r="Q17" s="7"/>
      <c r="R17" s="7"/>
      <c r="S17" s="7"/>
      <c r="T17" s="7"/>
      <c r="U17" s="7"/>
      <c r="V17" s="7"/>
      <c r="W17" s="7"/>
      <c r="X17" s="7"/>
      <c r="Y17" s="7"/>
      <c r="Z17" s="7"/>
      <c r="AA17" s="7"/>
      <c r="AB17" s="7"/>
      <c r="AC17" s="7"/>
      <c r="AD17" s="7"/>
      <c r="AE17" s="7"/>
      <c r="AF17" s="7"/>
      <c r="AG17" s="7"/>
      <c r="AH17" s="7"/>
      <c r="AI17" s="7"/>
      <c r="AJ17" s="7">
        <v>1</v>
      </c>
      <c r="AK17" s="7">
        <v>38</v>
      </c>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v>1</v>
      </c>
      <c r="CA17" s="7">
        <v>30</v>
      </c>
      <c r="CB17" s="7"/>
      <c r="CC17" s="7"/>
      <c r="CD17" s="7"/>
      <c r="CE17" s="7"/>
      <c r="CF17" s="7"/>
      <c r="CG17" s="7"/>
      <c r="CH17" s="7"/>
      <c r="CI17" s="7"/>
      <c r="CJ17" s="8"/>
      <c r="CK17" s="8"/>
      <c r="CL17" s="19">
        <v>12</v>
      </c>
      <c r="CM17" s="8">
        <v>186</v>
      </c>
      <c r="CN17" s="9"/>
      <c r="CO17" s="9"/>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row>
    <row r="18" spans="1:210">
      <c r="A18" s="5" t="s">
        <v>57</v>
      </c>
      <c r="B18" s="6">
        <v>22</v>
      </c>
      <c r="C18" s="6">
        <v>1747</v>
      </c>
      <c r="D18" s="7">
        <v>30</v>
      </c>
      <c r="E18" s="7">
        <v>4707</v>
      </c>
      <c r="F18" s="7">
        <v>27</v>
      </c>
      <c r="G18" s="7">
        <v>4460</v>
      </c>
      <c r="H18" s="7">
        <v>5</v>
      </c>
      <c r="I18" s="7">
        <v>973</v>
      </c>
      <c r="J18" s="7"/>
      <c r="K18" s="7"/>
      <c r="L18" s="7">
        <v>4</v>
      </c>
      <c r="M18" s="7">
        <v>52</v>
      </c>
      <c r="N18" s="7"/>
      <c r="O18" s="7"/>
      <c r="P18" s="7"/>
      <c r="Q18" s="7"/>
      <c r="R18" s="7"/>
      <c r="S18" s="7"/>
      <c r="T18" s="7"/>
      <c r="U18" s="7"/>
      <c r="V18" s="7"/>
      <c r="W18" s="7"/>
      <c r="X18" s="7"/>
      <c r="Y18" s="7"/>
      <c r="Z18" s="7"/>
      <c r="AA18" s="7"/>
      <c r="AB18" s="7">
        <v>1</v>
      </c>
      <c r="AC18" s="7">
        <v>1118</v>
      </c>
      <c r="AD18" s="7">
        <v>3</v>
      </c>
      <c r="AE18" s="7">
        <v>203</v>
      </c>
      <c r="AF18" s="7">
        <v>12</v>
      </c>
      <c r="AG18" s="7">
        <v>2285</v>
      </c>
      <c r="AH18" s="7">
        <v>59</v>
      </c>
      <c r="AI18" s="7">
        <v>19871</v>
      </c>
      <c r="AJ18" s="7">
        <v>37</v>
      </c>
      <c r="AK18" s="7">
        <v>10302</v>
      </c>
      <c r="AL18" s="7">
        <v>5</v>
      </c>
      <c r="AM18" s="7">
        <v>786</v>
      </c>
      <c r="AN18" s="7">
        <v>1</v>
      </c>
      <c r="AO18" s="7">
        <v>27</v>
      </c>
      <c r="AP18" s="7"/>
      <c r="AQ18" s="7"/>
      <c r="AR18" s="7"/>
      <c r="AS18" s="7"/>
      <c r="AT18" s="7"/>
      <c r="AU18" s="7"/>
      <c r="AV18" s="7"/>
      <c r="AW18" s="7"/>
      <c r="AX18" s="7"/>
      <c r="AY18" s="7"/>
      <c r="AZ18" s="7">
        <v>2</v>
      </c>
      <c r="BA18" s="7">
        <v>159</v>
      </c>
      <c r="BB18" s="7">
        <v>18</v>
      </c>
      <c r="BC18" s="7">
        <v>8548</v>
      </c>
      <c r="BD18" s="7">
        <v>6</v>
      </c>
      <c r="BE18" s="7">
        <v>2645</v>
      </c>
      <c r="BF18" s="7"/>
      <c r="BG18" s="7"/>
      <c r="BH18" s="7"/>
      <c r="BI18" s="7"/>
      <c r="BJ18" s="7"/>
      <c r="BK18" s="7"/>
      <c r="BL18" s="7"/>
      <c r="BM18" s="7"/>
      <c r="BN18" s="7"/>
      <c r="BO18" s="7"/>
      <c r="BP18" s="7"/>
      <c r="BQ18" s="7"/>
      <c r="BR18" s="7">
        <v>3</v>
      </c>
      <c r="BS18" s="7">
        <v>81</v>
      </c>
      <c r="BT18" s="7">
        <v>7</v>
      </c>
      <c r="BU18" s="7">
        <v>446</v>
      </c>
      <c r="BV18" s="7">
        <v>2</v>
      </c>
      <c r="BW18" s="7">
        <v>100</v>
      </c>
      <c r="BX18" s="7">
        <v>9</v>
      </c>
      <c r="BY18" s="7">
        <v>345</v>
      </c>
      <c r="BZ18" s="7">
        <v>4</v>
      </c>
      <c r="CA18" s="7">
        <v>180</v>
      </c>
      <c r="CB18" s="7">
        <v>2</v>
      </c>
      <c r="CC18" s="7">
        <v>86</v>
      </c>
      <c r="CD18" s="7"/>
      <c r="CE18" s="7"/>
      <c r="CF18" s="7">
        <v>1</v>
      </c>
      <c r="CG18" s="7">
        <v>13</v>
      </c>
      <c r="CH18" s="7"/>
      <c r="CI18" s="7"/>
      <c r="CJ18" s="8"/>
      <c r="CK18" s="8"/>
      <c r="CL18" s="19">
        <v>260</v>
      </c>
      <c r="CM18" s="8">
        <v>59134</v>
      </c>
      <c r="CN18" s="9"/>
      <c r="CO18" s="9"/>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row>
    <row r="19" spans="1:210">
      <c r="A19" s="5" t="s">
        <v>58</v>
      </c>
      <c r="B19" s="6"/>
      <c r="C19" s="6"/>
      <c r="D19" s="7"/>
      <c r="E19" s="7"/>
      <c r="F19" s="7"/>
      <c r="G19" s="7"/>
      <c r="H19" s="7"/>
      <c r="I19" s="7"/>
      <c r="J19" s="7">
        <v>1</v>
      </c>
      <c r="K19" s="7">
        <v>50</v>
      </c>
      <c r="L19" s="7">
        <v>2</v>
      </c>
      <c r="M19" s="7">
        <v>33</v>
      </c>
      <c r="N19" s="7">
        <v>1</v>
      </c>
      <c r="O19" s="7">
        <v>12</v>
      </c>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8"/>
      <c r="CK19" s="8"/>
      <c r="CL19" s="19">
        <v>4</v>
      </c>
      <c r="CM19" s="8">
        <v>95</v>
      </c>
      <c r="CN19" s="9"/>
      <c r="CO19" s="9"/>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row>
    <row r="20" spans="1:210">
      <c r="A20" s="5" t="s">
        <v>59</v>
      </c>
      <c r="B20" s="6"/>
      <c r="C20" s="6"/>
      <c r="D20" s="7"/>
      <c r="E20" s="7"/>
      <c r="F20" s="7"/>
      <c r="G20" s="7"/>
      <c r="H20" s="7"/>
      <c r="I20" s="7"/>
      <c r="J20" s="7">
        <v>1</v>
      </c>
      <c r="K20" s="7">
        <v>20</v>
      </c>
      <c r="L20" s="7">
        <v>15</v>
      </c>
      <c r="M20" s="7">
        <v>211</v>
      </c>
      <c r="N20" s="7"/>
      <c r="O20" s="7"/>
      <c r="P20" s="7"/>
      <c r="Q20" s="7"/>
      <c r="R20" s="7"/>
      <c r="S20" s="7"/>
      <c r="T20" s="7"/>
      <c r="U20" s="7"/>
      <c r="V20" s="7"/>
      <c r="W20" s="7"/>
      <c r="X20" s="7"/>
      <c r="Y20" s="7"/>
      <c r="Z20" s="7"/>
      <c r="AA20" s="7"/>
      <c r="AB20" s="7"/>
      <c r="AC20" s="7"/>
      <c r="AD20" s="7"/>
      <c r="AE20" s="7"/>
      <c r="AF20" s="7">
        <v>1</v>
      </c>
      <c r="AG20" s="7">
        <v>37</v>
      </c>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v>1</v>
      </c>
      <c r="BY20" s="7">
        <v>41</v>
      </c>
      <c r="BZ20" s="7"/>
      <c r="CA20" s="7"/>
      <c r="CB20" s="7"/>
      <c r="CC20" s="7"/>
      <c r="CD20" s="7"/>
      <c r="CE20" s="7"/>
      <c r="CF20" s="7"/>
      <c r="CG20" s="7"/>
      <c r="CH20" s="7"/>
      <c r="CI20" s="7"/>
      <c r="CJ20" s="8"/>
      <c r="CK20" s="8"/>
      <c r="CL20" s="19">
        <v>18</v>
      </c>
      <c r="CM20" s="8">
        <v>309</v>
      </c>
      <c r="CN20" s="9"/>
      <c r="CO20" s="9"/>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row>
    <row r="21" spans="1:210">
      <c r="A21" s="5" t="s">
        <v>60</v>
      </c>
      <c r="B21" s="6">
        <v>12</v>
      </c>
      <c r="C21" s="6">
        <v>654</v>
      </c>
      <c r="D21" s="7">
        <v>13</v>
      </c>
      <c r="E21" s="7">
        <v>801</v>
      </c>
      <c r="F21" s="7">
        <v>8</v>
      </c>
      <c r="G21" s="7">
        <v>1391</v>
      </c>
      <c r="H21" s="7"/>
      <c r="I21" s="7"/>
      <c r="J21" s="7">
        <v>1</v>
      </c>
      <c r="K21" s="7">
        <v>36</v>
      </c>
      <c r="L21" s="7">
        <v>2</v>
      </c>
      <c r="M21" s="7">
        <v>32</v>
      </c>
      <c r="N21" s="7"/>
      <c r="O21" s="7"/>
      <c r="P21" s="7"/>
      <c r="Q21" s="7"/>
      <c r="R21" s="7"/>
      <c r="S21" s="7"/>
      <c r="T21" s="7"/>
      <c r="U21" s="7"/>
      <c r="V21" s="7"/>
      <c r="W21" s="7"/>
      <c r="X21" s="7"/>
      <c r="Y21" s="7"/>
      <c r="Z21" s="7"/>
      <c r="AA21" s="7"/>
      <c r="AB21" s="7"/>
      <c r="AC21" s="7"/>
      <c r="AD21" s="7">
        <v>6</v>
      </c>
      <c r="AE21" s="7">
        <v>305</v>
      </c>
      <c r="AF21" s="7">
        <v>2</v>
      </c>
      <c r="AG21" s="7">
        <v>322</v>
      </c>
      <c r="AH21" s="7">
        <v>19</v>
      </c>
      <c r="AI21" s="7">
        <v>4628</v>
      </c>
      <c r="AJ21" s="7">
        <v>9</v>
      </c>
      <c r="AK21" s="7">
        <v>2243</v>
      </c>
      <c r="AL21" s="7">
        <v>2</v>
      </c>
      <c r="AM21" s="7">
        <v>437</v>
      </c>
      <c r="AN21" s="7"/>
      <c r="AO21" s="7"/>
      <c r="AP21" s="7"/>
      <c r="AQ21" s="7"/>
      <c r="AR21" s="7"/>
      <c r="AS21" s="7"/>
      <c r="AT21" s="7"/>
      <c r="AU21" s="7"/>
      <c r="AV21" s="7"/>
      <c r="AW21" s="7"/>
      <c r="AX21" s="7">
        <v>2</v>
      </c>
      <c r="AY21" s="7">
        <v>106</v>
      </c>
      <c r="AZ21" s="7">
        <v>2</v>
      </c>
      <c r="BA21" s="7">
        <v>226</v>
      </c>
      <c r="BB21" s="7">
        <v>5</v>
      </c>
      <c r="BC21" s="7">
        <v>1619</v>
      </c>
      <c r="BD21" s="7">
        <v>7</v>
      </c>
      <c r="BE21" s="7">
        <v>3658</v>
      </c>
      <c r="BF21" s="7"/>
      <c r="BG21" s="7"/>
      <c r="BH21" s="7"/>
      <c r="BI21" s="7"/>
      <c r="BJ21" s="7"/>
      <c r="BK21" s="7"/>
      <c r="BL21" s="7"/>
      <c r="BM21" s="7"/>
      <c r="BN21" s="7"/>
      <c r="BO21" s="7"/>
      <c r="BP21" s="7"/>
      <c r="BQ21" s="7"/>
      <c r="BR21" s="7">
        <v>9</v>
      </c>
      <c r="BS21" s="7">
        <v>1143</v>
      </c>
      <c r="BT21" s="7">
        <v>6</v>
      </c>
      <c r="BU21" s="7">
        <v>340</v>
      </c>
      <c r="BV21" s="7">
        <v>1</v>
      </c>
      <c r="BW21" s="7">
        <v>22</v>
      </c>
      <c r="BX21" s="7">
        <v>7</v>
      </c>
      <c r="BY21" s="7">
        <v>235</v>
      </c>
      <c r="BZ21" s="7">
        <v>2</v>
      </c>
      <c r="CA21" s="7">
        <v>83</v>
      </c>
      <c r="CB21" s="7"/>
      <c r="CC21" s="7"/>
      <c r="CD21" s="7"/>
      <c r="CE21" s="7"/>
      <c r="CF21" s="7"/>
      <c r="CG21" s="7"/>
      <c r="CH21" s="7">
        <v>1</v>
      </c>
      <c r="CI21" s="7">
        <v>68</v>
      </c>
      <c r="CJ21" s="8"/>
      <c r="CK21" s="8"/>
      <c r="CL21" s="19">
        <v>116</v>
      </c>
      <c r="CM21" s="8">
        <v>18349</v>
      </c>
      <c r="CN21" s="9"/>
      <c r="CO21" s="9"/>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row>
    <row r="22" spans="1:210">
      <c r="A22" s="5" t="s">
        <v>61</v>
      </c>
      <c r="B22" s="6"/>
      <c r="C22" s="6"/>
      <c r="D22" s="7"/>
      <c r="E22" s="7"/>
      <c r="F22" s="7"/>
      <c r="G22" s="7"/>
      <c r="H22" s="7"/>
      <c r="I22" s="7"/>
      <c r="J22" s="7"/>
      <c r="K22" s="7"/>
      <c r="L22" s="7"/>
      <c r="M22" s="7"/>
      <c r="N22" s="7">
        <v>1</v>
      </c>
      <c r="O22" s="7">
        <v>16</v>
      </c>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8"/>
      <c r="CK22" s="8"/>
      <c r="CL22" s="19">
        <v>1</v>
      </c>
      <c r="CM22" s="8">
        <v>16</v>
      </c>
      <c r="CN22" s="9"/>
      <c r="CO22" s="9"/>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row>
    <row r="23" spans="1:210">
      <c r="A23" s="5" t="s">
        <v>62</v>
      </c>
      <c r="B23" s="6"/>
      <c r="C23" s="6"/>
      <c r="D23" s="7"/>
      <c r="E23" s="7"/>
      <c r="F23" s="7"/>
      <c r="G23" s="7"/>
      <c r="H23" s="7"/>
      <c r="I23" s="7"/>
      <c r="J23" s="7"/>
      <c r="K23" s="7"/>
      <c r="L23" s="7">
        <v>1</v>
      </c>
      <c r="M23" s="7">
        <v>16</v>
      </c>
      <c r="N23" s="7">
        <v>1</v>
      </c>
      <c r="O23" s="7">
        <v>16</v>
      </c>
      <c r="P23" s="7"/>
      <c r="Q23" s="7"/>
      <c r="R23" s="7"/>
      <c r="S23" s="7"/>
      <c r="T23" s="7"/>
      <c r="U23" s="7"/>
      <c r="V23" s="7"/>
      <c r="W23" s="7"/>
      <c r="X23" s="7"/>
      <c r="Y23" s="7"/>
      <c r="Z23" s="7"/>
      <c r="AA23" s="7"/>
      <c r="AB23" s="7"/>
      <c r="AC23" s="7"/>
      <c r="AD23" s="7">
        <v>1</v>
      </c>
      <c r="AE23" s="7">
        <v>79</v>
      </c>
      <c r="AF23" s="7"/>
      <c r="AG23" s="7"/>
      <c r="AH23" s="7"/>
      <c r="AI23" s="7"/>
      <c r="AJ23" s="7">
        <v>1</v>
      </c>
      <c r="AK23" s="7">
        <v>165</v>
      </c>
      <c r="AL23" s="7"/>
      <c r="AM23" s="7"/>
      <c r="AN23" s="7"/>
      <c r="AO23" s="7"/>
      <c r="AP23" s="7"/>
      <c r="AQ23" s="7"/>
      <c r="AR23" s="7"/>
      <c r="AS23" s="7"/>
      <c r="AT23" s="7">
        <v>1</v>
      </c>
      <c r="AU23" s="7">
        <v>123</v>
      </c>
      <c r="AV23" s="7"/>
      <c r="AW23" s="7"/>
      <c r="AX23" s="7"/>
      <c r="AY23" s="7"/>
      <c r="AZ23" s="7"/>
      <c r="BA23" s="7"/>
      <c r="BB23" s="7"/>
      <c r="BC23" s="7"/>
      <c r="BD23" s="7"/>
      <c r="BE23" s="7"/>
      <c r="BF23" s="7"/>
      <c r="BG23" s="7"/>
      <c r="BH23" s="7"/>
      <c r="BI23" s="7"/>
      <c r="BJ23" s="7"/>
      <c r="BK23" s="7"/>
      <c r="BL23" s="7"/>
      <c r="BM23" s="7"/>
      <c r="BN23" s="7"/>
      <c r="BO23" s="7"/>
      <c r="BP23" s="7"/>
      <c r="BQ23" s="7"/>
      <c r="BR23" s="7">
        <v>1</v>
      </c>
      <c r="BS23" s="7">
        <v>14</v>
      </c>
      <c r="BT23" s="7"/>
      <c r="BU23" s="7"/>
      <c r="BV23" s="7"/>
      <c r="BW23" s="7"/>
      <c r="BX23" s="7"/>
      <c r="BY23" s="7"/>
      <c r="BZ23" s="7"/>
      <c r="CA23" s="7"/>
      <c r="CB23" s="7"/>
      <c r="CC23" s="7"/>
      <c r="CD23" s="7"/>
      <c r="CE23" s="7"/>
      <c r="CF23" s="7"/>
      <c r="CG23" s="7"/>
      <c r="CH23" s="7">
        <v>1</v>
      </c>
      <c r="CI23" s="7">
        <v>17</v>
      </c>
      <c r="CJ23" s="8"/>
      <c r="CK23" s="8"/>
      <c r="CL23" s="19">
        <v>7</v>
      </c>
      <c r="CM23" s="8">
        <v>430</v>
      </c>
      <c r="CN23" s="9"/>
      <c r="CO23" s="9"/>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row>
    <row r="24" spans="1:210">
      <c r="A24" s="5" t="s">
        <v>63</v>
      </c>
      <c r="B24" s="6"/>
      <c r="C24" s="6"/>
      <c r="D24" s="7"/>
      <c r="E24" s="7"/>
      <c r="F24" s="7"/>
      <c r="G24" s="7"/>
      <c r="H24" s="7"/>
      <c r="I24" s="7"/>
      <c r="J24" s="7"/>
      <c r="K24" s="7"/>
      <c r="L24" s="7">
        <v>4</v>
      </c>
      <c r="M24" s="7">
        <v>59</v>
      </c>
      <c r="N24" s="7"/>
      <c r="O24" s="7"/>
      <c r="P24" s="7"/>
      <c r="Q24" s="7"/>
      <c r="R24" s="7"/>
      <c r="S24" s="7"/>
      <c r="T24" s="7"/>
      <c r="U24" s="7"/>
      <c r="V24" s="7"/>
      <c r="W24" s="7"/>
      <c r="X24" s="7"/>
      <c r="Y24" s="7"/>
      <c r="Z24" s="7"/>
      <c r="AA24" s="7"/>
      <c r="AB24" s="7"/>
      <c r="AC24" s="7"/>
      <c r="AD24" s="7"/>
      <c r="AE24" s="7"/>
      <c r="AF24" s="7"/>
      <c r="AG24" s="7"/>
      <c r="AH24" s="7"/>
      <c r="AI24" s="7"/>
      <c r="AJ24" s="7">
        <v>1</v>
      </c>
      <c r="AK24" s="7">
        <v>37</v>
      </c>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v>1</v>
      </c>
      <c r="BS24" s="7">
        <v>16</v>
      </c>
      <c r="BT24" s="7"/>
      <c r="BU24" s="7"/>
      <c r="BV24" s="7"/>
      <c r="BW24" s="7"/>
      <c r="BX24" s="7"/>
      <c r="BY24" s="7"/>
      <c r="BZ24" s="7"/>
      <c r="CA24" s="7"/>
      <c r="CB24" s="7"/>
      <c r="CC24" s="7"/>
      <c r="CD24" s="7"/>
      <c r="CE24" s="7"/>
      <c r="CF24" s="7"/>
      <c r="CG24" s="7"/>
      <c r="CH24" s="7"/>
      <c r="CI24" s="7"/>
      <c r="CJ24" s="8"/>
      <c r="CK24" s="8"/>
      <c r="CL24" s="19">
        <v>6</v>
      </c>
      <c r="CM24" s="8">
        <v>112</v>
      </c>
      <c r="CN24" s="9"/>
      <c r="CO24" s="9"/>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row>
    <row r="25" spans="1:210">
      <c r="A25" s="5" t="s">
        <v>64</v>
      </c>
      <c r="B25" s="6"/>
      <c r="C25" s="6"/>
      <c r="D25" s="7"/>
      <c r="E25" s="7"/>
      <c r="F25" s="7"/>
      <c r="G25" s="7"/>
      <c r="H25" s="7"/>
      <c r="I25" s="7"/>
      <c r="J25" s="7"/>
      <c r="K25" s="7"/>
      <c r="L25" s="7">
        <v>1</v>
      </c>
      <c r="M25" s="7">
        <v>10</v>
      </c>
      <c r="N25" s="7">
        <v>2</v>
      </c>
      <c r="O25" s="7">
        <v>26</v>
      </c>
      <c r="P25" s="7"/>
      <c r="Q25" s="7"/>
      <c r="R25" s="7"/>
      <c r="S25" s="7"/>
      <c r="T25" s="7"/>
      <c r="U25" s="7"/>
      <c r="V25" s="7"/>
      <c r="W25" s="7"/>
      <c r="X25" s="7"/>
      <c r="Y25" s="7"/>
      <c r="Z25" s="7"/>
      <c r="AA25" s="7"/>
      <c r="AB25" s="7"/>
      <c r="AC25" s="7"/>
      <c r="AD25" s="7"/>
      <c r="AE25" s="7"/>
      <c r="AF25" s="7">
        <v>1</v>
      </c>
      <c r="AG25" s="7">
        <v>101</v>
      </c>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8"/>
      <c r="CK25" s="8"/>
      <c r="CL25" s="19">
        <v>4</v>
      </c>
      <c r="CM25" s="8">
        <v>137</v>
      </c>
      <c r="CN25" s="9"/>
      <c r="CO25" s="9"/>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row>
    <row r="26" spans="1:210">
      <c r="A26" s="5" t="s">
        <v>65</v>
      </c>
      <c r="B26" s="6">
        <v>12</v>
      </c>
      <c r="C26" s="6">
        <v>366</v>
      </c>
      <c r="D26" s="7">
        <v>14</v>
      </c>
      <c r="E26" s="7">
        <v>1940</v>
      </c>
      <c r="F26" s="7">
        <v>2</v>
      </c>
      <c r="G26" s="7">
        <v>405</v>
      </c>
      <c r="H26" s="7"/>
      <c r="I26" s="7"/>
      <c r="J26" s="7">
        <v>3</v>
      </c>
      <c r="K26" s="7">
        <v>74</v>
      </c>
      <c r="L26" s="7">
        <v>7</v>
      </c>
      <c r="M26" s="7">
        <v>94</v>
      </c>
      <c r="N26" s="7"/>
      <c r="O26" s="7"/>
      <c r="P26" s="7"/>
      <c r="Q26" s="7"/>
      <c r="R26" s="7"/>
      <c r="S26" s="7"/>
      <c r="T26" s="7"/>
      <c r="U26" s="7"/>
      <c r="V26" s="7"/>
      <c r="W26" s="7"/>
      <c r="X26" s="7"/>
      <c r="Y26" s="7"/>
      <c r="Z26" s="7"/>
      <c r="AA26" s="7"/>
      <c r="AB26" s="7"/>
      <c r="AC26" s="7"/>
      <c r="AD26" s="7">
        <v>1</v>
      </c>
      <c r="AE26" s="7">
        <v>48</v>
      </c>
      <c r="AF26" s="7">
        <v>2</v>
      </c>
      <c r="AG26" s="7">
        <v>152</v>
      </c>
      <c r="AH26" s="7">
        <v>6</v>
      </c>
      <c r="AI26" s="7">
        <v>2242</v>
      </c>
      <c r="AJ26" s="7">
        <v>2</v>
      </c>
      <c r="AK26" s="7">
        <v>822</v>
      </c>
      <c r="AL26" s="7">
        <v>1</v>
      </c>
      <c r="AM26" s="7">
        <v>20</v>
      </c>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v>1</v>
      </c>
      <c r="BS26" s="7">
        <v>35</v>
      </c>
      <c r="BT26" s="7"/>
      <c r="BU26" s="7"/>
      <c r="BV26" s="7"/>
      <c r="BW26" s="7"/>
      <c r="BX26" s="7">
        <v>3</v>
      </c>
      <c r="BY26" s="7">
        <v>130</v>
      </c>
      <c r="BZ26" s="7"/>
      <c r="CA26" s="7"/>
      <c r="CB26" s="7"/>
      <c r="CC26" s="7"/>
      <c r="CD26" s="7"/>
      <c r="CE26" s="7"/>
      <c r="CF26" s="7"/>
      <c r="CG26" s="7"/>
      <c r="CH26" s="7"/>
      <c r="CI26" s="7"/>
      <c r="CJ26" s="8"/>
      <c r="CK26" s="8"/>
      <c r="CL26" s="19">
        <v>54</v>
      </c>
      <c r="CM26" s="8">
        <v>6328</v>
      </c>
      <c r="CN26" s="9"/>
      <c r="CO26" s="9"/>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row>
    <row r="27" spans="1:210">
      <c r="A27" s="5" t="s">
        <v>66</v>
      </c>
      <c r="B27" s="6"/>
      <c r="C27" s="6"/>
      <c r="D27" s="7"/>
      <c r="E27" s="7"/>
      <c r="F27" s="7"/>
      <c r="G27" s="7"/>
      <c r="H27" s="7"/>
      <c r="I27" s="7"/>
      <c r="J27" s="7"/>
      <c r="K27" s="7"/>
      <c r="L27" s="7">
        <v>2</v>
      </c>
      <c r="M27" s="7">
        <v>25</v>
      </c>
      <c r="N27" s="7">
        <v>2</v>
      </c>
      <c r="O27" s="7">
        <v>29</v>
      </c>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v>2</v>
      </c>
      <c r="BE27" s="7">
        <v>62</v>
      </c>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8"/>
      <c r="CK27" s="8"/>
      <c r="CL27" s="19">
        <v>6</v>
      </c>
      <c r="CM27" s="8">
        <v>116</v>
      </c>
      <c r="CN27" s="9"/>
      <c r="CO27" s="9"/>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row>
    <row r="28" spans="1:210">
      <c r="A28" s="5" t="s">
        <v>67</v>
      </c>
      <c r="B28" s="6"/>
      <c r="C28" s="6"/>
      <c r="D28" s="7"/>
      <c r="E28" s="7"/>
      <c r="F28" s="7"/>
      <c r="G28" s="7"/>
      <c r="H28" s="7"/>
      <c r="I28" s="7"/>
      <c r="J28" s="7">
        <v>1</v>
      </c>
      <c r="K28" s="7">
        <v>30</v>
      </c>
      <c r="L28" s="7">
        <v>1</v>
      </c>
      <c r="M28" s="7">
        <v>6</v>
      </c>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8"/>
      <c r="CK28" s="8"/>
      <c r="CL28" s="19">
        <v>2</v>
      </c>
      <c r="CM28" s="8">
        <v>36</v>
      </c>
      <c r="CN28" s="9"/>
      <c r="CO28" s="9"/>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row>
    <row r="29" spans="1:210">
      <c r="A29" s="5" t="s">
        <v>68</v>
      </c>
      <c r="B29" s="6"/>
      <c r="C29" s="6"/>
      <c r="D29" s="7"/>
      <c r="E29" s="7"/>
      <c r="F29" s="7"/>
      <c r="G29" s="7"/>
      <c r="H29" s="7"/>
      <c r="I29" s="7"/>
      <c r="J29" s="7"/>
      <c r="K29" s="7"/>
      <c r="L29" s="7">
        <v>2</v>
      </c>
      <c r="M29" s="7">
        <v>38</v>
      </c>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8"/>
      <c r="CK29" s="8"/>
      <c r="CL29" s="19">
        <v>2</v>
      </c>
      <c r="CM29" s="8">
        <v>38</v>
      </c>
      <c r="CN29" s="9"/>
      <c r="CO29" s="9"/>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row>
    <row r="30" spans="1:210">
      <c r="A30" s="5" t="s">
        <v>69</v>
      </c>
      <c r="B30" s="6"/>
      <c r="C30" s="6"/>
      <c r="D30" s="7"/>
      <c r="E30" s="7"/>
      <c r="F30" s="7"/>
      <c r="G30" s="7"/>
      <c r="H30" s="7"/>
      <c r="I30" s="7"/>
      <c r="J30" s="7"/>
      <c r="K30" s="7"/>
      <c r="L30" s="7">
        <v>1</v>
      </c>
      <c r="M30" s="7">
        <v>9</v>
      </c>
      <c r="N30" s="7">
        <v>1</v>
      </c>
      <c r="O30" s="7">
        <v>16</v>
      </c>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8"/>
      <c r="CK30" s="8"/>
      <c r="CL30" s="19">
        <v>2</v>
      </c>
      <c r="CM30" s="8">
        <v>25</v>
      </c>
      <c r="CN30" s="9"/>
      <c r="CO30" s="9"/>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row>
    <row r="31" spans="1:210">
      <c r="A31" s="5" t="s">
        <v>70</v>
      </c>
      <c r="B31" s="6"/>
      <c r="C31" s="6"/>
      <c r="D31" s="7"/>
      <c r="E31" s="7"/>
      <c r="F31" s="7"/>
      <c r="G31" s="7"/>
      <c r="H31" s="7"/>
      <c r="I31" s="7"/>
      <c r="J31" s="7"/>
      <c r="K31" s="7"/>
      <c r="L31" s="7"/>
      <c r="M31" s="7"/>
      <c r="N31" s="7">
        <v>1</v>
      </c>
      <c r="O31" s="7">
        <v>6</v>
      </c>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8"/>
      <c r="CK31" s="8"/>
      <c r="CL31" s="19">
        <v>1</v>
      </c>
      <c r="CM31" s="8">
        <v>6</v>
      </c>
      <c r="CN31" s="9"/>
      <c r="CO31" s="9"/>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row>
    <row r="32" spans="1:210">
      <c r="A32" s="5" t="s">
        <v>71</v>
      </c>
      <c r="B32" s="6">
        <v>1</v>
      </c>
      <c r="C32" s="6">
        <v>120</v>
      </c>
      <c r="D32" s="7"/>
      <c r="E32" s="7"/>
      <c r="F32" s="7"/>
      <c r="G32" s="7"/>
      <c r="H32" s="7">
        <v>1</v>
      </c>
      <c r="I32" s="7">
        <v>936</v>
      </c>
      <c r="J32" s="7"/>
      <c r="K32" s="7"/>
      <c r="L32" s="7">
        <v>11</v>
      </c>
      <c r="M32" s="7">
        <v>141</v>
      </c>
      <c r="N32" s="7"/>
      <c r="O32" s="7"/>
      <c r="P32" s="7"/>
      <c r="Q32" s="7"/>
      <c r="R32" s="7"/>
      <c r="S32" s="7"/>
      <c r="T32" s="7"/>
      <c r="U32" s="7"/>
      <c r="V32" s="7"/>
      <c r="W32" s="7"/>
      <c r="X32" s="7"/>
      <c r="Y32" s="7"/>
      <c r="Z32" s="7">
        <v>1</v>
      </c>
      <c r="AA32" s="7">
        <v>660</v>
      </c>
      <c r="AB32" s="7"/>
      <c r="AC32" s="7"/>
      <c r="AD32" s="7"/>
      <c r="AE32" s="7"/>
      <c r="AF32" s="7">
        <v>10</v>
      </c>
      <c r="AG32" s="7">
        <v>2303</v>
      </c>
      <c r="AH32" s="7">
        <v>21</v>
      </c>
      <c r="AI32" s="7">
        <v>6451</v>
      </c>
      <c r="AJ32" s="7">
        <v>2</v>
      </c>
      <c r="AK32" s="7">
        <v>1004</v>
      </c>
      <c r="AL32" s="7">
        <v>1</v>
      </c>
      <c r="AM32" s="7">
        <v>300</v>
      </c>
      <c r="AN32" s="7"/>
      <c r="AO32" s="7"/>
      <c r="AP32" s="7"/>
      <c r="AQ32" s="7"/>
      <c r="AR32" s="7"/>
      <c r="AS32" s="7"/>
      <c r="AT32" s="7"/>
      <c r="AU32" s="7"/>
      <c r="AV32" s="7"/>
      <c r="AW32" s="7"/>
      <c r="AX32" s="7"/>
      <c r="AY32" s="7"/>
      <c r="AZ32" s="7"/>
      <c r="BA32" s="7"/>
      <c r="BB32" s="7">
        <v>1</v>
      </c>
      <c r="BC32" s="7">
        <v>346</v>
      </c>
      <c r="BD32" s="7"/>
      <c r="BE32" s="7"/>
      <c r="BF32" s="7"/>
      <c r="BG32" s="7"/>
      <c r="BH32" s="7"/>
      <c r="BI32" s="7"/>
      <c r="BJ32" s="7"/>
      <c r="BK32" s="7"/>
      <c r="BL32" s="7"/>
      <c r="BM32" s="7"/>
      <c r="BN32" s="7"/>
      <c r="BO32" s="7"/>
      <c r="BP32" s="7"/>
      <c r="BQ32" s="7"/>
      <c r="BR32" s="7">
        <v>3</v>
      </c>
      <c r="BS32" s="7">
        <v>161</v>
      </c>
      <c r="BT32" s="7"/>
      <c r="BU32" s="7"/>
      <c r="BV32" s="7"/>
      <c r="BW32" s="7"/>
      <c r="BX32" s="7">
        <v>3</v>
      </c>
      <c r="BY32" s="7">
        <v>153</v>
      </c>
      <c r="BZ32" s="7">
        <v>2</v>
      </c>
      <c r="CA32" s="7">
        <v>80</v>
      </c>
      <c r="CB32" s="7"/>
      <c r="CC32" s="7"/>
      <c r="CD32" s="7"/>
      <c r="CE32" s="7"/>
      <c r="CF32" s="7"/>
      <c r="CG32" s="7"/>
      <c r="CH32" s="7">
        <v>1</v>
      </c>
      <c r="CI32" s="7">
        <v>20</v>
      </c>
      <c r="CJ32" s="8"/>
      <c r="CK32" s="8"/>
      <c r="CL32" s="19">
        <v>58</v>
      </c>
      <c r="CM32" s="8">
        <v>12675</v>
      </c>
      <c r="CN32" s="9"/>
      <c r="CO32" s="9"/>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row>
    <row r="33" spans="1:210">
      <c r="A33" s="5" t="s">
        <v>72</v>
      </c>
      <c r="B33" s="6">
        <v>5</v>
      </c>
      <c r="C33" s="6">
        <v>1063</v>
      </c>
      <c r="D33" s="7">
        <v>6</v>
      </c>
      <c r="E33" s="7">
        <v>579</v>
      </c>
      <c r="F33" s="7">
        <v>3</v>
      </c>
      <c r="G33" s="7">
        <v>123</v>
      </c>
      <c r="H33" s="7"/>
      <c r="I33" s="7"/>
      <c r="J33" s="7">
        <v>3</v>
      </c>
      <c r="K33" s="7">
        <v>98</v>
      </c>
      <c r="L33" s="7">
        <v>15</v>
      </c>
      <c r="M33" s="7">
        <v>195</v>
      </c>
      <c r="N33" s="7"/>
      <c r="O33" s="7"/>
      <c r="P33" s="7"/>
      <c r="Q33" s="7"/>
      <c r="R33" s="7"/>
      <c r="S33" s="7"/>
      <c r="T33" s="7"/>
      <c r="U33" s="7"/>
      <c r="V33" s="7"/>
      <c r="W33" s="7"/>
      <c r="X33" s="7"/>
      <c r="Y33" s="7"/>
      <c r="Z33" s="7"/>
      <c r="AA33" s="7"/>
      <c r="AB33" s="7"/>
      <c r="AC33" s="7"/>
      <c r="AD33" s="7">
        <v>2</v>
      </c>
      <c r="AE33" s="7">
        <v>299</v>
      </c>
      <c r="AF33" s="7">
        <v>2</v>
      </c>
      <c r="AG33" s="7">
        <v>441</v>
      </c>
      <c r="AH33" s="7">
        <v>14</v>
      </c>
      <c r="AI33" s="7">
        <v>5461</v>
      </c>
      <c r="AJ33" s="7">
        <v>2</v>
      </c>
      <c r="AK33" s="7">
        <v>593</v>
      </c>
      <c r="AL33" s="7"/>
      <c r="AM33" s="7"/>
      <c r="AN33" s="7"/>
      <c r="AO33" s="7"/>
      <c r="AP33" s="7"/>
      <c r="AQ33" s="7"/>
      <c r="AR33" s="7"/>
      <c r="AS33" s="7"/>
      <c r="AT33" s="7"/>
      <c r="AU33" s="7"/>
      <c r="AV33" s="7"/>
      <c r="AW33" s="7"/>
      <c r="AX33" s="7"/>
      <c r="AY33" s="7"/>
      <c r="AZ33" s="7"/>
      <c r="BA33" s="7"/>
      <c r="BB33" s="7">
        <v>4</v>
      </c>
      <c r="BC33" s="7">
        <v>2612</v>
      </c>
      <c r="BD33" s="7">
        <v>2</v>
      </c>
      <c r="BE33" s="7">
        <v>2957</v>
      </c>
      <c r="BF33" s="7"/>
      <c r="BG33" s="7"/>
      <c r="BH33" s="7"/>
      <c r="BI33" s="7"/>
      <c r="BJ33" s="7"/>
      <c r="BK33" s="7"/>
      <c r="BL33" s="7"/>
      <c r="BM33" s="7"/>
      <c r="BN33" s="7"/>
      <c r="BO33" s="7"/>
      <c r="BP33" s="7"/>
      <c r="BQ33" s="7"/>
      <c r="BR33" s="7">
        <v>1</v>
      </c>
      <c r="BS33" s="7">
        <v>111</v>
      </c>
      <c r="BT33" s="7">
        <v>1</v>
      </c>
      <c r="BU33" s="7">
        <v>46</v>
      </c>
      <c r="BV33" s="7"/>
      <c r="BW33" s="7"/>
      <c r="BX33" s="7">
        <v>1</v>
      </c>
      <c r="BY33" s="7">
        <v>40</v>
      </c>
      <c r="BZ33" s="7"/>
      <c r="CA33" s="7"/>
      <c r="CB33" s="7"/>
      <c r="CC33" s="7"/>
      <c r="CD33" s="7"/>
      <c r="CE33" s="7"/>
      <c r="CF33" s="7">
        <v>3</v>
      </c>
      <c r="CG33" s="7">
        <v>94</v>
      </c>
      <c r="CH33" s="7"/>
      <c r="CI33" s="7"/>
      <c r="CJ33" s="8"/>
      <c r="CK33" s="8"/>
      <c r="CL33" s="19">
        <v>64</v>
      </c>
      <c r="CM33" s="8">
        <v>14712</v>
      </c>
      <c r="CN33" s="9"/>
      <c r="CO33" s="9"/>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row>
    <row r="34" spans="1:210">
      <c r="A34" s="5" t="s">
        <v>73</v>
      </c>
      <c r="B34" s="6"/>
      <c r="C34" s="6"/>
      <c r="D34" s="7"/>
      <c r="E34" s="7"/>
      <c r="F34" s="7"/>
      <c r="G34" s="7"/>
      <c r="H34" s="7"/>
      <c r="I34" s="7"/>
      <c r="J34" s="7"/>
      <c r="K34" s="7"/>
      <c r="L34" s="7">
        <v>3</v>
      </c>
      <c r="M34" s="7">
        <v>22</v>
      </c>
      <c r="N34" s="7">
        <v>1</v>
      </c>
      <c r="O34" s="7">
        <v>16</v>
      </c>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8"/>
      <c r="CK34" s="8"/>
      <c r="CL34" s="19">
        <v>4</v>
      </c>
      <c r="CM34" s="8">
        <v>38</v>
      </c>
      <c r="CN34" s="9"/>
      <c r="CO34" s="9"/>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row>
    <row r="35" spans="1:210">
      <c r="A35" s="5" t="s">
        <v>74</v>
      </c>
      <c r="B35" s="6"/>
      <c r="C35" s="6"/>
      <c r="D35" s="7"/>
      <c r="E35" s="7"/>
      <c r="F35" s="7"/>
      <c r="G35" s="7"/>
      <c r="H35" s="7"/>
      <c r="I35" s="7"/>
      <c r="J35" s="7"/>
      <c r="K35" s="7"/>
      <c r="L35" s="7">
        <v>1</v>
      </c>
      <c r="M35" s="7">
        <v>16</v>
      </c>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8"/>
      <c r="CK35" s="8"/>
      <c r="CL35" s="19">
        <v>1</v>
      </c>
      <c r="CM35" s="8">
        <v>16</v>
      </c>
      <c r="CN35" s="9"/>
      <c r="CO35" s="9"/>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row>
    <row r="36" spans="1:210">
      <c r="A36" s="5" t="s">
        <v>75</v>
      </c>
      <c r="B36" s="6"/>
      <c r="C36" s="6"/>
      <c r="D36" s="7"/>
      <c r="E36" s="7"/>
      <c r="F36" s="7"/>
      <c r="G36" s="7"/>
      <c r="H36" s="7"/>
      <c r="I36" s="7"/>
      <c r="J36" s="7">
        <v>2</v>
      </c>
      <c r="K36" s="7">
        <v>95</v>
      </c>
      <c r="L36" s="7">
        <v>2</v>
      </c>
      <c r="M36" s="7">
        <v>18</v>
      </c>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8"/>
      <c r="CK36" s="8"/>
      <c r="CL36" s="19">
        <v>4</v>
      </c>
      <c r="CM36" s="8">
        <v>113</v>
      </c>
      <c r="CN36" s="9"/>
      <c r="CO36" s="9"/>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row>
    <row r="37" spans="1:210">
      <c r="A37" s="5" t="s">
        <v>76</v>
      </c>
      <c r="B37" s="6"/>
      <c r="C37" s="6"/>
      <c r="D37" s="7">
        <v>2</v>
      </c>
      <c r="E37" s="7">
        <v>426</v>
      </c>
      <c r="F37" s="7">
        <v>8</v>
      </c>
      <c r="G37" s="7">
        <v>1262</v>
      </c>
      <c r="H37" s="7"/>
      <c r="I37" s="7"/>
      <c r="J37" s="7">
        <v>1</v>
      </c>
      <c r="K37" s="7">
        <v>30</v>
      </c>
      <c r="L37" s="7"/>
      <c r="M37" s="7"/>
      <c r="N37" s="7"/>
      <c r="O37" s="7"/>
      <c r="P37" s="7">
        <v>1</v>
      </c>
      <c r="Q37" s="7">
        <v>500</v>
      </c>
      <c r="R37" s="7"/>
      <c r="S37" s="7"/>
      <c r="T37" s="7"/>
      <c r="U37" s="7"/>
      <c r="V37" s="7"/>
      <c r="W37" s="7"/>
      <c r="X37" s="7"/>
      <c r="Y37" s="7"/>
      <c r="Z37" s="7"/>
      <c r="AA37" s="7"/>
      <c r="AB37" s="7"/>
      <c r="AC37" s="7"/>
      <c r="AD37" s="7"/>
      <c r="AE37" s="7"/>
      <c r="AF37" s="7"/>
      <c r="AG37" s="7"/>
      <c r="AH37" s="7">
        <v>3</v>
      </c>
      <c r="AI37" s="7">
        <v>817</v>
      </c>
      <c r="AJ37" s="7">
        <v>7</v>
      </c>
      <c r="AK37" s="7">
        <v>3893</v>
      </c>
      <c r="AL37" s="7">
        <v>1</v>
      </c>
      <c r="AM37" s="7">
        <v>268</v>
      </c>
      <c r="AN37" s="7"/>
      <c r="AO37" s="7"/>
      <c r="AP37" s="7"/>
      <c r="AQ37" s="7"/>
      <c r="AR37" s="7"/>
      <c r="AS37" s="7"/>
      <c r="AT37" s="7"/>
      <c r="AU37" s="7"/>
      <c r="AV37" s="7"/>
      <c r="AW37" s="7"/>
      <c r="AX37" s="7"/>
      <c r="AY37" s="7"/>
      <c r="AZ37" s="7"/>
      <c r="BA37" s="7"/>
      <c r="BB37" s="7">
        <v>7</v>
      </c>
      <c r="BC37" s="7">
        <v>4139</v>
      </c>
      <c r="BD37" s="7">
        <v>9</v>
      </c>
      <c r="BE37" s="7">
        <v>4968</v>
      </c>
      <c r="BF37" s="7">
        <v>1</v>
      </c>
      <c r="BG37" s="7">
        <v>218</v>
      </c>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8"/>
      <c r="CK37" s="8"/>
      <c r="CL37" s="19">
        <v>40</v>
      </c>
      <c r="CM37" s="8">
        <v>16521</v>
      </c>
      <c r="CN37" s="9"/>
      <c r="CO37" s="9"/>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row>
    <row r="38" spans="1:210">
      <c r="A38" s="5" t="s">
        <v>77</v>
      </c>
      <c r="B38" s="6">
        <v>5</v>
      </c>
      <c r="C38" s="6">
        <v>356</v>
      </c>
      <c r="D38" s="7">
        <v>7</v>
      </c>
      <c r="E38" s="7">
        <v>942</v>
      </c>
      <c r="F38" s="7">
        <v>7</v>
      </c>
      <c r="G38" s="7">
        <v>848</v>
      </c>
      <c r="H38" s="7"/>
      <c r="I38" s="7"/>
      <c r="J38" s="7">
        <v>1</v>
      </c>
      <c r="K38" s="7">
        <v>25</v>
      </c>
      <c r="L38" s="7"/>
      <c r="M38" s="7"/>
      <c r="N38" s="7">
        <v>1</v>
      </c>
      <c r="O38" s="7">
        <v>11</v>
      </c>
      <c r="P38" s="7"/>
      <c r="Q38" s="7"/>
      <c r="R38" s="7"/>
      <c r="S38" s="7"/>
      <c r="T38" s="7"/>
      <c r="U38" s="7"/>
      <c r="V38" s="7"/>
      <c r="W38" s="7"/>
      <c r="X38" s="7"/>
      <c r="Y38" s="7"/>
      <c r="Z38" s="7"/>
      <c r="AA38" s="7"/>
      <c r="AB38" s="7"/>
      <c r="AC38" s="7"/>
      <c r="AD38" s="7">
        <v>11</v>
      </c>
      <c r="AE38" s="7">
        <v>913</v>
      </c>
      <c r="AF38" s="7">
        <v>13</v>
      </c>
      <c r="AG38" s="7">
        <v>1820</v>
      </c>
      <c r="AH38" s="7">
        <v>73</v>
      </c>
      <c r="AI38" s="7">
        <v>20626</v>
      </c>
      <c r="AJ38" s="7">
        <v>38</v>
      </c>
      <c r="AK38" s="7">
        <v>9814</v>
      </c>
      <c r="AL38" s="7">
        <v>6</v>
      </c>
      <c r="AM38" s="7">
        <v>1447</v>
      </c>
      <c r="AN38" s="7">
        <v>2</v>
      </c>
      <c r="AO38" s="7">
        <v>98</v>
      </c>
      <c r="AP38" s="7">
        <v>1</v>
      </c>
      <c r="AQ38" s="7">
        <v>51</v>
      </c>
      <c r="AR38" s="7">
        <v>2</v>
      </c>
      <c r="AS38" s="7">
        <v>239</v>
      </c>
      <c r="AT38" s="7"/>
      <c r="AU38" s="7"/>
      <c r="AV38" s="7"/>
      <c r="AW38" s="7"/>
      <c r="AX38" s="7"/>
      <c r="AY38" s="7"/>
      <c r="AZ38" s="7">
        <v>3</v>
      </c>
      <c r="BA38" s="7">
        <v>355</v>
      </c>
      <c r="BB38" s="7">
        <v>5</v>
      </c>
      <c r="BC38" s="7">
        <v>1413</v>
      </c>
      <c r="BD38" s="7">
        <v>5</v>
      </c>
      <c r="BE38" s="7">
        <v>2453</v>
      </c>
      <c r="BF38" s="7"/>
      <c r="BG38" s="7"/>
      <c r="BH38" s="7"/>
      <c r="BI38" s="7"/>
      <c r="BJ38" s="7"/>
      <c r="BK38" s="7"/>
      <c r="BL38" s="7"/>
      <c r="BM38" s="7"/>
      <c r="BN38" s="7"/>
      <c r="BO38" s="7"/>
      <c r="BP38" s="7"/>
      <c r="BQ38" s="7"/>
      <c r="BR38" s="7">
        <v>6</v>
      </c>
      <c r="BS38" s="7">
        <v>201</v>
      </c>
      <c r="BT38" s="7">
        <v>5</v>
      </c>
      <c r="BU38" s="7">
        <v>389</v>
      </c>
      <c r="BV38" s="7">
        <v>1</v>
      </c>
      <c r="BW38" s="7">
        <v>118</v>
      </c>
      <c r="BX38" s="7">
        <v>20</v>
      </c>
      <c r="BY38" s="7">
        <v>840</v>
      </c>
      <c r="BZ38" s="7">
        <v>9</v>
      </c>
      <c r="CA38" s="7">
        <v>427</v>
      </c>
      <c r="CB38" s="7"/>
      <c r="CC38" s="7"/>
      <c r="CD38" s="7"/>
      <c r="CE38" s="7"/>
      <c r="CF38" s="7">
        <v>7</v>
      </c>
      <c r="CG38" s="7">
        <v>228</v>
      </c>
      <c r="CH38" s="7">
        <v>1</v>
      </c>
      <c r="CI38" s="7">
        <v>12</v>
      </c>
      <c r="CJ38" s="8"/>
      <c r="CK38" s="8"/>
      <c r="CL38" s="19">
        <v>229</v>
      </c>
      <c r="CM38" s="8">
        <v>43626</v>
      </c>
      <c r="CN38" s="9"/>
      <c r="CO38" s="9"/>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row>
    <row r="39" spans="1:210">
      <c r="A39" s="5" t="s">
        <v>78</v>
      </c>
      <c r="B39" s="6"/>
      <c r="C39" s="6"/>
      <c r="D39" s="7"/>
      <c r="E39" s="7"/>
      <c r="F39" s="7"/>
      <c r="G39" s="7"/>
      <c r="H39" s="7"/>
      <c r="I39" s="7"/>
      <c r="J39" s="7"/>
      <c r="K39" s="7"/>
      <c r="L39" s="7">
        <v>2</v>
      </c>
      <c r="M39" s="7">
        <v>16</v>
      </c>
      <c r="N39" s="7">
        <v>1</v>
      </c>
      <c r="O39" s="7">
        <v>6</v>
      </c>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8"/>
      <c r="CK39" s="8"/>
      <c r="CL39" s="19">
        <v>3</v>
      </c>
      <c r="CM39" s="8">
        <v>22</v>
      </c>
      <c r="CN39" s="9"/>
      <c r="CO39" s="9"/>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row>
    <row r="40" spans="1:210">
      <c r="A40" s="5" t="s">
        <v>79</v>
      </c>
      <c r="B40" s="6">
        <v>8</v>
      </c>
      <c r="C40" s="6">
        <v>355</v>
      </c>
      <c r="D40" s="7">
        <v>10</v>
      </c>
      <c r="E40" s="7">
        <v>601</v>
      </c>
      <c r="F40" s="7">
        <v>14</v>
      </c>
      <c r="G40" s="7">
        <v>1438</v>
      </c>
      <c r="H40" s="7"/>
      <c r="I40" s="7"/>
      <c r="J40" s="7">
        <v>1</v>
      </c>
      <c r="K40" s="7">
        <v>46</v>
      </c>
      <c r="L40" s="7">
        <v>6</v>
      </c>
      <c r="M40" s="7">
        <v>86</v>
      </c>
      <c r="N40" s="7">
        <v>4</v>
      </c>
      <c r="O40" s="7">
        <v>56</v>
      </c>
      <c r="P40" s="7"/>
      <c r="Q40" s="7"/>
      <c r="R40" s="7"/>
      <c r="S40" s="7"/>
      <c r="T40" s="7"/>
      <c r="U40" s="7"/>
      <c r="V40" s="7"/>
      <c r="W40" s="7"/>
      <c r="X40" s="7"/>
      <c r="Y40" s="7"/>
      <c r="Z40" s="7"/>
      <c r="AA40" s="7"/>
      <c r="AB40" s="7"/>
      <c r="AC40" s="7"/>
      <c r="AD40" s="7">
        <v>1</v>
      </c>
      <c r="AE40" s="7">
        <v>47</v>
      </c>
      <c r="AF40" s="7">
        <v>2</v>
      </c>
      <c r="AG40" s="7">
        <v>190</v>
      </c>
      <c r="AH40" s="7">
        <v>8</v>
      </c>
      <c r="AI40" s="7">
        <v>1651</v>
      </c>
      <c r="AJ40" s="7">
        <v>3</v>
      </c>
      <c r="AK40" s="7">
        <v>470</v>
      </c>
      <c r="AL40" s="7">
        <v>2</v>
      </c>
      <c r="AM40" s="7">
        <v>283</v>
      </c>
      <c r="AN40" s="7">
        <v>1</v>
      </c>
      <c r="AO40" s="7">
        <v>39</v>
      </c>
      <c r="AP40" s="7"/>
      <c r="AQ40" s="7"/>
      <c r="AR40" s="7">
        <v>1</v>
      </c>
      <c r="AS40" s="7">
        <v>12</v>
      </c>
      <c r="AT40" s="7"/>
      <c r="AU40" s="7"/>
      <c r="AV40" s="7"/>
      <c r="AW40" s="7"/>
      <c r="AX40" s="7"/>
      <c r="AY40" s="7"/>
      <c r="AZ40" s="7"/>
      <c r="BA40" s="7"/>
      <c r="BB40" s="7">
        <v>3</v>
      </c>
      <c r="BC40" s="7">
        <v>721</v>
      </c>
      <c r="BD40" s="7">
        <v>4</v>
      </c>
      <c r="BE40" s="7">
        <v>849</v>
      </c>
      <c r="BF40" s="7"/>
      <c r="BG40" s="7"/>
      <c r="BH40" s="7"/>
      <c r="BI40" s="7"/>
      <c r="BJ40" s="7"/>
      <c r="BK40" s="7"/>
      <c r="BL40" s="7"/>
      <c r="BM40" s="7"/>
      <c r="BN40" s="7"/>
      <c r="BO40" s="7"/>
      <c r="BP40" s="7"/>
      <c r="BQ40" s="7"/>
      <c r="BR40" s="7">
        <v>1</v>
      </c>
      <c r="BS40" s="7">
        <v>60</v>
      </c>
      <c r="BT40" s="7">
        <v>3</v>
      </c>
      <c r="BU40" s="7">
        <v>127</v>
      </c>
      <c r="BV40" s="7"/>
      <c r="BW40" s="7"/>
      <c r="BX40" s="7">
        <v>2</v>
      </c>
      <c r="BY40" s="7">
        <v>80</v>
      </c>
      <c r="BZ40" s="7">
        <v>4</v>
      </c>
      <c r="CA40" s="7">
        <v>195</v>
      </c>
      <c r="CB40" s="7"/>
      <c r="CC40" s="7"/>
      <c r="CD40" s="7"/>
      <c r="CE40" s="7"/>
      <c r="CF40" s="7"/>
      <c r="CG40" s="7"/>
      <c r="CH40" s="7"/>
      <c r="CI40" s="7"/>
      <c r="CJ40" s="6">
        <v>1</v>
      </c>
      <c r="CK40" s="6">
        <v>23</v>
      </c>
      <c r="CL40" s="19">
        <v>79</v>
      </c>
      <c r="CM40" s="8">
        <v>7329</v>
      </c>
      <c r="CN40" s="9"/>
      <c r="CO40" s="9"/>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row>
    <row r="41" spans="1:210">
      <c r="A41" s="5" t="s">
        <v>80</v>
      </c>
      <c r="B41" s="6"/>
      <c r="C41" s="6"/>
      <c r="D41" s="7"/>
      <c r="E41" s="7"/>
      <c r="F41" s="7"/>
      <c r="G41" s="7"/>
      <c r="H41" s="7"/>
      <c r="I41" s="7"/>
      <c r="J41" s="7">
        <v>1</v>
      </c>
      <c r="K41" s="7">
        <v>49</v>
      </c>
      <c r="L41" s="7">
        <v>3</v>
      </c>
      <c r="M41" s="7">
        <v>57</v>
      </c>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8"/>
      <c r="CK41" s="8"/>
      <c r="CL41" s="19">
        <v>4</v>
      </c>
      <c r="CM41" s="8">
        <v>106</v>
      </c>
      <c r="CN41" s="9"/>
      <c r="CO41" s="9"/>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row>
    <row r="42" spans="1:210">
      <c r="A42" s="5" t="s">
        <v>81</v>
      </c>
      <c r="B42" s="6"/>
      <c r="C42" s="6"/>
      <c r="D42" s="7"/>
      <c r="E42" s="7"/>
      <c r="F42" s="7">
        <v>1</v>
      </c>
      <c r="G42" s="7">
        <v>25</v>
      </c>
      <c r="H42" s="7"/>
      <c r="I42" s="7"/>
      <c r="J42" s="7">
        <v>2</v>
      </c>
      <c r="K42" s="7">
        <v>96</v>
      </c>
      <c r="L42" s="7">
        <v>2</v>
      </c>
      <c r="M42" s="7">
        <v>20</v>
      </c>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8"/>
      <c r="CK42" s="8"/>
      <c r="CL42" s="19">
        <v>5</v>
      </c>
      <c r="CM42" s="8">
        <v>141</v>
      </c>
      <c r="CN42" s="9"/>
      <c r="CO42" s="9"/>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row>
    <row r="43" spans="1:210">
      <c r="A43" s="5" t="s">
        <v>82</v>
      </c>
      <c r="B43" s="6"/>
      <c r="C43" s="6"/>
      <c r="D43" s="7"/>
      <c r="E43" s="7"/>
      <c r="F43" s="7"/>
      <c r="G43" s="7"/>
      <c r="H43" s="7"/>
      <c r="I43" s="7"/>
      <c r="J43" s="7"/>
      <c r="K43" s="7"/>
      <c r="L43" s="7">
        <v>2</v>
      </c>
      <c r="M43" s="7">
        <v>28</v>
      </c>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v>1</v>
      </c>
      <c r="CI43" s="7">
        <v>11</v>
      </c>
      <c r="CJ43" s="8"/>
      <c r="CK43" s="8"/>
      <c r="CL43" s="19">
        <v>3</v>
      </c>
      <c r="CM43" s="8">
        <v>39</v>
      </c>
      <c r="CN43" s="9"/>
      <c r="CO43" s="9"/>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row>
    <row r="44" spans="1:210">
      <c r="A44" s="5" t="s">
        <v>83</v>
      </c>
      <c r="B44" s="6">
        <v>8</v>
      </c>
      <c r="C44" s="6">
        <v>511</v>
      </c>
      <c r="D44" s="7">
        <v>7</v>
      </c>
      <c r="E44" s="7">
        <v>457</v>
      </c>
      <c r="F44" s="7">
        <v>10</v>
      </c>
      <c r="G44" s="7">
        <v>1773</v>
      </c>
      <c r="H44" s="7">
        <v>1</v>
      </c>
      <c r="I44" s="7">
        <v>184</v>
      </c>
      <c r="J44" s="7">
        <v>1</v>
      </c>
      <c r="K44" s="7">
        <v>44</v>
      </c>
      <c r="L44" s="7">
        <v>4</v>
      </c>
      <c r="M44" s="7">
        <v>74</v>
      </c>
      <c r="N44" s="7"/>
      <c r="O44" s="7"/>
      <c r="P44" s="7"/>
      <c r="Q44" s="7"/>
      <c r="R44" s="7"/>
      <c r="S44" s="7"/>
      <c r="T44" s="7"/>
      <c r="U44" s="7"/>
      <c r="V44" s="7"/>
      <c r="W44" s="7"/>
      <c r="X44" s="7"/>
      <c r="Y44" s="7"/>
      <c r="Z44" s="7"/>
      <c r="AA44" s="7"/>
      <c r="AB44" s="7"/>
      <c r="AC44" s="7"/>
      <c r="AD44" s="7">
        <v>1</v>
      </c>
      <c r="AE44" s="7">
        <v>175</v>
      </c>
      <c r="AF44" s="7">
        <v>2</v>
      </c>
      <c r="AG44" s="7">
        <v>508</v>
      </c>
      <c r="AH44" s="7">
        <v>13</v>
      </c>
      <c r="AI44" s="7">
        <v>2768</v>
      </c>
      <c r="AJ44" s="7">
        <v>17</v>
      </c>
      <c r="AK44" s="7">
        <v>6621</v>
      </c>
      <c r="AL44" s="7">
        <v>2</v>
      </c>
      <c r="AM44" s="7">
        <v>608</v>
      </c>
      <c r="AN44" s="7">
        <v>1</v>
      </c>
      <c r="AO44" s="7">
        <v>45</v>
      </c>
      <c r="AP44" s="7">
        <v>2</v>
      </c>
      <c r="AQ44" s="7">
        <v>177</v>
      </c>
      <c r="AR44" s="7"/>
      <c r="AS44" s="7"/>
      <c r="AT44" s="7"/>
      <c r="AU44" s="7"/>
      <c r="AV44" s="7"/>
      <c r="AW44" s="7"/>
      <c r="AX44" s="7"/>
      <c r="AY44" s="7"/>
      <c r="AZ44" s="7"/>
      <c r="BA44" s="7"/>
      <c r="BB44" s="7">
        <v>11</v>
      </c>
      <c r="BC44" s="7">
        <v>5717</v>
      </c>
      <c r="BD44" s="7">
        <v>9</v>
      </c>
      <c r="BE44" s="7">
        <v>4799</v>
      </c>
      <c r="BF44" s="7"/>
      <c r="BG44" s="7"/>
      <c r="BH44" s="7"/>
      <c r="BI44" s="7"/>
      <c r="BJ44" s="7"/>
      <c r="BK44" s="7"/>
      <c r="BL44" s="7"/>
      <c r="BM44" s="7"/>
      <c r="BN44" s="7"/>
      <c r="BO44" s="7"/>
      <c r="BP44" s="7"/>
      <c r="BQ44" s="7"/>
      <c r="BR44" s="7"/>
      <c r="BS44" s="7"/>
      <c r="BT44" s="7">
        <v>2</v>
      </c>
      <c r="BU44" s="7">
        <v>94</v>
      </c>
      <c r="BV44" s="7"/>
      <c r="BW44" s="7"/>
      <c r="BX44" s="7">
        <v>2</v>
      </c>
      <c r="BY44" s="7">
        <v>81</v>
      </c>
      <c r="BZ44" s="7">
        <v>2</v>
      </c>
      <c r="CA44" s="7">
        <v>71</v>
      </c>
      <c r="CB44" s="7"/>
      <c r="CC44" s="7"/>
      <c r="CD44" s="7"/>
      <c r="CE44" s="7"/>
      <c r="CF44" s="7">
        <v>3</v>
      </c>
      <c r="CG44" s="7">
        <v>116</v>
      </c>
      <c r="CH44" s="7"/>
      <c r="CI44" s="7"/>
      <c r="CJ44" s="8"/>
      <c r="CK44" s="8"/>
      <c r="CL44" s="19">
        <v>98</v>
      </c>
      <c r="CM44" s="8">
        <v>24823</v>
      </c>
      <c r="CN44" s="9"/>
      <c r="CO44" s="9"/>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row>
    <row r="45" spans="1:210">
      <c r="A45" s="5" t="s">
        <v>84</v>
      </c>
      <c r="B45" s="6"/>
      <c r="C45" s="6"/>
      <c r="D45" s="7"/>
      <c r="E45" s="7"/>
      <c r="F45" s="7"/>
      <c r="G45" s="7"/>
      <c r="H45" s="7"/>
      <c r="I45" s="7"/>
      <c r="J45" s="7"/>
      <c r="K45" s="7"/>
      <c r="L45" s="7">
        <v>1</v>
      </c>
      <c r="M45" s="7">
        <v>10</v>
      </c>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8"/>
      <c r="CK45" s="8"/>
      <c r="CL45" s="19">
        <v>1</v>
      </c>
      <c r="CM45" s="8">
        <v>10</v>
      </c>
      <c r="CN45" s="9"/>
      <c r="CO45" s="9"/>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row>
    <row r="46" spans="1:210">
      <c r="A46" s="5" t="s">
        <v>85</v>
      </c>
      <c r="B46" s="6">
        <v>6</v>
      </c>
      <c r="C46" s="6">
        <v>282</v>
      </c>
      <c r="D46" s="7">
        <v>6</v>
      </c>
      <c r="E46" s="7">
        <v>285</v>
      </c>
      <c r="F46" s="7"/>
      <c r="G46" s="7"/>
      <c r="H46" s="7"/>
      <c r="I46" s="7"/>
      <c r="J46" s="7">
        <v>1</v>
      </c>
      <c r="K46" s="7">
        <v>50</v>
      </c>
      <c r="L46" s="7">
        <v>5</v>
      </c>
      <c r="M46" s="7">
        <v>76</v>
      </c>
      <c r="N46" s="7"/>
      <c r="O46" s="7"/>
      <c r="P46" s="7"/>
      <c r="Q46" s="7"/>
      <c r="R46" s="7"/>
      <c r="S46" s="7"/>
      <c r="T46" s="7"/>
      <c r="U46" s="7"/>
      <c r="V46" s="7"/>
      <c r="W46" s="7"/>
      <c r="X46" s="7"/>
      <c r="Y46" s="7"/>
      <c r="Z46" s="7"/>
      <c r="AA46" s="7"/>
      <c r="AB46" s="7"/>
      <c r="AC46" s="7"/>
      <c r="AD46" s="7">
        <v>2</v>
      </c>
      <c r="AE46" s="7">
        <v>276</v>
      </c>
      <c r="AF46" s="7">
        <v>1</v>
      </c>
      <c r="AG46" s="7">
        <v>154</v>
      </c>
      <c r="AH46" s="7">
        <v>19</v>
      </c>
      <c r="AI46" s="7">
        <v>6161</v>
      </c>
      <c r="AJ46" s="7">
        <v>1</v>
      </c>
      <c r="AK46" s="7">
        <v>542</v>
      </c>
      <c r="AL46" s="7"/>
      <c r="AM46" s="7"/>
      <c r="AN46" s="7"/>
      <c r="AO46" s="7"/>
      <c r="AP46" s="7"/>
      <c r="AQ46" s="7"/>
      <c r="AR46" s="7"/>
      <c r="AS46" s="7"/>
      <c r="AT46" s="7"/>
      <c r="AU46" s="7"/>
      <c r="AV46" s="7"/>
      <c r="AW46" s="7"/>
      <c r="AX46" s="7"/>
      <c r="AY46" s="7"/>
      <c r="AZ46" s="7"/>
      <c r="BA46" s="7"/>
      <c r="BB46" s="7">
        <v>5</v>
      </c>
      <c r="BC46" s="7">
        <v>761</v>
      </c>
      <c r="BD46" s="7">
        <v>9</v>
      </c>
      <c r="BE46" s="7">
        <v>4013</v>
      </c>
      <c r="BF46" s="7"/>
      <c r="BG46" s="7"/>
      <c r="BH46" s="7"/>
      <c r="BI46" s="7"/>
      <c r="BJ46" s="7"/>
      <c r="BK46" s="7"/>
      <c r="BL46" s="7"/>
      <c r="BM46" s="7"/>
      <c r="BN46" s="7"/>
      <c r="BO46" s="7"/>
      <c r="BP46" s="7"/>
      <c r="BQ46" s="7"/>
      <c r="BR46" s="7">
        <v>2</v>
      </c>
      <c r="BS46" s="7">
        <v>141</v>
      </c>
      <c r="BT46" s="7">
        <v>1</v>
      </c>
      <c r="BU46" s="7">
        <v>68</v>
      </c>
      <c r="BV46" s="7">
        <v>1</v>
      </c>
      <c r="BW46" s="7">
        <v>142</v>
      </c>
      <c r="BX46" s="7">
        <v>2</v>
      </c>
      <c r="BY46" s="7">
        <v>64</v>
      </c>
      <c r="BZ46" s="7"/>
      <c r="CA46" s="7"/>
      <c r="CB46" s="7"/>
      <c r="CC46" s="7"/>
      <c r="CD46" s="7"/>
      <c r="CE46" s="7"/>
      <c r="CF46" s="7"/>
      <c r="CG46" s="7"/>
      <c r="CH46" s="7"/>
      <c r="CI46" s="7"/>
      <c r="CJ46" s="8"/>
      <c r="CK46" s="8"/>
      <c r="CL46" s="19">
        <v>61</v>
      </c>
      <c r="CM46" s="8">
        <v>13015</v>
      </c>
      <c r="CN46" s="9"/>
      <c r="CO46" s="9"/>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row>
    <row r="47" spans="1:210">
      <c r="A47" s="5" t="s">
        <v>86</v>
      </c>
      <c r="B47" s="6"/>
      <c r="C47" s="6"/>
      <c r="D47" s="7"/>
      <c r="E47" s="7"/>
      <c r="F47" s="7"/>
      <c r="G47" s="7"/>
      <c r="H47" s="7"/>
      <c r="I47" s="7"/>
      <c r="J47" s="7">
        <v>1</v>
      </c>
      <c r="K47" s="7">
        <v>41</v>
      </c>
      <c r="L47" s="7">
        <v>2</v>
      </c>
      <c r="M47" s="7">
        <v>22</v>
      </c>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8"/>
      <c r="CK47" s="8"/>
      <c r="CL47" s="19">
        <v>3</v>
      </c>
      <c r="CM47" s="8">
        <v>63</v>
      </c>
      <c r="CN47" s="9"/>
      <c r="CO47" s="9"/>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row>
    <row r="48" spans="1:210">
      <c r="A48" s="5" t="s">
        <v>87</v>
      </c>
      <c r="B48" s="6">
        <v>12</v>
      </c>
      <c r="C48" s="6">
        <v>232</v>
      </c>
      <c r="D48" s="7">
        <v>19</v>
      </c>
      <c r="E48" s="7">
        <v>2247</v>
      </c>
      <c r="F48" s="7">
        <v>9</v>
      </c>
      <c r="G48" s="7">
        <v>1322</v>
      </c>
      <c r="H48" s="7"/>
      <c r="I48" s="7"/>
      <c r="J48" s="7"/>
      <c r="K48" s="7"/>
      <c r="L48" s="7">
        <v>2</v>
      </c>
      <c r="M48" s="7">
        <v>36</v>
      </c>
      <c r="N48" s="7">
        <v>2</v>
      </c>
      <c r="O48" s="7">
        <v>31</v>
      </c>
      <c r="P48" s="7"/>
      <c r="Q48" s="7"/>
      <c r="R48" s="7"/>
      <c r="S48" s="7"/>
      <c r="T48" s="7"/>
      <c r="U48" s="7"/>
      <c r="V48" s="7"/>
      <c r="W48" s="7"/>
      <c r="X48" s="7"/>
      <c r="Y48" s="7"/>
      <c r="Z48" s="7"/>
      <c r="AA48" s="7"/>
      <c r="AB48" s="7"/>
      <c r="AC48" s="7"/>
      <c r="AD48" s="7">
        <v>1</v>
      </c>
      <c r="AE48" s="7">
        <v>76</v>
      </c>
      <c r="AF48" s="7">
        <v>3</v>
      </c>
      <c r="AG48" s="7">
        <v>244</v>
      </c>
      <c r="AH48" s="7">
        <v>12</v>
      </c>
      <c r="AI48" s="7">
        <v>3304</v>
      </c>
      <c r="AJ48" s="7">
        <v>4</v>
      </c>
      <c r="AK48" s="7">
        <v>766</v>
      </c>
      <c r="AL48" s="7">
        <v>1</v>
      </c>
      <c r="AM48" s="7">
        <v>759</v>
      </c>
      <c r="AN48" s="7"/>
      <c r="AO48" s="7"/>
      <c r="AP48" s="7"/>
      <c r="AQ48" s="7"/>
      <c r="AR48" s="7"/>
      <c r="AS48" s="7"/>
      <c r="AT48" s="7"/>
      <c r="AU48" s="7"/>
      <c r="AV48" s="7"/>
      <c r="AW48" s="7"/>
      <c r="AX48" s="7"/>
      <c r="AY48" s="7"/>
      <c r="AZ48" s="7">
        <v>1</v>
      </c>
      <c r="BA48" s="7">
        <v>81</v>
      </c>
      <c r="BB48" s="7">
        <v>10</v>
      </c>
      <c r="BC48" s="7">
        <v>5219</v>
      </c>
      <c r="BD48" s="7">
        <v>3</v>
      </c>
      <c r="BE48" s="7">
        <v>1164</v>
      </c>
      <c r="BF48" s="7">
        <v>1</v>
      </c>
      <c r="BG48" s="7">
        <v>94</v>
      </c>
      <c r="BH48" s="7"/>
      <c r="BI48" s="7"/>
      <c r="BJ48" s="7"/>
      <c r="BK48" s="7"/>
      <c r="BL48" s="7"/>
      <c r="BM48" s="7"/>
      <c r="BN48" s="7"/>
      <c r="BO48" s="7"/>
      <c r="BP48" s="7"/>
      <c r="BQ48" s="7"/>
      <c r="BR48" s="7">
        <v>10</v>
      </c>
      <c r="BS48" s="7">
        <v>402</v>
      </c>
      <c r="BT48" s="7">
        <v>6</v>
      </c>
      <c r="BU48" s="7">
        <v>320</v>
      </c>
      <c r="BV48" s="7"/>
      <c r="BW48" s="7"/>
      <c r="BX48" s="7">
        <v>8</v>
      </c>
      <c r="BY48" s="7">
        <v>305</v>
      </c>
      <c r="BZ48" s="7">
        <v>7</v>
      </c>
      <c r="CA48" s="7">
        <v>199</v>
      </c>
      <c r="CB48" s="7"/>
      <c r="CC48" s="7"/>
      <c r="CD48" s="7"/>
      <c r="CE48" s="7"/>
      <c r="CF48" s="7">
        <v>3</v>
      </c>
      <c r="CG48" s="7">
        <v>80</v>
      </c>
      <c r="CH48" s="7">
        <v>2</v>
      </c>
      <c r="CI48" s="7">
        <v>70</v>
      </c>
      <c r="CJ48" s="8"/>
      <c r="CK48" s="8"/>
      <c r="CL48" s="19">
        <v>116</v>
      </c>
      <c r="CM48" s="8">
        <v>16951</v>
      </c>
      <c r="CN48" s="9"/>
      <c r="CO48" s="9"/>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row>
    <row r="49" spans="1:210">
      <c r="A49" s="5" t="s">
        <v>88</v>
      </c>
      <c r="B49" s="6"/>
      <c r="C49" s="6"/>
      <c r="D49" s="7"/>
      <c r="E49" s="7"/>
      <c r="F49" s="7"/>
      <c r="G49" s="7"/>
      <c r="H49" s="7"/>
      <c r="I49" s="7"/>
      <c r="J49" s="7"/>
      <c r="K49" s="7"/>
      <c r="L49" s="7">
        <v>6</v>
      </c>
      <c r="M49" s="7">
        <v>114</v>
      </c>
      <c r="N49" s="7">
        <v>3</v>
      </c>
      <c r="O49" s="7">
        <v>38</v>
      </c>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8"/>
      <c r="CK49" s="8"/>
      <c r="CL49" s="19">
        <v>9</v>
      </c>
      <c r="CM49" s="8">
        <v>152</v>
      </c>
      <c r="CN49" s="9"/>
      <c r="CO49" s="9"/>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row>
    <row r="50" spans="1:210">
      <c r="A50" s="5" t="s">
        <v>89</v>
      </c>
      <c r="B50" s="6"/>
      <c r="C50" s="6"/>
      <c r="D50" s="7"/>
      <c r="E50" s="7"/>
      <c r="F50" s="7"/>
      <c r="G50" s="7"/>
      <c r="H50" s="7"/>
      <c r="I50" s="7"/>
      <c r="J50" s="7"/>
      <c r="K50" s="7"/>
      <c r="L50" s="7">
        <v>2</v>
      </c>
      <c r="M50" s="7">
        <v>26</v>
      </c>
      <c r="N50" s="7">
        <v>1</v>
      </c>
      <c r="O50" s="7">
        <v>4</v>
      </c>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8"/>
      <c r="CK50" s="8"/>
      <c r="CL50" s="19">
        <v>3</v>
      </c>
      <c r="CM50" s="8">
        <v>30</v>
      </c>
      <c r="CN50" s="9"/>
      <c r="CO50" s="9"/>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row>
    <row r="51" spans="1:210">
      <c r="A51" s="5" t="s">
        <v>90</v>
      </c>
      <c r="B51" s="6">
        <v>8</v>
      </c>
      <c r="C51" s="6">
        <v>254</v>
      </c>
      <c r="D51" s="7">
        <v>2</v>
      </c>
      <c r="E51" s="7">
        <v>72</v>
      </c>
      <c r="F51" s="7">
        <v>4</v>
      </c>
      <c r="G51" s="7">
        <v>116</v>
      </c>
      <c r="H51" s="7"/>
      <c r="I51" s="7"/>
      <c r="J51" s="7">
        <v>1</v>
      </c>
      <c r="K51" s="7">
        <v>18</v>
      </c>
      <c r="L51" s="7">
        <v>2</v>
      </c>
      <c r="M51" s="7">
        <v>24</v>
      </c>
      <c r="N51" s="7"/>
      <c r="O51" s="7"/>
      <c r="P51" s="7"/>
      <c r="Q51" s="7"/>
      <c r="R51" s="7"/>
      <c r="S51" s="7"/>
      <c r="T51" s="7"/>
      <c r="U51" s="7"/>
      <c r="V51" s="7"/>
      <c r="W51" s="7"/>
      <c r="X51" s="7"/>
      <c r="Y51" s="7"/>
      <c r="Z51" s="7"/>
      <c r="AA51" s="7"/>
      <c r="AB51" s="7"/>
      <c r="AC51" s="7"/>
      <c r="AD51" s="7"/>
      <c r="AE51" s="7"/>
      <c r="AF51" s="7"/>
      <c r="AG51" s="7"/>
      <c r="AH51" s="7">
        <v>6</v>
      </c>
      <c r="AI51" s="7">
        <v>1320</v>
      </c>
      <c r="AJ51" s="7">
        <v>6</v>
      </c>
      <c r="AK51" s="7">
        <v>1783</v>
      </c>
      <c r="AL51" s="7"/>
      <c r="AM51" s="7"/>
      <c r="AN51" s="7"/>
      <c r="AO51" s="7"/>
      <c r="AP51" s="7"/>
      <c r="AQ51" s="7"/>
      <c r="AR51" s="7"/>
      <c r="AS51" s="7"/>
      <c r="AT51" s="7"/>
      <c r="AU51" s="7"/>
      <c r="AV51" s="7"/>
      <c r="AW51" s="7"/>
      <c r="AX51" s="7"/>
      <c r="AY51" s="7"/>
      <c r="AZ51" s="7"/>
      <c r="BA51" s="7"/>
      <c r="BB51" s="7"/>
      <c r="BC51" s="7"/>
      <c r="BD51" s="7">
        <v>1</v>
      </c>
      <c r="BE51" s="7">
        <v>156</v>
      </c>
      <c r="BF51" s="7"/>
      <c r="BG51" s="7"/>
      <c r="BH51" s="7"/>
      <c r="BI51" s="7"/>
      <c r="BJ51" s="7"/>
      <c r="BK51" s="7"/>
      <c r="BL51" s="7"/>
      <c r="BM51" s="7"/>
      <c r="BN51" s="7"/>
      <c r="BO51" s="7"/>
      <c r="BP51" s="7"/>
      <c r="BQ51" s="7"/>
      <c r="BR51" s="7">
        <v>3</v>
      </c>
      <c r="BS51" s="7">
        <v>79</v>
      </c>
      <c r="BT51" s="7">
        <v>2</v>
      </c>
      <c r="BU51" s="7">
        <v>42</v>
      </c>
      <c r="BV51" s="7"/>
      <c r="BW51" s="7"/>
      <c r="BX51" s="7"/>
      <c r="BY51" s="7"/>
      <c r="BZ51" s="7"/>
      <c r="CA51" s="7"/>
      <c r="CB51" s="7">
        <v>1</v>
      </c>
      <c r="CC51" s="7">
        <v>54</v>
      </c>
      <c r="CD51" s="7"/>
      <c r="CE51" s="7"/>
      <c r="CF51" s="7"/>
      <c r="CG51" s="7"/>
      <c r="CH51" s="7"/>
      <c r="CI51" s="7"/>
      <c r="CJ51" s="8"/>
      <c r="CK51" s="8"/>
      <c r="CL51" s="19">
        <v>36</v>
      </c>
      <c r="CM51" s="8">
        <v>3918</v>
      </c>
      <c r="CN51" s="9"/>
      <c r="CO51" s="9"/>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row>
    <row r="52" spans="1:210">
      <c r="A52" s="5" t="s">
        <v>91</v>
      </c>
      <c r="B52" s="6"/>
      <c r="C52" s="6"/>
      <c r="D52" s="7"/>
      <c r="E52" s="7"/>
      <c r="F52" s="7"/>
      <c r="G52" s="7"/>
      <c r="H52" s="7"/>
      <c r="I52" s="7"/>
      <c r="J52" s="7"/>
      <c r="K52" s="7"/>
      <c r="L52" s="7">
        <v>1</v>
      </c>
      <c r="M52" s="7">
        <v>20</v>
      </c>
      <c r="N52" s="7">
        <v>3</v>
      </c>
      <c r="O52" s="7">
        <v>34</v>
      </c>
      <c r="P52" s="7"/>
      <c r="Q52" s="7"/>
      <c r="R52" s="7"/>
      <c r="S52" s="7"/>
      <c r="T52" s="7"/>
      <c r="U52" s="7"/>
      <c r="V52" s="7"/>
      <c r="W52" s="7"/>
      <c r="X52" s="7"/>
      <c r="Y52" s="7"/>
      <c r="Z52" s="7"/>
      <c r="AA52" s="7"/>
      <c r="AB52" s="7"/>
      <c r="AC52" s="7"/>
      <c r="AD52" s="7"/>
      <c r="AE52" s="7"/>
      <c r="AF52" s="7"/>
      <c r="AG52" s="7"/>
      <c r="AH52" s="7">
        <v>1</v>
      </c>
      <c r="AI52" s="7">
        <v>12</v>
      </c>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8"/>
      <c r="CK52" s="8"/>
      <c r="CL52" s="19">
        <v>5</v>
      </c>
      <c r="CM52" s="8">
        <v>66</v>
      </c>
      <c r="CN52" s="9"/>
      <c r="CO52" s="9"/>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row>
    <row r="53" spans="1:210">
      <c r="A53" s="5" t="s">
        <v>92</v>
      </c>
      <c r="B53" s="6">
        <v>2</v>
      </c>
      <c r="C53" s="6">
        <v>18</v>
      </c>
      <c r="D53" s="7"/>
      <c r="E53" s="7"/>
      <c r="F53" s="7">
        <v>1</v>
      </c>
      <c r="G53" s="7">
        <v>82</v>
      </c>
      <c r="H53" s="7"/>
      <c r="I53" s="7"/>
      <c r="J53" s="7">
        <v>1</v>
      </c>
      <c r="K53" s="7">
        <v>16</v>
      </c>
      <c r="L53" s="7">
        <v>8</v>
      </c>
      <c r="M53" s="7">
        <v>103</v>
      </c>
      <c r="N53" s="7">
        <v>8</v>
      </c>
      <c r="O53" s="7">
        <v>109</v>
      </c>
      <c r="P53" s="7"/>
      <c r="Q53" s="7"/>
      <c r="R53" s="7"/>
      <c r="S53" s="7"/>
      <c r="T53" s="7"/>
      <c r="U53" s="7"/>
      <c r="V53" s="7"/>
      <c r="W53" s="7"/>
      <c r="X53" s="7"/>
      <c r="Y53" s="7"/>
      <c r="Z53" s="7"/>
      <c r="AA53" s="7"/>
      <c r="AB53" s="7"/>
      <c r="AC53" s="7"/>
      <c r="AD53" s="7">
        <v>1</v>
      </c>
      <c r="AE53" s="7">
        <v>63</v>
      </c>
      <c r="AF53" s="7">
        <v>6</v>
      </c>
      <c r="AG53" s="7">
        <v>809</v>
      </c>
      <c r="AH53" s="7">
        <v>4</v>
      </c>
      <c r="AI53" s="7">
        <v>1005</v>
      </c>
      <c r="AJ53" s="7">
        <v>3</v>
      </c>
      <c r="AK53" s="7">
        <v>173</v>
      </c>
      <c r="AL53" s="7">
        <v>1</v>
      </c>
      <c r="AM53" s="7">
        <v>74</v>
      </c>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v>3</v>
      </c>
      <c r="BS53" s="7">
        <v>171</v>
      </c>
      <c r="BT53" s="7"/>
      <c r="BU53" s="7"/>
      <c r="BV53" s="7"/>
      <c r="BW53" s="7"/>
      <c r="BX53" s="7"/>
      <c r="BY53" s="7"/>
      <c r="BZ53" s="7">
        <v>2</v>
      </c>
      <c r="CA53" s="7">
        <v>87</v>
      </c>
      <c r="CB53" s="7"/>
      <c r="CC53" s="7"/>
      <c r="CD53" s="7"/>
      <c r="CE53" s="7"/>
      <c r="CF53" s="7">
        <v>1</v>
      </c>
      <c r="CG53" s="7">
        <v>15</v>
      </c>
      <c r="CH53" s="7"/>
      <c r="CI53" s="7"/>
      <c r="CJ53" s="8"/>
      <c r="CK53" s="8"/>
      <c r="CL53" s="19">
        <v>41</v>
      </c>
      <c r="CM53" s="8">
        <v>2725</v>
      </c>
      <c r="CN53" s="9"/>
      <c r="CO53" s="9"/>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row>
    <row r="54" spans="1:210">
      <c r="A54" s="5" t="s">
        <v>93</v>
      </c>
      <c r="B54" s="6">
        <v>21</v>
      </c>
      <c r="C54" s="6">
        <v>1376</v>
      </c>
      <c r="D54" s="6">
        <v>6</v>
      </c>
      <c r="E54" s="6">
        <v>702</v>
      </c>
      <c r="F54" s="6">
        <v>6</v>
      </c>
      <c r="G54" s="6">
        <v>1029</v>
      </c>
      <c r="H54" s="6"/>
      <c r="I54" s="6"/>
      <c r="J54" s="6"/>
      <c r="K54" s="6"/>
      <c r="L54" s="6">
        <v>2</v>
      </c>
      <c r="M54" s="6">
        <v>40</v>
      </c>
      <c r="N54" s="6">
        <v>1</v>
      </c>
      <c r="O54" s="6">
        <v>10</v>
      </c>
      <c r="P54" s="6"/>
      <c r="Q54" s="6"/>
      <c r="R54" s="6"/>
      <c r="S54" s="6"/>
      <c r="T54" s="6"/>
      <c r="U54" s="6"/>
      <c r="V54" s="6"/>
      <c r="W54" s="6"/>
      <c r="X54" s="6"/>
      <c r="Y54" s="6"/>
      <c r="Z54" s="6"/>
      <c r="AA54" s="6"/>
      <c r="AB54" s="6"/>
      <c r="AC54" s="6"/>
      <c r="AD54" s="6">
        <v>3</v>
      </c>
      <c r="AE54" s="6">
        <v>474</v>
      </c>
      <c r="AF54" s="6">
        <v>3</v>
      </c>
      <c r="AG54" s="6">
        <v>452</v>
      </c>
      <c r="AH54" s="6">
        <v>12</v>
      </c>
      <c r="AI54" s="6">
        <v>2157</v>
      </c>
      <c r="AJ54" s="6">
        <v>3</v>
      </c>
      <c r="AK54" s="6">
        <v>985</v>
      </c>
      <c r="AL54" s="6"/>
      <c r="AM54" s="6"/>
      <c r="AN54" s="6"/>
      <c r="AO54" s="6"/>
      <c r="AP54" s="6"/>
      <c r="AQ54" s="6"/>
      <c r="AR54" s="6"/>
      <c r="AS54" s="6"/>
      <c r="AT54" s="6"/>
      <c r="AU54" s="6"/>
      <c r="AV54" s="6"/>
      <c r="AW54" s="6"/>
      <c r="AX54" s="6"/>
      <c r="AY54" s="6"/>
      <c r="AZ54" s="6">
        <v>1</v>
      </c>
      <c r="BA54" s="6">
        <v>478</v>
      </c>
      <c r="BB54" s="6">
        <v>4</v>
      </c>
      <c r="BC54" s="6">
        <v>1252</v>
      </c>
      <c r="BD54" s="6">
        <v>7</v>
      </c>
      <c r="BE54" s="6">
        <v>2209</v>
      </c>
      <c r="BF54" s="6">
        <v>1</v>
      </c>
      <c r="BG54" s="6">
        <v>136</v>
      </c>
      <c r="BH54" s="6"/>
      <c r="BI54" s="6"/>
      <c r="BJ54" s="6"/>
      <c r="BK54" s="6"/>
      <c r="BL54" s="6"/>
      <c r="BM54" s="6"/>
      <c r="BN54" s="6"/>
      <c r="BO54" s="6"/>
      <c r="BP54" s="6"/>
      <c r="BQ54" s="6"/>
      <c r="BR54" s="6">
        <v>1</v>
      </c>
      <c r="BS54" s="6">
        <v>49</v>
      </c>
      <c r="BT54" s="6">
        <v>2</v>
      </c>
      <c r="BU54" s="6">
        <v>164</v>
      </c>
      <c r="BV54" s="6"/>
      <c r="BW54" s="6"/>
      <c r="BX54" s="6">
        <v>5</v>
      </c>
      <c r="BY54" s="6">
        <v>193</v>
      </c>
      <c r="BZ54" s="6">
        <v>2</v>
      </c>
      <c r="CA54" s="6">
        <v>114</v>
      </c>
      <c r="CB54" s="6"/>
      <c r="CC54" s="6"/>
      <c r="CD54" s="6"/>
      <c r="CE54" s="6"/>
      <c r="CF54" s="6">
        <v>1</v>
      </c>
      <c r="CG54" s="6">
        <v>20</v>
      </c>
      <c r="CH54" s="6">
        <v>1</v>
      </c>
      <c r="CI54" s="6">
        <v>18</v>
      </c>
      <c r="CJ54" s="8"/>
      <c r="CK54" s="8"/>
      <c r="CL54" s="19">
        <v>82</v>
      </c>
      <c r="CM54" s="8">
        <v>11858</v>
      </c>
      <c r="CN54" s="9"/>
      <c r="CO54" s="9"/>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row>
    <row r="55" spans="1:210">
      <c r="A55" s="5" t="s">
        <v>94</v>
      </c>
      <c r="B55" s="6"/>
      <c r="C55" s="6"/>
      <c r="D55" s="6"/>
      <c r="E55" s="6"/>
      <c r="F55" s="6"/>
      <c r="G55" s="6"/>
      <c r="H55" s="6"/>
      <c r="I55" s="6"/>
      <c r="J55" s="6">
        <v>1</v>
      </c>
      <c r="K55" s="6">
        <v>32</v>
      </c>
      <c r="L55" s="6">
        <v>4</v>
      </c>
      <c r="M55" s="6">
        <v>77</v>
      </c>
      <c r="N55" s="6">
        <v>1</v>
      </c>
      <c r="O55" s="6">
        <v>16</v>
      </c>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v>1</v>
      </c>
      <c r="BA55" s="6">
        <v>110</v>
      </c>
      <c r="BB55" s="6"/>
      <c r="BC55" s="6"/>
      <c r="BD55" s="6"/>
      <c r="BE55" s="6"/>
      <c r="BF55" s="6"/>
      <c r="BG55" s="6"/>
      <c r="BH55" s="6"/>
      <c r="BI55" s="6"/>
      <c r="BJ55" s="6"/>
      <c r="BK55" s="6"/>
      <c r="BL55" s="6"/>
      <c r="BM55" s="6"/>
      <c r="BN55" s="6"/>
      <c r="BO55" s="6"/>
      <c r="BP55" s="6"/>
      <c r="BQ55" s="6"/>
      <c r="BR55" s="6">
        <v>1</v>
      </c>
      <c r="BS55" s="6">
        <v>16</v>
      </c>
      <c r="BT55" s="6"/>
      <c r="BU55" s="6"/>
      <c r="BV55" s="6"/>
      <c r="BW55" s="6"/>
      <c r="BX55" s="6"/>
      <c r="BY55" s="6"/>
      <c r="BZ55" s="6"/>
      <c r="CA55" s="6"/>
      <c r="CB55" s="6"/>
      <c r="CC55" s="6"/>
      <c r="CD55" s="6"/>
      <c r="CE55" s="6"/>
      <c r="CF55" s="6"/>
      <c r="CG55" s="6"/>
      <c r="CH55" s="6"/>
      <c r="CI55" s="6"/>
      <c r="CJ55" s="8"/>
      <c r="CK55" s="8"/>
      <c r="CL55" s="19">
        <v>8</v>
      </c>
      <c r="CM55" s="8">
        <v>251</v>
      </c>
      <c r="CN55" s="9"/>
      <c r="CO55" s="9"/>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row>
    <row r="56" spans="1:210">
      <c r="A56" s="5" t="s">
        <v>95</v>
      </c>
      <c r="B56" s="6"/>
      <c r="C56" s="6"/>
      <c r="D56" s="6"/>
      <c r="E56" s="6"/>
      <c r="F56" s="6"/>
      <c r="G56" s="6"/>
      <c r="H56" s="6"/>
      <c r="I56" s="6"/>
      <c r="J56" s="6"/>
      <c r="K56" s="6"/>
      <c r="L56" s="6">
        <v>1</v>
      </c>
      <c r="M56" s="6">
        <v>20</v>
      </c>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8"/>
      <c r="CK56" s="8"/>
      <c r="CL56" s="19">
        <v>1</v>
      </c>
      <c r="CM56" s="8">
        <v>20</v>
      </c>
      <c r="CN56" s="9"/>
      <c r="CO56" s="9"/>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row>
    <row r="57" spans="1:210">
      <c r="A57" s="11" t="s">
        <v>96</v>
      </c>
      <c r="B57" s="12">
        <v>131</v>
      </c>
      <c r="C57" s="12">
        <v>7925</v>
      </c>
      <c r="D57" s="12">
        <v>141</v>
      </c>
      <c r="E57" s="12">
        <v>16750</v>
      </c>
      <c r="F57" s="12">
        <v>108</v>
      </c>
      <c r="G57" s="12">
        <v>19572</v>
      </c>
      <c r="H57" s="12">
        <v>7</v>
      </c>
      <c r="I57" s="12">
        <v>2093</v>
      </c>
      <c r="J57" s="12">
        <v>27</v>
      </c>
      <c r="K57" s="12">
        <v>981</v>
      </c>
      <c r="L57" s="12">
        <v>151</v>
      </c>
      <c r="M57" s="12">
        <v>2082</v>
      </c>
      <c r="N57" s="12">
        <v>48</v>
      </c>
      <c r="O57" s="12">
        <v>607</v>
      </c>
      <c r="P57" s="12">
        <v>1</v>
      </c>
      <c r="Q57" s="12">
        <v>500</v>
      </c>
      <c r="R57" s="12">
        <v>0</v>
      </c>
      <c r="S57" s="12">
        <v>0</v>
      </c>
      <c r="T57" s="12">
        <v>0</v>
      </c>
      <c r="U57" s="12">
        <v>0</v>
      </c>
      <c r="V57" s="12">
        <v>0</v>
      </c>
      <c r="W57" s="12">
        <v>0</v>
      </c>
      <c r="X57" s="12">
        <v>0</v>
      </c>
      <c r="Y57" s="12">
        <v>0</v>
      </c>
      <c r="Z57" s="12">
        <v>1</v>
      </c>
      <c r="AA57" s="12">
        <v>660</v>
      </c>
      <c r="AB57" s="12">
        <v>1</v>
      </c>
      <c r="AC57" s="12">
        <v>1118</v>
      </c>
      <c r="AD57" s="12">
        <v>33</v>
      </c>
      <c r="AE57" s="12">
        <v>2958</v>
      </c>
      <c r="AF57" s="12">
        <v>60</v>
      </c>
      <c r="AG57" s="12">
        <v>9818</v>
      </c>
      <c r="AH57" s="12">
        <v>293</v>
      </c>
      <c r="AI57" s="12">
        <v>86965</v>
      </c>
      <c r="AJ57" s="12">
        <v>146</v>
      </c>
      <c r="AK57" s="12">
        <v>44352</v>
      </c>
      <c r="AL57" s="12">
        <v>23</v>
      </c>
      <c r="AM57" s="12">
        <v>5312</v>
      </c>
      <c r="AN57" s="12">
        <v>5</v>
      </c>
      <c r="AO57" s="12">
        <v>209</v>
      </c>
      <c r="AP57" s="12">
        <v>3</v>
      </c>
      <c r="AQ57" s="12">
        <v>228</v>
      </c>
      <c r="AR57" s="12">
        <v>3</v>
      </c>
      <c r="AS57" s="12">
        <v>251</v>
      </c>
      <c r="AT57" s="12">
        <v>2</v>
      </c>
      <c r="AU57" s="12">
        <v>156</v>
      </c>
      <c r="AV57" s="12">
        <v>0</v>
      </c>
      <c r="AW57" s="12">
        <v>0</v>
      </c>
      <c r="AX57" s="12">
        <v>2</v>
      </c>
      <c r="AY57" s="12">
        <v>106</v>
      </c>
      <c r="AZ57" s="12">
        <v>11</v>
      </c>
      <c r="BA57" s="12">
        <v>2024</v>
      </c>
      <c r="BB57" s="12">
        <v>85</v>
      </c>
      <c r="BC57" s="12">
        <v>37241</v>
      </c>
      <c r="BD57" s="12">
        <v>74</v>
      </c>
      <c r="BE57" s="12">
        <v>32504</v>
      </c>
      <c r="BF57" s="12">
        <v>3</v>
      </c>
      <c r="BG57" s="12">
        <v>448</v>
      </c>
      <c r="BH57" s="12">
        <v>0</v>
      </c>
      <c r="BI57" s="12">
        <v>0</v>
      </c>
      <c r="BJ57" s="12">
        <v>0</v>
      </c>
      <c r="BK57" s="12">
        <v>0</v>
      </c>
      <c r="BL57" s="12">
        <v>0</v>
      </c>
      <c r="BM57" s="12">
        <v>0</v>
      </c>
      <c r="BN57" s="12">
        <v>0</v>
      </c>
      <c r="BO57" s="12">
        <v>0</v>
      </c>
      <c r="BP57" s="12">
        <v>0</v>
      </c>
      <c r="BQ57" s="12">
        <v>0</v>
      </c>
      <c r="BR57" s="12">
        <v>51</v>
      </c>
      <c r="BS57" s="12">
        <v>2882</v>
      </c>
      <c r="BT57" s="12">
        <v>38</v>
      </c>
      <c r="BU57" s="12">
        <v>2153</v>
      </c>
      <c r="BV57" s="12">
        <v>5</v>
      </c>
      <c r="BW57" s="12">
        <v>382</v>
      </c>
      <c r="BX57" s="12">
        <v>64</v>
      </c>
      <c r="BY57" s="12">
        <v>2562</v>
      </c>
      <c r="BZ57" s="12">
        <v>38</v>
      </c>
      <c r="CA57" s="12">
        <v>1554</v>
      </c>
      <c r="CB57" s="12">
        <v>3</v>
      </c>
      <c r="CC57" s="12">
        <v>140</v>
      </c>
      <c r="CD57" s="12">
        <v>0</v>
      </c>
      <c r="CE57" s="12">
        <v>0</v>
      </c>
      <c r="CF57" s="12">
        <v>19</v>
      </c>
      <c r="CG57" s="12">
        <v>566</v>
      </c>
      <c r="CH57" s="12">
        <v>9</v>
      </c>
      <c r="CI57" s="12">
        <v>248</v>
      </c>
      <c r="CJ57" s="12">
        <v>1</v>
      </c>
      <c r="CK57" s="12">
        <v>23</v>
      </c>
      <c r="CL57" s="4">
        <v>1587</v>
      </c>
      <c r="CM57" s="12">
        <v>285370</v>
      </c>
      <c r="CN57" s="9"/>
      <c r="CO57" s="9"/>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row>
  </sheetData>
  <sheetProtection password="C668" sheet="1"/>
  <mergeCells count="46">
    <mergeCell ref="V6:W6"/>
    <mergeCell ref="A6:A8"/>
    <mergeCell ref="B6:C6"/>
    <mergeCell ref="D6:E6"/>
    <mergeCell ref="F6:G6"/>
    <mergeCell ref="H6:I6"/>
    <mergeCell ref="J6:K6"/>
    <mergeCell ref="L6:M6"/>
    <mergeCell ref="N6:O6"/>
    <mergeCell ref="P6:Q6"/>
    <mergeCell ref="R6:S6"/>
    <mergeCell ref="T6:U6"/>
    <mergeCell ref="AT6:AU6"/>
    <mergeCell ref="X6:Y6"/>
    <mergeCell ref="Z6:AA6"/>
    <mergeCell ref="AB6:AC6"/>
    <mergeCell ref="AD6:AE6"/>
    <mergeCell ref="AF6:AG6"/>
    <mergeCell ref="AH6:AI6"/>
    <mergeCell ref="AJ6:AK6"/>
    <mergeCell ref="AL6:AM6"/>
    <mergeCell ref="AN6:AO6"/>
    <mergeCell ref="AP6:AQ6"/>
    <mergeCell ref="AR6:AS6"/>
    <mergeCell ref="BR6:BS6"/>
    <mergeCell ref="AV6:AW6"/>
    <mergeCell ref="AX6:AY6"/>
    <mergeCell ref="AZ6:BA6"/>
    <mergeCell ref="BB6:BC6"/>
    <mergeCell ref="BD6:BE6"/>
    <mergeCell ref="BF6:BG6"/>
    <mergeCell ref="BH6:BI6"/>
    <mergeCell ref="BJ6:BK6"/>
    <mergeCell ref="BL6:BM6"/>
    <mergeCell ref="BN6:BO6"/>
    <mergeCell ref="BP6:BQ6"/>
    <mergeCell ref="CF6:CG6"/>
    <mergeCell ref="CH6:CI6"/>
    <mergeCell ref="CJ6:CK6"/>
    <mergeCell ref="CL6:CM6"/>
    <mergeCell ref="BT6:BU6"/>
    <mergeCell ref="BV6:BW6"/>
    <mergeCell ref="BX6:BY6"/>
    <mergeCell ref="BZ6:CA6"/>
    <mergeCell ref="CB6:CC6"/>
    <mergeCell ref="CD6:CE6"/>
  </mergeCells>
  <conditionalFormatting sqref="A9:CM56">
    <cfRule type="expression" dxfId="4" priority="2" stopIfTrue="1">
      <formula>MOD(ROW(),2)=0</formula>
    </cfRule>
  </conditionalFormatting>
  <pageMargins left="0" right="0" top="0" bottom="0" header="0.31496062992125984" footer="0.31496062992125984"/>
  <pageSetup paperSize="8" scale="70" orientation="landscape" r:id="rId1"/>
  <colBreaks count="5" manualBreakCount="5">
    <brk id="17" max="1048575" man="1"/>
    <brk id="33" max="1048575" man="1"/>
    <brk id="49" max="1048575" man="1"/>
    <brk id="65" max="1048575" man="1"/>
    <brk id="81" max="1048575"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3:DW44"/>
  <sheetViews>
    <sheetView showGridLines="0" workbookViewId="0"/>
  </sheetViews>
  <sheetFormatPr baseColWidth="10" defaultRowHeight="15"/>
  <cols>
    <col min="1" max="1" width="15.85546875" customWidth="1"/>
    <col min="3" max="3" width="17" bestFit="1" customWidth="1"/>
    <col min="4" max="4" width="15.140625" bestFit="1" customWidth="1"/>
    <col min="5" max="5" width="14" bestFit="1" customWidth="1"/>
    <col min="6" max="6" width="11.140625" bestFit="1" customWidth="1"/>
    <col min="8" max="8" width="16.42578125" customWidth="1"/>
    <col min="9" max="9" width="11.42578125" customWidth="1"/>
    <col min="10" max="10" width="17" bestFit="1" customWidth="1"/>
    <col min="11" max="11" width="15.140625" bestFit="1" customWidth="1"/>
    <col min="12" max="12" width="14" bestFit="1" customWidth="1"/>
    <col min="13" max="13" width="11.140625" bestFit="1" customWidth="1"/>
  </cols>
  <sheetData>
    <row r="3" spans="1:127" ht="16.5">
      <c r="A3" s="13" t="s">
        <v>148</v>
      </c>
      <c r="B3" s="14"/>
      <c r="C3" s="15"/>
      <c r="D3" s="15"/>
      <c r="E3" s="15"/>
      <c r="F3" s="15"/>
      <c r="DT3" t="s">
        <v>99</v>
      </c>
      <c r="DU3">
        <v>19</v>
      </c>
      <c r="DV3">
        <v>298</v>
      </c>
      <c r="DW3">
        <v>566</v>
      </c>
    </row>
    <row r="4" spans="1:127" ht="16.5">
      <c r="A4" s="16" t="s">
        <v>149</v>
      </c>
      <c r="B4" s="17"/>
      <c r="C4" s="18"/>
      <c r="D4" s="18"/>
      <c r="E4" s="18"/>
      <c r="F4" s="18"/>
      <c r="DT4" t="s">
        <v>101</v>
      </c>
      <c r="DU4">
        <v>9</v>
      </c>
      <c r="DV4">
        <v>138</v>
      </c>
      <c r="DW4">
        <v>248</v>
      </c>
    </row>
    <row r="5" spans="1:127" ht="16.5">
      <c r="A5" s="16" t="s">
        <v>150</v>
      </c>
      <c r="B5" s="17"/>
      <c r="C5" s="18"/>
      <c r="D5" s="18"/>
      <c r="E5" s="18"/>
      <c r="F5" s="18"/>
      <c r="DT5" t="s">
        <v>103</v>
      </c>
      <c r="DU5">
        <v>1</v>
      </c>
      <c r="DV5">
        <v>12</v>
      </c>
      <c r="DW5">
        <v>23</v>
      </c>
    </row>
    <row r="7" spans="1:127" s="109" customFormat="1" ht="12.75">
      <c r="A7" s="143" t="s">
        <v>104</v>
      </c>
      <c r="B7" s="143"/>
      <c r="C7" s="107" t="s">
        <v>105</v>
      </c>
      <c r="D7" s="107" t="s">
        <v>106</v>
      </c>
      <c r="E7" s="107" t="s">
        <v>107</v>
      </c>
      <c r="F7" s="107" t="s">
        <v>108</v>
      </c>
      <c r="H7" s="143" t="s">
        <v>104</v>
      </c>
      <c r="I7" s="143"/>
      <c r="J7" s="107" t="s">
        <v>105</v>
      </c>
      <c r="K7" s="107" t="s">
        <v>106</v>
      </c>
      <c r="L7" s="107" t="s">
        <v>107</v>
      </c>
      <c r="M7" s="107" t="s">
        <v>108</v>
      </c>
    </row>
    <row r="8" spans="1:127" s="109" customFormat="1" ht="12.75">
      <c r="A8" s="144" t="s">
        <v>109</v>
      </c>
      <c r="B8" s="144"/>
      <c r="C8" s="108" t="s">
        <v>110</v>
      </c>
      <c r="D8" s="108" t="s">
        <v>111</v>
      </c>
      <c r="E8" s="108" t="s">
        <v>112</v>
      </c>
      <c r="F8" s="108" t="s">
        <v>113</v>
      </c>
      <c r="H8" s="144" t="s">
        <v>109</v>
      </c>
      <c r="I8" s="144"/>
      <c r="J8" s="108" t="s">
        <v>110</v>
      </c>
      <c r="K8" s="108" t="s">
        <v>111</v>
      </c>
      <c r="L8" s="108" t="s">
        <v>112</v>
      </c>
      <c r="M8" s="108" t="s">
        <v>113</v>
      </c>
    </row>
    <row r="9" spans="1:127" s="109" customFormat="1" ht="12.75">
      <c r="A9" s="144" t="s">
        <v>114</v>
      </c>
      <c r="B9" s="144"/>
      <c r="C9" s="108" t="s">
        <v>115</v>
      </c>
      <c r="D9" s="108" t="s">
        <v>116</v>
      </c>
      <c r="E9" s="108" t="s">
        <v>117</v>
      </c>
      <c r="F9" s="108" t="s">
        <v>118</v>
      </c>
      <c r="H9" s="144" t="s">
        <v>114</v>
      </c>
      <c r="I9" s="144"/>
      <c r="J9" s="108" t="s">
        <v>115</v>
      </c>
      <c r="K9" s="108" t="s">
        <v>116</v>
      </c>
      <c r="L9" s="108" t="s">
        <v>117</v>
      </c>
      <c r="M9" s="108" t="s">
        <v>118</v>
      </c>
    </row>
    <row r="10" spans="1:127">
      <c r="A10" s="139" t="s">
        <v>119</v>
      </c>
      <c r="B10" s="139"/>
      <c r="C10" s="6">
        <v>139</v>
      </c>
      <c r="D10" s="6">
        <v>2920</v>
      </c>
      <c r="E10" s="6">
        <v>8394</v>
      </c>
      <c r="F10" s="20">
        <v>0.17308644011877269</v>
      </c>
      <c r="H10" s="139" t="s">
        <v>25</v>
      </c>
      <c r="I10" s="139"/>
      <c r="J10" s="6">
        <v>2</v>
      </c>
      <c r="K10" s="6">
        <v>33</v>
      </c>
      <c r="L10" s="6">
        <v>106</v>
      </c>
      <c r="M10" s="20">
        <v>1.4735115448239432E-3</v>
      </c>
    </row>
    <row r="11" spans="1:127">
      <c r="A11" s="139" t="s">
        <v>120</v>
      </c>
      <c r="B11" s="139"/>
      <c r="C11" s="6">
        <v>146</v>
      </c>
      <c r="D11" s="6">
        <v>6701</v>
      </c>
      <c r="E11" s="6">
        <v>17808</v>
      </c>
      <c r="F11" s="20">
        <v>0.3672055427251732</v>
      </c>
      <c r="H11" s="139" t="s">
        <v>26</v>
      </c>
      <c r="I11" s="139"/>
      <c r="J11" s="6">
        <v>11</v>
      </c>
      <c r="K11" s="6">
        <v>767</v>
      </c>
      <c r="L11" s="6">
        <v>2024</v>
      </c>
      <c r="M11" s="20">
        <v>2.8135729874751519E-2</v>
      </c>
    </row>
    <row r="12" spans="1:127">
      <c r="A12" s="139" t="s">
        <v>121</v>
      </c>
      <c r="B12" s="139"/>
      <c r="C12" s="6">
        <v>110</v>
      </c>
      <c r="D12" s="6">
        <v>7772</v>
      </c>
      <c r="E12" s="6">
        <v>20201</v>
      </c>
      <c r="F12" s="20">
        <v>0.41654981854173539</v>
      </c>
      <c r="H12" s="139" t="s">
        <v>27</v>
      </c>
      <c r="I12" s="139"/>
      <c r="J12" s="6">
        <v>90</v>
      </c>
      <c r="K12" s="6">
        <v>17498</v>
      </c>
      <c r="L12" s="6">
        <v>39882</v>
      </c>
      <c r="M12" s="20">
        <v>0.55440176821385379</v>
      </c>
    </row>
    <row r="13" spans="1:127">
      <c r="A13" s="139" t="s">
        <v>122</v>
      </c>
      <c r="B13" s="139"/>
      <c r="C13" s="6">
        <v>7</v>
      </c>
      <c r="D13" s="6">
        <v>645</v>
      </c>
      <c r="E13" s="6">
        <v>2093</v>
      </c>
      <c r="F13" s="20">
        <v>4.3158198614318709E-2</v>
      </c>
      <c r="H13" s="139" t="s">
        <v>28</v>
      </c>
      <c r="I13" s="139"/>
      <c r="J13" s="6">
        <v>69</v>
      </c>
      <c r="K13" s="6">
        <v>13532</v>
      </c>
      <c r="L13" s="6">
        <v>29477</v>
      </c>
      <c r="M13" s="20">
        <v>0.40976131893184314</v>
      </c>
    </row>
    <row r="14" spans="1:127">
      <c r="A14" s="140" t="s">
        <v>123</v>
      </c>
      <c r="B14" s="140"/>
      <c r="C14" s="21">
        <v>402</v>
      </c>
      <c r="D14" s="21">
        <v>18038</v>
      </c>
      <c r="E14" s="21">
        <v>48496</v>
      </c>
      <c r="F14" s="22">
        <v>0.99999999999999989</v>
      </c>
      <c r="H14" s="139" t="s">
        <v>29</v>
      </c>
      <c r="I14" s="139"/>
      <c r="J14" s="6">
        <v>3</v>
      </c>
      <c r="K14" s="6">
        <v>226</v>
      </c>
      <c r="L14" s="6">
        <v>448</v>
      </c>
      <c r="M14" s="20">
        <v>6.2276714347276087E-3</v>
      </c>
    </row>
    <row r="15" spans="1:127">
      <c r="A15" s="139"/>
      <c r="B15" s="139"/>
      <c r="C15" s="6"/>
      <c r="D15" s="6"/>
      <c r="E15" s="6"/>
      <c r="F15" s="20"/>
      <c r="H15" s="140" t="s">
        <v>124</v>
      </c>
      <c r="I15" s="140"/>
      <c r="J15" s="21">
        <v>175</v>
      </c>
      <c r="K15" s="21">
        <v>32056</v>
      </c>
      <c r="L15" s="21">
        <v>71937</v>
      </c>
      <c r="M15" s="22">
        <v>1</v>
      </c>
    </row>
    <row r="16" spans="1:127">
      <c r="A16" s="140" t="s">
        <v>7</v>
      </c>
      <c r="B16" s="140"/>
      <c r="C16" s="21">
        <v>25</v>
      </c>
      <c r="D16" s="21">
        <v>454</v>
      </c>
      <c r="E16" s="21">
        <v>887</v>
      </c>
      <c r="F16" s="22">
        <v>1</v>
      </c>
      <c r="H16" s="139"/>
      <c r="I16" s="139"/>
      <c r="J16" s="6"/>
      <c r="K16" s="6"/>
      <c r="L16" s="6"/>
      <c r="M16" s="20"/>
    </row>
    <row r="17" spans="1:13">
      <c r="A17" s="140" t="s">
        <v>167</v>
      </c>
      <c r="B17" s="140"/>
      <c r="C17" s="21">
        <v>149</v>
      </c>
      <c r="D17" s="21">
        <v>966</v>
      </c>
      <c r="E17" s="21">
        <v>2010</v>
      </c>
      <c r="F17" s="22">
        <v>1</v>
      </c>
      <c r="H17" s="139" t="s">
        <v>30</v>
      </c>
      <c r="I17" s="139"/>
      <c r="J17" s="6"/>
      <c r="K17" s="6"/>
      <c r="L17" s="6"/>
      <c r="M17" s="6"/>
    </row>
    <row r="18" spans="1:13">
      <c r="A18" s="140" t="s">
        <v>8</v>
      </c>
      <c r="B18" s="140"/>
      <c r="C18" s="21">
        <v>45</v>
      </c>
      <c r="D18" s="21">
        <v>288</v>
      </c>
      <c r="E18" s="21">
        <v>561</v>
      </c>
      <c r="F18" s="22">
        <v>1</v>
      </c>
      <c r="H18" s="139" t="s">
        <v>31</v>
      </c>
      <c r="I18" s="139"/>
      <c r="J18" s="6"/>
      <c r="K18" s="6"/>
      <c r="L18" s="6"/>
      <c r="M18" s="6"/>
    </row>
    <row r="19" spans="1:13">
      <c r="A19" s="141"/>
      <c r="B19" s="141"/>
      <c r="C19" s="6"/>
      <c r="D19" s="6"/>
      <c r="E19" s="6"/>
      <c r="F19" s="20"/>
      <c r="H19" s="139" t="s">
        <v>32</v>
      </c>
      <c r="I19" s="139"/>
      <c r="J19" s="6"/>
      <c r="K19" s="6"/>
      <c r="L19" s="6"/>
      <c r="M19" s="6"/>
    </row>
    <row r="20" spans="1:13">
      <c r="A20" s="139" t="s">
        <v>11</v>
      </c>
      <c r="B20" s="139"/>
      <c r="C20" s="6"/>
      <c r="D20" s="23"/>
      <c r="E20" s="6"/>
      <c r="F20" s="20"/>
      <c r="H20" s="139" t="s">
        <v>33</v>
      </c>
      <c r="I20" s="139"/>
      <c r="J20" s="6"/>
      <c r="K20" s="6"/>
      <c r="L20" s="6"/>
      <c r="M20" s="6"/>
    </row>
    <row r="21" spans="1:13">
      <c r="A21" s="139" t="s">
        <v>10</v>
      </c>
      <c r="B21" s="139"/>
      <c r="C21" s="6"/>
      <c r="D21" s="23"/>
      <c r="E21" s="6"/>
      <c r="F21" s="20"/>
      <c r="H21" s="139" t="s">
        <v>34</v>
      </c>
      <c r="I21" s="139"/>
      <c r="J21" s="6"/>
      <c r="K21" s="6"/>
      <c r="L21" s="6"/>
      <c r="M21" s="6"/>
    </row>
    <row r="22" spans="1:13">
      <c r="A22" s="139" t="s">
        <v>9</v>
      </c>
      <c r="B22" s="139"/>
      <c r="C22" s="6"/>
      <c r="D22" s="6"/>
      <c r="E22" s="6"/>
      <c r="F22" s="20"/>
      <c r="H22" s="140" t="s">
        <v>125</v>
      </c>
      <c r="I22" s="140"/>
      <c r="J22" s="21"/>
      <c r="K22" s="21"/>
      <c r="L22" s="21"/>
      <c r="M22" s="24"/>
    </row>
    <row r="23" spans="1:13">
      <c r="A23" s="139" t="s">
        <v>126</v>
      </c>
      <c r="B23" s="139"/>
      <c r="C23" s="6">
        <v>1</v>
      </c>
      <c r="D23" s="6">
        <v>163</v>
      </c>
      <c r="E23" s="6">
        <v>500</v>
      </c>
      <c r="F23" s="25">
        <v>1</v>
      </c>
      <c r="H23" s="139"/>
      <c r="I23" s="139"/>
      <c r="J23" s="6"/>
      <c r="K23" s="6"/>
      <c r="L23" s="6"/>
      <c r="M23" s="20"/>
    </row>
    <row r="24" spans="1:13">
      <c r="A24" s="140" t="s">
        <v>127</v>
      </c>
      <c r="B24" s="140"/>
      <c r="C24" s="21">
        <v>1</v>
      </c>
      <c r="D24" s="21">
        <v>163</v>
      </c>
      <c r="E24" s="21">
        <v>500</v>
      </c>
      <c r="F24" s="22">
        <v>1</v>
      </c>
      <c r="H24" s="139" t="s">
        <v>35</v>
      </c>
      <c r="I24" s="139"/>
      <c r="J24" s="6">
        <v>54</v>
      </c>
      <c r="K24" s="6">
        <v>1580</v>
      </c>
      <c r="L24" s="6">
        <v>3054</v>
      </c>
      <c r="M24" s="20">
        <v>0.53131524008350728</v>
      </c>
    </row>
    <row r="25" spans="1:13">
      <c r="A25" s="139"/>
      <c r="B25" s="139"/>
      <c r="C25" s="6"/>
      <c r="D25" s="6"/>
      <c r="E25" s="6"/>
      <c r="F25" s="20"/>
      <c r="H25" s="139" t="s">
        <v>36</v>
      </c>
      <c r="I25" s="139"/>
      <c r="J25" s="6">
        <v>39</v>
      </c>
      <c r="K25" s="6">
        <v>1200</v>
      </c>
      <c r="L25" s="6">
        <v>2284</v>
      </c>
      <c r="M25" s="20">
        <v>0.39735560194850383</v>
      </c>
    </row>
    <row r="26" spans="1:13">
      <c r="A26" s="139" t="s">
        <v>12</v>
      </c>
      <c r="B26" s="139"/>
      <c r="C26" s="6"/>
      <c r="D26" s="6"/>
      <c r="E26" s="6"/>
      <c r="F26" s="20"/>
      <c r="H26" s="139" t="s">
        <v>37</v>
      </c>
      <c r="I26" s="139"/>
      <c r="J26" s="6">
        <v>6</v>
      </c>
      <c r="K26" s="6">
        <v>229</v>
      </c>
      <c r="L26" s="6">
        <v>410</v>
      </c>
      <c r="M26" s="20">
        <v>7.132915796798886E-2</v>
      </c>
    </row>
    <row r="27" spans="1:13">
      <c r="A27" s="139" t="s">
        <v>13</v>
      </c>
      <c r="B27" s="139"/>
      <c r="C27" s="6">
        <v>1</v>
      </c>
      <c r="D27" s="6">
        <v>324</v>
      </c>
      <c r="E27" s="6">
        <v>660</v>
      </c>
      <c r="F27" s="20">
        <v>0.37120359955005622</v>
      </c>
      <c r="H27" s="140" t="s">
        <v>128</v>
      </c>
      <c r="I27" s="140"/>
      <c r="J27" s="21">
        <v>99</v>
      </c>
      <c r="K27" s="21">
        <v>3009</v>
      </c>
      <c r="L27" s="21">
        <v>5748</v>
      </c>
      <c r="M27" s="22">
        <v>1</v>
      </c>
    </row>
    <row r="28" spans="1:13">
      <c r="A28" s="139" t="s">
        <v>14</v>
      </c>
      <c r="B28" s="139"/>
      <c r="C28" s="6">
        <v>1</v>
      </c>
      <c r="D28" s="6">
        <v>413</v>
      </c>
      <c r="E28" s="6">
        <v>1118</v>
      </c>
      <c r="F28" s="20">
        <v>0.62879640044994378</v>
      </c>
      <c r="H28" s="139"/>
      <c r="I28" s="139"/>
      <c r="J28" s="6"/>
      <c r="K28" s="6"/>
      <c r="L28" s="6"/>
      <c r="M28" s="20"/>
    </row>
    <row r="29" spans="1:13">
      <c r="A29" s="140" t="s">
        <v>129</v>
      </c>
      <c r="B29" s="140"/>
      <c r="C29" s="21">
        <v>2</v>
      </c>
      <c r="D29" s="21">
        <v>737</v>
      </c>
      <c r="E29" s="21">
        <v>1778</v>
      </c>
      <c r="F29" s="22">
        <v>1</v>
      </c>
      <c r="H29" s="139" t="s">
        <v>38</v>
      </c>
      <c r="I29" s="139"/>
      <c r="J29" s="6">
        <v>66</v>
      </c>
      <c r="K29" s="6">
        <v>1436</v>
      </c>
      <c r="L29" s="6">
        <v>2651</v>
      </c>
      <c r="M29" s="20">
        <v>0.61012658227848104</v>
      </c>
    </row>
    <row r="30" spans="1:13">
      <c r="A30" s="139"/>
      <c r="B30" s="139"/>
      <c r="C30" s="6"/>
      <c r="D30" s="6"/>
      <c r="E30" s="6"/>
      <c r="F30" s="20"/>
      <c r="H30" s="139" t="s">
        <v>39</v>
      </c>
      <c r="I30" s="139"/>
      <c r="J30" s="6">
        <v>38</v>
      </c>
      <c r="K30" s="6">
        <v>835</v>
      </c>
      <c r="L30" s="6">
        <v>1554</v>
      </c>
      <c r="M30" s="20">
        <v>0.3576524741081703</v>
      </c>
    </row>
    <row r="31" spans="1:13">
      <c r="A31" s="139" t="s">
        <v>15</v>
      </c>
      <c r="B31" s="139"/>
      <c r="C31" s="6">
        <v>33</v>
      </c>
      <c r="D31" s="6">
        <v>1609</v>
      </c>
      <c r="E31" s="6">
        <v>2958</v>
      </c>
      <c r="F31" s="20">
        <v>1.9772859444247622E-2</v>
      </c>
      <c r="H31" s="139" t="s">
        <v>40</v>
      </c>
      <c r="I31" s="139"/>
      <c r="J31" s="6">
        <v>3</v>
      </c>
      <c r="K31" s="6">
        <v>74</v>
      </c>
      <c r="L31" s="6">
        <v>140</v>
      </c>
      <c r="M31" s="20">
        <v>3.2220943613348679E-2</v>
      </c>
    </row>
    <row r="32" spans="1:13">
      <c r="A32" s="139" t="s">
        <v>16</v>
      </c>
      <c r="B32" s="139"/>
      <c r="C32" s="6">
        <v>61</v>
      </c>
      <c r="D32" s="6">
        <v>5332</v>
      </c>
      <c r="E32" s="6">
        <v>9998</v>
      </c>
      <c r="F32" s="20">
        <v>6.6831997540090504E-2</v>
      </c>
      <c r="H32" s="140" t="s">
        <v>130</v>
      </c>
      <c r="I32" s="140"/>
      <c r="J32" s="21">
        <v>107</v>
      </c>
      <c r="K32" s="21">
        <v>2345</v>
      </c>
      <c r="L32" s="21">
        <v>4345</v>
      </c>
      <c r="M32" s="22">
        <v>1</v>
      </c>
    </row>
    <row r="33" spans="1:13">
      <c r="A33" s="139" t="s">
        <v>17</v>
      </c>
      <c r="B33" s="139"/>
      <c r="C33" s="6">
        <v>295</v>
      </c>
      <c r="D33" s="6">
        <v>46794</v>
      </c>
      <c r="E33" s="6">
        <v>87882</v>
      </c>
      <c r="F33" s="20">
        <v>0.58745045087199776</v>
      </c>
      <c r="H33" s="139"/>
      <c r="I33" s="139"/>
      <c r="J33" s="15"/>
      <c r="K33" s="15"/>
      <c r="L33" s="15"/>
      <c r="M33" s="15"/>
    </row>
    <row r="34" spans="1:13">
      <c r="A34" s="139" t="s">
        <v>168</v>
      </c>
      <c r="B34" s="139"/>
      <c r="C34" s="6">
        <v>145</v>
      </c>
      <c r="D34" s="6">
        <v>22958</v>
      </c>
      <c r="E34" s="6">
        <v>43497</v>
      </c>
      <c r="F34" s="20">
        <v>0.29075729115836335</v>
      </c>
      <c r="H34" s="140" t="s">
        <v>42</v>
      </c>
      <c r="I34" s="140"/>
      <c r="J34" s="21">
        <v>20</v>
      </c>
      <c r="K34" s="21">
        <v>310</v>
      </c>
      <c r="L34" s="21">
        <v>585</v>
      </c>
      <c r="M34" s="22">
        <v>1</v>
      </c>
    </row>
    <row r="35" spans="1:13">
      <c r="A35" s="139" t="s">
        <v>19</v>
      </c>
      <c r="B35" s="139"/>
      <c r="C35" s="6">
        <v>22</v>
      </c>
      <c r="D35" s="6">
        <v>2627</v>
      </c>
      <c r="E35" s="6">
        <v>5264</v>
      </c>
      <c r="F35" s="20">
        <v>3.5187400985300703E-2</v>
      </c>
      <c r="H35" s="140" t="s">
        <v>43</v>
      </c>
      <c r="I35" s="140"/>
      <c r="J35" s="21">
        <v>9</v>
      </c>
      <c r="K35" s="21">
        <v>138</v>
      </c>
      <c r="L35" s="21">
        <v>248</v>
      </c>
      <c r="M35" s="22">
        <v>1</v>
      </c>
    </row>
    <row r="36" spans="1:13">
      <c r="A36" s="139"/>
      <c r="B36" s="142"/>
      <c r="C36" s="6"/>
      <c r="D36" s="6"/>
      <c r="E36" s="6"/>
      <c r="F36" s="20"/>
      <c r="H36" s="140" t="s">
        <v>44</v>
      </c>
      <c r="I36" s="140"/>
      <c r="J36" s="21">
        <v>1</v>
      </c>
      <c r="K36" s="21">
        <v>12</v>
      </c>
      <c r="L36" s="21">
        <v>23</v>
      </c>
      <c r="M36" s="22">
        <v>1</v>
      </c>
    </row>
    <row r="37" spans="1:13">
      <c r="A37" s="140" t="s">
        <v>131</v>
      </c>
      <c r="B37" s="140"/>
      <c r="C37" s="21">
        <v>556</v>
      </c>
      <c r="D37" s="21">
        <v>79320</v>
      </c>
      <c r="E37" s="21">
        <v>149599</v>
      </c>
      <c r="F37" s="22">
        <v>1</v>
      </c>
      <c r="H37" s="139"/>
      <c r="I37" s="139"/>
      <c r="J37" s="6"/>
      <c r="K37" s="6"/>
      <c r="L37" s="6"/>
      <c r="M37" s="6"/>
    </row>
    <row r="38" spans="1:13">
      <c r="A38" s="139"/>
      <c r="B38" s="139"/>
      <c r="C38" s="6"/>
      <c r="D38" s="6"/>
      <c r="E38" s="6"/>
      <c r="F38" s="20"/>
      <c r="H38" s="139"/>
      <c r="I38" s="139"/>
      <c r="J38" s="6"/>
      <c r="K38" s="6"/>
      <c r="L38" s="6"/>
      <c r="M38" s="6"/>
    </row>
    <row r="39" spans="1:13">
      <c r="A39" s="139" t="s">
        <v>20</v>
      </c>
      <c r="B39" s="139"/>
      <c r="C39" s="6">
        <v>5</v>
      </c>
      <c r="D39" s="6">
        <v>112</v>
      </c>
      <c r="E39" s="6">
        <v>209</v>
      </c>
      <c r="F39" s="20">
        <v>0.28987517337031898</v>
      </c>
      <c r="H39" s="141"/>
      <c r="I39" s="141"/>
      <c r="J39" s="6"/>
      <c r="K39" s="6"/>
      <c r="L39" s="6"/>
      <c r="M39" s="6"/>
    </row>
    <row r="40" spans="1:13">
      <c r="A40" s="139" t="s">
        <v>21</v>
      </c>
      <c r="B40" s="139"/>
      <c r="C40" s="6">
        <v>3</v>
      </c>
      <c r="D40" s="6">
        <v>122</v>
      </c>
      <c r="E40" s="6">
        <v>228</v>
      </c>
      <c r="F40" s="20">
        <v>0.31622746185852985</v>
      </c>
      <c r="H40" s="19"/>
      <c r="I40" s="19"/>
      <c r="J40" s="6"/>
      <c r="K40" s="6"/>
      <c r="L40" s="6"/>
      <c r="M40" s="26"/>
    </row>
    <row r="41" spans="1:13">
      <c r="A41" s="139" t="s">
        <v>22</v>
      </c>
      <c r="B41" s="139"/>
      <c r="C41" s="6">
        <v>3</v>
      </c>
      <c r="D41" s="6">
        <v>138</v>
      </c>
      <c r="E41" s="6">
        <v>251</v>
      </c>
      <c r="F41" s="20">
        <v>0.34812760055478503</v>
      </c>
      <c r="H41" s="140" t="s">
        <v>45</v>
      </c>
      <c r="I41" s="140"/>
      <c r="J41" s="21">
        <v>1603</v>
      </c>
      <c r="K41" s="21">
        <v>138226</v>
      </c>
      <c r="L41" s="21">
        <v>287438</v>
      </c>
      <c r="M41" s="6"/>
    </row>
    <row r="42" spans="1:13">
      <c r="A42" s="139" t="s">
        <v>172</v>
      </c>
      <c r="B42" s="139"/>
      <c r="C42" s="6">
        <v>1</v>
      </c>
      <c r="D42" s="6">
        <v>18</v>
      </c>
      <c r="E42" s="6">
        <v>33</v>
      </c>
      <c r="F42" s="20">
        <v>4.5769764216366159E-2</v>
      </c>
    </row>
    <row r="43" spans="1:13">
      <c r="A43" s="139" t="s">
        <v>24</v>
      </c>
      <c r="B43" s="139"/>
      <c r="C43" s="6"/>
      <c r="D43" s="6"/>
      <c r="E43" s="6"/>
      <c r="F43" s="20"/>
    </row>
    <row r="44" spans="1:13">
      <c r="A44" s="140" t="s">
        <v>132</v>
      </c>
      <c r="B44" s="140"/>
      <c r="C44" s="21">
        <v>12</v>
      </c>
      <c r="D44" s="21">
        <v>390</v>
      </c>
      <c r="E44" s="21">
        <v>721</v>
      </c>
      <c r="F44" s="22">
        <v>1</v>
      </c>
    </row>
  </sheetData>
  <sheetProtection algorithmName="SHA-512" hashValue="cUwunHi9BHN/YapX1NHOai2jD9lBJp1w25KVRA/EtT20yxvZs+usfgXBoRRibiQmuMIwiJGycfol8BpeRy+2PA==" saltValue="Kja5sxbIfywBtbQODP1+Jw==" spinCount="100000" sheet="1" objects="1" scenarios="1"/>
  <mergeCells count="72">
    <mergeCell ref="A7:B7"/>
    <mergeCell ref="H7:I7"/>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 ref="A21:B21"/>
    <mergeCell ref="H21:I21"/>
    <mergeCell ref="A22:B22"/>
    <mergeCell ref="H22:I22"/>
    <mergeCell ref="A23:B23"/>
    <mergeCell ref="H23:I23"/>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44:B44"/>
    <mergeCell ref="A37:B37"/>
    <mergeCell ref="H37:I37"/>
    <mergeCell ref="A38:B38"/>
    <mergeCell ref="H38:I38"/>
    <mergeCell ref="A39:B39"/>
    <mergeCell ref="H39:I39"/>
    <mergeCell ref="A40:B40"/>
    <mergeCell ref="A41:B41"/>
    <mergeCell ref="H41:I41"/>
    <mergeCell ref="A42:B42"/>
    <mergeCell ref="A43:B43"/>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2:HB57"/>
  <sheetViews>
    <sheetView showGridLines="0" zoomScaleNormal="100" workbookViewId="0"/>
  </sheetViews>
  <sheetFormatPr baseColWidth="10" defaultRowHeight="15"/>
  <cols>
    <col min="1" max="1" width="79.85546875" customWidth="1"/>
  </cols>
  <sheetData>
    <row r="2" spans="1:210" ht="16.5">
      <c r="A2" s="1" t="s">
        <v>145</v>
      </c>
      <c r="B2" s="2"/>
      <c r="C2" s="2"/>
    </row>
    <row r="3" spans="1:210" ht="16.5">
      <c r="A3" s="3" t="s">
        <v>146</v>
      </c>
      <c r="B3" s="2"/>
      <c r="C3" s="2"/>
    </row>
    <row r="4" spans="1:210" ht="16.5">
      <c r="A4" s="3" t="s">
        <v>147</v>
      </c>
      <c r="B4" s="2"/>
      <c r="C4" s="2"/>
    </row>
    <row r="5" spans="1:210" ht="6" customHeight="1"/>
    <row r="6" spans="1:210" ht="15" customHeight="1">
      <c r="A6" s="138" t="s">
        <v>97</v>
      </c>
      <c r="B6" s="137" t="s">
        <v>3</v>
      </c>
      <c r="C6" s="137"/>
      <c r="D6" s="137" t="s">
        <v>4</v>
      </c>
      <c r="E6" s="137"/>
      <c r="F6" s="137" t="s">
        <v>5</v>
      </c>
      <c r="G6" s="137"/>
      <c r="H6" s="137" t="s">
        <v>6</v>
      </c>
      <c r="I6" s="137"/>
      <c r="J6" s="137" t="s">
        <v>7</v>
      </c>
      <c r="K6" s="137"/>
      <c r="L6" s="137" t="s">
        <v>167</v>
      </c>
      <c r="M6" s="137"/>
      <c r="N6" s="137" t="s">
        <v>8</v>
      </c>
      <c r="O6" s="137"/>
      <c r="P6" s="137" t="s">
        <v>126</v>
      </c>
      <c r="Q6" s="137"/>
      <c r="R6" s="137" t="s">
        <v>9</v>
      </c>
      <c r="S6" s="137"/>
      <c r="T6" s="137" t="s">
        <v>10</v>
      </c>
      <c r="U6" s="137"/>
      <c r="V6" s="137" t="s">
        <v>11</v>
      </c>
      <c r="W6" s="137"/>
      <c r="X6" s="137" t="s">
        <v>12</v>
      </c>
      <c r="Y6" s="137"/>
      <c r="Z6" s="137" t="s">
        <v>13</v>
      </c>
      <c r="AA6" s="137"/>
      <c r="AB6" s="137" t="s">
        <v>14</v>
      </c>
      <c r="AC6" s="137"/>
      <c r="AD6" s="137" t="s">
        <v>15</v>
      </c>
      <c r="AE6" s="137"/>
      <c r="AF6" s="137" t="s">
        <v>16</v>
      </c>
      <c r="AG6" s="137"/>
      <c r="AH6" s="137" t="s">
        <v>17</v>
      </c>
      <c r="AI6" s="137"/>
      <c r="AJ6" s="137" t="s">
        <v>18</v>
      </c>
      <c r="AK6" s="137"/>
      <c r="AL6" s="137" t="s">
        <v>19</v>
      </c>
      <c r="AM6" s="137"/>
      <c r="AN6" s="137" t="s">
        <v>20</v>
      </c>
      <c r="AO6" s="137"/>
      <c r="AP6" s="137" t="s">
        <v>21</v>
      </c>
      <c r="AQ6" s="137"/>
      <c r="AR6" s="137" t="s">
        <v>22</v>
      </c>
      <c r="AS6" s="137"/>
      <c r="AT6" s="137" t="s">
        <v>23</v>
      </c>
      <c r="AU6" s="137"/>
      <c r="AV6" s="137" t="s">
        <v>24</v>
      </c>
      <c r="AW6" s="137"/>
      <c r="AX6" s="137" t="s">
        <v>25</v>
      </c>
      <c r="AY6" s="137"/>
      <c r="AZ6" s="137" t="s">
        <v>26</v>
      </c>
      <c r="BA6" s="137"/>
      <c r="BB6" s="137" t="s">
        <v>27</v>
      </c>
      <c r="BC6" s="137"/>
      <c r="BD6" s="137" t="s">
        <v>28</v>
      </c>
      <c r="BE6" s="137"/>
      <c r="BF6" s="137" t="s">
        <v>29</v>
      </c>
      <c r="BG6" s="137"/>
      <c r="BH6" s="137" t="s">
        <v>30</v>
      </c>
      <c r="BI6" s="137"/>
      <c r="BJ6" s="137" t="s">
        <v>31</v>
      </c>
      <c r="BK6" s="137"/>
      <c r="BL6" s="137" t="s">
        <v>32</v>
      </c>
      <c r="BM6" s="137"/>
      <c r="BN6" s="137" t="s">
        <v>33</v>
      </c>
      <c r="BO6" s="137"/>
      <c r="BP6" s="137" t="s">
        <v>34</v>
      </c>
      <c r="BQ6" s="137"/>
      <c r="BR6" s="137" t="s">
        <v>35</v>
      </c>
      <c r="BS6" s="137"/>
      <c r="BT6" s="137" t="s">
        <v>36</v>
      </c>
      <c r="BU6" s="137"/>
      <c r="BV6" s="137" t="s">
        <v>37</v>
      </c>
      <c r="BW6" s="137"/>
      <c r="BX6" s="137" t="s">
        <v>38</v>
      </c>
      <c r="BY6" s="137"/>
      <c r="BZ6" s="137" t="s">
        <v>39</v>
      </c>
      <c r="CA6" s="137"/>
      <c r="CB6" s="137" t="s">
        <v>40</v>
      </c>
      <c r="CC6" s="137"/>
      <c r="CD6" s="137" t="s">
        <v>41</v>
      </c>
      <c r="CE6" s="137"/>
      <c r="CF6" s="137" t="s">
        <v>42</v>
      </c>
      <c r="CG6" s="137"/>
      <c r="CH6" s="137" t="s">
        <v>43</v>
      </c>
      <c r="CI6" s="137"/>
      <c r="CJ6" s="137" t="s">
        <v>44</v>
      </c>
      <c r="CK6" s="137"/>
      <c r="CL6" s="137" t="s">
        <v>45</v>
      </c>
      <c r="CM6" s="137"/>
      <c r="CN6" s="27"/>
      <c r="CO6" s="27"/>
      <c r="CP6" s="27"/>
      <c r="CQ6" s="27"/>
      <c r="CR6" s="27"/>
      <c r="CS6" s="27"/>
      <c r="CT6" s="27"/>
      <c r="CU6" s="27"/>
      <c r="CV6" s="27"/>
      <c r="CW6" s="27"/>
      <c r="CX6" s="27"/>
      <c r="CY6" s="27"/>
      <c r="CZ6" s="27"/>
      <c r="DA6" s="27"/>
      <c r="DB6" s="27"/>
      <c r="DC6" s="27"/>
      <c r="DD6" s="27"/>
      <c r="DE6" s="27"/>
      <c r="DF6" s="27"/>
      <c r="DG6" s="27"/>
      <c r="DH6" s="27"/>
      <c r="DI6" s="27"/>
      <c r="DJ6" s="27"/>
      <c r="DK6" s="27"/>
      <c r="DL6" s="27"/>
      <c r="DM6" s="27"/>
      <c r="DN6" s="27"/>
      <c r="DO6" s="27"/>
      <c r="DP6" s="27"/>
      <c r="DQ6" s="27"/>
      <c r="DR6" s="27"/>
      <c r="DS6" s="27"/>
      <c r="DT6" s="27"/>
      <c r="DU6" s="27"/>
      <c r="DV6" s="27"/>
      <c r="DW6" s="27"/>
      <c r="DX6" s="27"/>
      <c r="DY6" s="27"/>
      <c r="DZ6" s="27"/>
      <c r="EA6" s="27"/>
      <c r="EB6" s="27"/>
      <c r="EC6" s="27"/>
      <c r="ED6" s="27"/>
      <c r="EE6" s="27"/>
      <c r="EF6" s="27"/>
      <c r="EG6" s="27"/>
      <c r="EH6" s="27"/>
      <c r="EI6" s="27"/>
      <c r="EJ6" s="27"/>
      <c r="EK6" s="27"/>
      <c r="EL6" s="27"/>
      <c r="EM6" s="27"/>
      <c r="EN6" s="27"/>
      <c r="EO6" s="27"/>
      <c r="EP6" s="27"/>
      <c r="EQ6" s="27"/>
      <c r="ER6" s="27"/>
      <c r="ES6" s="27"/>
      <c r="ET6" s="27"/>
      <c r="EU6" s="27"/>
      <c r="EV6" s="27"/>
      <c r="EW6" s="27"/>
      <c r="EX6" s="27"/>
      <c r="EY6" s="27"/>
      <c r="EZ6" s="27"/>
      <c r="FA6" s="27"/>
      <c r="FB6" s="27"/>
      <c r="FC6" s="27"/>
      <c r="FD6" s="27"/>
      <c r="FE6" s="27"/>
      <c r="FF6" s="27"/>
      <c r="FG6" s="27"/>
      <c r="FH6" s="27"/>
      <c r="FI6" s="27"/>
      <c r="FJ6" s="27"/>
      <c r="FK6" s="27"/>
      <c r="FL6" s="27"/>
      <c r="FM6" s="27"/>
      <c r="FN6" s="27"/>
      <c r="FO6" s="27"/>
      <c r="FP6" s="27"/>
      <c r="FQ6" s="27"/>
      <c r="FR6" s="27"/>
      <c r="FS6" s="27"/>
      <c r="FT6" s="27"/>
      <c r="FU6" s="27"/>
      <c r="FV6" s="27"/>
      <c r="FW6" s="27"/>
      <c r="FX6" s="27"/>
      <c r="FY6" s="27"/>
      <c r="FZ6" s="27"/>
      <c r="GA6" s="27"/>
      <c r="GB6" s="27"/>
      <c r="GC6" s="27"/>
      <c r="GD6" s="27"/>
      <c r="GE6" s="27"/>
      <c r="GF6" s="27"/>
      <c r="GG6" s="27"/>
      <c r="GH6" s="27"/>
      <c r="GI6" s="27"/>
      <c r="GJ6" s="27"/>
      <c r="GK6" s="27"/>
      <c r="GL6" s="27"/>
      <c r="GM6" s="27"/>
      <c r="GN6" s="27"/>
      <c r="GO6" s="27"/>
      <c r="GP6" s="27"/>
      <c r="GQ6" s="27"/>
      <c r="GR6" s="27"/>
      <c r="GS6" s="27"/>
      <c r="GT6" s="27"/>
      <c r="GU6" s="27"/>
      <c r="GV6" s="27"/>
      <c r="GW6" s="27"/>
      <c r="GX6" s="27"/>
      <c r="GY6" s="27"/>
      <c r="GZ6" s="27"/>
      <c r="HA6" s="27"/>
      <c r="HB6" s="27"/>
    </row>
    <row r="7" spans="1:210">
      <c r="A7" s="138"/>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27"/>
      <c r="CO7" s="27"/>
      <c r="CP7" s="27"/>
      <c r="CQ7" s="27"/>
      <c r="CR7" s="27"/>
      <c r="CS7" s="27"/>
      <c r="CT7" s="27"/>
      <c r="CU7" s="27"/>
      <c r="CV7" s="27"/>
      <c r="CW7" s="27"/>
      <c r="CX7" s="27"/>
      <c r="CY7" s="27"/>
      <c r="CZ7" s="27"/>
      <c r="DA7" s="27"/>
      <c r="DB7" s="27"/>
      <c r="DC7" s="27"/>
      <c r="DD7" s="27"/>
      <c r="DE7" s="27"/>
      <c r="DF7" s="27"/>
      <c r="DG7" s="27"/>
      <c r="DH7" s="27"/>
      <c r="DI7" s="27"/>
      <c r="DJ7" s="27"/>
      <c r="DK7" s="27"/>
      <c r="DL7" s="27"/>
      <c r="DM7" s="27"/>
      <c r="DN7" s="27"/>
      <c r="DO7" s="27"/>
      <c r="DP7" s="27"/>
      <c r="DQ7" s="27"/>
      <c r="DR7" s="27"/>
      <c r="DS7" s="27"/>
      <c r="DT7" s="27"/>
      <c r="DU7" s="27"/>
      <c r="DV7" s="27"/>
      <c r="DW7" s="27"/>
      <c r="DX7" s="27"/>
      <c r="DY7" s="27"/>
      <c r="DZ7" s="27"/>
      <c r="EA7" s="27"/>
      <c r="EB7" s="27"/>
      <c r="EC7" s="27"/>
      <c r="ED7" s="27"/>
      <c r="EE7" s="27"/>
      <c r="EF7" s="27"/>
      <c r="EG7" s="27"/>
      <c r="EH7" s="27"/>
      <c r="EI7" s="27"/>
      <c r="EJ7" s="27"/>
      <c r="EK7" s="27"/>
      <c r="EL7" s="27"/>
      <c r="EM7" s="27"/>
      <c r="EN7" s="27"/>
      <c r="EO7" s="27"/>
      <c r="EP7" s="27"/>
      <c r="EQ7" s="27"/>
      <c r="ER7" s="27"/>
      <c r="ES7" s="27"/>
      <c r="ET7" s="27"/>
      <c r="EU7" s="27"/>
      <c r="EV7" s="27"/>
      <c r="EW7" s="27"/>
      <c r="EX7" s="27"/>
      <c r="EY7" s="27"/>
      <c r="EZ7" s="27"/>
      <c r="FA7" s="27"/>
      <c r="FB7" s="27"/>
      <c r="FC7" s="27"/>
      <c r="FD7" s="27"/>
      <c r="FE7" s="27"/>
      <c r="FF7" s="27"/>
      <c r="FG7" s="27"/>
      <c r="FH7" s="27"/>
      <c r="FI7" s="27"/>
      <c r="FJ7" s="27"/>
      <c r="FK7" s="27"/>
      <c r="FL7" s="27"/>
      <c r="FM7" s="27"/>
      <c r="FN7" s="27"/>
      <c r="FO7" s="27"/>
      <c r="FP7" s="27"/>
      <c r="FQ7" s="27"/>
      <c r="FR7" s="27"/>
      <c r="FS7" s="27"/>
      <c r="FT7" s="27"/>
      <c r="FU7" s="27"/>
      <c r="FV7" s="27"/>
      <c r="FW7" s="27"/>
      <c r="FX7" s="27"/>
      <c r="FY7" s="27"/>
      <c r="FZ7" s="27"/>
      <c r="GA7" s="27"/>
      <c r="GB7" s="27"/>
      <c r="GC7" s="27"/>
      <c r="GD7" s="27"/>
      <c r="GE7" s="27"/>
      <c r="GF7" s="27"/>
      <c r="GG7" s="27"/>
      <c r="GH7" s="27"/>
      <c r="GI7" s="27"/>
      <c r="GJ7" s="27"/>
      <c r="GK7" s="27"/>
      <c r="GL7" s="27"/>
      <c r="GM7" s="27"/>
      <c r="GN7" s="27"/>
      <c r="GO7" s="27"/>
      <c r="GP7" s="27"/>
      <c r="GQ7" s="27"/>
      <c r="GR7" s="27"/>
      <c r="GS7" s="27"/>
      <c r="GT7" s="27"/>
      <c r="GU7" s="27"/>
      <c r="GV7" s="27"/>
      <c r="GW7" s="27"/>
      <c r="GX7" s="27"/>
      <c r="GY7" s="27"/>
      <c r="GZ7" s="27"/>
      <c r="HA7" s="27"/>
      <c r="HB7" s="27"/>
    </row>
    <row r="8" spans="1:210">
      <c r="A8" s="138"/>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46</v>
      </c>
      <c r="BC8" s="4" t="s">
        <v>47</v>
      </c>
      <c r="BD8" s="4" t="s">
        <v>46</v>
      </c>
      <c r="BE8" s="4" t="s">
        <v>47</v>
      </c>
      <c r="BF8" s="4" t="s">
        <v>46</v>
      </c>
      <c r="BG8" s="4" t="s">
        <v>47</v>
      </c>
      <c r="BH8" s="4" t="s">
        <v>46</v>
      </c>
      <c r="BI8" s="4" t="s">
        <v>47</v>
      </c>
      <c r="BJ8" s="4" t="s">
        <v>46</v>
      </c>
      <c r="BK8" s="4" t="s">
        <v>47</v>
      </c>
      <c r="BL8" s="4" t="s">
        <v>46</v>
      </c>
      <c r="BM8" s="4" t="s">
        <v>47</v>
      </c>
      <c r="BN8" s="4" t="s">
        <v>46</v>
      </c>
      <c r="BO8" s="4" t="s">
        <v>47</v>
      </c>
      <c r="BP8" s="4" t="s">
        <v>46</v>
      </c>
      <c r="BQ8" s="4" t="s">
        <v>47</v>
      </c>
      <c r="BR8" s="4" t="s">
        <v>46</v>
      </c>
      <c r="BS8" s="4" t="s">
        <v>47</v>
      </c>
      <c r="BT8" s="4" t="s">
        <v>46</v>
      </c>
      <c r="BU8" s="4" t="s">
        <v>47</v>
      </c>
      <c r="BV8" s="4" t="s">
        <v>46</v>
      </c>
      <c r="BW8" s="4" t="s">
        <v>47</v>
      </c>
      <c r="BX8" s="4" t="s">
        <v>46</v>
      </c>
      <c r="BY8" s="4" t="s">
        <v>47</v>
      </c>
      <c r="BZ8" s="4" t="s">
        <v>46</v>
      </c>
      <c r="CA8" s="4" t="s">
        <v>47</v>
      </c>
      <c r="CB8" s="4" t="s">
        <v>46</v>
      </c>
      <c r="CC8" s="4" t="s">
        <v>47</v>
      </c>
      <c r="CD8" s="4" t="s">
        <v>46</v>
      </c>
      <c r="CE8" s="4" t="s">
        <v>47</v>
      </c>
      <c r="CF8" s="4" t="s">
        <v>46</v>
      </c>
      <c r="CG8" s="4" t="s">
        <v>47</v>
      </c>
      <c r="CH8" s="4" t="s">
        <v>46</v>
      </c>
      <c r="CI8" s="4" t="s">
        <v>47</v>
      </c>
      <c r="CJ8" s="4" t="s">
        <v>46</v>
      </c>
      <c r="CK8" s="4" t="s">
        <v>47</v>
      </c>
      <c r="CL8" s="4" t="s">
        <v>46</v>
      </c>
      <c r="CM8" s="4" t="s">
        <v>47</v>
      </c>
      <c r="CN8" s="27"/>
      <c r="CO8" s="27"/>
      <c r="CP8" s="27"/>
      <c r="CQ8" s="27"/>
      <c r="CR8" s="27"/>
      <c r="CS8" s="27"/>
      <c r="CT8" s="27"/>
      <c r="CU8" s="27"/>
      <c r="CV8" s="27"/>
      <c r="CW8" s="27"/>
      <c r="CX8" s="27"/>
      <c r="CY8" s="27"/>
      <c r="CZ8" s="27"/>
      <c r="DA8" s="27"/>
      <c r="DB8" s="27"/>
      <c r="DC8" s="27"/>
      <c r="DD8" s="27"/>
      <c r="DE8" s="27"/>
      <c r="DF8" s="27"/>
      <c r="DG8" s="27"/>
      <c r="DH8" s="27"/>
      <c r="DI8" s="27"/>
      <c r="DJ8" s="27"/>
      <c r="DK8" s="27"/>
      <c r="DL8" s="27"/>
      <c r="DM8" s="27"/>
      <c r="DN8" s="27"/>
      <c r="DO8" s="27"/>
      <c r="DP8" s="27"/>
      <c r="DQ8" s="27"/>
      <c r="DR8" s="27"/>
      <c r="DS8" s="27"/>
      <c r="DT8" s="27"/>
      <c r="DU8" s="27"/>
      <c r="DV8" s="27"/>
      <c r="DW8" s="27"/>
      <c r="DX8" s="27"/>
      <c r="DY8" s="27"/>
      <c r="DZ8" s="27"/>
      <c r="EA8" s="27"/>
      <c r="EB8" s="27"/>
      <c r="EC8" s="27"/>
      <c r="ED8" s="27"/>
      <c r="EE8" s="27"/>
      <c r="EF8" s="27"/>
      <c r="EG8" s="27"/>
      <c r="EH8" s="27"/>
      <c r="EI8" s="27"/>
      <c r="EJ8" s="27"/>
      <c r="EK8" s="27"/>
      <c r="EL8" s="27"/>
      <c r="EM8" s="27"/>
      <c r="EN8" s="27"/>
      <c r="EO8" s="27"/>
      <c r="EP8" s="27"/>
      <c r="EQ8" s="27"/>
      <c r="ER8" s="27"/>
      <c r="ES8" s="27"/>
      <c r="ET8" s="27"/>
      <c r="EU8" s="27"/>
      <c r="EV8" s="27"/>
      <c r="EW8" s="27"/>
      <c r="EX8" s="27"/>
      <c r="EY8" s="27"/>
      <c r="EZ8" s="27"/>
      <c r="FA8" s="27"/>
      <c r="FB8" s="27"/>
      <c r="FC8" s="27"/>
      <c r="FD8" s="27"/>
      <c r="FE8" s="27"/>
      <c r="FF8" s="27"/>
      <c r="FG8" s="27"/>
      <c r="FH8" s="27"/>
      <c r="FI8" s="27"/>
      <c r="FJ8" s="27"/>
      <c r="FK8" s="27"/>
      <c r="FL8" s="27"/>
      <c r="FM8" s="27"/>
      <c r="FN8" s="27"/>
      <c r="FO8" s="27"/>
      <c r="FP8" s="27"/>
      <c r="FQ8" s="27"/>
      <c r="FR8" s="27"/>
      <c r="FS8" s="27"/>
      <c r="FT8" s="27"/>
      <c r="FU8" s="27"/>
      <c r="FV8" s="27"/>
      <c r="FW8" s="27"/>
      <c r="FX8" s="27"/>
      <c r="FY8" s="27"/>
      <c r="FZ8" s="27"/>
      <c r="GA8" s="27"/>
      <c r="GB8" s="27"/>
      <c r="GC8" s="27"/>
      <c r="GD8" s="27"/>
      <c r="GE8" s="27"/>
      <c r="GF8" s="27"/>
      <c r="GG8" s="27"/>
      <c r="GH8" s="27"/>
      <c r="GI8" s="27"/>
      <c r="GJ8" s="27"/>
      <c r="GK8" s="27"/>
      <c r="GL8" s="27"/>
      <c r="GM8" s="27"/>
      <c r="GN8" s="27"/>
      <c r="GO8" s="27"/>
      <c r="GP8" s="27"/>
      <c r="GQ8" s="27"/>
      <c r="GR8" s="27"/>
      <c r="GS8" s="27"/>
      <c r="GT8" s="27"/>
      <c r="GU8" s="27"/>
      <c r="GV8" s="27"/>
      <c r="GW8" s="27"/>
      <c r="GX8" s="27"/>
      <c r="GY8" s="27"/>
      <c r="GZ8" s="27"/>
      <c r="HA8" s="27"/>
      <c r="HB8" s="27"/>
    </row>
    <row r="9" spans="1:210">
      <c r="A9" s="5" t="s">
        <v>48</v>
      </c>
      <c r="B9" s="6"/>
      <c r="C9" s="6"/>
      <c r="D9" s="7"/>
      <c r="E9" s="7"/>
      <c r="F9" s="7"/>
      <c r="G9" s="7"/>
      <c r="H9" s="7"/>
      <c r="I9" s="7"/>
      <c r="J9" s="7">
        <v>1</v>
      </c>
      <c r="K9" s="7">
        <v>50</v>
      </c>
      <c r="L9" s="7">
        <v>1</v>
      </c>
      <c r="M9" s="7">
        <v>12</v>
      </c>
      <c r="N9" s="7">
        <v>1</v>
      </c>
      <c r="O9" s="7">
        <v>16</v>
      </c>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v>1</v>
      </c>
      <c r="CA9" s="7">
        <v>21</v>
      </c>
      <c r="CB9" s="7"/>
      <c r="CC9" s="7"/>
      <c r="CD9" s="7"/>
      <c r="CE9" s="7"/>
      <c r="CF9" s="7"/>
      <c r="CG9" s="7"/>
      <c r="CH9" s="7"/>
      <c r="CI9" s="7"/>
      <c r="CJ9" s="8"/>
      <c r="CK9" s="8"/>
      <c r="CL9" s="19">
        <v>4</v>
      </c>
      <c r="CM9" s="8">
        <v>99</v>
      </c>
      <c r="CN9" s="9"/>
      <c r="CO9" s="9"/>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row>
    <row r="10" spans="1:210">
      <c r="A10" s="10" t="s">
        <v>49</v>
      </c>
      <c r="B10" s="6">
        <v>7</v>
      </c>
      <c r="C10" s="6">
        <v>499</v>
      </c>
      <c r="D10" s="6">
        <v>20</v>
      </c>
      <c r="E10" s="7">
        <v>3541</v>
      </c>
      <c r="F10" s="7">
        <v>6</v>
      </c>
      <c r="G10" s="7">
        <v>4852</v>
      </c>
      <c r="H10" s="7"/>
      <c r="I10" s="7"/>
      <c r="J10" s="7"/>
      <c r="K10" s="7"/>
      <c r="L10" s="7">
        <v>3</v>
      </c>
      <c r="M10" s="7">
        <v>34</v>
      </c>
      <c r="N10" s="7">
        <v>4</v>
      </c>
      <c r="O10" s="7">
        <v>46</v>
      </c>
      <c r="P10" s="7"/>
      <c r="Q10" s="7"/>
      <c r="R10" s="7"/>
      <c r="S10" s="7"/>
      <c r="T10" s="7"/>
      <c r="U10" s="7"/>
      <c r="V10" s="7"/>
      <c r="W10" s="7"/>
      <c r="X10" s="7"/>
      <c r="Y10" s="7"/>
      <c r="Z10" s="7"/>
      <c r="AA10" s="7"/>
      <c r="AB10" s="7"/>
      <c r="AC10" s="7"/>
      <c r="AD10" s="7"/>
      <c r="AE10" s="7"/>
      <c r="AF10" s="7"/>
      <c r="AG10" s="7"/>
      <c r="AH10" s="7">
        <v>17</v>
      </c>
      <c r="AI10" s="7">
        <v>7935</v>
      </c>
      <c r="AJ10" s="7">
        <v>4</v>
      </c>
      <c r="AK10" s="7">
        <v>2406</v>
      </c>
      <c r="AL10" s="7"/>
      <c r="AM10" s="7"/>
      <c r="AN10" s="7"/>
      <c r="AO10" s="7"/>
      <c r="AP10" s="7"/>
      <c r="AQ10" s="7"/>
      <c r="AR10" s="7"/>
      <c r="AS10" s="7"/>
      <c r="AT10" s="7"/>
      <c r="AU10" s="7"/>
      <c r="AV10" s="7"/>
      <c r="AW10" s="7"/>
      <c r="AX10" s="7"/>
      <c r="AY10" s="7"/>
      <c r="AZ10" s="7">
        <v>1</v>
      </c>
      <c r="BA10" s="7">
        <v>615</v>
      </c>
      <c r="BB10" s="7">
        <v>9</v>
      </c>
      <c r="BC10" s="7">
        <v>4020</v>
      </c>
      <c r="BD10" s="7">
        <v>8</v>
      </c>
      <c r="BE10" s="7">
        <v>2260</v>
      </c>
      <c r="BF10" s="7"/>
      <c r="BG10" s="7"/>
      <c r="BH10" s="7"/>
      <c r="BI10" s="7"/>
      <c r="BJ10" s="7"/>
      <c r="BK10" s="7"/>
      <c r="BL10" s="7"/>
      <c r="BM10" s="7"/>
      <c r="BN10" s="7"/>
      <c r="BO10" s="7"/>
      <c r="BP10" s="7"/>
      <c r="BQ10" s="7"/>
      <c r="BR10" s="7">
        <v>3</v>
      </c>
      <c r="BS10" s="7">
        <v>147</v>
      </c>
      <c r="BT10" s="7"/>
      <c r="BU10" s="7"/>
      <c r="BV10" s="7"/>
      <c r="BW10" s="7"/>
      <c r="BX10" s="7">
        <v>1</v>
      </c>
      <c r="BY10" s="7">
        <v>55</v>
      </c>
      <c r="BZ10" s="7">
        <v>1</v>
      </c>
      <c r="CA10" s="7">
        <v>39</v>
      </c>
      <c r="CB10" s="7"/>
      <c r="CC10" s="7"/>
      <c r="CD10" s="7"/>
      <c r="CE10" s="7"/>
      <c r="CF10" s="7"/>
      <c r="CG10" s="7"/>
      <c r="CH10" s="7">
        <v>1</v>
      </c>
      <c r="CI10" s="7">
        <v>32</v>
      </c>
      <c r="CJ10" s="8"/>
      <c r="CK10" s="8"/>
      <c r="CL10" s="8">
        <v>85</v>
      </c>
      <c r="CM10" s="8">
        <v>26481</v>
      </c>
      <c r="CN10" s="9"/>
      <c r="CO10" s="9"/>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row>
    <row r="11" spans="1:210">
      <c r="A11" s="5" t="s">
        <v>50</v>
      </c>
      <c r="B11" s="6"/>
      <c r="C11" s="6"/>
      <c r="D11" s="7"/>
      <c r="E11" s="7"/>
      <c r="F11" s="7"/>
      <c r="G11" s="7"/>
      <c r="H11" s="7"/>
      <c r="I11" s="7"/>
      <c r="J11" s="7">
        <v>1</v>
      </c>
      <c r="K11" s="7">
        <v>31</v>
      </c>
      <c r="L11" s="7">
        <v>1</v>
      </c>
      <c r="M11" s="7">
        <v>20</v>
      </c>
      <c r="N11" s="7">
        <v>1</v>
      </c>
      <c r="O11" s="7">
        <v>10</v>
      </c>
      <c r="P11" s="7"/>
      <c r="Q11" s="7"/>
      <c r="R11" s="7"/>
      <c r="S11" s="7"/>
      <c r="T11" s="7"/>
      <c r="U11" s="7"/>
      <c r="V11" s="7"/>
      <c r="W11" s="7"/>
      <c r="X11" s="7"/>
      <c r="Y11" s="7"/>
      <c r="Z11" s="7"/>
      <c r="AA11" s="7"/>
      <c r="AB11" s="7"/>
      <c r="AC11" s="7"/>
      <c r="AD11" s="7"/>
      <c r="AE11" s="7"/>
      <c r="AF11" s="7"/>
      <c r="AG11" s="7"/>
      <c r="AH11" s="7">
        <v>1</v>
      </c>
      <c r="AI11" s="7">
        <v>28</v>
      </c>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8"/>
      <c r="CK11" s="8"/>
      <c r="CL11" s="19">
        <v>4</v>
      </c>
      <c r="CM11" s="8">
        <v>89</v>
      </c>
      <c r="CN11" s="9"/>
      <c r="CO11" s="9"/>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row>
    <row r="12" spans="1:210">
      <c r="A12" s="5" t="s">
        <v>51</v>
      </c>
      <c r="B12" s="6">
        <v>1</v>
      </c>
      <c r="C12" s="6">
        <v>54</v>
      </c>
      <c r="D12" s="7"/>
      <c r="E12" s="7"/>
      <c r="F12" s="7">
        <v>2</v>
      </c>
      <c r="G12" s="7">
        <v>446</v>
      </c>
      <c r="H12" s="7"/>
      <c r="I12" s="7"/>
      <c r="J12" s="7"/>
      <c r="K12" s="7"/>
      <c r="L12" s="7">
        <v>1</v>
      </c>
      <c r="M12" s="7">
        <v>14</v>
      </c>
      <c r="N12" s="7">
        <v>1</v>
      </c>
      <c r="O12" s="7">
        <v>8</v>
      </c>
      <c r="P12" s="7"/>
      <c r="Q12" s="7"/>
      <c r="R12" s="7"/>
      <c r="S12" s="7"/>
      <c r="T12" s="7"/>
      <c r="U12" s="7"/>
      <c r="V12" s="7"/>
      <c r="W12" s="7"/>
      <c r="X12" s="7"/>
      <c r="Y12" s="7"/>
      <c r="Z12" s="7"/>
      <c r="AA12" s="7"/>
      <c r="AB12" s="7"/>
      <c r="AC12" s="7"/>
      <c r="AD12" s="7"/>
      <c r="AE12" s="7"/>
      <c r="AF12" s="7"/>
      <c r="AG12" s="7"/>
      <c r="AH12" s="7">
        <v>3</v>
      </c>
      <c r="AI12" s="7">
        <v>407</v>
      </c>
      <c r="AJ12" s="7">
        <v>4</v>
      </c>
      <c r="AK12" s="7">
        <v>1703</v>
      </c>
      <c r="AL12" s="7">
        <v>1</v>
      </c>
      <c r="AM12" s="7">
        <v>330</v>
      </c>
      <c r="AN12" s="7"/>
      <c r="AO12" s="7"/>
      <c r="AP12" s="7"/>
      <c r="AQ12" s="7"/>
      <c r="AR12" s="7"/>
      <c r="AS12" s="7"/>
      <c r="AT12" s="7"/>
      <c r="AU12" s="7"/>
      <c r="AV12" s="7"/>
      <c r="AW12" s="7"/>
      <c r="AX12" s="7"/>
      <c r="AY12" s="7"/>
      <c r="AZ12" s="7"/>
      <c r="BA12" s="7"/>
      <c r="BB12" s="7">
        <v>2</v>
      </c>
      <c r="BC12" s="7">
        <v>324</v>
      </c>
      <c r="BD12" s="7">
        <v>1</v>
      </c>
      <c r="BE12" s="7">
        <v>222</v>
      </c>
      <c r="BF12" s="7"/>
      <c r="BG12" s="7"/>
      <c r="BH12" s="7"/>
      <c r="BI12" s="7"/>
      <c r="BJ12" s="7"/>
      <c r="BK12" s="7"/>
      <c r="BL12" s="7"/>
      <c r="BM12" s="7"/>
      <c r="BN12" s="7"/>
      <c r="BO12" s="7"/>
      <c r="BP12" s="7"/>
      <c r="BQ12" s="7"/>
      <c r="BR12" s="7">
        <v>1</v>
      </c>
      <c r="BS12" s="7">
        <v>40</v>
      </c>
      <c r="BT12" s="7">
        <v>1</v>
      </c>
      <c r="BU12" s="7">
        <v>30</v>
      </c>
      <c r="BV12" s="7"/>
      <c r="BW12" s="7"/>
      <c r="BX12" s="7"/>
      <c r="BY12" s="7"/>
      <c r="BZ12" s="7">
        <v>1</v>
      </c>
      <c r="CA12" s="7">
        <v>28</v>
      </c>
      <c r="CB12" s="7"/>
      <c r="CC12" s="7"/>
      <c r="CD12" s="7"/>
      <c r="CE12" s="7"/>
      <c r="CF12" s="7"/>
      <c r="CG12" s="7"/>
      <c r="CH12" s="7"/>
      <c r="CI12" s="7"/>
      <c r="CJ12" s="8"/>
      <c r="CK12" s="8"/>
      <c r="CL12" s="19">
        <v>19</v>
      </c>
      <c r="CM12" s="8">
        <v>3606</v>
      </c>
      <c r="CN12" s="9"/>
      <c r="CO12" s="9"/>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row>
    <row r="13" spans="1:210">
      <c r="A13" s="5" t="s">
        <v>52</v>
      </c>
      <c r="B13" s="6">
        <v>1</v>
      </c>
      <c r="C13" s="6">
        <v>38</v>
      </c>
      <c r="D13" s="7"/>
      <c r="E13" s="7"/>
      <c r="F13" s="7"/>
      <c r="G13" s="7"/>
      <c r="H13" s="7"/>
      <c r="I13" s="7"/>
      <c r="J13" s="7">
        <v>1</v>
      </c>
      <c r="K13" s="7">
        <v>50</v>
      </c>
      <c r="L13" s="7">
        <v>5</v>
      </c>
      <c r="M13" s="7">
        <v>46</v>
      </c>
      <c r="N13" s="7">
        <v>3</v>
      </c>
      <c r="O13" s="7">
        <v>40</v>
      </c>
      <c r="P13" s="7"/>
      <c r="Q13" s="7"/>
      <c r="R13" s="7"/>
      <c r="S13" s="7"/>
      <c r="T13" s="7"/>
      <c r="U13" s="7"/>
      <c r="V13" s="7"/>
      <c r="W13" s="7"/>
      <c r="X13" s="7"/>
      <c r="Y13" s="7"/>
      <c r="Z13" s="7"/>
      <c r="AA13" s="7"/>
      <c r="AB13" s="7"/>
      <c r="AC13" s="7"/>
      <c r="AD13" s="7"/>
      <c r="AE13" s="7"/>
      <c r="AF13" s="7"/>
      <c r="AG13" s="7"/>
      <c r="AH13" s="7"/>
      <c r="AI13" s="7"/>
      <c r="AJ13" s="7">
        <v>1</v>
      </c>
      <c r="AK13" s="7">
        <v>16</v>
      </c>
      <c r="AL13" s="7"/>
      <c r="AM13" s="7"/>
      <c r="AN13" s="7"/>
      <c r="AO13" s="7"/>
      <c r="AP13" s="7"/>
      <c r="AQ13" s="7"/>
      <c r="AR13" s="7"/>
      <c r="AS13" s="7"/>
      <c r="AT13" s="7"/>
      <c r="AU13" s="7"/>
      <c r="AV13" s="7"/>
      <c r="AW13" s="7"/>
      <c r="AX13" s="7"/>
      <c r="AY13" s="7"/>
      <c r="AZ13" s="7"/>
      <c r="BA13" s="7"/>
      <c r="BB13" s="7"/>
      <c r="BC13" s="7"/>
      <c r="BD13" s="7">
        <v>1</v>
      </c>
      <c r="BE13" s="7">
        <v>89</v>
      </c>
      <c r="BF13" s="7"/>
      <c r="BG13" s="7"/>
      <c r="BH13" s="7"/>
      <c r="BI13" s="7"/>
      <c r="BJ13" s="7"/>
      <c r="BK13" s="7"/>
      <c r="BL13" s="7"/>
      <c r="BM13" s="7"/>
      <c r="BN13" s="7"/>
      <c r="BO13" s="7"/>
      <c r="BP13" s="7"/>
      <c r="BQ13" s="7"/>
      <c r="BR13" s="7">
        <v>1</v>
      </c>
      <c r="BS13" s="7">
        <v>15</v>
      </c>
      <c r="BT13" s="7">
        <v>1</v>
      </c>
      <c r="BU13" s="7">
        <v>12</v>
      </c>
      <c r="BV13" s="7"/>
      <c r="BW13" s="7"/>
      <c r="BX13" s="7"/>
      <c r="BY13" s="7"/>
      <c r="BZ13" s="7"/>
      <c r="CA13" s="7"/>
      <c r="CB13" s="7"/>
      <c r="CC13" s="7"/>
      <c r="CD13" s="7"/>
      <c r="CE13" s="7"/>
      <c r="CF13" s="7"/>
      <c r="CG13" s="7"/>
      <c r="CH13" s="7"/>
      <c r="CI13" s="7"/>
      <c r="CJ13" s="8"/>
      <c r="CK13" s="8"/>
      <c r="CL13" s="19">
        <v>14</v>
      </c>
      <c r="CM13" s="8">
        <v>306</v>
      </c>
      <c r="CN13" s="9"/>
      <c r="CO13" s="9"/>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row>
    <row r="14" spans="1:210">
      <c r="A14" s="5" t="s">
        <v>53</v>
      </c>
      <c r="B14" s="6"/>
      <c r="C14" s="6"/>
      <c r="D14" s="7"/>
      <c r="E14" s="7"/>
      <c r="F14" s="7"/>
      <c r="G14" s="7"/>
      <c r="H14" s="7"/>
      <c r="I14" s="7"/>
      <c r="J14" s="7"/>
      <c r="K14" s="7"/>
      <c r="L14" s="7"/>
      <c r="M14" s="7"/>
      <c r="N14" s="7">
        <v>3</v>
      </c>
      <c r="O14" s="7">
        <v>35</v>
      </c>
      <c r="P14" s="7"/>
      <c r="Q14" s="7"/>
      <c r="R14" s="7"/>
      <c r="S14" s="7"/>
      <c r="T14" s="7"/>
      <c r="U14" s="7"/>
      <c r="V14" s="7"/>
      <c r="W14" s="7"/>
      <c r="X14" s="7"/>
      <c r="Y14" s="7"/>
      <c r="Z14" s="7"/>
      <c r="AA14" s="7"/>
      <c r="AB14" s="7"/>
      <c r="AC14" s="7"/>
      <c r="AD14" s="7"/>
      <c r="AE14" s="7"/>
      <c r="AF14" s="7"/>
      <c r="AG14" s="7"/>
      <c r="AH14" s="7">
        <v>2</v>
      </c>
      <c r="AI14" s="7">
        <v>121</v>
      </c>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v>1</v>
      </c>
      <c r="BU14" s="7">
        <v>75</v>
      </c>
      <c r="BV14" s="7"/>
      <c r="BW14" s="7"/>
      <c r="BX14" s="7"/>
      <c r="BY14" s="7"/>
      <c r="BZ14" s="7"/>
      <c r="CA14" s="7"/>
      <c r="CB14" s="7"/>
      <c r="CC14" s="7"/>
      <c r="CD14" s="7"/>
      <c r="CE14" s="7"/>
      <c r="CF14" s="7"/>
      <c r="CG14" s="7"/>
      <c r="CH14" s="7"/>
      <c r="CI14" s="7"/>
      <c r="CJ14" s="8"/>
      <c r="CK14" s="8"/>
      <c r="CL14" s="19">
        <v>6</v>
      </c>
      <c r="CM14" s="8">
        <v>231</v>
      </c>
      <c r="CN14" s="9"/>
      <c r="CO14" s="9"/>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row>
    <row r="15" spans="1:210">
      <c r="A15" s="5" t="s">
        <v>54</v>
      </c>
      <c r="B15" s="6"/>
      <c r="C15" s="6"/>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v>1</v>
      </c>
      <c r="AU15" s="7">
        <v>33</v>
      </c>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8"/>
      <c r="CK15" s="8"/>
      <c r="CL15" s="19">
        <v>1</v>
      </c>
      <c r="CM15" s="8">
        <v>33</v>
      </c>
      <c r="CN15" s="9"/>
      <c r="CO15" s="9"/>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row>
    <row r="16" spans="1:210">
      <c r="A16" s="5" t="s">
        <v>55</v>
      </c>
      <c r="B16" s="6"/>
      <c r="C16" s="6"/>
      <c r="D16" s="7"/>
      <c r="E16" s="7"/>
      <c r="F16" s="7"/>
      <c r="G16" s="7"/>
      <c r="H16" s="7"/>
      <c r="I16" s="7"/>
      <c r="J16" s="7"/>
      <c r="K16" s="7"/>
      <c r="L16" s="7">
        <v>1</v>
      </c>
      <c r="M16" s="7">
        <v>12</v>
      </c>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8"/>
      <c r="CK16" s="8"/>
      <c r="CL16" s="19">
        <v>1</v>
      </c>
      <c r="CM16" s="8">
        <v>12</v>
      </c>
      <c r="CN16" s="9"/>
      <c r="CO16" s="9"/>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row>
    <row r="17" spans="1:210">
      <c r="A17" s="5" t="s">
        <v>56</v>
      </c>
      <c r="B17" s="6"/>
      <c r="C17" s="6"/>
      <c r="D17" s="7"/>
      <c r="E17" s="7"/>
      <c r="F17" s="7"/>
      <c r="G17" s="7"/>
      <c r="H17" s="7"/>
      <c r="I17" s="7"/>
      <c r="J17" s="7"/>
      <c r="K17" s="7"/>
      <c r="L17" s="7">
        <v>11</v>
      </c>
      <c r="M17" s="7">
        <v>127</v>
      </c>
      <c r="N17" s="7"/>
      <c r="O17" s="7"/>
      <c r="P17" s="7"/>
      <c r="Q17" s="7"/>
      <c r="R17" s="7"/>
      <c r="S17" s="7"/>
      <c r="T17" s="7"/>
      <c r="U17" s="7"/>
      <c r="V17" s="7"/>
      <c r="W17" s="7"/>
      <c r="X17" s="7"/>
      <c r="Y17" s="7"/>
      <c r="Z17" s="7"/>
      <c r="AA17" s="7"/>
      <c r="AB17" s="7"/>
      <c r="AC17" s="7"/>
      <c r="AD17" s="7"/>
      <c r="AE17" s="7"/>
      <c r="AF17" s="7"/>
      <c r="AG17" s="7"/>
      <c r="AH17" s="7"/>
      <c r="AI17" s="7"/>
      <c r="AJ17" s="7">
        <v>1</v>
      </c>
      <c r="AK17" s="7">
        <v>38</v>
      </c>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v>1</v>
      </c>
      <c r="CA17" s="7">
        <v>30</v>
      </c>
      <c r="CB17" s="7"/>
      <c r="CC17" s="7"/>
      <c r="CD17" s="7"/>
      <c r="CE17" s="7"/>
      <c r="CF17" s="7"/>
      <c r="CG17" s="7"/>
      <c r="CH17" s="7"/>
      <c r="CI17" s="7"/>
      <c r="CJ17" s="8"/>
      <c r="CK17" s="8"/>
      <c r="CL17" s="19">
        <v>13</v>
      </c>
      <c r="CM17" s="8">
        <v>195</v>
      </c>
      <c r="CN17" s="9"/>
      <c r="CO17" s="9"/>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row>
    <row r="18" spans="1:210">
      <c r="A18" s="5" t="s">
        <v>57</v>
      </c>
      <c r="B18" s="6">
        <v>21</v>
      </c>
      <c r="C18" s="6">
        <v>1497</v>
      </c>
      <c r="D18" s="7">
        <v>30</v>
      </c>
      <c r="E18" s="7">
        <v>4707</v>
      </c>
      <c r="F18" s="7">
        <v>28</v>
      </c>
      <c r="G18" s="7">
        <v>4710</v>
      </c>
      <c r="H18" s="7">
        <v>5</v>
      </c>
      <c r="I18" s="7">
        <v>973</v>
      </c>
      <c r="J18" s="7"/>
      <c r="K18" s="7"/>
      <c r="L18" s="7">
        <v>4</v>
      </c>
      <c r="M18" s="7">
        <v>52</v>
      </c>
      <c r="N18" s="7"/>
      <c r="O18" s="7"/>
      <c r="P18" s="7"/>
      <c r="Q18" s="7"/>
      <c r="R18" s="7"/>
      <c r="S18" s="7"/>
      <c r="T18" s="7"/>
      <c r="U18" s="7"/>
      <c r="V18" s="7"/>
      <c r="W18" s="7"/>
      <c r="X18" s="7"/>
      <c r="Y18" s="7"/>
      <c r="Z18" s="7"/>
      <c r="AA18" s="7"/>
      <c r="AB18" s="7">
        <v>1</v>
      </c>
      <c r="AC18" s="7">
        <v>1118</v>
      </c>
      <c r="AD18" s="7">
        <v>3</v>
      </c>
      <c r="AE18" s="7">
        <v>203</v>
      </c>
      <c r="AF18" s="7">
        <v>12</v>
      </c>
      <c r="AG18" s="7">
        <v>2285</v>
      </c>
      <c r="AH18" s="7">
        <v>59</v>
      </c>
      <c r="AI18" s="7">
        <v>19871</v>
      </c>
      <c r="AJ18" s="7">
        <v>38</v>
      </c>
      <c r="AK18" s="7">
        <v>10350</v>
      </c>
      <c r="AL18" s="7">
        <v>4</v>
      </c>
      <c r="AM18" s="7">
        <v>738</v>
      </c>
      <c r="AN18" s="7">
        <v>1</v>
      </c>
      <c r="AO18" s="7">
        <v>27</v>
      </c>
      <c r="AP18" s="7"/>
      <c r="AQ18" s="7"/>
      <c r="AR18" s="7"/>
      <c r="AS18" s="7"/>
      <c r="AT18" s="7"/>
      <c r="AU18" s="7"/>
      <c r="AV18" s="7"/>
      <c r="AW18" s="7"/>
      <c r="AX18" s="7"/>
      <c r="AY18" s="7"/>
      <c r="AZ18" s="7">
        <v>2</v>
      </c>
      <c r="BA18" s="7">
        <v>159</v>
      </c>
      <c r="BB18" s="7">
        <v>20</v>
      </c>
      <c r="BC18" s="7">
        <v>9179</v>
      </c>
      <c r="BD18" s="7">
        <v>4</v>
      </c>
      <c r="BE18" s="7">
        <v>2014</v>
      </c>
      <c r="BF18" s="7"/>
      <c r="BG18" s="7"/>
      <c r="BH18" s="7"/>
      <c r="BI18" s="7"/>
      <c r="BJ18" s="7"/>
      <c r="BK18" s="7"/>
      <c r="BL18" s="7"/>
      <c r="BM18" s="7"/>
      <c r="BN18" s="7"/>
      <c r="BO18" s="7"/>
      <c r="BP18" s="7"/>
      <c r="BQ18" s="7"/>
      <c r="BR18" s="7">
        <v>4</v>
      </c>
      <c r="BS18" s="7">
        <v>189</v>
      </c>
      <c r="BT18" s="7">
        <v>7</v>
      </c>
      <c r="BU18" s="7">
        <v>446</v>
      </c>
      <c r="BV18" s="7">
        <v>3</v>
      </c>
      <c r="BW18" s="7">
        <v>128</v>
      </c>
      <c r="BX18" s="7">
        <v>9</v>
      </c>
      <c r="BY18" s="7">
        <v>345</v>
      </c>
      <c r="BZ18" s="7">
        <v>4</v>
      </c>
      <c r="CA18" s="7">
        <v>180</v>
      </c>
      <c r="CB18" s="7">
        <v>2</v>
      </c>
      <c r="CC18" s="7">
        <v>86</v>
      </c>
      <c r="CD18" s="7"/>
      <c r="CE18" s="7"/>
      <c r="CF18" s="7">
        <v>2</v>
      </c>
      <c r="CG18" s="7">
        <v>32</v>
      </c>
      <c r="CH18" s="7"/>
      <c r="CI18" s="7"/>
      <c r="CJ18" s="8"/>
      <c r="CK18" s="8"/>
      <c r="CL18" s="19">
        <v>263</v>
      </c>
      <c r="CM18" s="8">
        <v>59289</v>
      </c>
      <c r="CN18" s="9"/>
      <c r="CO18" s="9"/>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row>
    <row r="19" spans="1:210">
      <c r="A19" s="5" t="s">
        <v>58</v>
      </c>
      <c r="B19" s="6"/>
      <c r="C19" s="6"/>
      <c r="D19" s="7"/>
      <c r="E19" s="7"/>
      <c r="F19" s="7"/>
      <c r="G19" s="7"/>
      <c r="H19" s="7"/>
      <c r="I19" s="7"/>
      <c r="J19" s="7">
        <v>1</v>
      </c>
      <c r="K19" s="7">
        <v>50</v>
      </c>
      <c r="L19" s="7">
        <v>2</v>
      </c>
      <c r="M19" s="7">
        <v>33</v>
      </c>
      <c r="N19" s="7">
        <v>1</v>
      </c>
      <c r="O19" s="7">
        <v>12</v>
      </c>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8"/>
      <c r="CK19" s="8"/>
      <c r="CL19" s="19">
        <v>4</v>
      </c>
      <c r="CM19" s="8">
        <v>95</v>
      </c>
      <c r="CN19" s="9"/>
      <c r="CO19" s="9"/>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row>
    <row r="20" spans="1:210">
      <c r="A20" s="5" t="s">
        <v>59</v>
      </c>
      <c r="B20" s="6"/>
      <c r="C20" s="6"/>
      <c r="D20" s="7"/>
      <c r="E20" s="7"/>
      <c r="F20" s="7"/>
      <c r="G20" s="7"/>
      <c r="H20" s="7"/>
      <c r="I20" s="7"/>
      <c r="J20" s="7">
        <v>1</v>
      </c>
      <c r="K20" s="7">
        <v>20</v>
      </c>
      <c r="L20" s="7">
        <v>15</v>
      </c>
      <c r="M20" s="7">
        <v>211</v>
      </c>
      <c r="N20" s="7"/>
      <c r="O20" s="7"/>
      <c r="P20" s="7"/>
      <c r="Q20" s="7"/>
      <c r="R20" s="7"/>
      <c r="S20" s="7"/>
      <c r="T20" s="7"/>
      <c r="U20" s="7"/>
      <c r="V20" s="7"/>
      <c r="W20" s="7"/>
      <c r="X20" s="7"/>
      <c r="Y20" s="7"/>
      <c r="Z20" s="7"/>
      <c r="AA20" s="7"/>
      <c r="AB20" s="7"/>
      <c r="AC20" s="7"/>
      <c r="AD20" s="7"/>
      <c r="AE20" s="7"/>
      <c r="AF20" s="7">
        <v>1</v>
      </c>
      <c r="AG20" s="7">
        <v>37</v>
      </c>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v>1</v>
      </c>
      <c r="BY20" s="7">
        <v>41</v>
      </c>
      <c r="BZ20" s="7"/>
      <c r="CA20" s="7"/>
      <c r="CB20" s="7"/>
      <c r="CC20" s="7"/>
      <c r="CD20" s="7"/>
      <c r="CE20" s="7"/>
      <c r="CF20" s="7"/>
      <c r="CG20" s="7"/>
      <c r="CH20" s="7"/>
      <c r="CI20" s="7"/>
      <c r="CJ20" s="8"/>
      <c r="CK20" s="8"/>
      <c r="CL20" s="19">
        <v>18</v>
      </c>
      <c r="CM20" s="8">
        <v>309</v>
      </c>
      <c r="CN20" s="9"/>
      <c r="CO20" s="9"/>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row>
    <row r="21" spans="1:210">
      <c r="A21" s="5" t="s">
        <v>60</v>
      </c>
      <c r="B21" s="6">
        <v>12</v>
      </c>
      <c r="C21" s="6">
        <v>654</v>
      </c>
      <c r="D21" s="7">
        <v>14</v>
      </c>
      <c r="E21" s="7">
        <v>861</v>
      </c>
      <c r="F21" s="7">
        <v>8</v>
      </c>
      <c r="G21" s="7">
        <v>1391</v>
      </c>
      <c r="H21" s="7"/>
      <c r="I21" s="7"/>
      <c r="J21" s="7">
        <v>1</v>
      </c>
      <c r="K21" s="7">
        <v>36</v>
      </c>
      <c r="L21" s="7">
        <v>2</v>
      </c>
      <c r="M21" s="7">
        <v>32</v>
      </c>
      <c r="N21" s="7"/>
      <c r="O21" s="7"/>
      <c r="P21" s="7"/>
      <c r="Q21" s="7"/>
      <c r="R21" s="7"/>
      <c r="S21" s="7"/>
      <c r="T21" s="7"/>
      <c r="U21" s="7"/>
      <c r="V21" s="7"/>
      <c r="W21" s="7"/>
      <c r="X21" s="7"/>
      <c r="Y21" s="7"/>
      <c r="Z21" s="7"/>
      <c r="AA21" s="7"/>
      <c r="AB21" s="7"/>
      <c r="AC21" s="7"/>
      <c r="AD21" s="7">
        <v>6</v>
      </c>
      <c r="AE21" s="7">
        <v>305</v>
      </c>
      <c r="AF21" s="7">
        <v>2</v>
      </c>
      <c r="AG21" s="7">
        <v>322</v>
      </c>
      <c r="AH21" s="7">
        <v>19</v>
      </c>
      <c r="AI21" s="7">
        <v>4628</v>
      </c>
      <c r="AJ21" s="7">
        <v>9</v>
      </c>
      <c r="AK21" s="7">
        <v>2243</v>
      </c>
      <c r="AL21" s="7">
        <v>2</v>
      </c>
      <c r="AM21" s="7">
        <v>437</v>
      </c>
      <c r="AN21" s="7"/>
      <c r="AO21" s="7"/>
      <c r="AP21" s="7"/>
      <c r="AQ21" s="7"/>
      <c r="AR21" s="7"/>
      <c r="AS21" s="7"/>
      <c r="AT21" s="7"/>
      <c r="AU21" s="7"/>
      <c r="AV21" s="7"/>
      <c r="AW21" s="7"/>
      <c r="AX21" s="7">
        <v>2</v>
      </c>
      <c r="AY21" s="7">
        <v>106</v>
      </c>
      <c r="AZ21" s="7">
        <v>2</v>
      </c>
      <c r="BA21" s="7">
        <v>226</v>
      </c>
      <c r="BB21" s="7">
        <v>6</v>
      </c>
      <c r="BC21" s="7">
        <v>1781</v>
      </c>
      <c r="BD21" s="7">
        <v>7</v>
      </c>
      <c r="BE21" s="7">
        <v>3658</v>
      </c>
      <c r="BF21" s="7"/>
      <c r="BG21" s="7"/>
      <c r="BH21" s="7"/>
      <c r="BI21" s="7"/>
      <c r="BJ21" s="7"/>
      <c r="BK21" s="7"/>
      <c r="BL21" s="7"/>
      <c r="BM21" s="7"/>
      <c r="BN21" s="7"/>
      <c r="BO21" s="7"/>
      <c r="BP21" s="7"/>
      <c r="BQ21" s="7"/>
      <c r="BR21" s="7">
        <v>9</v>
      </c>
      <c r="BS21" s="7">
        <v>1143</v>
      </c>
      <c r="BT21" s="7">
        <v>6</v>
      </c>
      <c r="BU21" s="7">
        <v>340</v>
      </c>
      <c r="BV21" s="7">
        <v>1</v>
      </c>
      <c r="BW21" s="7">
        <v>22</v>
      </c>
      <c r="BX21" s="7">
        <v>7</v>
      </c>
      <c r="BY21" s="7">
        <v>235</v>
      </c>
      <c r="BZ21" s="7">
        <v>2</v>
      </c>
      <c r="CA21" s="7">
        <v>83</v>
      </c>
      <c r="CB21" s="7"/>
      <c r="CC21" s="7"/>
      <c r="CD21" s="7"/>
      <c r="CE21" s="7"/>
      <c r="CF21" s="7"/>
      <c r="CG21" s="7"/>
      <c r="CH21" s="7">
        <v>1</v>
      </c>
      <c r="CI21" s="7">
        <v>68</v>
      </c>
      <c r="CJ21" s="8"/>
      <c r="CK21" s="8"/>
      <c r="CL21" s="19">
        <v>118</v>
      </c>
      <c r="CM21" s="8">
        <v>18571</v>
      </c>
      <c r="CN21" s="9"/>
      <c r="CO21" s="9"/>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row>
    <row r="22" spans="1:210">
      <c r="A22" s="5" t="s">
        <v>61</v>
      </c>
      <c r="B22" s="6"/>
      <c r="C22" s="6"/>
      <c r="D22" s="7"/>
      <c r="E22" s="7"/>
      <c r="F22" s="7"/>
      <c r="G22" s="7"/>
      <c r="H22" s="7"/>
      <c r="I22" s="7"/>
      <c r="J22" s="7"/>
      <c r="K22" s="7"/>
      <c r="L22" s="7"/>
      <c r="M22" s="7"/>
      <c r="N22" s="7">
        <v>1</v>
      </c>
      <c r="O22" s="7">
        <v>16</v>
      </c>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8"/>
      <c r="CK22" s="8"/>
      <c r="CL22" s="19">
        <v>1</v>
      </c>
      <c r="CM22" s="8">
        <v>16</v>
      </c>
      <c r="CN22" s="9"/>
      <c r="CO22" s="9"/>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row>
    <row r="23" spans="1:210">
      <c r="A23" s="5" t="s">
        <v>62</v>
      </c>
      <c r="B23" s="6"/>
      <c r="C23" s="6"/>
      <c r="D23" s="7"/>
      <c r="E23" s="7"/>
      <c r="F23" s="7"/>
      <c r="G23" s="7"/>
      <c r="H23" s="7"/>
      <c r="I23" s="7"/>
      <c r="J23" s="7"/>
      <c r="K23" s="7"/>
      <c r="L23" s="7">
        <v>1</v>
      </c>
      <c r="M23" s="7">
        <v>16</v>
      </c>
      <c r="N23" s="7">
        <v>1</v>
      </c>
      <c r="O23" s="7">
        <v>16</v>
      </c>
      <c r="P23" s="7"/>
      <c r="Q23" s="7"/>
      <c r="R23" s="7"/>
      <c r="S23" s="7"/>
      <c r="T23" s="7"/>
      <c r="U23" s="7"/>
      <c r="V23" s="7"/>
      <c r="W23" s="7"/>
      <c r="X23" s="7"/>
      <c r="Y23" s="7"/>
      <c r="Z23" s="7"/>
      <c r="AA23" s="7"/>
      <c r="AB23" s="7"/>
      <c r="AC23" s="7"/>
      <c r="AD23" s="7">
        <v>1</v>
      </c>
      <c r="AE23" s="7">
        <v>79</v>
      </c>
      <c r="AF23" s="7"/>
      <c r="AG23" s="7"/>
      <c r="AH23" s="7"/>
      <c r="AI23" s="7"/>
      <c r="AJ23" s="7">
        <v>2</v>
      </c>
      <c r="AK23" s="7">
        <v>288</v>
      </c>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v>1</v>
      </c>
      <c r="BS23" s="7">
        <v>14</v>
      </c>
      <c r="BT23" s="7"/>
      <c r="BU23" s="7"/>
      <c r="BV23" s="7"/>
      <c r="BW23" s="7"/>
      <c r="BX23" s="7"/>
      <c r="BY23" s="7"/>
      <c r="BZ23" s="7"/>
      <c r="CA23" s="7"/>
      <c r="CB23" s="7"/>
      <c r="CC23" s="7"/>
      <c r="CD23" s="7"/>
      <c r="CE23" s="7"/>
      <c r="CF23" s="7"/>
      <c r="CG23" s="7"/>
      <c r="CH23" s="7">
        <v>1</v>
      </c>
      <c r="CI23" s="7">
        <v>17</v>
      </c>
      <c r="CJ23" s="8"/>
      <c r="CK23" s="8"/>
      <c r="CL23" s="19">
        <v>7</v>
      </c>
      <c r="CM23" s="8">
        <v>430</v>
      </c>
      <c r="CN23" s="9"/>
      <c r="CO23" s="9"/>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row>
    <row r="24" spans="1:210">
      <c r="A24" s="5" t="s">
        <v>63</v>
      </c>
      <c r="B24" s="6"/>
      <c r="C24" s="6"/>
      <c r="D24" s="7"/>
      <c r="E24" s="7"/>
      <c r="F24" s="7"/>
      <c r="G24" s="7"/>
      <c r="H24" s="7"/>
      <c r="I24" s="7"/>
      <c r="J24" s="7"/>
      <c r="K24" s="7"/>
      <c r="L24" s="7">
        <v>3</v>
      </c>
      <c r="M24" s="7">
        <v>37</v>
      </c>
      <c r="N24" s="7"/>
      <c r="O24" s="7"/>
      <c r="P24" s="7"/>
      <c r="Q24" s="7"/>
      <c r="R24" s="7"/>
      <c r="S24" s="7"/>
      <c r="T24" s="7"/>
      <c r="U24" s="7"/>
      <c r="V24" s="7"/>
      <c r="W24" s="7"/>
      <c r="X24" s="7"/>
      <c r="Y24" s="7"/>
      <c r="Z24" s="7"/>
      <c r="AA24" s="7"/>
      <c r="AB24" s="7"/>
      <c r="AC24" s="7"/>
      <c r="AD24" s="7"/>
      <c r="AE24" s="7"/>
      <c r="AF24" s="7"/>
      <c r="AG24" s="7"/>
      <c r="AH24" s="7"/>
      <c r="AI24" s="7"/>
      <c r="AJ24" s="7">
        <v>1</v>
      </c>
      <c r="AK24" s="7">
        <v>37</v>
      </c>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v>1</v>
      </c>
      <c r="BS24" s="7">
        <v>16</v>
      </c>
      <c r="BT24" s="7"/>
      <c r="BU24" s="7"/>
      <c r="BV24" s="7"/>
      <c r="BW24" s="7"/>
      <c r="BX24" s="7"/>
      <c r="BY24" s="7"/>
      <c r="BZ24" s="7"/>
      <c r="CA24" s="7"/>
      <c r="CB24" s="7"/>
      <c r="CC24" s="7"/>
      <c r="CD24" s="7"/>
      <c r="CE24" s="7"/>
      <c r="CF24" s="7"/>
      <c r="CG24" s="7"/>
      <c r="CH24" s="7"/>
      <c r="CI24" s="7"/>
      <c r="CJ24" s="8"/>
      <c r="CK24" s="8"/>
      <c r="CL24" s="19">
        <v>5</v>
      </c>
      <c r="CM24" s="8">
        <v>90</v>
      </c>
      <c r="CN24" s="9"/>
      <c r="CO24" s="9"/>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row>
    <row r="25" spans="1:210">
      <c r="A25" s="5" t="s">
        <v>64</v>
      </c>
      <c r="B25" s="6"/>
      <c r="C25" s="6"/>
      <c r="D25" s="7"/>
      <c r="E25" s="7"/>
      <c r="F25" s="7"/>
      <c r="G25" s="7"/>
      <c r="H25" s="7"/>
      <c r="I25" s="7"/>
      <c r="J25" s="7"/>
      <c r="K25" s="7"/>
      <c r="L25" s="7">
        <v>1</v>
      </c>
      <c r="M25" s="7">
        <v>10</v>
      </c>
      <c r="N25" s="7">
        <v>2</v>
      </c>
      <c r="O25" s="7">
        <v>26</v>
      </c>
      <c r="P25" s="7"/>
      <c r="Q25" s="7"/>
      <c r="R25" s="7"/>
      <c r="S25" s="7"/>
      <c r="T25" s="7"/>
      <c r="U25" s="7"/>
      <c r="V25" s="7"/>
      <c r="W25" s="7"/>
      <c r="X25" s="7"/>
      <c r="Y25" s="7"/>
      <c r="Z25" s="7"/>
      <c r="AA25" s="7"/>
      <c r="AB25" s="7"/>
      <c r="AC25" s="7"/>
      <c r="AD25" s="7"/>
      <c r="AE25" s="7"/>
      <c r="AF25" s="7">
        <v>1</v>
      </c>
      <c r="AG25" s="7">
        <v>101</v>
      </c>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8"/>
      <c r="CK25" s="8"/>
      <c r="CL25" s="19">
        <v>4</v>
      </c>
      <c r="CM25" s="8">
        <v>137</v>
      </c>
      <c r="CN25" s="9"/>
      <c r="CO25" s="9"/>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row>
    <row r="26" spans="1:210">
      <c r="A26" s="5" t="s">
        <v>65</v>
      </c>
      <c r="B26" s="6">
        <v>13</v>
      </c>
      <c r="C26" s="6">
        <v>387</v>
      </c>
      <c r="D26" s="7">
        <v>13</v>
      </c>
      <c r="E26" s="7">
        <v>1919</v>
      </c>
      <c r="F26" s="7">
        <v>2</v>
      </c>
      <c r="G26" s="7">
        <v>405</v>
      </c>
      <c r="H26" s="7"/>
      <c r="I26" s="7"/>
      <c r="J26" s="7">
        <v>3</v>
      </c>
      <c r="K26" s="7">
        <v>74</v>
      </c>
      <c r="L26" s="7">
        <v>7</v>
      </c>
      <c r="M26" s="7">
        <v>92</v>
      </c>
      <c r="N26" s="7"/>
      <c r="O26" s="7"/>
      <c r="P26" s="7"/>
      <c r="Q26" s="7"/>
      <c r="R26" s="7"/>
      <c r="S26" s="7"/>
      <c r="T26" s="7"/>
      <c r="U26" s="7"/>
      <c r="V26" s="7"/>
      <c r="W26" s="7"/>
      <c r="X26" s="7"/>
      <c r="Y26" s="7"/>
      <c r="Z26" s="7"/>
      <c r="AA26" s="7"/>
      <c r="AB26" s="7"/>
      <c r="AC26" s="7"/>
      <c r="AD26" s="7">
        <v>1</v>
      </c>
      <c r="AE26" s="7">
        <v>48</v>
      </c>
      <c r="AF26" s="7">
        <v>2</v>
      </c>
      <c r="AG26" s="7">
        <v>152</v>
      </c>
      <c r="AH26" s="7">
        <v>6</v>
      </c>
      <c r="AI26" s="7">
        <v>2242</v>
      </c>
      <c r="AJ26" s="7">
        <v>2</v>
      </c>
      <c r="AK26" s="7">
        <v>822</v>
      </c>
      <c r="AL26" s="7">
        <v>1</v>
      </c>
      <c r="AM26" s="7">
        <v>20</v>
      </c>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v>1</v>
      </c>
      <c r="BS26" s="7">
        <v>35</v>
      </c>
      <c r="BT26" s="7"/>
      <c r="BU26" s="7"/>
      <c r="BV26" s="7"/>
      <c r="BW26" s="7"/>
      <c r="BX26" s="7">
        <v>3</v>
      </c>
      <c r="BY26" s="7">
        <v>130</v>
      </c>
      <c r="BZ26" s="7"/>
      <c r="CA26" s="7"/>
      <c r="CB26" s="7"/>
      <c r="CC26" s="7"/>
      <c r="CD26" s="7"/>
      <c r="CE26" s="7"/>
      <c r="CF26" s="7"/>
      <c r="CG26" s="7"/>
      <c r="CH26" s="7"/>
      <c r="CI26" s="7"/>
      <c r="CJ26" s="8"/>
      <c r="CK26" s="8"/>
      <c r="CL26" s="19">
        <v>54</v>
      </c>
      <c r="CM26" s="8">
        <v>6326</v>
      </c>
      <c r="CN26" s="9"/>
      <c r="CO26" s="9"/>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row>
    <row r="27" spans="1:210">
      <c r="A27" s="5" t="s">
        <v>66</v>
      </c>
      <c r="B27" s="6"/>
      <c r="C27" s="6"/>
      <c r="D27" s="7"/>
      <c r="E27" s="7"/>
      <c r="F27" s="7"/>
      <c r="G27" s="7"/>
      <c r="H27" s="7"/>
      <c r="I27" s="7"/>
      <c r="J27" s="7"/>
      <c r="K27" s="7"/>
      <c r="L27" s="7">
        <v>2</v>
      </c>
      <c r="M27" s="7">
        <v>25</v>
      </c>
      <c r="N27" s="7">
        <v>2</v>
      </c>
      <c r="O27" s="7">
        <v>25</v>
      </c>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v>1</v>
      </c>
      <c r="BE27" s="7">
        <v>40</v>
      </c>
      <c r="BF27" s="7"/>
      <c r="BG27" s="7"/>
      <c r="BH27" s="7"/>
      <c r="BI27" s="7"/>
      <c r="BJ27" s="7"/>
      <c r="BK27" s="7"/>
      <c r="BL27" s="7"/>
      <c r="BM27" s="7"/>
      <c r="BN27" s="7"/>
      <c r="BO27" s="7"/>
      <c r="BP27" s="7"/>
      <c r="BQ27" s="7"/>
      <c r="BR27" s="7">
        <v>1</v>
      </c>
      <c r="BS27" s="7">
        <v>10</v>
      </c>
      <c r="BT27" s="7"/>
      <c r="BU27" s="7"/>
      <c r="BV27" s="7"/>
      <c r="BW27" s="7"/>
      <c r="BX27" s="7"/>
      <c r="BY27" s="7"/>
      <c r="BZ27" s="7"/>
      <c r="CA27" s="7"/>
      <c r="CB27" s="7"/>
      <c r="CC27" s="7"/>
      <c r="CD27" s="7"/>
      <c r="CE27" s="7"/>
      <c r="CF27" s="7"/>
      <c r="CG27" s="7"/>
      <c r="CH27" s="7"/>
      <c r="CI27" s="7"/>
      <c r="CJ27" s="8"/>
      <c r="CK27" s="8"/>
      <c r="CL27" s="19">
        <v>6</v>
      </c>
      <c r="CM27" s="8">
        <v>100</v>
      </c>
      <c r="CN27" s="9"/>
      <c r="CO27" s="9"/>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row>
    <row r="28" spans="1:210">
      <c r="A28" s="5" t="s">
        <v>67</v>
      </c>
      <c r="B28" s="6"/>
      <c r="C28" s="6"/>
      <c r="D28" s="7"/>
      <c r="E28" s="7"/>
      <c r="F28" s="7"/>
      <c r="G28" s="7"/>
      <c r="H28" s="7"/>
      <c r="I28" s="7"/>
      <c r="J28" s="7">
        <v>1</v>
      </c>
      <c r="K28" s="7">
        <v>30</v>
      </c>
      <c r="L28" s="7">
        <v>1</v>
      </c>
      <c r="M28" s="7">
        <v>6</v>
      </c>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8"/>
      <c r="CK28" s="8"/>
      <c r="CL28" s="19">
        <v>2</v>
      </c>
      <c r="CM28" s="8">
        <v>36</v>
      </c>
      <c r="CN28" s="9"/>
      <c r="CO28" s="9"/>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row>
    <row r="29" spans="1:210">
      <c r="A29" s="5" t="s">
        <v>68</v>
      </c>
      <c r="B29" s="6"/>
      <c r="C29" s="6"/>
      <c r="D29" s="7"/>
      <c r="E29" s="7"/>
      <c r="F29" s="7"/>
      <c r="G29" s="7"/>
      <c r="H29" s="7"/>
      <c r="I29" s="7"/>
      <c r="J29" s="7"/>
      <c r="K29" s="7"/>
      <c r="L29" s="7">
        <v>2</v>
      </c>
      <c r="M29" s="7">
        <v>38</v>
      </c>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8"/>
      <c r="CK29" s="8"/>
      <c r="CL29" s="19">
        <v>2</v>
      </c>
      <c r="CM29" s="8">
        <v>38</v>
      </c>
      <c r="CN29" s="9"/>
      <c r="CO29" s="9"/>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row>
    <row r="30" spans="1:210">
      <c r="A30" s="5" t="s">
        <v>69</v>
      </c>
      <c r="B30" s="6"/>
      <c r="C30" s="6"/>
      <c r="D30" s="7"/>
      <c r="E30" s="7"/>
      <c r="F30" s="7"/>
      <c r="G30" s="7"/>
      <c r="H30" s="7"/>
      <c r="I30" s="7"/>
      <c r="J30" s="7"/>
      <c r="K30" s="7"/>
      <c r="L30" s="7"/>
      <c r="M30" s="7"/>
      <c r="N30" s="7">
        <v>1</v>
      </c>
      <c r="O30" s="7">
        <v>16</v>
      </c>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8"/>
      <c r="CK30" s="8"/>
      <c r="CL30" s="19">
        <v>1</v>
      </c>
      <c r="CM30" s="8">
        <v>16</v>
      </c>
      <c r="CN30" s="9"/>
      <c r="CO30" s="9"/>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row>
    <row r="31" spans="1:210">
      <c r="A31" s="5" t="s">
        <v>70</v>
      </c>
      <c r="B31" s="6"/>
      <c r="C31" s="6"/>
      <c r="D31" s="7"/>
      <c r="E31" s="7"/>
      <c r="F31" s="7"/>
      <c r="G31" s="7"/>
      <c r="H31" s="7"/>
      <c r="I31" s="7"/>
      <c r="J31" s="7"/>
      <c r="K31" s="7"/>
      <c r="L31" s="7"/>
      <c r="M31" s="7"/>
      <c r="N31" s="7">
        <v>1</v>
      </c>
      <c r="O31" s="7">
        <v>6</v>
      </c>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8"/>
      <c r="CK31" s="8"/>
      <c r="CL31" s="19">
        <v>1</v>
      </c>
      <c r="CM31" s="8">
        <v>6</v>
      </c>
      <c r="CN31" s="9"/>
      <c r="CO31" s="9"/>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row>
    <row r="32" spans="1:210">
      <c r="A32" s="5" t="s">
        <v>71</v>
      </c>
      <c r="B32" s="6">
        <v>1</v>
      </c>
      <c r="C32" s="6">
        <v>120</v>
      </c>
      <c r="D32" s="7"/>
      <c r="E32" s="7"/>
      <c r="F32" s="7"/>
      <c r="G32" s="7"/>
      <c r="H32" s="7">
        <v>1</v>
      </c>
      <c r="I32" s="7">
        <v>936</v>
      </c>
      <c r="J32" s="7"/>
      <c r="K32" s="7"/>
      <c r="L32" s="7">
        <v>13</v>
      </c>
      <c r="M32" s="7">
        <v>159</v>
      </c>
      <c r="N32" s="7"/>
      <c r="O32" s="7"/>
      <c r="P32" s="7"/>
      <c r="Q32" s="7"/>
      <c r="R32" s="7"/>
      <c r="S32" s="7"/>
      <c r="T32" s="7"/>
      <c r="U32" s="7"/>
      <c r="V32" s="7"/>
      <c r="W32" s="7"/>
      <c r="X32" s="7"/>
      <c r="Y32" s="7"/>
      <c r="Z32" s="7">
        <v>1</v>
      </c>
      <c r="AA32" s="7">
        <v>660</v>
      </c>
      <c r="AB32" s="7"/>
      <c r="AC32" s="7"/>
      <c r="AD32" s="7"/>
      <c r="AE32" s="7"/>
      <c r="AF32" s="7">
        <v>10</v>
      </c>
      <c r="AG32" s="7">
        <v>2303</v>
      </c>
      <c r="AH32" s="7">
        <v>21</v>
      </c>
      <c r="AI32" s="7">
        <v>6451</v>
      </c>
      <c r="AJ32" s="7">
        <v>2</v>
      </c>
      <c r="AK32" s="7">
        <v>1004</v>
      </c>
      <c r="AL32" s="7">
        <v>1</v>
      </c>
      <c r="AM32" s="7">
        <v>300</v>
      </c>
      <c r="AN32" s="7"/>
      <c r="AO32" s="7"/>
      <c r="AP32" s="7"/>
      <c r="AQ32" s="7"/>
      <c r="AR32" s="7"/>
      <c r="AS32" s="7"/>
      <c r="AT32" s="7"/>
      <c r="AU32" s="7"/>
      <c r="AV32" s="7"/>
      <c r="AW32" s="7"/>
      <c r="AX32" s="7"/>
      <c r="AY32" s="7"/>
      <c r="AZ32" s="7"/>
      <c r="BA32" s="7"/>
      <c r="BB32" s="7">
        <v>1</v>
      </c>
      <c r="BC32" s="7">
        <v>346</v>
      </c>
      <c r="BD32" s="7"/>
      <c r="BE32" s="7"/>
      <c r="BF32" s="7"/>
      <c r="BG32" s="7"/>
      <c r="BH32" s="7"/>
      <c r="BI32" s="7"/>
      <c r="BJ32" s="7"/>
      <c r="BK32" s="7"/>
      <c r="BL32" s="7"/>
      <c r="BM32" s="7"/>
      <c r="BN32" s="7"/>
      <c r="BO32" s="7"/>
      <c r="BP32" s="7"/>
      <c r="BQ32" s="7"/>
      <c r="BR32" s="7">
        <v>3</v>
      </c>
      <c r="BS32" s="7">
        <v>161</v>
      </c>
      <c r="BT32" s="7"/>
      <c r="BU32" s="7"/>
      <c r="BV32" s="7"/>
      <c r="BW32" s="7"/>
      <c r="BX32" s="7">
        <v>3</v>
      </c>
      <c r="BY32" s="7">
        <v>153</v>
      </c>
      <c r="BZ32" s="7">
        <v>2</v>
      </c>
      <c r="CA32" s="7">
        <v>80</v>
      </c>
      <c r="CB32" s="7"/>
      <c r="CC32" s="7"/>
      <c r="CD32" s="7"/>
      <c r="CE32" s="7"/>
      <c r="CF32" s="7"/>
      <c r="CG32" s="7"/>
      <c r="CH32" s="7">
        <v>1</v>
      </c>
      <c r="CI32" s="7">
        <v>20</v>
      </c>
      <c r="CJ32" s="8"/>
      <c r="CK32" s="8"/>
      <c r="CL32" s="19">
        <v>60</v>
      </c>
      <c r="CM32" s="8">
        <v>12693</v>
      </c>
      <c r="CN32" s="9"/>
      <c r="CO32" s="9"/>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row>
    <row r="33" spans="1:210">
      <c r="A33" s="5" t="s">
        <v>72</v>
      </c>
      <c r="B33" s="6">
        <v>9</v>
      </c>
      <c r="C33" s="6">
        <v>1597</v>
      </c>
      <c r="D33" s="7">
        <v>7</v>
      </c>
      <c r="E33" s="7">
        <v>797</v>
      </c>
      <c r="F33" s="7">
        <v>3</v>
      </c>
      <c r="G33" s="7">
        <v>123</v>
      </c>
      <c r="H33" s="7"/>
      <c r="I33" s="7"/>
      <c r="J33" s="7">
        <v>3</v>
      </c>
      <c r="K33" s="7">
        <v>98</v>
      </c>
      <c r="L33" s="7">
        <v>15</v>
      </c>
      <c r="M33" s="7">
        <v>195</v>
      </c>
      <c r="N33" s="7"/>
      <c r="O33" s="7"/>
      <c r="P33" s="7"/>
      <c r="Q33" s="7"/>
      <c r="R33" s="7"/>
      <c r="S33" s="7"/>
      <c r="T33" s="7"/>
      <c r="U33" s="7"/>
      <c r="V33" s="7"/>
      <c r="W33" s="7"/>
      <c r="X33" s="7"/>
      <c r="Y33" s="7"/>
      <c r="Z33" s="7"/>
      <c r="AA33" s="7"/>
      <c r="AB33" s="7"/>
      <c r="AC33" s="7"/>
      <c r="AD33" s="7">
        <v>2</v>
      </c>
      <c r="AE33" s="7">
        <v>299</v>
      </c>
      <c r="AF33" s="7">
        <v>2</v>
      </c>
      <c r="AG33" s="7">
        <v>441</v>
      </c>
      <c r="AH33" s="7">
        <v>13</v>
      </c>
      <c r="AI33" s="7">
        <v>5102</v>
      </c>
      <c r="AJ33" s="7">
        <v>2</v>
      </c>
      <c r="AK33" s="7">
        <v>593</v>
      </c>
      <c r="AL33" s="7"/>
      <c r="AM33" s="7"/>
      <c r="AN33" s="7"/>
      <c r="AO33" s="7"/>
      <c r="AP33" s="7"/>
      <c r="AQ33" s="7"/>
      <c r="AR33" s="7"/>
      <c r="AS33" s="7"/>
      <c r="AT33" s="7"/>
      <c r="AU33" s="7"/>
      <c r="AV33" s="7"/>
      <c r="AW33" s="7"/>
      <c r="AX33" s="7"/>
      <c r="AY33" s="7"/>
      <c r="AZ33" s="7"/>
      <c r="BA33" s="7"/>
      <c r="BB33" s="7">
        <v>5</v>
      </c>
      <c r="BC33" s="7">
        <v>4245</v>
      </c>
      <c r="BD33" s="7">
        <v>1</v>
      </c>
      <c r="BE33" s="7">
        <v>1214</v>
      </c>
      <c r="BF33" s="7"/>
      <c r="BG33" s="7"/>
      <c r="BH33" s="7"/>
      <c r="BI33" s="7"/>
      <c r="BJ33" s="7"/>
      <c r="BK33" s="7"/>
      <c r="BL33" s="7"/>
      <c r="BM33" s="7"/>
      <c r="BN33" s="7"/>
      <c r="BO33" s="7"/>
      <c r="BP33" s="7"/>
      <c r="BQ33" s="7"/>
      <c r="BR33" s="7">
        <v>1</v>
      </c>
      <c r="BS33" s="7">
        <v>111</v>
      </c>
      <c r="BT33" s="7">
        <v>1</v>
      </c>
      <c r="BU33" s="7">
        <v>46</v>
      </c>
      <c r="BV33" s="7"/>
      <c r="BW33" s="7"/>
      <c r="BX33" s="7">
        <v>1</v>
      </c>
      <c r="BY33" s="7">
        <v>40</v>
      </c>
      <c r="BZ33" s="7"/>
      <c r="CA33" s="7"/>
      <c r="CB33" s="7"/>
      <c r="CC33" s="7"/>
      <c r="CD33" s="7"/>
      <c r="CE33" s="7"/>
      <c r="CF33" s="7">
        <v>3</v>
      </c>
      <c r="CG33" s="7">
        <v>94</v>
      </c>
      <c r="CH33" s="7"/>
      <c r="CI33" s="7"/>
      <c r="CJ33" s="8"/>
      <c r="CK33" s="8"/>
      <c r="CL33" s="19">
        <v>68</v>
      </c>
      <c r="CM33" s="8">
        <v>14995</v>
      </c>
      <c r="CN33" s="9"/>
      <c r="CO33" s="9"/>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row>
    <row r="34" spans="1:210">
      <c r="A34" s="5" t="s">
        <v>73</v>
      </c>
      <c r="B34" s="6"/>
      <c r="C34" s="6"/>
      <c r="D34" s="7"/>
      <c r="E34" s="7"/>
      <c r="F34" s="7"/>
      <c r="G34" s="7"/>
      <c r="H34" s="7"/>
      <c r="I34" s="7"/>
      <c r="J34" s="7"/>
      <c r="K34" s="7"/>
      <c r="L34" s="7">
        <v>2</v>
      </c>
      <c r="M34" s="7">
        <v>18</v>
      </c>
      <c r="N34" s="7">
        <v>1</v>
      </c>
      <c r="O34" s="7">
        <v>16</v>
      </c>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8"/>
      <c r="CK34" s="8"/>
      <c r="CL34" s="19">
        <v>3</v>
      </c>
      <c r="CM34" s="8">
        <v>34</v>
      </c>
      <c r="CN34" s="9"/>
      <c r="CO34" s="9"/>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row>
    <row r="35" spans="1:210">
      <c r="A35" s="5" t="s">
        <v>74</v>
      </c>
      <c r="B35" s="6"/>
      <c r="C35" s="6"/>
      <c r="D35" s="7"/>
      <c r="E35" s="7"/>
      <c r="F35" s="7"/>
      <c r="G35" s="7"/>
      <c r="H35" s="7"/>
      <c r="I35" s="7"/>
      <c r="J35" s="7"/>
      <c r="K35" s="7"/>
      <c r="L35" s="7">
        <v>1</v>
      </c>
      <c r="M35" s="7">
        <v>16</v>
      </c>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8"/>
      <c r="CK35" s="8"/>
      <c r="CL35" s="19">
        <v>1</v>
      </c>
      <c r="CM35" s="8">
        <v>16</v>
      </c>
      <c r="CN35" s="9"/>
      <c r="CO35" s="9"/>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row>
    <row r="36" spans="1:210">
      <c r="A36" s="5" t="s">
        <v>75</v>
      </c>
      <c r="B36" s="6"/>
      <c r="C36" s="6"/>
      <c r="D36" s="7"/>
      <c r="E36" s="7"/>
      <c r="F36" s="7"/>
      <c r="G36" s="7"/>
      <c r="H36" s="7"/>
      <c r="I36" s="7"/>
      <c r="J36" s="7">
        <v>1</v>
      </c>
      <c r="K36" s="7">
        <v>50</v>
      </c>
      <c r="L36" s="7">
        <v>2</v>
      </c>
      <c r="M36" s="7">
        <v>18</v>
      </c>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8"/>
      <c r="CK36" s="8"/>
      <c r="CL36" s="19">
        <v>3</v>
      </c>
      <c r="CM36" s="8">
        <v>68</v>
      </c>
      <c r="CN36" s="9"/>
      <c r="CO36" s="9"/>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row>
    <row r="37" spans="1:210">
      <c r="A37" s="5" t="s">
        <v>76</v>
      </c>
      <c r="B37" s="6"/>
      <c r="C37" s="6"/>
      <c r="D37" s="7">
        <v>2</v>
      </c>
      <c r="E37" s="7">
        <v>426</v>
      </c>
      <c r="F37" s="7">
        <v>8</v>
      </c>
      <c r="G37" s="7">
        <v>1262</v>
      </c>
      <c r="H37" s="7"/>
      <c r="I37" s="7"/>
      <c r="J37" s="7">
        <v>1</v>
      </c>
      <c r="K37" s="7">
        <v>30</v>
      </c>
      <c r="L37" s="7"/>
      <c r="M37" s="7"/>
      <c r="N37" s="7"/>
      <c r="O37" s="7"/>
      <c r="P37" s="7">
        <v>1</v>
      </c>
      <c r="Q37" s="7">
        <v>500</v>
      </c>
      <c r="R37" s="7"/>
      <c r="S37" s="7"/>
      <c r="T37" s="7"/>
      <c r="U37" s="7"/>
      <c r="V37" s="7"/>
      <c r="W37" s="7"/>
      <c r="X37" s="7"/>
      <c r="Y37" s="7"/>
      <c r="Z37" s="7"/>
      <c r="AA37" s="7"/>
      <c r="AB37" s="7"/>
      <c r="AC37" s="7"/>
      <c r="AD37" s="7"/>
      <c r="AE37" s="7"/>
      <c r="AF37" s="7"/>
      <c r="AG37" s="7"/>
      <c r="AH37" s="7">
        <v>4</v>
      </c>
      <c r="AI37" s="7">
        <v>1217</v>
      </c>
      <c r="AJ37" s="7">
        <v>6</v>
      </c>
      <c r="AK37" s="7">
        <v>3493</v>
      </c>
      <c r="AL37" s="7">
        <v>1</v>
      </c>
      <c r="AM37" s="7">
        <v>268</v>
      </c>
      <c r="AN37" s="7"/>
      <c r="AO37" s="7"/>
      <c r="AP37" s="7"/>
      <c r="AQ37" s="7"/>
      <c r="AR37" s="7"/>
      <c r="AS37" s="7"/>
      <c r="AT37" s="7"/>
      <c r="AU37" s="7"/>
      <c r="AV37" s="7"/>
      <c r="AW37" s="7"/>
      <c r="AX37" s="7"/>
      <c r="AY37" s="7"/>
      <c r="AZ37" s="7"/>
      <c r="BA37" s="7"/>
      <c r="BB37" s="7">
        <v>7</v>
      </c>
      <c r="BC37" s="7">
        <v>4139</v>
      </c>
      <c r="BD37" s="7">
        <v>9</v>
      </c>
      <c r="BE37" s="7">
        <v>4968</v>
      </c>
      <c r="BF37" s="7">
        <v>1</v>
      </c>
      <c r="BG37" s="7">
        <v>218</v>
      </c>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8"/>
      <c r="CK37" s="8"/>
      <c r="CL37" s="19">
        <v>40</v>
      </c>
      <c r="CM37" s="8">
        <v>16521</v>
      </c>
      <c r="CN37" s="9"/>
      <c r="CO37" s="9"/>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row>
    <row r="38" spans="1:210">
      <c r="A38" s="5" t="s">
        <v>77</v>
      </c>
      <c r="B38" s="6">
        <v>6</v>
      </c>
      <c r="C38" s="6">
        <v>378</v>
      </c>
      <c r="D38" s="7">
        <v>7</v>
      </c>
      <c r="E38" s="7">
        <v>942</v>
      </c>
      <c r="F38" s="7">
        <v>7</v>
      </c>
      <c r="G38" s="7">
        <v>848</v>
      </c>
      <c r="H38" s="7"/>
      <c r="I38" s="7"/>
      <c r="J38" s="7">
        <v>1</v>
      </c>
      <c r="K38" s="7">
        <v>25</v>
      </c>
      <c r="L38" s="7"/>
      <c r="M38" s="7"/>
      <c r="N38" s="7"/>
      <c r="O38" s="7"/>
      <c r="P38" s="7"/>
      <c r="Q38" s="7"/>
      <c r="R38" s="7"/>
      <c r="S38" s="7"/>
      <c r="T38" s="7"/>
      <c r="U38" s="7"/>
      <c r="V38" s="7"/>
      <c r="W38" s="7"/>
      <c r="X38" s="7"/>
      <c r="Y38" s="7"/>
      <c r="Z38" s="7"/>
      <c r="AA38" s="7"/>
      <c r="AB38" s="7"/>
      <c r="AC38" s="7"/>
      <c r="AD38" s="7">
        <v>11</v>
      </c>
      <c r="AE38" s="7">
        <v>913</v>
      </c>
      <c r="AF38" s="7">
        <v>14</v>
      </c>
      <c r="AG38" s="7">
        <v>2000</v>
      </c>
      <c r="AH38" s="7">
        <v>73</v>
      </c>
      <c r="AI38" s="7">
        <v>20753</v>
      </c>
      <c r="AJ38" s="7">
        <v>37</v>
      </c>
      <c r="AK38" s="7">
        <v>9554</v>
      </c>
      <c r="AL38" s="7">
        <v>6</v>
      </c>
      <c r="AM38" s="7">
        <v>1447</v>
      </c>
      <c r="AN38" s="7">
        <v>2</v>
      </c>
      <c r="AO38" s="7">
        <v>98</v>
      </c>
      <c r="AP38" s="7">
        <v>1</v>
      </c>
      <c r="AQ38" s="7">
        <v>51</v>
      </c>
      <c r="AR38" s="7">
        <v>2</v>
      </c>
      <c r="AS38" s="7">
        <v>239</v>
      </c>
      <c r="AT38" s="7"/>
      <c r="AU38" s="7"/>
      <c r="AV38" s="7"/>
      <c r="AW38" s="7"/>
      <c r="AX38" s="7"/>
      <c r="AY38" s="7"/>
      <c r="AZ38" s="7">
        <v>3</v>
      </c>
      <c r="BA38" s="7">
        <v>355</v>
      </c>
      <c r="BB38" s="7">
        <v>6</v>
      </c>
      <c r="BC38" s="7">
        <v>1733</v>
      </c>
      <c r="BD38" s="7">
        <v>5</v>
      </c>
      <c r="BE38" s="7">
        <v>2453</v>
      </c>
      <c r="BF38" s="7"/>
      <c r="BG38" s="7"/>
      <c r="BH38" s="7"/>
      <c r="BI38" s="7"/>
      <c r="BJ38" s="7"/>
      <c r="BK38" s="7"/>
      <c r="BL38" s="7"/>
      <c r="BM38" s="7"/>
      <c r="BN38" s="7"/>
      <c r="BO38" s="7"/>
      <c r="BP38" s="7"/>
      <c r="BQ38" s="7"/>
      <c r="BR38" s="7">
        <v>6</v>
      </c>
      <c r="BS38" s="7">
        <v>201</v>
      </c>
      <c r="BT38" s="7">
        <v>4</v>
      </c>
      <c r="BU38" s="7">
        <v>355</v>
      </c>
      <c r="BV38" s="7">
        <v>1</v>
      </c>
      <c r="BW38" s="7">
        <v>118</v>
      </c>
      <c r="BX38" s="7">
        <v>22</v>
      </c>
      <c r="BY38" s="7">
        <v>929</v>
      </c>
      <c r="BZ38" s="7">
        <v>9</v>
      </c>
      <c r="CA38" s="7">
        <v>427</v>
      </c>
      <c r="CB38" s="7"/>
      <c r="CC38" s="7"/>
      <c r="CD38" s="7"/>
      <c r="CE38" s="7"/>
      <c r="CF38" s="7">
        <v>7</v>
      </c>
      <c r="CG38" s="7">
        <v>228</v>
      </c>
      <c r="CH38" s="7">
        <v>1</v>
      </c>
      <c r="CI38" s="7">
        <v>12</v>
      </c>
      <c r="CJ38" s="8"/>
      <c r="CK38" s="8"/>
      <c r="CL38" s="19">
        <v>231</v>
      </c>
      <c r="CM38" s="8">
        <v>44059</v>
      </c>
      <c r="CN38" s="9"/>
      <c r="CO38" s="9"/>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row>
    <row r="39" spans="1:210">
      <c r="A39" s="5" t="s">
        <v>78</v>
      </c>
      <c r="B39" s="6"/>
      <c r="C39" s="6"/>
      <c r="D39" s="7"/>
      <c r="E39" s="7"/>
      <c r="F39" s="7"/>
      <c r="G39" s="7"/>
      <c r="H39" s="7"/>
      <c r="I39" s="7"/>
      <c r="J39" s="7"/>
      <c r="K39" s="7"/>
      <c r="L39" s="7">
        <v>1</v>
      </c>
      <c r="M39" s="7">
        <v>4</v>
      </c>
      <c r="N39" s="7">
        <v>1</v>
      </c>
      <c r="O39" s="7">
        <v>6</v>
      </c>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8"/>
      <c r="CK39" s="8"/>
      <c r="CL39" s="19">
        <v>2</v>
      </c>
      <c r="CM39" s="8">
        <v>10</v>
      </c>
      <c r="CN39" s="9"/>
      <c r="CO39" s="9"/>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row>
    <row r="40" spans="1:210">
      <c r="A40" s="5" t="s">
        <v>79</v>
      </c>
      <c r="B40" s="6">
        <v>8</v>
      </c>
      <c r="C40" s="6">
        <v>355</v>
      </c>
      <c r="D40" s="7">
        <v>10</v>
      </c>
      <c r="E40" s="7">
        <v>601</v>
      </c>
      <c r="F40" s="7">
        <v>14</v>
      </c>
      <c r="G40" s="7">
        <v>1438</v>
      </c>
      <c r="H40" s="7"/>
      <c r="I40" s="7"/>
      <c r="J40" s="7">
        <v>1</v>
      </c>
      <c r="K40" s="7">
        <v>46</v>
      </c>
      <c r="L40" s="7">
        <v>6</v>
      </c>
      <c r="M40" s="7">
        <v>86</v>
      </c>
      <c r="N40" s="7">
        <v>4</v>
      </c>
      <c r="O40" s="7">
        <v>56</v>
      </c>
      <c r="P40" s="7"/>
      <c r="Q40" s="7"/>
      <c r="R40" s="7"/>
      <c r="S40" s="7"/>
      <c r="T40" s="7"/>
      <c r="U40" s="7"/>
      <c r="V40" s="7"/>
      <c r="W40" s="7"/>
      <c r="X40" s="7"/>
      <c r="Y40" s="7"/>
      <c r="Z40" s="7"/>
      <c r="AA40" s="7"/>
      <c r="AB40" s="7"/>
      <c r="AC40" s="7"/>
      <c r="AD40" s="7">
        <v>1</v>
      </c>
      <c r="AE40" s="7">
        <v>47</v>
      </c>
      <c r="AF40" s="7">
        <v>2</v>
      </c>
      <c r="AG40" s="7">
        <v>190</v>
      </c>
      <c r="AH40" s="7">
        <v>8</v>
      </c>
      <c r="AI40" s="7">
        <v>1651</v>
      </c>
      <c r="AJ40" s="7">
        <v>3</v>
      </c>
      <c r="AK40" s="7">
        <v>470</v>
      </c>
      <c r="AL40" s="7">
        <v>2</v>
      </c>
      <c r="AM40" s="7">
        <v>283</v>
      </c>
      <c r="AN40" s="7">
        <v>1</v>
      </c>
      <c r="AO40" s="7">
        <v>39</v>
      </c>
      <c r="AP40" s="7"/>
      <c r="AQ40" s="7"/>
      <c r="AR40" s="7">
        <v>1</v>
      </c>
      <c r="AS40" s="7">
        <v>12</v>
      </c>
      <c r="AT40" s="7"/>
      <c r="AU40" s="7"/>
      <c r="AV40" s="7"/>
      <c r="AW40" s="7"/>
      <c r="AX40" s="7"/>
      <c r="AY40" s="7"/>
      <c r="AZ40" s="7"/>
      <c r="BA40" s="7"/>
      <c r="BB40" s="7">
        <v>3</v>
      </c>
      <c r="BC40" s="7">
        <v>721</v>
      </c>
      <c r="BD40" s="7">
        <v>4</v>
      </c>
      <c r="BE40" s="7">
        <v>849</v>
      </c>
      <c r="BF40" s="7"/>
      <c r="BG40" s="7"/>
      <c r="BH40" s="7"/>
      <c r="BI40" s="7"/>
      <c r="BJ40" s="7"/>
      <c r="BK40" s="7"/>
      <c r="BL40" s="7"/>
      <c r="BM40" s="7"/>
      <c r="BN40" s="7"/>
      <c r="BO40" s="7"/>
      <c r="BP40" s="7"/>
      <c r="BQ40" s="7"/>
      <c r="BR40" s="7">
        <v>1</v>
      </c>
      <c r="BS40" s="7">
        <v>60</v>
      </c>
      <c r="BT40" s="7">
        <v>4</v>
      </c>
      <c r="BU40" s="7">
        <v>202</v>
      </c>
      <c r="BV40" s="7"/>
      <c r="BW40" s="7"/>
      <c r="BX40" s="7">
        <v>2</v>
      </c>
      <c r="BY40" s="7">
        <v>80</v>
      </c>
      <c r="BZ40" s="7">
        <v>4</v>
      </c>
      <c r="CA40" s="7">
        <v>195</v>
      </c>
      <c r="CB40" s="7"/>
      <c r="CC40" s="7"/>
      <c r="CD40" s="7"/>
      <c r="CE40" s="7"/>
      <c r="CF40" s="7"/>
      <c r="CG40" s="7"/>
      <c r="CH40" s="7"/>
      <c r="CI40" s="7"/>
      <c r="CJ40" s="6">
        <v>1</v>
      </c>
      <c r="CK40" s="6">
        <v>23</v>
      </c>
      <c r="CL40" s="19">
        <v>80</v>
      </c>
      <c r="CM40" s="8">
        <v>7404</v>
      </c>
      <c r="CN40" s="9"/>
      <c r="CO40" s="9"/>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row>
    <row r="41" spans="1:210">
      <c r="A41" s="5" t="s">
        <v>80</v>
      </c>
      <c r="B41" s="6"/>
      <c r="C41" s="6"/>
      <c r="D41" s="7"/>
      <c r="E41" s="7"/>
      <c r="F41" s="7"/>
      <c r="G41" s="7"/>
      <c r="H41" s="7"/>
      <c r="I41" s="7"/>
      <c r="J41" s="7">
        <v>1</v>
      </c>
      <c r="K41" s="7">
        <v>49</v>
      </c>
      <c r="L41" s="7">
        <v>2</v>
      </c>
      <c r="M41" s="7">
        <v>33</v>
      </c>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8"/>
      <c r="CK41" s="8"/>
      <c r="CL41" s="19">
        <v>3</v>
      </c>
      <c r="CM41" s="8">
        <v>82</v>
      </c>
      <c r="CN41" s="9"/>
      <c r="CO41" s="9"/>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row>
    <row r="42" spans="1:210">
      <c r="A42" s="5" t="s">
        <v>81</v>
      </c>
      <c r="B42" s="6"/>
      <c r="C42" s="6"/>
      <c r="D42" s="7"/>
      <c r="E42" s="7"/>
      <c r="F42" s="7">
        <v>1</v>
      </c>
      <c r="G42" s="7">
        <v>25</v>
      </c>
      <c r="H42" s="7"/>
      <c r="I42" s="7"/>
      <c r="J42" s="7">
        <v>1</v>
      </c>
      <c r="K42" s="7">
        <v>47</v>
      </c>
      <c r="L42" s="7">
        <v>4</v>
      </c>
      <c r="M42" s="7">
        <v>34</v>
      </c>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8"/>
      <c r="CK42" s="8"/>
      <c r="CL42" s="19">
        <v>6</v>
      </c>
      <c r="CM42" s="8">
        <v>106</v>
      </c>
      <c r="CN42" s="9"/>
      <c r="CO42" s="9"/>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row>
    <row r="43" spans="1:210">
      <c r="A43" s="5" t="s">
        <v>82</v>
      </c>
      <c r="B43" s="6"/>
      <c r="C43" s="6"/>
      <c r="D43" s="7"/>
      <c r="E43" s="7"/>
      <c r="F43" s="7"/>
      <c r="G43" s="7"/>
      <c r="H43" s="7"/>
      <c r="I43" s="7"/>
      <c r="J43" s="7"/>
      <c r="K43" s="7"/>
      <c r="L43" s="7">
        <v>2</v>
      </c>
      <c r="M43" s="7">
        <v>28</v>
      </c>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v>1</v>
      </c>
      <c r="CI43" s="7">
        <v>11</v>
      </c>
      <c r="CJ43" s="8"/>
      <c r="CK43" s="8"/>
      <c r="CL43" s="19">
        <v>3</v>
      </c>
      <c r="CM43" s="8">
        <v>39</v>
      </c>
      <c r="CN43" s="9"/>
      <c r="CO43" s="9"/>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row>
    <row r="44" spans="1:210">
      <c r="A44" s="5" t="s">
        <v>83</v>
      </c>
      <c r="B44" s="6">
        <v>9</v>
      </c>
      <c r="C44" s="6">
        <v>527</v>
      </c>
      <c r="D44" s="7">
        <v>8</v>
      </c>
      <c r="E44" s="7">
        <v>636</v>
      </c>
      <c r="F44" s="7">
        <v>10</v>
      </c>
      <c r="G44" s="7">
        <v>1773</v>
      </c>
      <c r="H44" s="7">
        <v>1</v>
      </c>
      <c r="I44" s="7">
        <v>184</v>
      </c>
      <c r="J44" s="7">
        <v>1</v>
      </c>
      <c r="K44" s="7">
        <v>44</v>
      </c>
      <c r="L44" s="7">
        <v>3</v>
      </c>
      <c r="M44" s="7">
        <v>50</v>
      </c>
      <c r="N44" s="7"/>
      <c r="O44" s="7"/>
      <c r="P44" s="7"/>
      <c r="Q44" s="7"/>
      <c r="R44" s="7"/>
      <c r="S44" s="7"/>
      <c r="T44" s="7"/>
      <c r="U44" s="7"/>
      <c r="V44" s="7"/>
      <c r="W44" s="7"/>
      <c r="X44" s="7"/>
      <c r="Y44" s="7"/>
      <c r="Z44" s="7"/>
      <c r="AA44" s="7"/>
      <c r="AB44" s="7"/>
      <c r="AC44" s="7"/>
      <c r="AD44" s="7">
        <v>1</v>
      </c>
      <c r="AE44" s="7">
        <v>175</v>
      </c>
      <c r="AF44" s="7">
        <v>2</v>
      </c>
      <c r="AG44" s="7">
        <v>508</v>
      </c>
      <c r="AH44" s="7">
        <v>12</v>
      </c>
      <c r="AI44" s="7">
        <v>2680</v>
      </c>
      <c r="AJ44" s="7">
        <v>17</v>
      </c>
      <c r="AK44" s="7">
        <v>6621</v>
      </c>
      <c r="AL44" s="7">
        <v>2</v>
      </c>
      <c r="AM44" s="7">
        <v>608</v>
      </c>
      <c r="AN44" s="7">
        <v>1</v>
      </c>
      <c r="AO44" s="7">
        <v>45</v>
      </c>
      <c r="AP44" s="7">
        <v>2</v>
      </c>
      <c r="AQ44" s="7">
        <v>177</v>
      </c>
      <c r="AR44" s="7"/>
      <c r="AS44" s="7"/>
      <c r="AT44" s="7"/>
      <c r="AU44" s="7"/>
      <c r="AV44" s="7"/>
      <c r="AW44" s="7"/>
      <c r="AX44" s="7"/>
      <c r="AY44" s="7"/>
      <c r="AZ44" s="7"/>
      <c r="BA44" s="7"/>
      <c r="BB44" s="7">
        <v>12</v>
      </c>
      <c r="BC44" s="7">
        <v>5937</v>
      </c>
      <c r="BD44" s="7">
        <v>9</v>
      </c>
      <c r="BE44" s="7">
        <v>4799</v>
      </c>
      <c r="BF44" s="7"/>
      <c r="BG44" s="7"/>
      <c r="BH44" s="7"/>
      <c r="BI44" s="7"/>
      <c r="BJ44" s="7"/>
      <c r="BK44" s="7"/>
      <c r="BL44" s="7"/>
      <c r="BM44" s="7"/>
      <c r="BN44" s="7"/>
      <c r="BO44" s="7"/>
      <c r="BP44" s="7"/>
      <c r="BQ44" s="7"/>
      <c r="BR44" s="7"/>
      <c r="BS44" s="7"/>
      <c r="BT44" s="7">
        <v>2</v>
      </c>
      <c r="BU44" s="7">
        <v>94</v>
      </c>
      <c r="BV44" s="7"/>
      <c r="BW44" s="7"/>
      <c r="BX44" s="7">
        <v>2</v>
      </c>
      <c r="BY44" s="7">
        <v>81</v>
      </c>
      <c r="BZ44" s="7">
        <v>2</v>
      </c>
      <c r="CA44" s="7">
        <v>71</v>
      </c>
      <c r="CB44" s="7"/>
      <c r="CC44" s="7"/>
      <c r="CD44" s="7"/>
      <c r="CE44" s="7"/>
      <c r="CF44" s="7">
        <v>2</v>
      </c>
      <c r="CG44" s="7">
        <v>96</v>
      </c>
      <c r="CH44" s="7"/>
      <c r="CI44" s="7"/>
      <c r="CJ44" s="8"/>
      <c r="CK44" s="8"/>
      <c r="CL44" s="19">
        <v>98</v>
      </c>
      <c r="CM44" s="8">
        <v>25106</v>
      </c>
      <c r="CN44" s="9"/>
      <c r="CO44" s="9"/>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row>
    <row r="45" spans="1:210">
      <c r="A45" s="5" t="s">
        <v>84</v>
      </c>
      <c r="B45" s="6"/>
      <c r="C45" s="6"/>
      <c r="D45" s="7"/>
      <c r="E45" s="7"/>
      <c r="F45" s="7"/>
      <c r="G45" s="7"/>
      <c r="H45" s="7"/>
      <c r="I45" s="7"/>
      <c r="J45" s="7"/>
      <c r="K45" s="7"/>
      <c r="L45" s="7">
        <v>1</v>
      </c>
      <c r="M45" s="7">
        <v>10</v>
      </c>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8"/>
      <c r="CK45" s="8"/>
      <c r="CL45" s="19">
        <v>1</v>
      </c>
      <c r="CM45" s="8">
        <v>10</v>
      </c>
      <c r="CN45" s="9"/>
      <c r="CO45" s="9"/>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row>
    <row r="46" spans="1:210">
      <c r="A46" s="5" t="s">
        <v>85</v>
      </c>
      <c r="B46" s="6">
        <v>6</v>
      </c>
      <c r="C46" s="6">
        <v>282</v>
      </c>
      <c r="D46" s="7">
        <v>7</v>
      </c>
      <c r="E46" s="7">
        <v>341</v>
      </c>
      <c r="F46" s="7"/>
      <c r="G46" s="7"/>
      <c r="H46" s="7"/>
      <c r="I46" s="7"/>
      <c r="J46" s="7">
        <v>1</v>
      </c>
      <c r="K46" s="7">
        <v>50</v>
      </c>
      <c r="L46" s="7">
        <v>4</v>
      </c>
      <c r="M46" s="7">
        <v>60</v>
      </c>
      <c r="N46" s="7"/>
      <c r="O46" s="7"/>
      <c r="P46" s="7"/>
      <c r="Q46" s="7"/>
      <c r="R46" s="7"/>
      <c r="S46" s="7"/>
      <c r="T46" s="7"/>
      <c r="U46" s="7"/>
      <c r="V46" s="7"/>
      <c r="W46" s="7"/>
      <c r="X46" s="7"/>
      <c r="Y46" s="7"/>
      <c r="Z46" s="7"/>
      <c r="AA46" s="7"/>
      <c r="AB46" s="7"/>
      <c r="AC46" s="7"/>
      <c r="AD46" s="7">
        <v>2</v>
      </c>
      <c r="AE46" s="7">
        <v>276</v>
      </c>
      <c r="AF46" s="7">
        <v>1</v>
      </c>
      <c r="AG46" s="7">
        <v>154</v>
      </c>
      <c r="AH46" s="7">
        <v>19</v>
      </c>
      <c r="AI46" s="7">
        <v>6161</v>
      </c>
      <c r="AJ46" s="7">
        <v>1</v>
      </c>
      <c r="AK46" s="7">
        <v>542</v>
      </c>
      <c r="AL46" s="7"/>
      <c r="AM46" s="7"/>
      <c r="AN46" s="7"/>
      <c r="AO46" s="7"/>
      <c r="AP46" s="7"/>
      <c r="AQ46" s="7"/>
      <c r="AR46" s="7"/>
      <c r="AS46" s="7"/>
      <c r="AT46" s="7"/>
      <c r="AU46" s="7"/>
      <c r="AV46" s="7"/>
      <c r="AW46" s="7"/>
      <c r="AX46" s="7"/>
      <c r="AY46" s="7"/>
      <c r="AZ46" s="7"/>
      <c r="BA46" s="7"/>
      <c r="BB46" s="7">
        <v>5</v>
      </c>
      <c r="BC46" s="7">
        <v>761</v>
      </c>
      <c r="BD46" s="7">
        <v>9</v>
      </c>
      <c r="BE46" s="7">
        <v>4013</v>
      </c>
      <c r="BF46" s="7"/>
      <c r="BG46" s="7"/>
      <c r="BH46" s="7"/>
      <c r="BI46" s="7"/>
      <c r="BJ46" s="7"/>
      <c r="BK46" s="7"/>
      <c r="BL46" s="7"/>
      <c r="BM46" s="7"/>
      <c r="BN46" s="7"/>
      <c r="BO46" s="7"/>
      <c r="BP46" s="7"/>
      <c r="BQ46" s="7"/>
      <c r="BR46" s="7">
        <v>2</v>
      </c>
      <c r="BS46" s="7">
        <v>141</v>
      </c>
      <c r="BT46" s="7">
        <v>1</v>
      </c>
      <c r="BU46" s="7">
        <v>68</v>
      </c>
      <c r="BV46" s="7">
        <v>1</v>
      </c>
      <c r="BW46" s="7">
        <v>142</v>
      </c>
      <c r="BX46" s="7">
        <v>2</v>
      </c>
      <c r="BY46" s="7">
        <v>64</v>
      </c>
      <c r="BZ46" s="7"/>
      <c r="CA46" s="7"/>
      <c r="CB46" s="7"/>
      <c r="CC46" s="7"/>
      <c r="CD46" s="7"/>
      <c r="CE46" s="7"/>
      <c r="CF46" s="7"/>
      <c r="CG46" s="7"/>
      <c r="CH46" s="7"/>
      <c r="CI46" s="7"/>
      <c r="CJ46" s="8"/>
      <c r="CK46" s="8"/>
      <c r="CL46" s="19">
        <v>61</v>
      </c>
      <c r="CM46" s="8">
        <v>13055</v>
      </c>
      <c r="CN46" s="9"/>
      <c r="CO46" s="9"/>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row>
    <row r="47" spans="1:210">
      <c r="A47" s="5" t="s">
        <v>86</v>
      </c>
      <c r="B47" s="6"/>
      <c r="C47" s="6"/>
      <c r="D47" s="7"/>
      <c r="E47" s="7"/>
      <c r="F47" s="7"/>
      <c r="G47" s="7"/>
      <c r="H47" s="7"/>
      <c r="I47" s="7"/>
      <c r="J47" s="7">
        <v>1</v>
      </c>
      <c r="K47" s="7">
        <v>41</v>
      </c>
      <c r="L47" s="7">
        <v>2</v>
      </c>
      <c r="M47" s="7">
        <v>22</v>
      </c>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8"/>
      <c r="CK47" s="8"/>
      <c r="CL47" s="19">
        <v>3</v>
      </c>
      <c r="CM47" s="8">
        <v>63</v>
      </c>
      <c r="CN47" s="9"/>
      <c r="CO47" s="9"/>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row>
    <row r="48" spans="1:210">
      <c r="A48" s="5" t="s">
        <v>87</v>
      </c>
      <c r="B48" s="6">
        <v>12</v>
      </c>
      <c r="C48" s="6">
        <v>232</v>
      </c>
      <c r="D48" s="7">
        <v>20</v>
      </c>
      <c r="E48" s="7">
        <v>2263</v>
      </c>
      <c r="F48" s="7">
        <v>10</v>
      </c>
      <c r="G48" s="7">
        <v>1701</v>
      </c>
      <c r="H48" s="7"/>
      <c r="I48" s="7"/>
      <c r="J48" s="7"/>
      <c r="K48" s="7">
        <v>0</v>
      </c>
      <c r="L48" s="7">
        <v>2</v>
      </c>
      <c r="M48" s="7">
        <v>36</v>
      </c>
      <c r="N48" s="7">
        <v>1</v>
      </c>
      <c r="O48" s="7">
        <v>16</v>
      </c>
      <c r="P48" s="7"/>
      <c r="Q48" s="7"/>
      <c r="R48" s="7"/>
      <c r="S48" s="7"/>
      <c r="T48" s="7"/>
      <c r="U48" s="7"/>
      <c r="V48" s="7"/>
      <c r="W48" s="7"/>
      <c r="X48" s="7"/>
      <c r="Y48" s="7"/>
      <c r="Z48" s="7"/>
      <c r="AA48" s="7"/>
      <c r="AB48" s="7"/>
      <c r="AC48" s="7"/>
      <c r="AD48" s="7">
        <v>1</v>
      </c>
      <c r="AE48" s="7">
        <v>76</v>
      </c>
      <c r="AF48" s="7">
        <v>3</v>
      </c>
      <c r="AG48" s="7">
        <v>244</v>
      </c>
      <c r="AH48" s="7">
        <v>12</v>
      </c>
      <c r="AI48" s="7">
        <v>3304</v>
      </c>
      <c r="AJ48" s="7">
        <v>4</v>
      </c>
      <c r="AK48" s="7">
        <v>766</v>
      </c>
      <c r="AL48" s="7">
        <v>1</v>
      </c>
      <c r="AM48" s="7">
        <v>759</v>
      </c>
      <c r="AN48" s="7"/>
      <c r="AO48" s="7"/>
      <c r="AP48" s="7"/>
      <c r="AQ48" s="7"/>
      <c r="AR48" s="7"/>
      <c r="AS48" s="7"/>
      <c r="AT48" s="7"/>
      <c r="AU48" s="7"/>
      <c r="AV48" s="7"/>
      <c r="AW48" s="7"/>
      <c r="AX48" s="7"/>
      <c r="AY48" s="7"/>
      <c r="AZ48" s="7">
        <v>1</v>
      </c>
      <c r="BA48" s="7">
        <v>81</v>
      </c>
      <c r="BB48" s="7">
        <v>10</v>
      </c>
      <c r="BC48" s="7">
        <v>5340</v>
      </c>
      <c r="BD48" s="7">
        <v>2</v>
      </c>
      <c r="BE48" s="7">
        <v>533</v>
      </c>
      <c r="BF48" s="7">
        <v>1</v>
      </c>
      <c r="BG48" s="7">
        <v>94</v>
      </c>
      <c r="BH48" s="7"/>
      <c r="BI48" s="7"/>
      <c r="BJ48" s="7"/>
      <c r="BK48" s="7"/>
      <c r="BL48" s="7"/>
      <c r="BM48" s="7"/>
      <c r="BN48" s="7"/>
      <c r="BO48" s="7"/>
      <c r="BP48" s="7"/>
      <c r="BQ48" s="7"/>
      <c r="BR48" s="7">
        <v>11</v>
      </c>
      <c r="BS48" s="7">
        <v>456</v>
      </c>
      <c r="BT48" s="7">
        <v>7</v>
      </c>
      <c r="BU48" s="7">
        <v>410</v>
      </c>
      <c r="BV48" s="7"/>
      <c r="BW48" s="7"/>
      <c r="BX48" s="7">
        <v>8</v>
      </c>
      <c r="BY48" s="7">
        <v>305</v>
      </c>
      <c r="BZ48" s="7">
        <v>7</v>
      </c>
      <c r="CA48" s="7">
        <v>199</v>
      </c>
      <c r="CB48" s="7"/>
      <c r="CC48" s="7"/>
      <c r="CD48" s="7"/>
      <c r="CE48" s="7"/>
      <c r="CF48" s="7">
        <v>3</v>
      </c>
      <c r="CG48" s="7">
        <v>80</v>
      </c>
      <c r="CH48" s="7">
        <v>2</v>
      </c>
      <c r="CI48" s="7">
        <v>70</v>
      </c>
      <c r="CJ48" s="8"/>
      <c r="CK48" s="8"/>
      <c r="CL48" s="19">
        <v>118</v>
      </c>
      <c r="CM48" s="8">
        <v>16965</v>
      </c>
      <c r="CN48" s="9"/>
      <c r="CO48" s="9"/>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row>
    <row r="49" spans="1:210">
      <c r="A49" s="5" t="s">
        <v>88</v>
      </c>
      <c r="B49" s="6"/>
      <c r="C49" s="6"/>
      <c r="D49" s="7"/>
      <c r="E49" s="7"/>
      <c r="F49" s="7"/>
      <c r="G49" s="7"/>
      <c r="H49" s="7"/>
      <c r="I49" s="7"/>
      <c r="J49" s="7"/>
      <c r="K49" s="7">
        <v>0</v>
      </c>
      <c r="L49" s="7">
        <v>6</v>
      </c>
      <c r="M49" s="7">
        <v>114</v>
      </c>
      <c r="N49" s="7">
        <v>3</v>
      </c>
      <c r="O49" s="7">
        <v>38</v>
      </c>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8"/>
      <c r="CK49" s="8"/>
      <c r="CL49" s="19">
        <v>9</v>
      </c>
      <c r="CM49" s="8">
        <v>152</v>
      </c>
      <c r="CN49" s="9"/>
      <c r="CO49" s="9"/>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row>
    <row r="50" spans="1:210">
      <c r="A50" s="5" t="s">
        <v>89</v>
      </c>
      <c r="B50" s="6"/>
      <c r="C50" s="6"/>
      <c r="D50" s="7"/>
      <c r="E50" s="7"/>
      <c r="F50" s="7"/>
      <c r="G50" s="7"/>
      <c r="H50" s="7"/>
      <c r="I50" s="7"/>
      <c r="J50" s="7"/>
      <c r="K50" s="7">
        <v>0</v>
      </c>
      <c r="L50" s="7">
        <v>2</v>
      </c>
      <c r="M50" s="7">
        <v>26</v>
      </c>
      <c r="N50" s="7">
        <v>1</v>
      </c>
      <c r="O50" s="7">
        <v>4</v>
      </c>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8"/>
      <c r="CK50" s="8"/>
      <c r="CL50" s="19">
        <v>3</v>
      </c>
      <c r="CM50" s="8">
        <v>30</v>
      </c>
      <c r="CN50" s="9"/>
      <c r="CO50" s="9"/>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row>
    <row r="51" spans="1:210">
      <c r="A51" s="5" t="s">
        <v>90</v>
      </c>
      <c r="B51" s="6">
        <v>8</v>
      </c>
      <c r="C51" s="6">
        <v>254</v>
      </c>
      <c r="D51" s="7">
        <v>2</v>
      </c>
      <c r="E51" s="7">
        <v>72</v>
      </c>
      <c r="F51" s="7">
        <v>4</v>
      </c>
      <c r="G51" s="7">
        <v>116</v>
      </c>
      <c r="H51" s="7"/>
      <c r="I51" s="7"/>
      <c r="J51" s="7">
        <v>1</v>
      </c>
      <c r="K51" s="7">
        <v>18</v>
      </c>
      <c r="L51" s="7">
        <v>2</v>
      </c>
      <c r="M51" s="7">
        <v>24</v>
      </c>
      <c r="N51" s="7"/>
      <c r="O51" s="7"/>
      <c r="P51" s="7"/>
      <c r="Q51" s="7"/>
      <c r="R51" s="7"/>
      <c r="S51" s="7"/>
      <c r="T51" s="7"/>
      <c r="U51" s="7"/>
      <c r="V51" s="7"/>
      <c r="W51" s="7"/>
      <c r="X51" s="7"/>
      <c r="Y51" s="7"/>
      <c r="Z51" s="7"/>
      <c r="AA51" s="7"/>
      <c r="AB51" s="7"/>
      <c r="AC51" s="7"/>
      <c r="AD51" s="7"/>
      <c r="AE51" s="7"/>
      <c r="AF51" s="7"/>
      <c r="AG51" s="7"/>
      <c r="AH51" s="7">
        <v>7</v>
      </c>
      <c r="AI51" s="7">
        <v>1710</v>
      </c>
      <c r="AJ51" s="7">
        <v>5</v>
      </c>
      <c r="AK51" s="7">
        <v>1393</v>
      </c>
      <c r="AL51" s="7"/>
      <c r="AM51" s="7"/>
      <c r="AN51" s="7"/>
      <c r="AO51" s="7"/>
      <c r="AP51" s="7"/>
      <c r="AQ51" s="7"/>
      <c r="AR51" s="7"/>
      <c r="AS51" s="7"/>
      <c r="AT51" s="7"/>
      <c r="AU51" s="7"/>
      <c r="AV51" s="7"/>
      <c r="AW51" s="7"/>
      <c r="AX51" s="7"/>
      <c r="AY51" s="7"/>
      <c r="AZ51" s="7"/>
      <c r="BA51" s="7"/>
      <c r="BB51" s="7"/>
      <c r="BC51" s="7"/>
      <c r="BD51" s="7">
        <v>1</v>
      </c>
      <c r="BE51" s="7">
        <v>156</v>
      </c>
      <c r="BF51" s="7"/>
      <c r="BG51" s="7"/>
      <c r="BH51" s="7"/>
      <c r="BI51" s="7"/>
      <c r="BJ51" s="7"/>
      <c r="BK51" s="7"/>
      <c r="BL51" s="7"/>
      <c r="BM51" s="7"/>
      <c r="BN51" s="7"/>
      <c r="BO51" s="7"/>
      <c r="BP51" s="7"/>
      <c r="BQ51" s="7"/>
      <c r="BR51" s="7">
        <v>3</v>
      </c>
      <c r="BS51" s="7">
        <v>79</v>
      </c>
      <c r="BT51" s="7">
        <v>2</v>
      </c>
      <c r="BU51" s="7">
        <v>42</v>
      </c>
      <c r="BV51" s="7"/>
      <c r="BW51" s="7"/>
      <c r="BX51" s="7"/>
      <c r="BY51" s="7"/>
      <c r="BZ51" s="7"/>
      <c r="CA51" s="7"/>
      <c r="CB51" s="7">
        <v>1</v>
      </c>
      <c r="CC51" s="7">
        <v>54</v>
      </c>
      <c r="CD51" s="7"/>
      <c r="CE51" s="7"/>
      <c r="CF51" s="7"/>
      <c r="CG51" s="7"/>
      <c r="CH51" s="7"/>
      <c r="CI51" s="7"/>
      <c r="CJ51" s="8"/>
      <c r="CK51" s="8"/>
      <c r="CL51" s="19">
        <v>36</v>
      </c>
      <c r="CM51" s="8">
        <v>3918</v>
      </c>
      <c r="CN51" s="9"/>
      <c r="CO51" s="9"/>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row>
    <row r="52" spans="1:210">
      <c r="A52" s="5" t="s">
        <v>91</v>
      </c>
      <c r="B52" s="6"/>
      <c r="C52" s="6">
        <v>0</v>
      </c>
      <c r="D52" s="7"/>
      <c r="E52" s="7"/>
      <c r="F52" s="7"/>
      <c r="G52" s="7"/>
      <c r="H52" s="7"/>
      <c r="I52" s="7"/>
      <c r="J52" s="7"/>
      <c r="K52" s="7"/>
      <c r="L52" s="7">
        <v>1</v>
      </c>
      <c r="M52" s="7">
        <v>20</v>
      </c>
      <c r="N52" s="7">
        <v>3</v>
      </c>
      <c r="O52" s="7">
        <v>34</v>
      </c>
      <c r="P52" s="7"/>
      <c r="Q52" s="7"/>
      <c r="R52" s="7"/>
      <c r="S52" s="7"/>
      <c r="T52" s="7"/>
      <c r="U52" s="7"/>
      <c r="V52" s="7"/>
      <c r="W52" s="7"/>
      <c r="X52" s="7"/>
      <c r="Y52" s="7"/>
      <c r="Z52" s="7"/>
      <c r="AA52" s="7"/>
      <c r="AB52" s="7"/>
      <c r="AC52" s="7"/>
      <c r="AD52" s="7"/>
      <c r="AE52" s="7"/>
      <c r="AF52" s="7"/>
      <c r="AG52" s="7"/>
      <c r="AH52" s="7">
        <v>1</v>
      </c>
      <c r="AI52" s="7">
        <v>12</v>
      </c>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8"/>
      <c r="CK52" s="8"/>
      <c r="CL52" s="19">
        <v>5</v>
      </c>
      <c r="CM52" s="8">
        <v>66</v>
      </c>
      <c r="CN52" s="9"/>
      <c r="CO52" s="9"/>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row>
    <row r="53" spans="1:210">
      <c r="A53" s="5" t="s">
        <v>92</v>
      </c>
      <c r="B53" s="6">
        <v>2</v>
      </c>
      <c r="C53" s="6">
        <v>18</v>
      </c>
      <c r="D53" s="7"/>
      <c r="E53" s="7"/>
      <c r="F53" s="7">
        <v>1</v>
      </c>
      <c r="G53" s="7">
        <v>82</v>
      </c>
      <c r="H53" s="7"/>
      <c r="I53" s="7"/>
      <c r="J53" s="7">
        <v>1</v>
      </c>
      <c r="K53" s="7">
        <v>16</v>
      </c>
      <c r="L53" s="7">
        <v>8</v>
      </c>
      <c r="M53" s="7">
        <v>103</v>
      </c>
      <c r="N53" s="7">
        <v>7</v>
      </c>
      <c r="O53" s="7">
        <v>93</v>
      </c>
      <c r="P53" s="7"/>
      <c r="Q53" s="7"/>
      <c r="R53" s="7"/>
      <c r="S53" s="7"/>
      <c r="T53" s="7"/>
      <c r="U53" s="7"/>
      <c r="V53" s="7"/>
      <c r="W53" s="7"/>
      <c r="X53" s="7"/>
      <c r="Y53" s="7"/>
      <c r="Z53" s="7"/>
      <c r="AA53" s="7"/>
      <c r="AB53" s="7"/>
      <c r="AC53" s="7"/>
      <c r="AD53" s="7">
        <v>1</v>
      </c>
      <c r="AE53" s="7">
        <v>63</v>
      </c>
      <c r="AF53" s="7">
        <v>6</v>
      </c>
      <c r="AG53" s="7">
        <v>809</v>
      </c>
      <c r="AH53" s="7">
        <v>4</v>
      </c>
      <c r="AI53" s="7">
        <v>1005</v>
      </c>
      <c r="AJ53" s="7">
        <v>3</v>
      </c>
      <c r="AK53" s="7">
        <v>173</v>
      </c>
      <c r="AL53" s="7">
        <v>1</v>
      </c>
      <c r="AM53" s="7">
        <v>74</v>
      </c>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v>3</v>
      </c>
      <c r="BS53" s="7">
        <v>171</v>
      </c>
      <c r="BT53" s="7"/>
      <c r="BU53" s="7"/>
      <c r="BV53" s="7"/>
      <c r="BW53" s="7"/>
      <c r="BX53" s="7"/>
      <c r="BY53" s="7"/>
      <c r="BZ53" s="7">
        <v>2</v>
      </c>
      <c r="CA53" s="7">
        <v>87</v>
      </c>
      <c r="CB53" s="7"/>
      <c r="CC53" s="7"/>
      <c r="CD53" s="7"/>
      <c r="CE53" s="7"/>
      <c r="CF53" s="7">
        <v>1</v>
      </c>
      <c r="CG53" s="7">
        <v>15</v>
      </c>
      <c r="CH53" s="7"/>
      <c r="CI53" s="7"/>
      <c r="CJ53" s="8"/>
      <c r="CK53" s="8"/>
      <c r="CL53" s="19">
        <v>40</v>
      </c>
      <c r="CM53" s="8">
        <v>2709</v>
      </c>
      <c r="CN53" s="9"/>
      <c r="CO53" s="9"/>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row>
    <row r="54" spans="1:210">
      <c r="A54" s="5" t="s">
        <v>93</v>
      </c>
      <c r="B54" s="6">
        <v>23</v>
      </c>
      <c r="C54" s="6">
        <v>1502</v>
      </c>
      <c r="D54" s="6">
        <v>6</v>
      </c>
      <c r="E54" s="6">
        <v>702</v>
      </c>
      <c r="F54" s="6">
        <v>6</v>
      </c>
      <c r="G54" s="6">
        <v>1029</v>
      </c>
      <c r="H54" s="6"/>
      <c r="I54" s="6"/>
      <c r="J54" s="6">
        <v>0</v>
      </c>
      <c r="K54" s="6">
        <v>0</v>
      </c>
      <c r="L54" s="6">
        <v>2</v>
      </c>
      <c r="M54" s="6">
        <v>40</v>
      </c>
      <c r="N54" s="6">
        <v>1</v>
      </c>
      <c r="O54" s="6">
        <v>10</v>
      </c>
      <c r="P54" s="6"/>
      <c r="Q54" s="6"/>
      <c r="R54" s="6"/>
      <c r="S54" s="6"/>
      <c r="T54" s="6"/>
      <c r="U54" s="6"/>
      <c r="V54" s="6"/>
      <c r="W54" s="6"/>
      <c r="X54" s="6"/>
      <c r="Y54" s="6"/>
      <c r="Z54" s="6"/>
      <c r="AA54" s="6"/>
      <c r="AB54" s="6"/>
      <c r="AC54" s="6"/>
      <c r="AD54" s="6">
        <v>3</v>
      </c>
      <c r="AE54" s="6">
        <v>474</v>
      </c>
      <c r="AF54" s="6">
        <v>3</v>
      </c>
      <c r="AG54" s="6">
        <v>452</v>
      </c>
      <c r="AH54" s="6">
        <v>14</v>
      </c>
      <c r="AI54" s="6">
        <v>2604</v>
      </c>
      <c r="AJ54" s="6">
        <v>3</v>
      </c>
      <c r="AK54" s="6">
        <v>985</v>
      </c>
      <c r="AL54" s="6"/>
      <c r="AM54" s="6"/>
      <c r="AN54" s="6"/>
      <c r="AO54" s="6"/>
      <c r="AP54" s="6"/>
      <c r="AQ54" s="6"/>
      <c r="AR54" s="6"/>
      <c r="AS54" s="6"/>
      <c r="AT54" s="6"/>
      <c r="AU54" s="6"/>
      <c r="AV54" s="6"/>
      <c r="AW54" s="6"/>
      <c r="AX54" s="6"/>
      <c r="AY54" s="6"/>
      <c r="AZ54" s="6">
        <v>1</v>
      </c>
      <c r="BA54" s="6">
        <v>478</v>
      </c>
      <c r="BB54" s="6">
        <v>4</v>
      </c>
      <c r="BC54" s="6">
        <v>1356</v>
      </c>
      <c r="BD54" s="6">
        <v>7</v>
      </c>
      <c r="BE54" s="6">
        <v>2209</v>
      </c>
      <c r="BF54" s="6">
        <v>1</v>
      </c>
      <c r="BG54" s="6">
        <v>136</v>
      </c>
      <c r="BH54" s="6"/>
      <c r="BI54" s="6"/>
      <c r="BJ54" s="6"/>
      <c r="BK54" s="6"/>
      <c r="BL54" s="6"/>
      <c r="BM54" s="6"/>
      <c r="BN54" s="6"/>
      <c r="BO54" s="6"/>
      <c r="BP54" s="6"/>
      <c r="BQ54" s="6"/>
      <c r="BR54" s="6">
        <v>1</v>
      </c>
      <c r="BS54" s="6">
        <v>49</v>
      </c>
      <c r="BT54" s="6">
        <v>2</v>
      </c>
      <c r="BU54" s="6">
        <v>164</v>
      </c>
      <c r="BV54" s="6"/>
      <c r="BW54" s="6"/>
      <c r="BX54" s="6">
        <v>5</v>
      </c>
      <c r="BY54" s="6">
        <v>193</v>
      </c>
      <c r="BZ54" s="6">
        <v>2</v>
      </c>
      <c r="CA54" s="6">
        <v>114</v>
      </c>
      <c r="CB54" s="6"/>
      <c r="CC54" s="6"/>
      <c r="CD54" s="6"/>
      <c r="CE54" s="6"/>
      <c r="CF54" s="6">
        <v>2</v>
      </c>
      <c r="CG54" s="6">
        <v>40</v>
      </c>
      <c r="CH54" s="6">
        <v>1</v>
      </c>
      <c r="CI54" s="6">
        <v>18</v>
      </c>
      <c r="CJ54" s="8"/>
      <c r="CK54" s="8"/>
      <c r="CL54" s="19">
        <v>87</v>
      </c>
      <c r="CM54" s="8">
        <v>12555</v>
      </c>
      <c r="CN54" s="9"/>
      <c r="CO54" s="9"/>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row>
    <row r="55" spans="1:210">
      <c r="A55" s="5" t="s">
        <v>94</v>
      </c>
      <c r="B55" s="6"/>
      <c r="C55" s="6"/>
      <c r="D55" s="6"/>
      <c r="E55" s="6"/>
      <c r="F55" s="6"/>
      <c r="G55" s="6"/>
      <c r="H55" s="6"/>
      <c r="I55" s="6"/>
      <c r="J55" s="6">
        <v>1</v>
      </c>
      <c r="K55" s="6">
        <v>32</v>
      </c>
      <c r="L55" s="6">
        <v>4</v>
      </c>
      <c r="M55" s="6">
        <v>77</v>
      </c>
      <c r="N55" s="6">
        <v>1</v>
      </c>
      <c r="O55" s="6">
        <v>16</v>
      </c>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v>1</v>
      </c>
      <c r="BA55" s="6">
        <v>110</v>
      </c>
      <c r="BB55" s="6"/>
      <c r="BC55" s="6"/>
      <c r="BD55" s="6"/>
      <c r="BE55" s="6"/>
      <c r="BF55" s="6"/>
      <c r="BG55" s="6"/>
      <c r="BH55" s="6"/>
      <c r="BI55" s="6"/>
      <c r="BJ55" s="6"/>
      <c r="BK55" s="6"/>
      <c r="BL55" s="6"/>
      <c r="BM55" s="6"/>
      <c r="BN55" s="6"/>
      <c r="BO55" s="6"/>
      <c r="BP55" s="6"/>
      <c r="BQ55" s="6"/>
      <c r="BR55" s="6">
        <v>1</v>
      </c>
      <c r="BS55" s="6">
        <v>16</v>
      </c>
      <c r="BT55" s="6"/>
      <c r="BU55" s="6"/>
      <c r="BV55" s="6"/>
      <c r="BW55" s="6"/>
      <c r="BX55" s="6"/>
      <c r="BY55" s="6"/>
      <c r="BZ55" s="6"/>
      <c r="CA55" s="6"/>
      <c r="CB55" s="6"/>
      <c r="CC55" s="6"/>
      <c r="CD55" s="6"/>
      <c r="CE55" s="6"/>
      <c r="CF55" s="6"/>
      <c r="CG55" s="6"/>
      <c r="CH55" s="6"/>
      <c r="CI55" s="6"/>
      <c r="CJ55" s="8"/>
      <c r="CK55" s="8"/>
      <c r="CL55" s="19">
        <v>8</v>
      </c>
      <c r="CM55" s="8">
        <v>251</v>
      </c>
      <c r="CN55" s="9"/>
      <c r="CO55" s="9"/>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row>
    <row r="56" spans="1:210">
      <c r="A56" s="5" t="s">
        <v>95</v>
      </c>
      <c r="B56" s="6"/>
      <c r="C56" s="6"/>
      <c r="D56" s="6"/>
      <c r="E56" s="6"/>
      <c r="F56" s="6"/>
      <c r="G56" s="6"/>
      <c r="H56" s="6"/>
      <c r="I56" s="6"/>
      <c r="J56" s="6"/>
      <c r="K56" s="6"/>
      <c r="L56" s="6">
        <v>1</v>
      </c>
      <c r="M56" s="6">
        <v>20</v>
      </c>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8"/>
      <c r="CK56" s="8"/>
      <c r="CL56" s="19">
        <v>1</v>
      </c>
      <c r="CM56" s="8">
        <v>20</v>
      </c>
      <c r="CN56" s="9"/>
      <c r="CO56" s="9"/>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row>
    <row r="57" spans="1:210">
      <c r="A57" s="11" t="s">
        <v>96</v>
      </c>
      <c r="B57" s="12">
        <v>139</v>
      </c>
      <c r="C57" s="12">
        <v>8394</v>
      </c>
      <c r="D57" s="12">
        <v>146</v>
      </c>
      <c r="E57" s="12">
        <v>17808</v>
      </c>
      <c r="F57" s="12">
        <v>110</v>
      </c>
      <c r="G57" s="12">
        <v>20201</v>
      </c>
      <c r="H57" s="12">
        <v>7</v>
      </c>
      <c r="I57" s="12">
        <v>2093</v>
      </c>
      <c r="J57" s="12">
        <v>25</v>
      </c>
      <c r="K57" s="12">
        <v>887</v>
      </c>
      <c r="L57" s="12">
        <v>149</v>
      </c>
      <c r="M57" s="12">
        <v>2010</v>
      </c>
      <c r="N57" s="12">
        <v>45</v>
      </c>
      <c r="O57" s="12">
        <v>561</v>
      </c>
      <c r="P57" s="12">
        <v>1</v>
      </c>
      <c r="Q57" s="12">
        <v>500</v>
      </c>
      <c r="R57" s="12"/>
      <c r="S57" s="12"/>
      <c r="T57" s="12"/>
      <c r="U57" s="12"/>
      <c r="V57" s="12"/>
      <c r="W57" s="12"/>
      <c r="X57" s="12"/>
      <c r="Y57" s="12"/>
      <c r="Z57" s="12">
        <v>1</v>
      </c>
      <c r="AA57" s="12">
        <v>660</v>
      </c>
      <c r="AB57" s="12">
        <v>1</v>
      </c>
      <c r="AC57" s="12">
        <v>1118</v>
      </c>
      <c r="AD57" s="12">
        <v>33</v>
      </c>
      <c r="AE57" s="12">
        <v>2958</v>
      </c>
      <c r="AF57" s="12">
        <v>61</v>
      </c>
      <c r="AG57" s="12">
        <v>9998</v>
      </c>
      <c r="AH57" s="12">
        <v>295</v>
      </c>
      <c r="AI57" s="12">
        <v>87882</v>
      </c>
      <c r="AJ57" s="12">
        <v>145</v>
      </c>
      <c r="AK57" s="12">
        <v>43497</v>
      </c>
      <c r="AL57" s="12">
        <v>22</v>
      </c>
      <c r="AM57" s="12">
        <v>5264</v>
      </c>
      <c r="AN57" s="12">
        <v>5</v>
      </c>
      <c r="AO57" s="12">
        <v>209</v>
      </c>
      <c r="AP57" s="12">
        <v>3</v>
      </c>
      <c r="AQ57" s="12">
        <v>228</v>
      </c>
      <c r="AR57" s="12">
        <v>3</v>
      </c>
      <c r="AS57" s="12">
        <v>251</v>
      </c>
      <c r="AT57" s="12">
        <v>1</v>
      </c>
      <c r="AU57" s="12">
        <v>33</v>
      </c>
      <c r="AV57" s="12"/>
      <c r="AW57" s="12"/>
      <c r="AX57" s="12">
        <v>2</v>
      </c>
      <c r="AY57" s="12">
        <v>106</v>
      </c>
      <c r="AZ57" s="12">
        <v>11</v>
      </c>
      <c r="BA57" s="12">
        <v>2024</v>
      </c>
      <c r="BB57" s="12">
        <v>90</v>
      </c>
      <c r="BC57" s="12">
        <v>39882</v>
      </c>
      <c r="BD57" s="12">
        <v>69</v>
      </c>
      <c r="BE57" s="12">
        <v>29477</v>
      </c>
      <c r="BF57" s="12">
        <v>3</v>
      </c>
      <c r="BG57" s="12">
        <v>448</v>
      </c>
      <c r="BH57" s="12"/>
      <c r="BI57" s="12"/>
      <c r="BJ57" s="12"/>
      <c r="BK57" s="12"/>
      <c r="BL57" s="12"/>
      <c r="BM57" s="12"/>
      <c r="BN57" s="12"/>
      <c r="BO57" s="12"/>
      <c r="BP57" s="12"/>
      <c r="BQ57" s="12"/>
      <c r="BR57" s="12">
        <v>54</v>
      </c>
      <c r="BS57" s="12">
        <v>3054</v>
      </c>
      <c r="BT57" s="12">
        <v>39</v>
      </c>
      <c r="BU57" s="12">
        <v>2284</v>
      </c>
      <c r="BV57" s="12">
        <v>6</v>
      </c>
      <c r="BW57" s="12">
        <v>410</v>
      </c>
      <c r="BX57" s="12">
        <v>66</v>
      </c>
      <c r="BY57" s="12">
        <v>2651</v>
      </c>
      <c r="BZ57" s="12">
        <v>38</v>
      </c>
      <c r="CA57" s="12">
        <v>1554</v>
      </c>
      <c r="CB57" s="12">
        <v>3</v>
      </c>
      <c r="CC57" s="12">
        <v>140</v>
      </c>
      <c r="CD57" s="12"/>
      <c r="CE57" s="12"/>
      <c r="CF57" s="12">
        <v>20</v>
      </c>
      <c r="CG57" s="12">
        <v>585</v>
      </c>
      <c r="CH57" s="12">
        <v>9</v>
      </c>
      <c r="CI57" s="12">
        <v>248</v>
      </c>
      <c r="CJ57" s="12">
        <v>1</v>
      </c>
      <c r="CK57" s="12">
        <v>23</v>
      </c>
      <c r="CL57" s="12">
        <v>1603</v>
      </c>
      <c r="CM57" s="12">
        <v>287438</v>
      </c>
      <c r="CN57" s="9"/>
      <c r="CO57" s="9"/>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row>
  </sheetData>
  <sheetProtection password="C668" sheet="1"/>
  <mergeCells count="46">
    <mergeCell ref="V6:W6"/>
    <mergeCell ref="A6:A8"/>
    <mergeCell ref="B6:C6"/>
    <mergeCell ref="D6:E6"/>
    <mergeCell ref="F6:G6"/>
    <mergeCell ref="H6:I6"/>
    <mergeCell ref="J6:K6"/>
    <mergeCell ref="L6:M6"/>
    <mergeCell ref="N6:O6"/>
    <mergeCell ref="P6:Q6"/>
    <mergeCell ref="R6:S6"/>
    <mergeCell ref="T6:U6"/>
    <mergeCell ref="AT6:AU6"/>
    <mergeCell ref="X6:Y6"/>
    <mergeCell ref="Z6:AA6"/>
    <mergeCell ref="AB6:AC6"/>
    <mergeCell ref="AD6:AE6"/>
    <mergeCell ref="AF6:AG6"/>
    <mergeCell ref="AH6:AI6"/>
    <mergeCell ref="AJ6:AK6"/>
    <mergeCell ref="AL6:AM6"/>
    <mergeCell ref="AN6:AO6"/>
    <mergeCell ref="AP6:AQ6"/>
    <mergeCell ref="AR6:AS6"/>
    <mergeCell ref="BR6:BS6"/>
    <mergeCell ref="AV6:AW6"/>
    <mergeCell ref="AX6:AY6"/>
    <mergeCell ref="AZ6:BA6"/>
    <mergeCell ref="BB6:BC6"/>
    <mergeCell ref="BD6:BE6"/>
    <mergeCell ref="BF6:BG6"/>
    <mergeCell ref="BH6:BI6"/>
    <mergeCell ref="BJ6:BK6"/>
    <mergeCell ref="BL6:BM6"/>
    <mergeCell ref="BN6:BO6"/>
    <mergeCell ref="BP6:BQ6"/>
    <mergeCell ref="CF6:CG6"/>
    <mergeCell ref="CH6:CI6"/>
    <mergeCell ref="CJ6:CK6"/>
    <mergeCell ref="CL6:CM6"/>
    <mergeCell ref="BT6:BU6"/>
    <mergeCell ref="BV6:BW6"/>
    <mergeCell ref="BX6:BY6"/>
    <mergeCell ref="BZ6:CA6"/>
    <mergeCell ref="CB6:CC6"/>
    <mergeCell ref="CD6:CE6"/>
  </mergeCells>
  <conditionalFormatting sqref="A9:CM56">
    <cfRule type="expression" dxfId="3" priority="4" stopIfTrue="1">
      <formula>MOD(ROW(),2)=0</formula>
    </cfRule>
  </conditionalFormatting>
  <pageMargins left="0" right="0" top="0" bottom="0" header="0.31496062992125984" footer="0.31496062992125984"/>
  <pageSetup paperSize="8" scale="70" orientation="landscape" r:id="rId1"/>
  <colBreaks count="4" manualBreakCount="4">
    <brk id="19" max="1048575" man="1"/>
    <brk id="37" max="1048575" man="1"/>
    <brk id="55" max="1048575" man="1"/>
    <brk id="73" max="1048575"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3:M44"/>
  <sheetViews>
    <sheetView showGridLines="0" workbookViewId="0"/>
  </sheetViews>
  <sheetFormatPr baseColWidth="10" defaultRowHeight="15"/>
  <cols>
    <col min="1" max="1" width="16.42578125" customWidth="1"/>
    <col min="3" max="3" width="17" bestFit="1" customWidth="1"/>
    <col min="4" max="4" width="15.140625" bestFit="1" customWidth="1"/>
    <col min="5" max="5" width="14" bestFit="1" customWidth="1"/>
    <col min="8" max="8" width="17.42578125" customWidth="1"/>
    <col min="10" max="10" width="17" bestFit="1" customWidth="1"/>
    <col min="11" max="11" width="15.140625" bestFit="1" customWidth="1"/>
    <col min="12" max="12" width="14" bestFit="1" customWidth="1"/>
  </cols>
  <sheetData>
    <row r="3" spans="1:13" ht="16.5">
      <c r="A3" s="13" t="s">
        <v>142</v>
      </c>
      <c r="B3" s="14"/>
      <c r="C3" s="15"/>
      <c r="D3" s="15"/>
      <c r="E3" s="15"/>
      <c r="F3" s="15"/>
    </row>
    <row r="4" spans="1:13" ht="16.5">
      <c r="A4" s="16" t="s">
        <v>143</v>
      </c>
      <c r="B4" s="17"/>
      <c r="C4" s="18"/>
      <c r="D4" s="18"/>
      <c r="E4" s="18"/>
      <c r="F4" s="18"/>
    </row>
    <row r="5" spans="1:13" ht="16.5">
      <c r="A5" s="16" t="s">
        <v>144</v>
      </c>
      <c r="B5" s="17"/>
      <c r="C5" s="18"/>
      <c r="D5" s="18"/>
      <c r="E5" s="18"/>
      <c r="F5" s="18"/>
    </row>
    <row r="7" spans="1:13" s="109" customFormat="1" ht="12.75">
      <c r="A7" s="143" t="s">
        <v>104</v>
      </c>
      <c r="B7" s="143"/>
      <c r="C7" s="107" t="s">
        <v>105</v>
      </c>
      <c r="D7" s="107" t="s">
        <v>106</v>
      </c>
      <c r="E7" s="107" t="s">
        <v>107</v>
      </c>
      <c r="F7" s="107" t="s">
        <v>108</v>
      </c>
      <c r="H7" s="143" t="s">
        <v>104</v>
      </c>
      <c r="I7" s="143"/>
      <c r="J7" s="107" t="s">
        <v>105</v>
      </c>
      <c r="K7" s="107" t="s">
        <v>106</v>
      </c>
      <c r="L7" s="107" t="s">
        <v>107</v>
      </c>
      <c r="M7" s="107" t="s">
        <v>108</v>
      </c>
    </row>
    <row r="8" spans="1:13" s="109" customFormat="1" ht="12.75">
      <c r="A8" s="144" t="s">
        <v>109</v>
      </c>
      <c r="B8" s="144"/>
      <c r="C8" s="108" t="s">
        <v>110</v>
      </c>
      <c r="D8" s="108" t="s">
        <v>111</v>
      </c>
      <c r="E8" s="108" t="s">
        <v>112</v>
      </c>
      <c r="F8" s="108" t="s">
        <v>113</v>
      </c>
      <c r="H8" s="144" t="s">
        <v>109</v>
      </c>
      <c r="I8" s="144"/>
      <c r="J8" s="108" t="s">
        <v>110</v>
      </c>
      <c r="K8" s="108" t="s">
        <v>111</v>
      </c>
      <c r="L8" s="108" t="s">
        <v>112</v>
      </c>
      <c r="M8" s="108" t="s">
        <v>113</v>
      </c>
    </row>
    <row r="9" spans="1:13" s="109" customFormat="1" ht="12.75">
      <c r="A9" s="144" t="s">
        <v>114</v>
      </c>
      <c r="B9" s="144"/>
      <c r="C9" s="108" t="s">
        <v>115</v>
      </c>
      <c r="D9" s="108" t="s">
        <v>116</v>
      </c>
      <c r="E9" s="108" t="s">
        <v>117</v>
      </c>
      <c r="F9" s="108" t="s">
        <v>118</v>
      </c>
      <c r="H9" s="144" t="s">
        <v>114</v>
      </c>
      <c r="I9" s="144"/>
      <c r="J9" s="108" t="s">
        <v>115</v>
      </c>
      <c r="K9" s="108" t="s">
        <v>116</v>
      </c>
      <c r="L9" s="108" t="s">
        <v>117</v>
      </c>
      <c r="M9" s="108" t="s">
        <v>118</v>
      </c>
    </row>
    <row r="10" spans="1:13">
      <c r="A10" s="139" t="s">
        <v>119</v>
      </c>
      <c r="B10" s="139"/>
      <c r="C10" s="6">
        <v>141</v>
      </c>
      <c r="D10" s="6">
        <v>2955</v>
      </c>
      <c r="E10" s="6">
        <v>8530</v>
      </c>
      <c r="F10" s="20">
        <v>0.17185800056412942</v>
      </c>
      <c r="H10" s="139" t="s">
        <v>25</v>
      </c>
      <c r="I10" s="139"/>
      <c r="J10" s="6">
        <v>2</v>
      </c>
      <c r="K10" s="6">
        <v>33</v>
      </c>
      <c r="L10" s="6">
        <v>106</v>
      </c>
      <c r="M10" s="20">
        <v>1.5129672713777994E-3</v>
      </c>
    </row>
    <row r="11" spans="1:13">
      <c r="A11" s="139" t="s">
        <v>120</v>
      </c>
      <c r="B11" s="139"/>
      <c r="C11" s="6">
        <v>149</v>
      </c>
      <c r="D11" s="6">
        <v>7056</v>
      </c>
      <c r="E11" s="6">
        <v>18706</v>
      </c>
      <c r="F11" s="20">
        <v>0.37687875246806624</v>
      </c>
      <c r="H11" s="139" t="s">
        <v>26</v>
      </c>
      <c r="I11" s="139"/>
      <c r="J11" s="6">
        <v>11</v>
      </c>
      <c r="K11" s="6">
        <v>767</v>
      </c>
      <c r="L11" s="6">
        <v>2024</v>
      </c>
      <c r="M11" s="20">
        <v>2.8889110917628923E-2</v>
      </c>
    </row>
    <row r="12" spans="1:13">
      <c r="A12" s="139" t="s">
        <v>121</v>
      </c>
      <c r="B12" s="139"/>
      <c r="C12" s="6">
        <v>114</v>
      </c>
      <c r="D12" s="6">
        <v>8165</v>
      </c>
      <c r="E12" s="6">
        <v>21241</v>
      </c>
      <c r="F12" s="20">
        <v>0.42795261312809768</v>
      </c>
      <c r="H12" s="139" t="s">
        <v>27</v>
      </c>
      <c r="I12" s="139"/>
      <c r="J12" s="6">
        <v>92</v>
      </c>
      <c r="K12" s="6">
        <v>17739</v>
      </c>
      <c r="L12" s="6">
        <v>40451</v>
      </c>
      <c r="M12" s="20">
        <v>0.57736829334437134</v>
      </c>
    </row>
    <row r="13" spans="1:13">
      <c r="A13" s="139" t="s">
        <v>122</v>
      </c>
      <c r="B13" s="139"/>
      <c r="C13" s="6">
        <v>6</v>
      </c>
      <c r="D13" s="6">
        <v>421</v>
      </c>
      <c r="E13" s="6">
        <v>1157</v>
      </c>
      <c r="F13" s="20">
        <v>2.3310633839706652E-2</v>
      </c>
      <c r="H13" s="139" t="s">
        <v>28</v>
      </c>
      <c r="I13" s="139"/>
      <c r="J13" s="6">
        <v>64</v>
      </c>
      <c r="K13" s="6">
        <v>12403</v>
      </c>
      <c r="L13" s="6">
        <v>27032</v>
      </c>
      <c r="M13" s="20">
        <v>0.38583520075362898</v>
      </c>
    </row>
    <row r="14" spans="1:13">
      <c r="A14" s="140" t="s">
        <v>123</v>
      </c>
      <c r="B14" s="140"/>
      <c r="C14" s="21">
        <v>410</v>
      </c>
      <c r="D14" s="21">
        <v>18597</v>
      </c>
      <c r="E14" s="21">
        <v>49634</v>
      </c>
      <c r="F14" s="22">
        <v>1</v>
      </c>
      <c r="H14" s="139" t="s">
        <v>29</v>
      </c>
      <c r="I14" s="139"/>
      <c r="J14" s="6">
        <v>3</v>
      </c>
      <c r="K14" s="6">
        <v>226</v>
      </c>
      <c r="L14" s="6">
        <v>448</v>
      </c>
      <c r="M14" s="20">
        <v>6.3944277129929636E-3</v>
      </c>
    </row>
    <row r="15" spans="1:13">
      <c r="A15" s="139"/>
      <c r="B15" s="139"/>
      <c r="C15" s="6"/>
      <c r="D15" s="6"/>
      <c r="E15" s="6"/>
      <c r="F15" s="20"/>
      <c r="H15" s="140" t="s">
        <v>124</v>
      </c>
      <c r="I15" s="140"/>
      <c r="J15" s="21">
        <v>172</v>
      </c>
      <c r="K15" s="21">
        <v>31168</v>
      </c>
      <c r="L15" s="21">
        <v>70061</v>
      </c>
      <c r="M15" s="22">
        <v>1</v>
      </c>
    </row>
    <row r="16" spans="1:13">
      <c r="A16" s="140" t="s">
        <v>7</v>
      </c>
      <c r="B16" s="140"/>
      <c r="C16" s="21">
        <v>25</v>
      </c>
      <c r="D16" s="21">
        <v>454</v>
      </c>
      <c r="E16" s="21">
        <v>887</v>
      </c>
      <c r="F16" s="22">
        <v>1</v>
      </c>
      <c r="H16" s="139"/>
      <c r="I16" s="139"/>
      <c r="J16" s="6"/>
      <c r="K16" s="6"/>
      <c r="L16" s="6"/>
      <c r="M16" s="20"/>
    </row>
    <row r="17" spans="1:13">
      <c r="A17" s="140" t="s">
        <v>167</v>
      </c>
      <c r="B17" s="140"/>
      <c r="C17" s="21">
        <v>142</v>
      </c>
      <c r="D17" s="21">
        <v>921</v>
      </c>
      <c r="E17" s="21">
        <v>1920</v>
      </c>
      <c r="F17" s="22">
        <v>1</v>
      </c>
      <c r="H17" s="139" t="s">
        <v>30</v>
      </c>
      <c r="I17" s="139"/>
      <c r="J17" s="6"/>
      <c r="K17" s="6"/>
      <c r="L17" s="6"/>
      <c r="M17" s="6"/>
    </row>
    <row r="18" spans="1:13">
      <c r="A18" s="140" t="s">
        <v>8</v>
      </c>
      <c r="B18" s="140"/>
      <c r="C18" s="21">
        <v>43</v>
      </c>
      <c r="D18" s="21">
        <v>269</v>
      </c>
      <c r="E18" s="21">
        <v>530</v>
      </c>
      <c r="F18" s="22">
        <v>1</v>
      </c>
      <c r="H18" s="139" t="s">
        <v>31</v>
      </c>
      <c r="I18" s="139"/>
      <c r="J18" s="6"/>
      <c r="K18" s="6"/>
      <c r="L18" s="6"/>
      <c r="M18" s="6"/>
    </row>
    <row r="19" spans="1:13">
      <c r="A19" s="141"/>
      <c r="B19" s="141"/>
      <c r="C19" s="6"/>
      <c r="D19" s="6"/>
      <c r="E19" s="6"/>
      <c r="F19" s="20"/>
      <c r="H19" s="139" t="s">
        <v>32</v>
      </c>
      <c r="I19" s="139"/>
      <c r="J19" s="6"/>
      <c r="K19" s="6"/>
      <c r="L19" s="6"/>
      <c r="M19" s="6"/>
    </row>
    <row r="20" spans="1:13">
      <c r="A20" s="139" t="s">
        <v>11</v>
      </c>
      <c r="B20" s="139"/>
      <c r="C20" s="6"/>
      <c r="D20" s="23"/>
      <c r="E20" s="6"/>
      <c r="F20" s="20"/>
      <c r="H20" s="139" t="s">
        <v>33</v>
      </c>
      <c r="I20" s="139"/>
      <c r="J20" s="6"/>
      <c r="K20" s="6"/>
      <c r="L20" s="6"/>
      <c r="M20" s="6"/>
    </row>
    <row r="21" spans="1:13">
      <c r="A21" s="139" t="s">
        <v>10</v>
      </c>
      <c r="B21" s="139"/>
      <c r="C21" s="6"/>
      <c r="D21" s="23"/>
      <c r="E21" s="6"/>
      <c r="F21" s="20"/>
      <c r="H21" s="139" t="s">
        <v>34</v>
      </c>
      <c r="I21" s="139"/>
      <c r="J21" s="6"/>
      <c r="K21" s="6"/>
      <c r="L21" s="6"/>
      <c r="M21" s="6"/>
    </row>
    <row r="22" spans="1:13">
      <c r="A22" s="139" t="s">
        <v>9</v>
      </c>
      <c r="B22" s="139"/>
      <c r="C22" s="6"/>
      <c r="D22" s="6"/>
      <c r="E22" s="6"/>
      <c r="F22" s="20"/>
      <c r="H22" s="140" t="s">
        <v>125</v>
      </c>
      <c r="I22" s="140"/>
      <c r="J22" s="21"/>
      <c r="K22" s="21"/>
      <c r="L22" s="21"/>
      <c r="M22" s="24"/>
    </row>
    <row r="23" spans="1:13">
      <c r="A23" s="139" t="s">
        <v>126</v>
      </c>
      <c r="B23" s="139"/>
      <c r="C23" s="6">
        <v>1</v>
      </c>
      <c r="D23" s="6">
        <v>163</v>
      </c>
      <c r="E23" s="6">
        <v>500</v>
      </c>
      <c r="F23" s="25">
        <v>1</v>
      </c>
      <c r="H23" s="139"/>
      <c r="I23" s="139"/>
      <c r="J23" s="6"/>
      <c r="K23" s="6"/>
      <c r="L23" s="6"/>
      <c r="M23" s="20"/>
    </row>
    <row r="24" spans="1:13">
      <c r="A24" s="140" t="s">
        <v>127</v>
      </c>
      <c r="B24" s="140"/>
      <c r="C24" s="21">
        <v>1</v>
      </c>
      <c r="D24" s="21">
        <v>163</v>
      </c>
      <c r="E24" s="21">
        <v>500</v>
      </c>
      <c r="F24" s="22">
        <v>1</v>
      </c>
      <c r="H24" s="139" t="s">
        <v>35</v>
      </c>
      <c r="I24" s="139"/>
      <c r="J24" s="6">
        <v>58</v>
      </c>
      <c r="K24" s="6">
        <v>1646</v>
      </c>
      <c r="L24" s="6">
        <v>3187</v>
      </c>
      <c r="M24" s="20">
        <v>0.54173040965493791</v>
      </c>
    </row>
    <row r="25" spans="1:13">
      <c r="A25" s="139"/>
      <c r="B25" s="139"/>
      <c r="C25" s="6"/>
      <c r="D25" s="6"/>
      <c r="E25" s="6"/>
      <c r="F25" s="20"/>
      <c r="H25" s="139" t="s">
        <v>36</v>
      </c>
      <c r="I25" s="139"/>
      <c r="J25" s="6">
        <v>39</v>
      </c>
      <c r="K25" s="6">
        <v>1200</v>
      </c>
      <c r="L25" s="6">
        <v>2286</v>
      </c>
      <c r="M25" s="20">
        <v>0.38857725650178482</v>
      </c>
    </row>
    <row r="26" spans="1:13">
      <c r="A26" s="139" t="s">
        <v>12</v>
      </c>
      <c r="B26" s="139"/>
      <c r="C26" s="6"/>
      <c r="D26" s="6"/>
      <c r="E26" s="6"/>
      <c r="F26" s="20"/>
      <c r="H26" s="139" t="s">
        <v>37</v>
      </c>
      <c r="I26" s="139"/>
      <c r="J26" s="6">
        <v>6</v>
      </c>
      <c r="K26" s="6">
        <v>229</v>
      </c>
      <c r="L26" s="6">
        <v>410</v>
      </c>
      <c r="M26" s="20">
        <v>6.9692333843277235E-2</v>
      </c>
    </row>
    <row r="27" spans="1:13">
      <c r="A27" s="139" t="s">
        <v>13</v>
      </c>
      <c r="B27" s="139"/>
      <c r="C27" s="6">
        <v>1</v>
      </c>
      <c r="D27" s="6">
        <v>324</v>
      </c>
      <c r="E27" s="6">
        <v>660</v>
      </c>
      <c r="F27" s="20">
        <v>0.37120359955005622</v>
      </c>
      <c r="H27" s="140" t="s">
        <v>128</v>
      </c>
      <c r="I27" s="140"/>
      <c r="J27" s="21">
        <v>103</v>
      </c>
      <c r="K27" s="21">
        <v>3075</v>
      </c>
      <c r="L27" s="21">
        <v>5883</v>
      </c>
      <c r="M27" s="22">
        <v>1</v>
      </c>
    </row>
    <row r="28" spans="1:13">
      <c r="A28" s="139" t="s">
        <v>14</v>
      </c>
      <c r="B28" s="139"/>
      <c r="C28" s="6">
        <v>1</v>
      </c>
      <c r="D28" s="6">
        <v>413</v>
      </c>
      <c r="E28" s="6">
        <v>1118</v>
      </c>
      <c r="F28" s="20">
        <v>0.62879640044994378</v>
      </c>
      <c r="H28" s="139"/>
      <c r="I28" s="139"/>
      <c r="J28" s="6"/>
      <c r="K28" s="6"/>
      <c r="L28" s="6"/>
      <c r="M28" s="20"/>
    </row>
    <row r="29" spans="1:13">
      <c r="A29" s="140" t="s">
        <v>129</v>
      </c>
      <c r="B29" s="140"/>
      <c r="C29" s="21">
        <v>2</v>
      </c>
      <c r="D29" s="21">
        <v>737</v>
      </c>
      <c r="E29" s="21">
        <v>1778</v>
      </c>
      <c r="F29" s="22">
        <v>1</v>
      </c>
      <c r="H29" s="139" t="s">
        <v>38</v>
      </c>
      <c r="I29" s="139"/>
      <c r="J29" s="6">
        <v>67</v>
      </c>
      <c r="K29" s="6">
        <v>1451</v>
      </c>
      <c r="L29" s="6">
        <v>2680</v>
      </c>
      <c r="M29" s="20">
        <v>0.61271147690900774</v>
      </c>
    </row>
    <row r="30" spans="1:13">
      <c r="A30" s="139"/>
      <c r="B30" s="139"/>
      <c r="C30" s="6"/>
      <c r="D30" s="6"/>
      <c r="E30" s="6"/>
      <c r="F30" s="20"/>
      <c r="H30" s="139" t="s">
        <v>39</v>
      </c>
      <c r="I30" s="139"/>
      <c r="J30" s="6">
        <v>38</v>
      </c>
      <c r="K30" s="6">
        <v>835</v>
      </c>
      <c r="L30" s="6">
        <v>1554</v>
      </c>
      <c r="M30" s="20">
        <v>0.355281207133059</v>
      </c>
    </row>
    <row r="31" spans="1:13">
      <c r="A31" s="139" t="s">
        <v>15</v>
      </c>
      <c r="B31" s="139"/>
      <c r="C31" s="6">
        <v>37</v>
      </c>
      <c r="D31" s="6">
        <v>1956</v>
      </c>
      <c r="E31" s="6">
        <v>3638</v>
      </c>
      <c r="F31" s="20">
        <v>2.440185931704307E-2</v>
      </c>
      <c r="H31" s="139" t="s">
        <v>40</v>
      </c>
      <c r="I31" s="139"/>
      <c r="J31" s="6">
        <v>3</v>
      </c>
      <c r="K31" s="6">
        <v>74</v>
      </c>
      <c r="L31" s="6">
        <v>140</v>
      </c>
      <c r="M31" s="20">
        <v>3.2007315957933241E-2</v>
      </c>
    </row>
    <row r="32" spans="1:13">
      <c r="A32" s="139" t="s">
        <v>16</v>
      </c>
      <c r="B32" s="139"/>
      <c r="C32" s="6">
        <v>63</v>
      </c>
      <c r="D32" s="6">
        <v>5598</v>
      </c>
      <c r="E32" s="6">
        <v>10496</v>
      </c>
      <c r="F32" s="20">
        <v>7.0401845902057184E-2</v>
      </c>
      <c r="H32" s="140" t="s">
        <v>130</v>
      </c>
      <c r="I32" s="140"/>
      <c r="J32" s="21">
        <v>108</v>
      </c>
      <c r="K32" s="21">
        <v>2360</v>
      </c>
      <c r="L32" s="21">
        <v>4374</v>
      </c>
      <c r="M32" s="22">
        <v>1</v>
      </c>
    </row>
    <row r="33" spans="1:13">
      <c r="A33" s="139" t="s">
        <v>17</v>
      </c>
      <c r="B33" s="139"/>
      <c r="C33" s="6">
        <v>297</v>
      </c>
      <c r="D33" s="6">
        <v>47345</v>
      </c>
      <c r="E33" s="6">
        <v>88910</v>
      </c>
      <c r="F33" s="20">
        <v>0.5963631973277348</v>
      </c>
      <c r="H33" s="139"/>
      <c r="I33" s="139"/>
      <c r="J33" s="15"/>
      <c r="K33" s="15"/>
      <c r="L33" s="15"/>
      <c r="M33" s="15"/>
    </row>
    <row r="34" spans="1:13">
      <c r="A34" s="139" t="s">
        <v>168</v>
      </c>
      <c r="B34" s="139"/>
      <c r="C34" s="6">
        <v>137</v>
      </c>
      <c r="D34" s="6">
        <v>21585</v>
      </c>
      <c r="E34" s="6">
        <v>40779</v>
      </c>
      <c r="F34" s="20">
        <v>0.27352485461509052</v>
      </c>
      <c r="H34" s="140" t="s">
        <v>42</v>
      </c>
      <c r="I34" s="140"/>
      <c r="J34" s="21">
        <v>20</v>
      </c>
      <c r="K34" s="21">
        <v>310</v>
      </c>
      <c r="L34" s="21">
        <v>585</v>
      </c>
      <c r="M34" s="22">
        <v>1</v>
      </c>
    </row>
    <row r="35" spans="1:13">
      <c r="A35" s="139" t="s">
        <v>19</v>
      </c>
      <c r="B35" s="139"/>
      <c r="C35" s="6">
        <v>22</v>
      </c>
      <c r="D35" s="6">
        <v>2627</v>
      </c>
      <c r="E35" s="6">
        <v>5264</v>
      </c>
      <c r="F35" s="20">
        <v>3.5308242838074412E-2</v>
      </c>
      <c r="H35" s="140" t="s">
        <v>43</v>
      </c>
      <c r="I35" s="140"/>
      <c r="J35" s="21">
        <v>9</v>
      </c>
      <c r="K35" s="21">
        <v>138</v>
      </c>
      <c r="L35" s="21">
        <v>248</v>
      </c>
      <c r="M35" s="22">
        <v>1</v>
      </c>
    </row>
    <row r="36" spans="1:13">
      <c r="A36" s="139"/>
      <c r="B36" s="142"/>
      <c r="C36" s="6"/>
      <c r="D36" s="6"/>
      <c r="E36" s="6"/>
      <c r="F36" s="20"/>
      <c r="H36" s="140" t="s">
        <v>44</v>
      </c>
      <c r="I36" s="140"/>
      <c r="J36" s="21">
        <v>1</v>
      </c>
      <c r="K36" s="21">
        <v>12</v>
      </c>
      <c r="L36" s="21">
        <v>23</v>
      </c>
      <c r="M36" s="22">
        <v>1</v>
      </c>
    </row>
    <row r="37" spans="1:13">
      <c r="A37" s="140" t="s">
        <v>131</v>
      </c>
      <c r="B37" s="140"/>
      <c r="C37" s="21">
        <v>556</v>
      </c>
      <c r="D37" s="21">
        <v>79111</v>
      </c>
      <c r="E37" s="21">
        <v>149087</v>
      </c>
      <c r="F37" s="22">
        <v>1</v>
      </c>
      <c r="H37" s="139"/>
      <c r="I37" s="139"/>
      <c r="J37" s="6"/>
      <c r="K37" s="6"/>
      <c r="L37" s="6"/>
      <c r="M37" s="6"/>
    </row>
    <row r="38" spans="1:13">
      <c r="A38" s="139"/>
      <c r="B38" s="139"/>
      <c r="C38" s="6"/>
      <c r="D38" s="6"/>
      <c r="E38" s="6"/>
      <c r="F38" s="20"/>
      <c r="H38" s="139"/>
      <c r="I38" s="139"/>
      <c r="J38" s="6"/>
      <c r="K38" s="6"/>
      <c r="L38" s="6"/>
      <c r="M38" s="6"/>
    </row>
    <row r="39" spans="1:13">
      <c r="A39" s="139" t="s">
        <v>20</v>
      </c>
      <c r="B39" s="139"/>
      <c r="C39" s="6">
        <v>5</v>
      </c>
      <c r="D39" s="6">
        <v>112</v>
      </c>
      <c r="E39" s="6">
        <v>209</v>
      </c>
      <c r="F39" s="20">
        <v>0.28987517337031898</v>
      </c>
      <c r="H39" s="141"/>
      <c r="I39" s="141"/>
      <c r="J39" s="6"/>
      <c r="K39" s="6"/>
      <c r="L39" s="6"/>
      <c r="M39" s="6"/>
    </row>
    <row r="40" spans="1:13">
      <c r="A40" s="139" t="s">
        <v>21</v>
      </c>
      <c r="B40" s="139"/>
      <c r="C40" s="6">
        <v>3</v>
      </c>
      <c r="D40" s="6">
        <v>122</v>
      </c>
      <c r="E40" s="6">
        <v>228</v>
      </c>
      <c r="F40" s="20">
        <v>0.31622746185852985</v>
      </c>
      <c r="H40" s="19"/>
      <c r="I40" s="19"/>
      <c r="J40" s="6"/>
      <c r="K40" s="6"/>
      <c r="L40" s="6"/>
      <c r="M40" s="26"/>
    </row>
    <row r="41" spans="1:13">
      <c r="A41" s="139" t="s">
        <v>22</v>
      </c>
      <c r="B41" s="139"/>
      <c r="C41" s="6">
        <v>3</v>
      </c>
      <c r="D41" s="6">
        <v>138</v>
      </c>
      <c r="E41" s="6">
        <v>251</v>
      </c>
      <c r="F41" s="20">
        <v>0.34812760055478503</v>
      </c>
      <c r="H41" s="140" t="s">
        <v>45</v>
      </c>
      <c r="I41" s="140"/>
      <c r="J41" s="21">
        <v>1604</v>
      </c>
      <c r="K41" s="21">
        <v>137705</v>
      </c>
      <c r="L41" s="21">
        <v>286231</v>
      </c>
      <c r="M41" s="6"/>
    </row>
    <row r="42" spans="1:13">
      <c r="A42" s="139" t="s">
        <v>172</v>
      </c>
      <c r="B42" s="139"/>
      <c r="C42" s="6">
        <v>1</v>
      </c>
      <c r="D42" s="6">
        <v>18</v>
      </c>
      <c r="E42" s="6">
        <v>33</v>
      </c>
      <c r="F42" s="20">
        <v>4.5769764216366159E-2</v>
      </c>
    </row>
    <row r="43" spans="1:13">
      <c r="A43" s="139" t="s">
        <v>24</v>
      </c>
      <c r="B43" s="139"/>
      <c r="C43" s="6"/>
      <c r="D43" s="6"/>
      <c r="E43" s="6"/>
      <c r="F43" s="20"/>
    </row>
    <row r="44" spans="1:13">
      <c r="A44" s="140" t="s">
        <v>132</v>
      </c>
      <c r="B44" s="140"/>
      <c r="C44" s="21">
        <v>12</v>
      </c>
      <c r="D44" s="21">
        <v>390</v>
      </c>
      <c r="E44" s="21">
        <v>721</v>
      </c>
      <c r="F44" s="22">
        <v>1</v>
      </c>
    </row>
  </sheetData>
  <sheetProtection algorithmName="SHA-512" hashValue="DhXaYvnJsOie6NG5csasYEgHcuU2U8ikfXg3ZR6JWUeiT2G9eS+qZEAO0g3tCL0UlKHU0k8d/+YxFkdDMVLi3A==" saltValue="h8FkhN4DCEmUl9vAlJKdvw==" spinCount="100000" sheet="1" objects="1" scenarios="1"/>
  <mergeCells count="72">
    <mergeCell ref="A7:B7"/>
    <mergeCell ref="H7:I7"/>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 ref="A21:B21"/>
    <mergeCell ref="H21:I21"/>
    <mergeCell ref="A22:B22"/>
    <mergeCell ref="H22:I22"/>
    <mergeCell ref="A23:B23"/>
    <mergeCell ref="H23:I23"/>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44:B44"/>
    <mergeCell ref="A37:B37"/>
    <mergeCell ref="H37:I37"/>
    <mergeCell ref="A38:B38"/>
    <mergeCell ref="H38:I38"/>
    <mergeCell ref="A39:B39"/>
    <mergeCell ref="H39:I39"/>
    <mergeCell ref="A40:B40"/>
    <mergeCell ref="A41:B41"/>
    <mergeCell ref="H41:I41"/>
    <mergeCell ref="A42:B42"/>
    <mergeCell ref="A43:B43"/>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2:HB57"/>
  <sheetViews>
    <sheetView showGridLines="0" zoomScaleNormal="100" workbookViewId="0"/>
  </sheetViews>
  <sheetFormatPr baseColWidth="10" defaultRowHeight="15"/>
  <cols>
    <col min="1" max="1" width="79.85546875" customWidth="1"/>
  </cols>
  <sheetData>
    <row r="2" spans="1:210" ht="16.5">
      <c r="A2" s="1" t="s">
        <v>139</v>
      </c>
      <c r="B2" s="2"/>
      <c r="C2" s="2"/>
    </row>
    <row r="3" spans="1:210" ht="16.5">
      <c r="A3" s="3" t="s">
        <v>140</v>
      </c>
      <c r="B3" s="2"/>
      <c r="C3" s="2"/>
    </row>
    <row r="4" spans="1:210" ht="16.5">
      <c r="A4" s="3" t="s">
        <v>141</v>
      </c>
      <c r="B4" s="2"/>
      <c r="C4" s="2"/>
    </row>
    <row r="5" spans="1:210" ht="4.5" customHeight="1"/>
    <row r="6" spans="1:210" s="2" customFormat="1" ht="12.75" customHeight="1">
      <c r="A6" s="138" t="s">
        <v>97</v>
      </c>
      <c r="B6" s="137" t="s">
        <v>3</v>
      </c>
      <c r="C6" s="137"/>
      <c r="D6" s="137" t="s">
        <v>4</v>
      </c>
      <c r="E6" s="137"/>
      <c r="F6" s="137" t="s">
        <v>5</v>
      </c>
      <c r="G6" s="137"/>
      <c r="H6" s="137" t="s">
        <v>6</v>
      </c>
      <c r="I6" s="137"/>
      <c r="J6" s="137" t="s">
        <v>7</v>
      </c>
      <c r="K6" s="137"/>
      <c r="L6" s="137" t="s">
        <v>167</v>
      </c>
      <c r="M6" s="137"/>
      <c r="N6" s="137" t="s">
        <v>8</v>
      </c>
      <c r="O6" s="137"/>
      <c r="P6" s="137" t="s">
        <v>126</v>
      </c>
      <c r="Q6" s="137"/>
      <c r="R6" s="137" t="s">
        <v>9</v>
      </c>
      <c r="S6" s="137"/>
      <c r="T6" s="137" t="s">
        <v>10</v>
      </c>
      <c r="U6" s="137"/>
      <c r="V6" s="137" t="s">
        <v>11</v>
      </c>
      <c r="W6" s="137"/>
      <c r="X6" s="137" t="s">
        <v>12</v>
      </c>
      <c r="Y6" s="137"/>
      <c r="Z6" s="137" t="s">
        <v>13</v>
      </c>
      <c r="AA6" s="137"/>
      <c r="AB6" s="137" t="s">
        <v>14</v>
      </c>
      <c r="AC6" s="137"/>
      <c r="AD6" s="137" t="s">
        <v>15</v>
      </c>
      <c r="AE6" s="137"/>
      <c r="AF6" s="137" t="s">
        <v>16</v>
      </c>
      <c r="AG6" s="137"/>
      <c r="AH6" s="137" t="s">
        <v>17</v>
      </c>
      <c r="AI6" s="137"/>
      <c r="AJ6" s="137" t="s">
        <v>18</v>
      </c>
      <c r="AK6" s="137"/>
      <c r="AL6" s="137" t="s">
        <v>19</v>
      </c>
      <c r="AM6" s="137"/>
      <c r="AN6" s="137" t="s">
        <v>20</v>
      </c>
      <c r="AO6" s="137"/>
      <c r="AP6" s="137" t="s">
        <v>21</v>
      </c>
      <c r="AQ6" s="137"/>
      <c r="AR6" s="137" t="s">
        <v>22</v>
      </c>
      <c r="AS6" s="137"/>
      <c r="AT6" s="137" t="s">
        <v>23</v>
      </c>
      <c r="AU6" s="137"/>
      <c r="AV6" s="137" t="s">
        <v>24</v>
      </c>
      <c r="AW6" s="137"/>
      <c r="AX6" s="137" t="s">
        <v>25</v>
      </c>
      <c r="AY6" s="137"/>
      <c r="AZ6" s="137" t="s">
        <v>26</v>
      </c>
      <c r="BA6" s="137"/>
      <c r="BB6" s="137" t="s">
        <v>27</v>
      </c>
      <c r="BC6" s="137"/>
      <c r="BD6" s="137" t="s">
        <v>28</v>
      </c>
      <c r="BE6" s="137"/>
      <c r="BF6" s="137" t="s">
        <v>29</v>
      </c>
      <c r="BG6" s="137"/>
      <c r="BH6" s="137" t="s">
        <v>30</v>
      </c>
      <c r="BI6" s="137"/>
      <c r="BJ6" s="137" t="s">
        <v>31</v>
      </c>
      <c r="BK6" s="137"/>
      <c r="BL6" s="137" t="s">
        <v>32</v>
      </c>
      <c r="BM6" s="137"/>
      <c r="BN6" s="137" t="s">
        <v>33</v>
      </c>
      <c r="BO6" s="137"/>
      <c r="BP6" s="137" t="s">
        <v>34</v>
      </c>
      <c r="BQ6" s="137"/>
      <c r="BR6" s="137" t="s">
        <v>35</v>
      </c>
      <c r="BS6" s="137"/>
      <c r="BT6" s="137" t="s">
        <v>36</v>
      </c>
      <c r="BU6" s="137"/>
      <c r="BV6" s="137" t="s">
        <v>37</v>
      </c>
      <c r="BW6" s="137"/>
      <c r="BX6" s="137" t="s">
        <v>38</v>
      </c>
      <c r="BY6" s="137"/>
      <c r="BZ6" s="137" t="s">
        <v>39</v>
      </c>
      <c r="CA6" s="137"/>
      <c r="CB6" s="137" t="s">
        <v>40</v>
      </c>
      <c r="CC6" s="137"/>
      <c r="CD6" s="137" t="s">
        <v>41</v>
      </c>
      <c r="CE6" s="137"/>
      <c r="CF6" s="137" t="s">
        <v>42</v>
      </c>
      <c r="CG6" s="137"/>
      <c r="CH6" s="137" t="s">
        <v>43</v>
      </c>
      <c r="CI6" s="137"/>
      <c r="CJ6" s="137" t="s">
        <v>44</v>
      </c>
      <c r="CK6" s="137"/>
      <c r="CL6" s="137" t="s">
        <v>45</v>
      </c>
      <c r="CM6" s="137"/>
    </row>
    <row r="7" spans="1:210" s="2" customFormat="1" ht="13.5" customHeight="1">
      <c r="A7" s="138"/>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row>
    <row r="8" spans="1:210" s="2" customFormat="1" ht="24" customHeight="1">
      <c r="A8" s="138"/>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46</v>
      </c>
      <c r="BC8" s="4" t="s">
        <v>47</v>
      </c>
      <c r="BD8" s="4" t="s">
        <v>46</v>
      </c>
      <c r="BE8" s="4" t="s">
        <v>47</v>
      </c>
      <c r="BF8" s="4" t="s">
        <v>46</v>
      </c>
      <c r="BG8" s="4" t="s">
        <v>47</v>
      </c>
      <c r="BH8" s="4" t="s">
        <v>46</v>
      </c>
      <c r="BI8" s="4" t="s">
        <v>47</v>
      </c>
      <c r="BJ8" s="4" t="s">
        <v>46</v>
      </c>
      <c r="BK8" s="4" t="s">
        <v>47</v>
      </c>
      <c r="BL8" s="4" t="s">
        <v>46</v>
      </c>
      <c r="BM8" s="4" t="s">
        <v>47</v>
      </c>
      <c r="BN8" s="4" t="s">
        <v>46</v>
      </c>
      <c r="BO8" s="4" t="s">
        <v>47</v>
      </c>
      <c r="BP8" s="4" t="s">
        <v>46</v>
      </c>
      <c r="BQ8" s="4" t="s">
        <v>47</v>
      </c>
      <c r="BR8" s="4" t="s">
        <v>46</v>
      </c>
      <c r="BS8" s="4" t="s">
        <v>47</v>
      </c>
      <c r="BT8" s="4" t="s">
        <v>46</v>
      </c>
      <c r="BU8" s="4" t="s">
        <v>47</v>
      </c>
      <c r="BV8" s="4" t="s">
        <v>46</v>
      </c>
      <c r="BW8" s="4" t="s">
        <v>47</v>
      </c>
      <c r="BX8" s="4" t="s">
        <v>46</v>
      </c>
      <c r="BY8" s="4" t="s">
        <v>47</v>
      </c>
      <c r="BZ8" s="4" t="s">
        <v>46</v>
      </c>
      <c r="CA8" s="4" t="s">
        <v>47</v>
      </c>
      <c r="CB8" s="4" t="s">
        <v>46</v>
      </c>
      <c r="CC8" s="4" t="s">
        <v>47</v>
      </c>
      <c r="CD8" s="4" t="s">
        <v>46</v>
      </c>
      <c r="CE8" s="4" t="s">
        <v>47</v>
      </c>
      <c r="CF8" s="4" t="s">
        <v>46</v>
      </c>
      <c r="CG8" s="4" t="s">
        <v>47</v>
      </c>
      <c r="CH8" s="4" t="s">
        <v>46</v>
      </c>
      <c r="CI8" s="4" t="s">
        <v>47</v>
      </c>
      <c r="CJ8" s="4" t="s">
        <v>46</v>
      </c>
      <c r="CK8" s="4" t="s">
        <v>47</v>
      </c>
      <c r="CL8" s="4" t="s">
        <v>46</v>
      </c>
      <c r="CM8" s="4" t="s">
        <v>47</v>
      </c>
    </row>
    <row r="9" spans="1:210">
      <c r="A9" s="5" t="s">
        <v>48</v>
      </c>
      <c r="B9" s="6"/>
      <c r="C9" s="6"/>
      <c r="D9" s="7"/>
      <c r="E9" s="7"/>
      <c r="F9" s="7"/>
      <c r="G9" s="7"/>
      <c r="H9" s="7"/>
      <c r="I9" s="7"/>
      <c r="J9" s="7">
        <v>1</v>
      </c>
      <c r="K9" s="7">
        <v>50</v>
      </c>
      <c r="L9" s="7">
        <v>1</v>
      </c>
      <c r="M9" s="7">
        <v>12</v>
      </c>
      <c r="N9" s="7">
        <v>1</v>
      </c>
      <c r="O9" s="7">
        <v>16</v>
      </c>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v>1</v>
      </c>
      <c r="CA9" s="7">
        <v>21</v>
      </c>
      <c r="CB9" s="7"/>
      <c r="CC9" s="7"/>
      <c r="CD9" s="7"/>
      <c r="CE9" s="7"/>
      <c r="CF9" s="7"/>
      <c r="CG9" s="7"/>
      <c r="CH9" s="7"/>
      <c r="CI9" s="7"/>
      <c r="CJ9" s="8"/>
      <c r="CK9" s="8"/>
      <c r="CL9" s="19">
        <v>4</v>
      </c>
      <c r="CM9" s="8">
        <v>99</v>
      </c>
      <c r="CN9" s="9"/>
      <c r="CO9" s="9"/>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row>
    <row r="10" spans="1:210">
      <c r="A10" s="10" t="s">
        <v>49</v>
      </c>
      <c r="B10" s="6">
        <v>7</v>
      </c>
      <c r="C10" s="6">
        <v>499</v>
      </c>
      <c r="D10" s="6">
        <v>20</v>
      </c>
      <c r="E10" s="7">
        <v>3541</v>
      </c>
      <c r="F10" s="7">
        <v>7</v>
      </c>
      <c r="G10" s="7">
        <v>4980</v>
      </c>
      <c r="H10" s="7"/>
      <c r="I10" s="7"/>
      <c r="J10" s="7"/>
      <c r="K10" s="7"/>
      <c r="L10" s="7">
        <v>3</v>
      </c>
      <c r="M10" s="7">
        <v>34</v>
      </c>
      <c r="N10" s="7">
        <v>5</v>
      </c>
      <c r="O10" s="7">
        <v>54</v>
      </c>
      <c r="P10" s="7"/>
      <c r="Q10" s="7"/>
      <c r="R10" s="7"/>
      <c r="S10" s="7"/>
      <c r="T10" s="7"/>
      <c r="U10" s="7"/>
      <c r="V10" s="7"/>
      <c r="W10" s="7"/>
      <c r="X10" s="7"/>
      <c r="Y10" s="7"/>
      <c r="Z10" s="7"/>
      <c r="AA10" s="7"/>
      <c r="AB10" s="7"/>
      <c r="AC10" s="7"/>
      <c r="AD10" s="7"/>
      <c r="AE10" s="7"/>
      <c r="AF10" s="7">
        <v>1</v>
      </c>
      <c r="AG10" s="7">
        <v>392</v>
      </c>
      <c r="AH10" s="7">
        <v>19</v>
      </c>
      <c r="AI10" s="7">
        <v>8900</v>
      </c>
      <c r="AJ10" s="7">
        <v>2</v>
      </c>
      <c r="AK10" s="7">
        <v>1049</v>
      </c>
      <c r="AL10" s="7"/>
      <c r="AM10" s="7"/>
      <c r="AN10" s="7"/>
      <c r="AO10" s="7"/>
      <c r="AP10" s="7"/>
      <c r="AQ10" s="7"/>
      <c r="AR10" s="7"/>
      <c r="AS10" s="7"/>
      <c r="AT10" s="7"/>
      <c r="AU10" s="7"/>
      <c r="AV10" s="7"/>
      <c r="AW10" s="7"/>
      <c r="AX10" s="7"/>
      <c r="AY10" s="7"/>
      <c r="AZ10" s="7">
        <v>1</v>
      </c>
      <c r="BA10" s="7">
        <v>615</v>
      </c>
      <c r="BB10" s="7">
        <v>10</v>
      </c>
      <c r="BC10" s="7">
        <v>4260</v>
      </c>
      <c r="BD10" s="7">
        <v>7</v>
      </c>
      <c r="BE10" s="7">
        <v>2020</v>
      </c>
      <c r="BF10" s="7"/>
      <c r="BG10" s="7"/>
      <c r="BH10" s="7"/>
      <c r="BI10" s="7"/>
      <c r="BJ10" s="7"/>
      <c r="BK10" s="7"/>
      <c r="BL10" s="7"/>
      <c r="BM10" s="7"/>
      <c r="BN10" s="7"/>
      <c r="BO10" s="7"/>
      <c r="BP10" s="7"/>
      <c r="BQ10" s="7"/>
      <c r="BR10" s="7">
        <v>4</v>
      </c>
      <c r="BS10" s="7">
        <v>207</v>
      </c>
      <c r="BT10" s="7"/>
      <c r="BU10" s="7"/>
      <c r="BV10" s="7"/>
      <c r="BW10" s="7"/>
      <c r="BX10" s="7">
        <v>1</v>
      </c>
      <c r="BY10" s="7">
        <v>55</v>
      </c>
      <c r="BZ10" s="7">
        <v>1</v>
      </c>
      <c r="CA10" s="7">
        <v>39</v>
      </c>
      <c r="CB10" s="7"/>
      <c r="CC10" s="7"/>
      <c r="CD10" s="7"/>
      <c r="CE10" s="7"/>
      <c r="CF10" s="7"/>
      <c r="CG10" s="7"/>
      <c r="CH10" s="7">
        <v>1</v>
      </c>
      <c r="CI10" s="7">
        <v>32</v>
      </c>
      <c r="CJ10" s="8"/>
      <c r="CK10" s="8"/>
      <c r="CL10" s="8">
        <v>89</v>
      </c>
      <c r="CM10" s="8">
        <v>26677</v>
      </c>
      <c r="CN10" s="9"/>
      <c r="CO10" s="9"/>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row>
    <row r="11" spans="1:210">
      <c r="A11" s="5" t="s">
        <v>50</v>
      </c>
      <c r="B11" s="6"/>
      <c r="C11" s="6"/>
      <c r="D11" s="7"/>
      <c r="E11" s="7"/>
      <c r="F11" s="7"/>
      <c r="G11" s="7"/>
      <c r="H11" s="7"/>
      <c r="I11" s="7"/>
      <c r="J11" s="7">
        <v>1</v>
      </c>
      <c r="K11" s="7">
        <v>31</v>
      </c>
      <c r="L11" s="7">
        <v>1</v>
      </c>
      <c r="M11" s="7">
        <v>20</v>
      </c>
      <c r="N11" s="7">
        <v>1</v>
      </c>
      <c r="O11" s="7">
        <v>10</v>
      </c>
      <c r="P11" s="7"/>
      <c r="Q11" s="7"/>
      <c r="R11" s="7"/>
      <c r="S11" s="7"/>
      <c r="T11" s="7"/>
      <c r="U11" s="7"/>
      <c r="V11" s="7"/>
      <c r="W11" s="7"/>
      <c r="X11" s="7"/>
      <c r="Y11" s="7"/>
      <c r="Z11" s="7"/>
      <c r="AA11" s="7"/>
      <c r="AB11" s="7"/>
      <c r="AC11" s="7"/>
      <c r="AD11" s="7"/>
      <c r="AE11" s="7"/>
      <c r="AF11" s="7"/>
      <c r="AG11" s="7"/>
      <c r="AH11" s="7">
        <v>1</v>
      </c>
      <c r="AI11" s="7">
        <v>28</v>
      </c>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8"/>
      <c r="CK11" s="8"/>
      <c r="CL11" s="19">
        <v>4</v>
      </c>
      <c r="CM11" s="8">
        <v>89</v>
      </c>
      <c r="CN11" s="9"/>
      <c r="CO11" s="9"/>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row>
    <row r="12" spans="1:210">
      <c r="A12" s="5" t="s">
        <v>51</v>
      </c>
      <c r="B12" s="6">
        <v>1</v>
      </c>
      <c r="C12" s="6">
        <v>54</v>
      </c>
      <c r="D12" s="7"/>
      <c r="E12" s="7"/>
      <c r="F12" s="7">
        <v>2</v>
      </c>
      <c r="G12" s="7">
        <v>446</v>
      </c>
      <c r="H12" s="7"/>
      <c r="I12" s="7"/>
      <c r="J12" s="7"/>
      <c r="K12" s="7"/>
      <c r="L12" s="7">
        <v>1</v>
      </c>
      <c r="M12" s="7">
        <v>14</v>
      </c>
      <c r="N12" s="7">
        <v>1</v>
      </c>
      <c r="O12" s="7">
        <v>8</v>
      </c>
      <c r="P12" s="7"/>
      <c r="Q12" s="7"/>
      <c r="R12" s="7"/>
      <c r="S12" s="7"/>
      <c r="T12" s="7"/>
      <c r="U12" s="7"/>
      <c r="V12" s="7"/>
      <c r="W12" s="7"/>
      <c r="X12" s="7"/>
      <c r="Y12" s="7"/>
      <c r="Z12" s="7"/>
      <c r="AA12" s="7"/>
      <c r="AB12" s="7"/>
      <c r="AC12" s="7"/>
      <c r="AD12" s="7"/>
      <c r="AE12" s="7"/>
      <c r="AF12" s="7">
        <v>1</v>
      </c>
      <c r="AG12" s="7">
        <v>200</v>
      </c>
      <c r="AH12" s="7">
        <v>2</v>
      </c>
      <c r="AI12" s="7">
        <v>207</v>
      </c>
      <c r="AJ12" s="7">
        <v>4</v>
      </c>
      <c r="AK12" s="7">
        <v>1703</v>
      </c>
      <c r="AL12" s="7">
        <v>1</v>
      </c>
      <c r="AM12" s="7">
        <v>330</v>
      </c>
      <c r="AN12" s="7"/>
      <c r="AO12" s="7"/>
      <c r="AP12" s="7"/>
      <c r="AQ12" s="7"/>
      <c r="AR12" s="7"/>
      <c r="AS12" s="7"/>
      <c r="AT12" s="7"/>
      <c r="AU12" s="7"/>
      <c r="AV12" s="7"/>
      <c r="AW12" s="7"/>
      <c r="AX12" s="7"/>
      <c r="AY12" s="7"/>
      <c r="AZ12" s="7"/>
      <c r="BA12" s="7"/>
      <c r="BB12" s="7">
        <v>2</v>
      </c>
      <c r="BC12" s="7">
        <v>324</v>
      </c>
      <c r="BD12" s="7">
        <v>1</v>
      </c>
      <c r="BE12" s="7">
        <v>222</v>
      </c>
      <c r="BF12" s="7"/>
      <c r="BG12" s="7"/>
      <c r="BH12" s="7"/>
      <c r="BI12" s="7"/>
      <c r="BJ12" s="7"/>
      <c r="BK12" s="7"/>
      <c r="BL12" s="7"/>
      <c r="BM12" s="7"/>
      <c r="BN12" s="7"/>
      <c r="BO12" s="7"/>
      <c r="BP12" s="7"/>
      <c r="BQ12" s="7"/>
      <c r="BR12" s="7">
        <v>1</v>
      </c>
      <c r="BS12" s="7">
        <v>40</v>
      </c>
      <c r="BT12" s="7">
        <v>1</v>
      </c>
      <c r="BU12" s="7">
        <v>30</v>
      </c>
      <c r="BV12" s="7"/>
      <c r="BW12" s="7"/>
      <c r="BX12" s="7"/>
      <c r="BY12" s="7"/>
      <c r="BZ12" s="7">
        <v>1</v>
      </c>
      <c r="CA12" s="7">
        <v>28</v>
      </c>
      <c r="CB12" s="7"/>
      <c r="CC12" s="7"/>
      <c r="CD12" s="7"/>
      <c r="CE12" s="7"/>
      <c r="CF12" s="7"/>
      <c r="CG12" s="7"/>
      <c r="CH12" s="7"/>
      <c r="CI12" s="7"/>
      <c r="CJ12" s="8"/>
      <c r="CK12" s="8"/>
      <c r="CL12" s="19">
        <v>19</v>
      </c>
      <c r="CM12" s="8">
        <v>3606</v>
      </c>
      <c r="CN12" s="9"/>
      <c r="CO12" s="9"/>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row>
    <row r="13" spans="1:210">
      <c r="A13" s="5" t="s">
        <v>52</v>
      </c>
      <c r="B13" s="6">
        <v>1</v>
      </c>
      <c r="C13" s="6">
        <v>38</v>
      </c>
      <c r="D13" s="7"/>
      <c r="E13" s="7"/>
      <c r="F13" s="7"/>
      <c r="G13" s="7"/>
      <c r="H13" s="7"/>
      <c r="I13" s="7"/>
      <c r="J13" s="7">
        <v>1</v>
      </c>
      <c r="K13" s="7">
        <v>50</v>
      </c>
      <c r="L13" s="7">
        <v>4</v>
      </c>
      <c r="M13" s="7">
        <v>42</v>
      </c>
      <c r="N13" s="7">
        <v>3</v>
      </c>
      <c r="O13" s="7">
        <v>40</v>
      </c>
      <c r="P13" s="7"/>
      <c r="Q13" s="7"/>
      <c r="R13" s="7"/>
      <c r="S13" s="7"/>
      <c r="T13" s="7"/>
      <c r="U13" s="7"/>
      <c r="V13" s="7"/>
      <c r="W13" s="7"/>
      <c r="X13" s="7"/>
      <c r="Y13" s="7"/>
      <c r="Z13" s="7"/>
      <c r="AA13" s="7"/>
      <c r="AB13" s="7"/>
      <c r="AC13" s="7"/>
      <c r="AD13" s="7"/>
      <c r="AE13" s="7"/>
      <c r="AF13" s="7"/>
      <c r="AG13" s="7"/>
      <c r="AH13" s="7"/>
      <c r="AI13" s="7"/>
      <c r="AJ13" s="7">
        <v>1</v>
      </c>
      <c r="AK13" s="7">
        <v>16</v>
      </c>
      <c r="AL13" s="7"/>
      <c r="AM13" s="7"/>
      <c r="AN13" s="7"/>
      <c r="AO13" s="7"/>
      <c r="AP13" s="7"/>
      <c r="AQ13" s="7"/>
      <c r="AR13" s="7"/>
      <c r="AS13" s="7"/>
      <c r="AT13" s="7"/>
      <c r="AU13" s="7"/>
      <c r="AV13" s="7"/>
      <c r="AW13" s="7"/>
      <c r="AX13" s="7"/>
      <c r="AY13" s="7"/>
      <c r="AZ13" s="7"/>
      <c r="BA13" s="7"/>
      <c r="BB13" s="7"/>
      <c r="BC13" s="7"/>
      <c r="BD13" s="7">
        <v>1</v>
      </c>
      <c r="BE13" s="7">
        <v>89</v>
      </c>
      <c r="BF13" s="7"/>
      <c r="BG13" s="7"/>
      <c r="BH13" s="7"/>
      <c r="BI13" s="7"/>
      <c r="BJ13" s="7"/>
      <c r="BK13" s="7"/>
      <c r="BL13" s="7"/>
      <c r="BM13" s="7"/>
      <c r="BN13" s="7"/>
      <c r="BO13" s="7"/>
      <c r="BP13" s="7"/>
      <c r="BQ13" s="7"/>
      <c r="BR13" s="7">
        <v>1</v>
      </c>
      <c r="BS13" s="7">
        <v>15</v>
      </c>
      <c r="BT13" s="7">
        <v>1</v>
      </c>
      <c r="BU13" s="7">
        <v>12</v>
      </c>
      <c r="BV13" s="7"/>
      <c r="BW13" s="7"/>
      <c r="BX13" s="7"/>
      <c r="BY13" s="7"/>
      <c r="BZ13" s="7"/>
      <c r="CA13" s="7"/>
      <c r="CB13" s="7"/>
      <c r="CC13" s="7"/>
      <c r="CD13" s="7"/>
      <c r="CE13" s="7"/>
      <c r="CF13" s="7"/>
      <c r="CG13" s="7"/>
      <c r="CH13" s="7"/>
      <c r="CI13" s="7"/>
      <c r="CJ13" s="8"/>
      <c r="CK13" s="8"/>
      <c r="CL13" s="19">
        <v>13</v>
      </c>
      <c r="CM13" s="8">
        <v>302</v>
      </c>
      <c r="CN13" s="9"/>
      <c r="CO13" s="9"/>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row>
    <row r="14" spans="1:210">
      <c r="A14" s="5" t="s">
        <v>53</v>
      </c>
      <c r="B14" s="6"/>
      <c r="C14" s="6"/>
      <c r="D14" s="7"/>
      <c r="E14" s="7"/>
      <c r="F14" s="7"/>
      <c r="G14" s="7"/>
      <c r="H14" s="7"/>
      <c r="I14" s="7"/>
      <c r="J14" s="7"/>
      <c r="K14" s="7"/>
      <c r="L14" s="7"/>
      <c r="M14" s="7"/>
      <c r="N14" s="7">
        <v>3</v>
      </c>
      <c r="O14" s="7">
        <v>35</v>
      </c>
      <c r="P14" s="7"/>
      <c r="Q14" s="7"/>
      <c r="R14" s="7"/>
      <c r="S14" s="7"/>
      <c r="T14" s="7"/>
      <c r="U14" s="7"/>
      <c r="V14" s="7"/>
      <c r="W14" s="7"/>
      <c r="X14" s="7"/>
      <c r="Y14" s="7"/>
      <c r="Z14" s="7"/>
      <c r="AA14" s="7"/>
      <c r="AB14" s="7"/>
      <c r="AC14" s="7"/>
      <c r="AD14" s="7"/>
      <c r="AE14" s="7"/>
      <c r="AF14" s="7"/>
      <c r="AG14" s="7"/>
      <c r="AH14" s="7">
        <v>2</v>
      </c>
      <c r="AI14" s="7">
        <v>121</v>
      </c>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v>1</v>
      </c>
      <c r="BU14" s="7">
        <v>75</v>
      </c>
      <c r="BV14" s="7"/>
      <c r="BW14" s="7"/>
      <c r="BX14" s="7"/>
      <c r="BY14" s="7"/>
      <c r="BZ14" s="7"/>
      <c r="CA14" s="7"/>
      <c r="CB14" s="7"/>
      <c r="CC14" s="7"/>
      <c r="CD14" s="7"/>
      <c r="CE14" s="7"/>
      <c r="CF14" s="7"/>
      <c r="CG14" s="7"/>
      <c r="CH14" s="7"/>
      <c r="CI14" s="7"/>
      <c r="CJ14" s="8"/>
      <c r="CK14" s="8"/>
      <c r="CL14" s="19">
        <v>6</v>
      </c>
      <c r="CM14" s="8">
        <v>231</v>
      </c>
      <c r="CN14" s="9"/>
      <c r="CO14" s="9"/>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row>
    <row r="15" spans="1:210">
      <c r="A15" s="5" t="s">
        <v>54</v>
      </c>
      <c r="B15" s="6"/>
      <c r="C15" s="6"/>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v>1</v>
      </c>
      <c r="AU15" s="7">
        <v>33</v>
      </c>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8"/>
      <c r="CK15" s="8"/>
      <c r="CL15" s="19">
        <v>1</v>
      </c>
      <c r="CM15" s="8">
        <v>33</v>
      </c>
      <c r="CN15" s="9"/>
      <c r="CO15" s="9"/>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row>
    <row r="16" spans="1:210">
      <c r="A16" s="5" t="s">
        <v>55</v>
      </c>
      <c r="B16" s="6"/>
      <c r="C16" s="6"/>
      <c r="D16" s="7"/>
      <c r="E16" s="7"/>
      <c r="F16" s="7"/>
      <c r="G16" s="7"/>
      <c r="H16" s="7"/>
      <c r="I16" s="7"/>
      <c r="J16" s="7"/>
      <c r="K16" s="7"/>
      <c r="L16" s="7">
        <v>1</v>
      </c>
      <c r="M16" s="7">
        <v>12</v>
      </c>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8"/>
      <c r="CK16" s="8"/>
      <c r="CL16" s="19">
        <v>1</v>
      </c>
      <c r="CM16" s="8">
        <v>12</v>
      </c>
      <c r="CN16" s="9"/>
      <c r="CO16" s="9"/>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row>
    <row r="17" spans="1:210">
      <c r="A17" s="5" t="s">
        <v>56</v>
      </c>
      <c r="B17" s="6"/>
      <c r="C17" s="6"/>
      <c r="D17" s="7"/>
      <c r="E17" s="7"/>
      <c r="F17" s="7"/>
      <c r="G17" s="7"/>
      <c r="H17" s="7"/>
      <c r="I17" s="7"/>
      <c r="J17" s="7"/>
      <c r="K17" s="7"/>
      <c r="L17" s="7">
        <v>11</v>
      </c>
      <c r="M17" s="7">
        <v>127</v>
      </c>
      <c r="N17" s="7"/>
      <c r="O17" s="7"/>
      <c r="P17" s="7"/>
      <c r="Q17" s="7"/>
      <c r="R17" s="7"/>
      <c r="S17" s="7"/>
      <c r="T17" s="7"/>
      <c r="U17" s="7"/>
      <c r="V17" s="7"/>
      <c r="W17" s="7"/>
      <c r="X17" s="7"/>
      <c r="Y17" s="7"/>
      <c r="Z17" s="7"/>
      <c r="AA17" s="7"/>
      <c r="AB17" s="7"/>
      <c r="AC17" s="7"/>
      <c r="AD17" s="7"/>
      <c r="AE17" s="7"/>
      <c r="AF17" s="7"/>
      <c r="AG17" s="7"/>
      <c r="AH17" s="7"/>
      <c r="AI17" s="7"/>
      <c r="AJ17" s="7">
        <v>1</v>
      </c>
      <c r="AK17" s="7">
        <v>38</v>
      </c>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v>1</v>
      </c>
      <c r="CA17" s="7">
        <v>30</v>
      </c>
      <c r="CB17" s="7"/>
      <c r="CC17" s="7"/>
      <c r="CD17" s="7"/>
      <c r="CE17" s="7"/>
      <c r="CF17" s="7"/>
      <c r="CG17" s="7"/>
      <c r="CH17" s="7"/>
      <c r="CI17" s="7"/>
      <c r="CJ17" s="8"/>
      <c r="CK17" s="8"/>
      <c r="CL17" s="19">
        <v>13</v>
      </c>
      <c r="CM17" s="8">
        <v>195</v>
      </c>
      <c r="CN17" s="9"/>
      <c r="CO17" s="9"/>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row>
    <row r="18" spans="1:210">
      <c r="A18" s="5" t="s">
        <v>57</v>
      </c>
      <c r="B18" s="6">
        <v>21</v>
      </c>
      <c r="C18" s="6">
        <v>1527</v>
      </c>
      <c r="D18" s="7">
        <v>31</v>
      </c>
      <c r="E18" s="7">
        <v>4899</v>
      </c>
      <c r="F18" s="7">
        <v>30</v>
      </c>
      <c r="G18" s="7">
        <v>5469</v>
      </c>
      <c r="H18" s="7">
        <v>5</v>
      </c>
      <c r="I18" s="7">
        <v>973</v>
      </c>
      <c r="J18" s="7"/>
      <c r="K18" s="7"/>
      <c r="L18" s="7">
        <v>4</v>
      </c>
      <c r="M18" s="7">
        <v>52</v>
      </c>
      <c r="N18" s="7"/>
      <c r="O18" s="7"/>
      <c r="P18" s="7"/>
      <c r="Q18" s="7"/>
      <c r="R18" s="7"/>
      <c r="S18" s="7"/>
      <c r="T18" s="7"/>
      <c r="U18" s="7"/>
      <c r="V18" s="7"/>
      <c r="W18" s="7"/>
      <c r="X18" s="7"/>
      <c r="Y18" s="7"/>
      <c r="Z18" s="7"/>
      <c r="AA18" s="7"/>
      <c r="AB18" s="7">
        <v>1</v>
      </c>
      <c r="AC18" s="7">
        <v>1118</v>
      </c>
      <c r="AD18" s="7">
        <v>3</v>
      </c>
      <c r="AE18" s="7">
        <v>203</v>
      </c>
      <c r="AF18" s="7">
        <v>13</v>
      </c>
      <c r="AG18" s="7">
        <v>2354</v>
      </c>
      <c r="AH18" s="7">
        <v>60</v>
      </c>
      <c r="AI18" s="7">
        <v>20040</v>
      </c>
      <c r="AJ18" s="7">
        <v>37</v>
      </c>
      <c r="AK18" s="7">
        <v>10181</v>
      </c>
      <c r="AL18" s="7">
        <v>4</v>
      </c>
      <c r="AM18" s="7">
        <v>738</v>
      </c>
      <c r="AN18" s="7">
        <v>1</v>
      </c>
      <c r="AO18" s="7">
        <v>27</v>
      </c>
      <c r="AP18" s="7"/>
      <c r="AQ18" s="7"/>
      <c r="AR18" s="7"/>
      <c r="AS18" s="7"/>
      <c r="AT18" s="7"/>
      <c r="AU18" s="7"/>
      <c r="AV18" s="7"/>
      <c r="AW18" s="7"/>
      <c r="AX18" s="7"/>
      <c r="AY18" s="7"/>
      <c r="AZ18" s="7">
        <v>2</v>
      </c>
      <c r="BA18" s="7">
        <v>159</v>
      </c>
      <c r="BB18" s="7">
        <v>21</v>
      </c>
      <c r="BC18" s="7">
        <v>9787</v>
      </c>
      <c r="BD18" s="7">
        <v>2</v>
      </c>
      <c r="BE18" s="7">
        <v>581</v>
      </c>
      <c r="BF18" s="7"/>
      <c r="BG18" s="7"/>
      <c r="BH18" s="7"/>
      <c r="BI18" s="7"/>
      <c r="BJ18" s="7"/>
      <c r="BK18" s="7"/>
      <c r="BL18" s="7"/>
      <c r="BM18" s="7"/>
      <c r="BN18" s="7"/>
      <c r="BO18" s="7"/>
      <c r="BP18" s="7"/>
      <c r="BQ18" s="7"/>
      <c r="BR18" s="7">
        <v>4</v>
      </c>
      <c r="BS18" s="7">
        <v>189</v>
      </c>
      <c r="BT18" s="7">
        <v>7</v>
      </c>
      <c r="BU18" s="7">
        <v>446</v>
      </c>
      <c r="BV18" s="7">
        <v>3</v>
      </c>
      <c r="BW18" s="7">
        <v>128</v>
      </c>
      <c r="BX18" s="7">
        <v>9</v>
      </c>
      <c r="BY18" s="7">
        <v>345</v>
      </c>
      <c r="BZ18" s="7">
        <v>4</v>
      </c>
      <c r="CA18" s="7">
        <v>180</v>
      </c>
      <c r="CB18" s="7">
        <v>2</v>
      </c>
      <c r="CC18" s="7">
        <v>86</v>
      </c>
      <c r="CD18" s="7"/>
      <c r="CE18" s="7"/>
      <c r="CF18" s="7">
        <v>2</v>
      </c>
      <c r="CG18" s="7">
        <v>32</v>
      </c>
      <c r="CH18" s="7"/>
      <c r="CI18" s="7"/>
      <c r="CJ18" s="8"/>
      <c r="CK18" s="8"/>
      <c r="CL18" s="19">
        <v>266</v>
      </c>
      <c r="CM18" s="8">
        <v>59514</v>
      </c>
      <c r="CN18" s="9"/>
      <c r="CO18" s="9"/>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row>
    <row r="19" spans="1:210">
      <c r="A19" s="5" t="s">
        <v>58</v>
      </c>
      <c r="B19" s="6"/>
      <c r="C19" s="6"/>
      <c r="D19" s="7"/>
      <c r="E19" s="7"/>
      <c r="F19" s="7"/>
      <c r="G19" s="7"/>
      <c r="H19" s="7"/>
      <c r="I19" s="7"/>
      <c r="J19" s="7">
        <v>1</v>
      </c>
      <c r="K19" s="7">
        <v>50</v>
      </c>
      <c r="L19" s="7">
        <v>2</v>
      </c>
      <c r="M19" s="7">
        <v>33</v>
      </c>
      <c r="N19" s="7">
        <v>1</v>
      </c>
      <c r="O19" s="7">
        <v>12</v>
      </c>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8"/>
      <c r="CK19" s="8"/>
      <c r="CL19" s="19">
        <v>4</v>
      </c>
      <c r="CM19" s="8">
        <v>95</v>
      </c>
      <c r="CN19" s="9"/>
      <c r="CO19" s="9"/>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row>
    <row r="20" spans="1:210">
      <c r="A20" s="5" t="s">
        <v>59</v>
      </c>
      <c r="B20" s="6"/>
      <c r="C20" s="6"/>
      <c r="D20" s="7"/>
      <c r="E20" s="7"/>
      <c r="F20" s="7"/>
      <c r="G20" s="7"/>
      <c r="H20" s="7"/>
      <c r="I20" s="7"/>
      <c r="J20" s="7">
        <v>1</v>
      </c>
      <c r="K20" s="7">
        <v>20</v>
      </c>
      <c r="L20" s="7">
        <v>13</v>
      </c>
      <c r="M20" s="7">
        <v>184</v>
      </c>
      <c r="N20" s="7"/>
      <c r="O20" s="7"/>
      <c r="P20" s="7"/>
      <c r="Q20" s="7"/>
      <c r="R20" s="7"/>
      <c r="S20" s="7"/>
      <c r="T20" s="7"/>
      <c r="U20" s="7"/>
      <c r="V20" s="7"/>
      <c r="W20" s="7"/>
      <c r="X20" s="7"/>
      <c r="Y20" s="7"/>
      <c r="Z20" s="7"/>
      <c r="AA20" s="7"/>
      <c r="AB20" s="7"/>
      <c r="AC20" s="7"/>
      <c r="AD20" s="7"/>
      <c r="AE20" s="7"/>
      <c r="AF20" s="7">
        <v>1</v>
      </c>
      <c r="AG20" s="7">
        <v>37</v>
      </c>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v>1</v>
      </c>
      <c r="BY20" s="7">
        <v>41</v>
      </c>
      <c r="BZ20" s="7"/>
      <c r="CA20" s="7"/>
      <c r="CB20" s="7"/>
      <c r="CC20" s="7"/>
      <c r="CD20" s="7"/>
      <c r="CE20" s="7"/>
      <c r="CF20" s="7"/>
      <c r="CG20" s="7"/>
      <c r="CH20" s="7"/>
      <c r="CI20" s="7"/>
      <c r="CJ20" s="8"/>
      <c r="CK20" s="8"/>
      <c r="CL20" s="19">
        <v>16</v>
      </c>
      <c r="CM20" s="8">
        <v>282</v>
      </c>
      <c r="CN20" s="9"/>
      <c r="CO20" s="9"/>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row>
    <row r="21" spans="1:210">
      <c r="A21" s="5" t="s">
        <v>60</v>
      </c>
      <c r="B21" s="6">
        <v>13</v>
      </c>
      <c r="C21" s="6">
        <v>678</v>
      </c>
      <c r="D21" s="7">
        <v>14</v>
      </c>
      <c r="E21" s="7">
        <v>861</v>
      </c>
      <c r="F21" s="7">
        <v>8</v>
      </c>
      <c r="G21" s="7">
        <v>1391</v>
      </c>
      <c r="H21" s="7"/>
      <c r="I21" s="7"/>
      <c r="J21" s="7">
        <v>1</v>
      </c>
      <c r="K21" s="7">
        <v>36</v>
      </c>
      <c r="L21" s="7">
        <v>2</v>
      </c>
      <c r="M21" s="7">
        <v>32</v>
      </c>
      <c r="N21" s="7"/>
      <c r="O21" s="7"/>
      <c r="P21" s="7"/>
      <c r="Q21" s="7"/>
      <c r="R21" s="7"/>
      <c r="S21" s="7"/>
      <c r="T21" s="7"/>
      <c r="U21" s="7"/>
      <c r="V21" s="7"/>
      <c r="W21" s="7"/>
      <c r="X21" s="7"/>
      <c r="Y21" s="7"/>
      <c r="Z21" s="7"/>
      <c r="AA21" s="7"/>
      <c r="AB21" s="7"/>
      <c r="AC21" s="7"/>
      <c r="AD21" s="7">
        <v>7</v>
      </c>
      <c r="AE21" s="7">
        <v>373</v>
      </c>
      <c r="AF21" s="7">
        <v>2</v>
      </c>
      <c r="AG21" s="7">
        <v>322</v>
      </c>
      <c r="AH21" s="7">
        <v>19</v>
      </c>
      <c r="AI21" s="7">
        <v>4628</v>
      </c>
      <c r="AJ21" s="7">
        <v>9</v>
      </c>
      <c r="AK21" s="7">
        <v>2243</v>
      </c>
      <c r="AL21" s="7">
        <v>2</v>
      </c>
      <c r="AM21" s="7">
        <v>437</v>
      </c>
      <c r="AN21" s="7"/>
      <c r="AO21" s="7"/>
      <c r="AP21" s="7"/>
      <c r="AQ21" s="7"/>
      <c r="AR21" s="7"/>
      <c r="AS21" s="7"/>
      <c r="AT21" s="7"/>
      <c r="AU21" s="7"/>
      <c r="AV21" s="7"/>
      <c r="AW21" s="7"/>
      <c r="AX21" s="7">
        <v>2</v>
      </c>
      <c r="AY21" s="7">
        <v>106</v>
      </c>
      <c r="AZ21" s="7">
        <v>2</v>
      </c>
      <c r="BA21" s="7">
        <v>226</v>
      </c>
      <c r="BB21" s="7">
        <v>6</v>
      </c>
      <c r="BC21" s="7">
        <v>1752</v>
      </c>
      <c r="BD21" s="7">
        <v>7</v>
      </c>
      <c r="BE21" s="7">
        <v>3658</v>
      </c>
      <c r="BF21" s="7"/>
      <c r="BG21" s="7"/>
      <c r="BH21" s="7"/>
      <c r="BI21" s="7"/>
      <c r="BJ21" s="7"/>
      <c r="BK21" s="7"/>
      <c r="BL21" s="7"/>
      <c r="BM21" s="7"/>
      <c r="BN21" s="7"/>
      <c r="BO21" s="7"/>
      <c r="BP21" s="7"/>
      <c r="BQ21" s="7"/>
      <c r="BR21" s="7">
        <v>10</v>
      </c>
      <c r="BS21" s="7">
        <v>1187</v>
      </c>
      <c r="BT21" s="7">
        <v>6</v>
      </c>
      <c r="BU21" s="7">
        <v>340</v>
      </c>
      <c r="BV21" s="7">
        <v>1</v>
      </c>
      <c r="BW21" s="7">
        <v>22</v>
      </c>
      <c r="BX21" s="7">
        <v>8</v>
      </c>
      <c r="BY21" s="7">
        <v>264</v>
      </c>
      <c r="BZ21" s="7">
        <v>2</v>
      </c>
      <c r="CA21" s="7">
        <v>83</v>
      </c>
      <c r="CB21" s="7"/>
      <c r="CC21" s="7"/>
      <c r="CD21" s="7"/>
      <c r="CE21" s="7"/>
      <c r="CF21" s="7"/>
      <c r="CG21" s="7"/>
      <c r="CH21" s="7">
        <v>1</v>
      </c>
      <c r="CI21" s="7">
        <v>68</v>
      </c>
      <c r="CJ21" s="8"/>
      <c r="CK21" s="8"/>
      <c r="CL21" s="19">
        <v>122</v>
      </c>
      <c r="CM21" s="8">
        <v>18707</v>
      </c>
      <c r="CN21" s="9"/>
      <c r="CO21" s="9"/>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row>
    <row r="22" spans="1:210">
      <c r="A22" s="5" t="s">
        <v>61</v>
      </c>
      <c r="B22" s="6"/>
      <c r="C22" s="6"/>
      <c r="D22" s="7"/>
      <c r="E22" s="7"/>
      <c r="F22" s="7"/>
      <c r="G22" s="7"/>
      <c r="H22" s="7"/>
      <c r="I22" s="7"/>
      <c r="J22" s="7"/>
      <c r="K22" s="7"/>
      <c r="L22" s="7"/>
      <c r="M22" s="7"/>
      <c r="N22" s="7">
        <v>1</v>
      </c>
      <c r="O22" s="7">
        <v>16</v>
      </c>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8"/>
      <c r="CK22" s="8"/>
      <c r="CL22" s="19">
        <v>1</v>
      </c>
      <c r="CM22" s="8">
        <v>16</v>
      </c>
      <c r="CN22" s="9"/>
      <c r="CO22" s="9"/>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row>
    <row r="23" spans="1:210">
      <c r="A23" s="5" t="s">
        <v>62</v>
      </c>
      <c r="B23" s="6"/>
      <c r="C23" s="6"/>
      <c r="D23" s="7"/>
      <c r="E23" s="7"/>
      <c r="F23" s="7"/>
      <c r="G23" s="7"/>
      <c r="H23" s="7"/>
      <c r="I23" s="7"/>
      <c r="J23" s="7"/>
      <c r="K23" s="7"/>
      <c r="L23" s="7">
        <v>1</v>
      </c>
      <c r="M23" s="7">
        <v>16</v>
      </c>
      <c r="N23" s="7">
        <v>1</v>
      </c>
      <c r="O23" s="7">
        <v>16</v>
      </c>
      <c r="P23" s="7"/>
      <c r="Q23" s="7"/>
      <c r="R23" s="7"/>
      <c r="S23" s="7"/>
      <c r="T23" s="7"/>
      <c r="U23" s="7"/>
      <c r="V23" s="7"/>
      <c r="W23" s="7"/>
      <c r="X23" s="7"/>
      <c r="Y23" s="7"/>
      <c r="Z23" s="7"/>
      <c r="AA23" s="7"/>
      <c r="AB23" s="7"/>
      <c r="AC23" s="7"/>
      <c r="AD23" s="7">
        <v>1</v>
      </c>
      <c r="AE23" s="7">
        <v>79</v>
      </c>
      <c r="AF23" s="7"/>
      <c r="AG23" s="7"/>
      <c r="AH23" s="7"/>
      <c r="AI23" s="7"/>
      <c r="AJ23" s="7">
        <v>2</v>
      </c>
      <c r="AK23" s="7">
        <v>288</v>
      </c>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v>1</v>
      </c>
      <c r="BS23" s="7">
        <v>14</v>
      </c>
      <c r="BT23" s="7"/>
      <c r="BU23" s="7"/>
      <c r="BV23" s="7"/>
      <c r="BW23" s="7"/>
      <c r="BX23" s="7"/>
      <c r="BY23" s="7"/>
      <c r="BZ23" s="7"/>
      <c r="CA23" s="7"/>
      <c r="CB23" s="7"/>
      <c r="CC23" s="7"/>
      <c r="CD23" s="7"/>
      <c r="CE23" s="7"/>
      <c r="CF23" s="7"/>
      <c r="CG23" s="7"/>
      <c r="CH23" s="7">
        <v>1</v>
      </c>
      <c r="CI23" s="7">
        <v>17</v>
      </c>
      <c r="CJ23" s="8"/>
      <c r="CK23" s="8"/>
      <c r="CL23" s="19">
        <v>7</v>
      </c>
      <c r="CM23" s="8">
        <v>430</v>
      </c>
      <c r="CN23" s="9"/>
      <c r="CO23" s="9"/>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row>
    <row r="24" spans="1:210">
      <c r="A24" s="5" t="s">
        <v>63</v>
      </c>
      <c r="B24" s="6"/>
      <c r="C24" s="6"/>
      <c r="D24" s="7"/>
      <c r="E24" s="7"/>
      <c r="F24" s="7"/>
      <c r="G24" s="7"/>
      <c r="H24" s="7"/>
      <c r="I24" s="7"/>
      <c r="J24" s="7"/>
      <c r="K24" s="7"/>
      <c r="L24" s="7">
        <v>3</v>
      </c>
      <c r="M24" s="7">
        <v>37</v>
      </c>
      <c r="N24" s="7"/>
      <c r="O24" s="7"/>
      <c r="P24" s="7"/>
      <c r="Q24" s="7"/>
      <c r="R24" s="7"/>
      <c r="S24" s="7"/>
      <c r="T24" s="7"/>
      <c r="U24" s="7"/>
      <c r="V24" s="7"/>
      <c r="W24" s="7"/>
      <c r="X24" s="7"/>
      <c r="Y24" s="7"/>
      <c r="Z24" s="7"/>
      <c r="AA24" s="7"/>
      <c r="AB24" s="7"/>
      <c r="AC24" s="7"/>
      <c r="AD24" s="7"/>
      <c r="AE24" s="7"/>
      <c r="AF24" s="7"/>
      <c r="AG24" s="7"/>
      <c r="AH24" s="7"/>
      <c r="AI24" s="7"/>
      <c r="AJ24" s="7">
        <v>1</v>
      </c>
      <c r="AK24" s="7">
        <v>37</v>
      </c>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v>1</v>
      </c>
      <c r="BS24" s="7">
        <v>16</v>
      </c>
      <c r="BT24" s="7"/>
      <c r="BU24" s="7"/>
      <c r="BV24" s="7"/>
      <c r="BW24" s="7"/>
      <c r="BX24" s="7"/>
      <c r="BY24" s="7"/>
      <c r="BZ24" s="7"/>
      <c r="CA24" s="7"/>
      <c r="CB24" s="7"/>
      <c r="CC24" s="7"/>
      <c r="CD24" s="7"/>
      <c r="CE24" s="7"/>
      <c r="CF24" s="7"/>
      <c r="CG24" s="7"/>
      <c r="CH24" s="7"/>
      <c r="CI24" s="7"/>
      <c r="CJ24" s="8"/>
      <c r="CK24" s="8"/>
      <c r="CL24" s="19">
        <v>5</v>
      </c>
      <c r="CM24" s="8">
        <v>90</v>
      </c>
      <c r="CN24" s="9"/>
      <c r="CO24" s="9"/>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row>
    <row r="25" spans="1:210">
      <c r="A25" s="5" t="s">
        <v>64</v>
      </c>
      <c r="B25" s="6"/>
      <c r="C25" s="6"/>
      <c r="D25" s="7"/>
      <c r="E25" s="7"/>
      <c r="F25" s="7"/>
      <c r="G25" s="7"/>
      <c r="H25" s="7"/>
      <c r="I25" s="7"/>
      <c r="J25" s="7"/>
      <c r="K25" s="7"/>
      <c r="L25" s="7">
        <v>1</v>
      </c>
      <c r="M25" s="7">
        <v>10</v>
      </c>
      <c r="N25" s="7">
        <v>2</v>
      </c>
      <c r="O25" s="7">
        <v>26</v>
      </c>
      <c r="P25" s="7"/>
      <c r="Q25" s="7"/>
      <c r="R25" s="7"/>
      <c r="S25" s="7"/>
      <c r="T25" s="7"/>
      <c r="U25" s="7"/>
      <c r="V25" s="7"/>
      <c r="W25" s="7"/>
      <c r="X25" s="7"/>
      <c r="Y25" s="7"/>
      <c r="Z25" s="7"/>
      <c r="AA25" s="7"/>
      <c r="AB25" s="7"/>
      <c r="AC25" s="7"/>
      <c r="AD25" s="7"/>
      <c r="AE25" s="7"/>
      <c r="AF25" s="7">
        <v>1</v>
      </c>
      <c r="AG25" s="7">
        <v>101</v>
      </c>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8"/>
      <c r="CK25" s="8"/>
      <c r="CL25" s="19">
        <v>4</v>
      </c>
      <c r="CM25" s="8">
        <v>137</v>
      </c>
      <c r="CN25" s="9"/>
      <c r="CO25" s="9"/>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row>
    <row r="26" spans="1:210">
      <c r="A26" s="5" t="s">
        <v>65</v>
      </c>
      <c r="B26" s="6">
        <v>13</v>
      </c>
      <c r="C26" s="6">
        <v>387</v>
      </c>
      <c r="D26" s="7">
        <v>13</v>
      </c>
      <c r="E26" s="7">
        <v>1919</v>
      </c>
      <c r="F26" s="7">
        <v>2</v>
      </c>
      <c r="G26" s="7">
        <v>405</v>
      </c>
      <c r="H26" s="7"/>
      <c r="I26" s="7"/>
      <c r="J26" s="7">
        <v>3</v>
      </c>
      <c r="K26" s="7">
        <v>74</v>
      </c>
      <c r="L26" s="7">
        <v>6</v>
      </c>
      <c r="M26" s="7">
        <v>80</v>
      </c>
      <c r="N26" s="7"/>
      <c r="O26" s="7"/>
      <c r="P26" s="7"/>
      <c r="Q26" s="7"/>
      <c r="R26" s="7"/>
      <c r="S26" s="7"/>
      <c r="T26" s="7"/>
      <c r="U26" s="7"/>
      <c r="V26" s="7"/>
      <c r="W26" s="7"/>
      <c r="X26" s="7"/>
      <c r="Y26" s="7"/>
      <c r="Z26" s="7"/>
      <c r="AA26" s="7"/>
      <c r="AB26" s="7"/>
      <c r="AC26" s="7"/>
      <c r="AD26" s="7">
        <v>2</v>
      </c>
      <c r="AE26" s="7">
        <v>158</v>
      </c>
      <c r="AF26" s="7">
        <v>1</v>
      </c>
      <c r="AG26" s="7">
        <v>42</v>
      </c>
      <c r="AH26" s="7">
        <v>6</v>
      </c>
      <c r="AI26" s="7">
        <v>2242</v>
      </c>
      <c r="AJ26" s="7">
        <v>2</v>
      </c>
      <c r="AK26" s="7">
        <v>822</v>
      </c>
      <c r="AL26" s="7">
        <v>1</v>
      </c>
      <c r="AM26" s="7">
        <v>20</v>
      </c>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v>1</v>
      </c>
      <c r="BS26" s="7">
        <v>35</v>
      </c>
      <c r="BT26" s="7"/>
      <c r="BU26" s="7"/>
      <c r="BV26" s="7"/>
      <c r="BW26" s="7"/>
      <c r="BX26" s="7">
        <v>3</v>
      </c>
      <c r="BY26" s="7">
        <v>130</v>
      </c>
      <c r="BZ26" s="7"/>
      <c r="CA26" s="7"/>
      <c r="CB26" s="7"/>
      <c r="CC26" s="7"/>
      <c r="CD26" s="7"/>
      <c r="CE26" s="7"/>
      <c r="CF26" s="7"/>
      <c r="CG26" s="7"/>
      <c r="CH26" s="7"/>
      <c r="CI26" s="7"/>
      <c r="CJ26" s="8"/>
      <c r="CK26" s="8"/>
      <c r="CL26" s="19">
        <v>53</v>
      </c>
      <c r="CM26" s="8">
        <v>6314</v>
      </c>
      <c r="CN26" s="9"/>
      <c r="CO26" s="9"/>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row>
    <row r="27" spans="1:210">
      <c r="A27" s="5" t="s">
        <v>66</v>
      </c>
      <c r="B27" s="6"/>
      <c r="C27" s="6"/>
      <c r="D27" s="7"/>
      <c r="E27" s="7"/>
      <c r="F27" s="7"/>
      <c r="G27" s="7"/>
      <c r="H27" s="7"/>
      <c r="I27" s="7"/>
      <c r="J27" s="7"/>
      <c r="K27" s="7"/>
      <c r="L27" s="7">
        <v>2</v>
      </c>
      <c r="M27" s="7">
        <v>25</v>
      </c>
      <c r="N27" s="7">
        <v>2</v>
      </c>
      <c r="O27" s="7">
        <v>25</v>
      </c>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v>1</v>
      </c>
      <c r="BE27" s="7">
        <v>40</v>
      </c>
      <c r="BF27" s="7"/>
      <c r="BG27" s="7"/>
      <c r="BH27" s="7"/>
      <c r="BI27" s="7"/>
      <c r="BJ27" s="7"/>
      <c r="BK27" s="7"/>
      <c r="BL27" s="7"/>
      <c r="BM27" s="7"/>
      <c r="BN27" s="7"/>
      <c r="BO27" s="7"/>
      <c r="BP27" s="7"/>
      <c r="BQ27" s="7"/>
      <c r="BR27" s="7">
        <v>1</v>
      </c>
      <c r="BS27" s="7">
        <v>10</v>
      </c>
      <c r="BT27" s="7"/>
      <c r="BU27" s="7"/>
      <c r="BV27" s="7"/>
      <c r="BW27" s="7"/>
      <c r="BX27" s="7"/>
      <c r="BY27" s="7"/>
      <c r="BZ27" s="7"/>
      <c r="CA27" s="7"/>
      <c r="CB27" s="7"/>
      <c r="CC27" s="7"/>
      <c r="CD27" s="7"/>
      <c r="CE27" s="7"/>
      <c r="CF27" s="7"/>
      <c r="CG27" s="7"/>
      <c r="CH27" s="7"/>
      <c r="CI27" s="7"/>
      <c r="CJ27" s="8"/>
      <c r="CK27" s="8"/>
      <c r="CL27" s="19">
        <v>6</v>
      </c>
      <c r="CM27" s="8">
        <v>100</v>
      </c>
      <c r="CN27" s="9"/>
      <c r="CO27" s="9"/>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row>
    <row r="28" spans="1:210">
      <c r="A28" s="5" t="s">
        <v>67</v>
      </c>
      <c r="B28" s="6"/>
      <c r="C28" s="6"/>
      <c r="D28" s="7"/>
      <c r="E28" s="7"/>
      <c r="F28" s="7"/>
      <c r="G28" s="7"/>
      <c r="H28" s="7"/>
      <c r="I28" s="7"/>
      <c r="J28" s="7">
        <v>1</v>
      </c>
      <c r="K28" s="7">
        <v>30</v>
      </c>
      <c r="L28" s="7">
        <v>1</v>
      </c>
      <c r="M28" s="7">
        <v>6</v>
      </c>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8"/>
      <c r="CK28" s="8"/>
      <c r="CL28" s="19">
        <v>2</v>
      </c>
      <c r="CM28" s="8">
        <v>36</v>
      </c>
      <c r="CN28" s="9"/>
      <c r="CO28" s="9"/>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row>
    <row r="29" spans="1:210">
      <c r="A29" s="5" t="s">
        <v>68</v>
      </c>
      <c r="B29" s="6"/>
      <c r="C29" s="6"/>
      <c r="D29" s="7"/>
      <c r="E29" s="7"/>
      <c r="F29" s="7"/>
      <c r="G29" s="7"/>
      <c r="H29" s="7"/>
      <c r="I29" s="7"/>
      <c r="J29" s="7"/>
      <c r="K29" s="7"/>
      <c r="L29" s="7">
        <v>2</v>
      </c>
      <c r="M29" s="7">
        <v>38</v>
      </c>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8"/>
      <c r="CK29" s="8"/>
      <c r="CL29" s="19">
        <v>2</v>
      </c>
      <c r="CM29" s="8">
        <v>38</v>
      </c>
      <c r="CN29" s="9"/>
      <c r="CO29" s="9"/>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row>
    <row r="30" spans="1:210">
      <c r="A30" s="5" t="s">
        <v>69</v>
      </c>
      <c r="B30" s="6"/>
      <c r="C30" s="6"/>
      <c r="D30" s="7"/>
      <c r="E30" s="7"/>
      <c r="F30" s="7"/>
      <c r="G30" s="7"/>
      <c r="H30" s="7"/>
      <c r="I30" s="7"/>
      <c r="J30" s="7"/>
      <c r="K30" s="7"/>
      <c r="L30" s="7"/>
      <c r="M30" s="7"/>
      <c r="N30" s="7">
        <v>1</v>
      </c>
      <c r="O30" s="7">
        <v>16</v>
      </c>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8"/>
      <c r="CK30" s="8"/>
      <c r="CL30" s="19">
        <v>1</v>
      </c>
      <c r="CM30" s="8">
        <v>16</v>
      </c>
      <c r="CN30" s="9"/>
      <c r="CO30" s="9"/>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row>
    <row r="31" spans="1:210">
      <c r="A31" s="5" t="s">
        <v>70</v>
      </c>
      <c r="B31" s="6"/>
      <c r="C31" s="6"/>
      <c r="D31" s="7"/>
      <c r="E31" s="7"/>
      <c r="F31" s="7"/>
      <c r="G31" s="7"/>
      <c r="H31" s="7"/>
      <c r="I31" s="7"/>
      <c r="J31" s="7"/>
      <c r="K31" s="7"/>
      <c r="L31" s="7"/>
      <c r="M31" s="7"/>
      <c r="N31" s="7">
        <v>1</v>
      </c>
      <c r="O31" s="7">
        <v>6</v>
      </c>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8"/>
      <c r="CK31" s="8"/>
      <c r="CL31" s="19">
        <v>1</v>
      </c>
      <c r="CM31" s="8">
        <v>6</v>
      </c>
      <c r="CN31" s="9"/>
      <c r="CO31" s="9"/>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row>
    <row r="32" spans="1:210">
      <c r="A32" s="5" t="s">
        <v>71</v>
      </c>
      <c r="B32" s="6">
        <v>1</v>
      </c>
      <c r="C32" s="6">
        <v>120</v>
      </c>
      <c r="D32" s="7"/>
      <c r="E32" s="7"/>
      <c r="F32" s="7"/>
      <c r="G32" s="7"/>
      <c r="H32" s="7"/>
      <c r="I32" s="7"/>
      <c r="J32" s="7"/>
      <c r="K32" s="7"/>
      <c r="L32" s="7">
        <v>13</v>
      </c>
      <c r="M32" s="7">
        <v>159</v>
      </c>
      <c r="N32" s="7"/>
      <c r="O32" s="7"/>
      <c r="P32" s="7"/>
      <c r="Q32" s="7"/>
      <c r="R32" s="7"/>
      <c r="S32" s="7"/>
      <c r="T32" s="7"/>
      <c r="U32" s="7"/>
      <c r="V32" s="7"/>
      <c r="W32" s="7"/>
      <c r="X32" s="7"/>
      <c r="Y32" s="7"/>
      <c r="Z32" s="7">
        <v>1</v>
      </c>
      <c r="AA32" s="7">
        <v>660</v>
      </c>
      <c r="AB32" s="7"/>
      <c r="AC32" s="7"/>
      <c r="AD32" s="7"/>
      <c r="AE32" s="7"/>
      <c r="AF32" s="7">
        <v>11</v>
      </c>
      <c r="AG32" s="7">
        <v>2544</v>
      </c>
      <c r="AH32" s="7">
        <v>20</v>
      </c>
      <c r="AI32" s="7">
        <v>6210</v>
      </c>
      <c r="AJ32" s="7">
        <v>2</v>
      </c>
      <c r="AK32" s="7">
        <v>1004</v>
      </c>
      <c r="AL32" s="7">
        <v>1</v>
      </c>
      <c r="AM32" s="7">
        <v>300</v>
      </c>
      <c r="AN32" s="7"/>
      <c r="AO32" s="7"/>
      <c r="AP32" s="7"/>
      <c r="AQ32" s="7"/>
      <c r="AR32" s="7"/>
      <c r="AS32" s="7"/>
      <c r="AT32" s="7"/>
      <c r="AU32" s="7"/>
      <c r="AV32" s="7"/>
      <c r="AW32" s="7"/>
      <c r="AX32" s="7"/>
      <c r="AY32" s="7"/>
      <c r="AZ32" s="7"/>
      <c r="BA32" s="7"/>
      <c r="BB32" s="7">
        <v>1</v>
      </c>
      <c r="BC32" s="7">
        <v>346</v>
      </c>
      <c r="BD32" s="7"/>
      <c r="BE32" s="7"/>
      <c r="BF32" s="7"/>
      <c r="BG32" s="7"/>
      <c r="BH32" s="7"/>
      <c r="BI32" s="7"/>
      <c r="BJ32" s="7"/>
      <c r="BK32" s="7"/>
      <c r="BL32" s="7"/>
      <c r="BM32" s="7"/>
      <c r="BN32" s="7"/>
      <c r="BO32" s="7"/>
      <c r="BP32" s="7"/>
      <c r="BQ32" s="7"/>
      <c r="BR32" s="7">
        <v>3</v>
      </c>
      <c r="BS32" s="7">
        <v>161</v>
      </c>
      <c r="BT32" s="7"/>
      <c r="BU32" s="7"/>
      <c r="BV32" s="7"/>
      <c r="BW32" s="7"/>
      <c r="BX32" s="7">
        <v>3</v>
      </c>
      <c r="BY32" s="7">
        <v>153</v>
      </c>
      <c r="BZ32" s="7">
        <v>2</v>
      </c>
      <c r="CA32" s="7">
        <v>80</v>
      </c>
      <c r="CB32" s="7"/>
      <c r="CC32" s="7"/>
      <c r="CD32" s="7"/>
      <c r="CE32" s="7"/>
      <c r="CF32" s="7"/>
      <c r="CG32" s="7"/>
      <c r="CH32" s="7">
        <v>1</v>
      </c>
      <c r="CI32" s="7">
        <v>20</v>
      </c>
      <c r="CJ32" s="8"/>
      <c r="CK32" s="8"/>
      <c r="CL32" s="19">
        <v>59</v>
      </c>
      <c r="CM32" s="8">
        <v>11757</v>
      </c>
      <c r="CN32" s="9"/>
      <c r="CO32" s="9"/>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row>
    <row r="33" spans="1:210">
      <c r="A33" s="5" t="s">
        <v>72</v>
      </c>
      <c r="B33" s="6">
        <v>9</v>
      </c>
      <c r="C33" s="6">
        <v>1597</v>
      </c>
      <c r="D33" s="7">
        <v>7</v>
      </c>
      <c r="E33" s="7">
        <v>797</v>
      </c>
      <c r="F33" s="7">
        <v>3</v>
      </c>
      <c r="G33" s="7">
        <v>123</v>
      </c>
      <c r="H33" s="7"/>
      <c r="I33" s="7"/>
      <c r="J33" s="7">
        <v>3</v>
      </c>
      <c r="K33" s="7">
        <v>98</v>
      </c>
      <c r="L33" s="7">
        <v>14</v>
      </c>
      <c r="M33" s="7">
        <v>187</v>
      </c>
      <c r="N33" s="7"/>
      <c r="O33" s="7"/>
      <c r="P33" s="7"/>
      <c r="Q33" s="7"/>
      <c r="R33" s="7"/>
      <c r="S33" s="7"/>
      <c r="T33" s="7"/>
      <c r="U33" s="7"/>
      <c r="V33" s="7"/>
      <c r="W33" s="7"/>
      <c r="X33" s="7"/>
      <c r="Y33" s="7"/>
      <c r="Z33" s="7"/>
      <c r="AA33" s="7"/>
      <c r="AB33" s="7"/>
      <c r="AC33" s="7"/>
      <c r="AD33" s="7">
        <v>3</v>
      </c>
      <c r="AE33" s="7">
        <v>699</v>
      </c>
      <c r="AF33" s="7">
        <v>1</v>
      </c>
      <c r="AG33" s="7">
        <v>41</v>
      </c>
      <c r="AH33" s="7">
        <v>14</v>
      </c>
      <c r="AI33" s="7">
        <v>5461</v>
      </c>
      <c r="AJ33" s="7">
        <v>2</v>
      </c>
      <c r="AK33" s="7">
        <v>593</v>
      </c>
      <c r="AL33" s="7"/>
      <c r="AM33" s="7"/>
      <c r="AN33" s="7"/>
      <c r="AO33" s="7"/>
      <c r="AP33" s="7"/>
      <c r="AQ33" s="7"/>
      <c r="AR33" s="7"/>
      <c r="AS33" s="7"/>
      <c r="AT33" s="7"/>
      <c r="AU33" s="7"/>
      <c r="AV33" s="7"/>
      <c r="AW33" s="7"/>
      <c r="AX33" s="7"/>
      <c r="AY33" s="7"/>
      <c r="AZ33" s="7"/>
      <c r="BA33" s="7"/>
      <c r="BB33" s="7">
        <v>4</v>
      </c>
      <c r="BC33" s="7">
        <v>3477</v>
      </c>
      <c r="BD33" s="7">
        <v>1</v>
      </c>
      <c r="BE33" s="7">
        <v>1214</v>
      </c>
      <c r="BF33" s="7"/>
      <c r="BG33" s="7"/>
      <c r="BH33" s="7"/>
      <c r="BI33" s="7"/>
      <c r="BJ33" s="7"/>
      <c r="BK33" s="7"/>
      <c r="BL33" s="7"/>
      <c r="BM33" s="7"/>
      <c r="BN33" s="7"/>
      <c r="BO33" s="7"/>
      <c r="BP33" s="7"/>
      <c r="BQ33" s="7"/>
      <c r="BR33" s="7">
        <v>1</v>
      </c>
      <c r="BS33" s="7">
        <v>60</v>
      </c>
      <c r="BT33" s="7">
        <v>1</v>
      </c>
      <c r="BU33" s="7">
        <v>48</v>
      </c>
      <c r="BV33" s="7"/>
      <c r="BW33" s="7"/>
      <c r="BX33" s="7">
        <v>1</v>
      </c>
      <c r="BY33" s="7">
        <v>40</v>
      </c>
      <c r="BZ33" s="7"/>
      <c r="CA33" s="7"/>
      <c r="CB33" s="7"/>
      <c r="CC33" s="7"/>
      <c r="CD33" s="7"/>
      <c r="CE33" s="7"/>
      <c r="CF33" s="7">
        <v>3</v>
      </c>
      <c r="CG33" s="7">
        <v>94</v>
      </c>
      <c r="CH33" s="7"/>
      <c r="CI33" s="7"/>
      <c r="CJ33" s="8"/>
      <c r="CK33" s="8"/>
      <c r="CL33" s="19">
        <v>67</v>
      </c>
      <c r="CM33" s="8">
        <v>14529</v>
      </c>
      <c r="CN33" s="9"/>
      <c r="CO33" s="9"/>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row>
    <row r="34" spans="1:210">
      <c r="A34" s="5" t="s">
        <v>73</v>
      </c>
      <c r="B34" s="6"/>
      <c r="C34" s="6"/>
      <c r="D34" s="7"/>
      <c r="E34" s="7"/>
      <c r="F34" s="7"/>
      <c r="G34" s="7"/>
      <c r="H34" s="7"/>
      <c r="I34" s="7"/>
      <c r="J34" s="7"/>
      <c r="K34" s="7"/>
      <c r="L34" s="7">
        <v>2</v>
      </c>
      <c r="M34" s="7">
        <v>18</v>
      </c>
      <c r="N34" s="7">
        <v>1</v>
      </c>
      <c r="O34" s="7">
        <v>16</v>
      </c>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8"/>
      <c r="CK34" s="8"/>
      <c r="CL34" s="19">
        <v>3</v>
      </c>
      <c r="CM34" s="8">
        <v>34</v>
      </c>
      <c r="CN34" s="9"/>
      <c r="CO34" s="9"/>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row>
    <row r="35" spans="1:210">
      <c r="A35" s="5" t="s">
        <v>74</v>
      </c>
      <c r="B35" s="6"/>
      <c r="C35" s="6"/>
      <c r="D35" s="7"/>
      <c r="E35" s="7"/>
      <c r="F35" s="7"/>
      <c r="G35" s="7"/>
      <c r="H35" s="7"/>
      <c r="I35" s="7"/>
      <c r="J35" s="7"/>
      <c r="K35" s="7"/>
      <c r="L35" s="7">
        <v>1</v>
      </c>
      <c r="M35" s="7">
        <v>16</v>
      </c>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8"/>
      <c r="CK35" s="8"/>
      <c r="CL35" s="19">
        <v>1</v>
      </c>
      <c r="CM35" s="8">
        <v>16</v>
      </c>
      <c r="CN35" s="9"/>
      <c r="CO35" s="9"/>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row>
    <row r="36" spans="1:210">
      <c r="A36" s="5" t="s">
        <v>75</v>
      </c>
      <c r="B36" s="6"/>
      <c r="C36" s="6"/>
      <c r="D36" s="7"/>
      <c r="E36" s="7"/>
      <c r="F36" s="7"/>
      <c r="G36" s="7"/>
      <c r="H36" s="7"/>
      <c r="I36" s="7"/>
      <c r="J36" s="7">
        <v>1</v>
      </c>
      <c r="K36" s="7">
        <v>50</v>
      </c>
      <c r="L36" s="7">
        <v>2</v>
      </c>
      <c r="M36" s="7">
        <v>18</v>
      </c>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8"/>
      <c r="CK36" s="8"/>
      <c r="CL36" s="19">
        <v>3</v>
      </c>
      <c r="CM36" s="8">
        <v>68</v>
      </c>
      <c r="CN36" s="9"/>
      <c r="CO36" s="9"/>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row>
    <row r="37" spans="1:210">
      <c r="A37" s="5" t="s">
        <v>76</v>
      </c>
      <c r="B37" s="6"/>
      <c r="C37" s="6"/>
      <c r="D37" s="7">
        <v>2</v>
      </c>
      <c r="E37" s="7">
        <v>426</v>
      </c>
      <c r="F37" s="7">
        <v>8</v>
      </c>
      <c r="G37" s="7">
        <v>1262</v>
      </c>
      <c r="H37" s="7"/>
      <c r="I37" s="7"/>
      <c r="J37" s="7">
        <v>1</v>
      </c>
      <c r="K37" s="7">
        <v>30</v>
      </c>
      <c r="L37" s="7"/>
      <c r="M37" s="7"/>
      <c r="N37" s="7"/>
      <c r="O37" s="7"/>
      <c r="P37" s="7">
        <v>1</v>
      </c>
      <c r="Q37" s="7">
        <v>500</v>
      </c>
      <c r="R37" s="7"/>
      <c r="S37" s="7"/>
      <c r="T37" s="7"/>
      <c r="U37" s="7"/>
      <c r="V37" s="7"/>
      <c r="W37" s="7"/>
      <c r="X37" s="7"/>
      <c r="Y37" s="7"/>
      <c r="Z37" s="7"/>
      <c r="AA37" s="7"/>
      <c r="AB37" s="7"/>
      <c r="AC37" s="7"/>
      <c r="AD37" s="7"/>
      <c r="AE37" s="7"/>
      <c r="AF37" s="7"/>
      <c r="AG37" s="7"/>
      <c r="AH37" s="7">
        <v>4</v>
      </c>
      <c r="AI37" s="7">
        <v>1217</v>
      </c>
      <c r="AJ37" s="7">
        <v>5</v>
      </c>
      <c r="AK37" s="7">
        <v>2946</v>
      </c>
      <c r="AL37" s="7">
        <v>1</v>
      </c>
      <c r="AM37" s="7">
        <v>268</v>
      </c>
      <c r="AN37" s="7"/>
      <c r="AO37" s="7"/>
      <c r="AP37" s="7"/>
      <c r="AQ37" s="7"/>
      <c r="AR37" s="7"/>
      <c r="AS37" s="7"/>
      <c r="AT37" s="7"/>
      <c r="AU37" s="7"/>
      <c r="AV37" s="7"/>
      <c r="AW37" s="7"/>
      <c r="AX37" s="7"/>
      <c r="AY37" s="7"/>
      <c r="AZ37" s="7"/>
      <c r="BA37" s="7"/>
      <c r="BB37" s="7">
        <v>8</v>
      </c>
      <c r="BC37" s="7">
        <v>4686</v>
      </c>
      <c r="BD37" s="7">
        <v>9</v>
      </c>
      <c r="BE37" s="7">
        <v>4968</v>
      </c>
      <c r="BF37" s="7">
        <v>1</v>
      </c>
      <c r="BG37" s="7">
        <v>218</v>
      </c>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8"/>
      <c r="CK37" s="8"/>
      <c r="CL37" s="19">
        <v>40</v>
      </c>
      <c r="CM37" s="8">
        <v>16521</v>
      </c>
      <c r="CN37" s="9"/>
      <c r="CO37" s="9"/>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row>
    <row r="38" spans="1:210">
      <c r="A38" s="5" t="s">
        <v>77</v>
      </c>
      <c r="B38" s="6">
        <v>6</v>
      </c>
      <c r="C38" s="6">
        <v>378</v>
      </c>
      <c r="D38" s="7">
        <v>7</v>
      </c>
      <c r="E38" s="7">
        <v>942</v>
      </c>
      <c r="F38" s="7">
        <v>7</v>
      </c>
      <c r="G38" s="7">
        <v>848</v>
      </c>
      <c r="H38" s="7"/>
      <c r="I38" s="7"/>
      <c r="J38" s="7">
        <v>1</v>
      </c>
      <c r="K38" s="7">
        <v>25</v>
      </c>
      <c r="L38" s="7"/>
      <c r="M38" s="7"/>
      <c r="N38" s="7">
        <v>1</v>
      </c>
      <c r="O38" s="7">
        <v>16</v>
      </c>
      <c r="P38" s="7"/>
      <c r="Q38" s="7"/>
      <c r="R38" s="7"/>
      <c r="S38" s="7"/>
      <c r="T38" s="7"/>
      <c r="U38" s="7"/>
      <c r="V38" s="7"/>
      <c r="W38" s="7"/>
      <c r="X38" s="7"/>
      <c r="Y38" s="7"/>
      <c r="Z38" s="7"/>
      <c r="AA38" s="7"/>
      <c r="AB38" s="7"/>
      <c r="AC38" s="7"/>
      <c r="AD38" s="7">
        <v>12</v>
      </c>
      <c r="AE38" s="7">
        <v>1015</v>
      </c>
      <c r="AF38" s="7">
        <v>13</v>
      </c>
      <c r="AG38" s="7">
        <v>1898</v>
      </c>
      <c r="AH38" s="7">
        <v>75</v>
      </c>
      <c r="AI38" s="7">
        <v>21296</v>
      </c>
      <c r="AJ38" s="7">
        <v>34</v>
      </c>
      <c r="AK38" s="7">
        <v>8983</v>
      </c>
      <c r="AL38" s="7">
        <v>6</v>
      </c>
      <c r="AM38" s="7">
        <v>1447</v>
      </c>
      <c r="AN38" s="7">
        <v>2</v>
      </c>
      <c r="AO38" s="7">
        <v>98</v>
      </c>
      <c r="AP38" s="7">
        <v>1</v>
      </c>
      <c r="AQ38" s="7">
        <v>51</v>
      </c>
      <c r="AR38" s="7">
        <v>2</v>
      </c>
      <c r="AS38" s="7">
        <v>239</v>
      </c>
      <c r="AT38" s="7"/>
      <c r="AU38" s="7"/>
      <c r="AV38" s="7"/>
      <c r="AW38" s="7"/>
      <c r="AX38" s="7"/>
      <c r="AY38" s="7"/>
      <c r="AZ38" s="7">
        <v>3</v>
      </c>
      <c r="BA38" s="7">
        <v>355</v>
      </c>
      <c r="BB38" s="7">
        <v>7</v>
      </c>
      <c r="BC38" s="7">
        <v>2069</v>
      </c>
      <c r="BD38" s="7">
        <v>4</v>
      </c>
      <c r="BE38" s="7">
        <v>2117</v>
      </c>
      <c r="BF38" s="7"/>
      <c r="BG38" s="7"/>
      <c r="BH38" s="7"/>
      <c r="BI38" s="7"/>
      <c r="BJ38" s="7"/>
      <c r="BK38" s="7"/>
      <c r="BL38" s="7"/>
      <c r="BM38" s="7"/>
      <c r="BN38" s="7"/>
      <c r="BO38" s="7"/>
      <c r="BP38" s="7"/>
      <c r="BQ38" s="7"/>
      <c r="BR38" s="7">
        <v>6</v>
      </c>
      <c r="BS38" s="7">
        <v>201</v>
      </c>
      <c r="BT38" s="7">
        <v>4</v>
      </c>
      <c r="BU38" s="7">
        <v>355</v>
      </c>
      <c r="BV38" s="7">
        <v>1</v>
      </c>
      <c r="BW38" s="7">
        <v>118</v>
      </c>
      <c r="BX38" s="7">
        <v>22</v>
      </c>
      <c r="BY38" s="7">
        <v>929</v>
      </c>
      <c r="BZ38" s="7">
        <v>9</v>
      </c>
      <c r="CA38" s="7">
        <v>427</v>
      </c>
      <c r="CB38" s="7"/>
      <c r="CC38" s="7"/>
      <c r="CD38" s="7"/>
      <c r="CE38" s="7"/>
      <c r="CF38" s="7">
        <v>7</v>
      </c>
      <c r="CG38" s="7">
        <v>228</v>
      </c>
      <c r="CH38" s="7">
        <v>1</v>
      </c>
      <c r="CI38" s="7">
        <v>12</v>
      </c>
      <c r="CJ38" s="8"/>
      <c r="CK38" s="8"/>
      <c r="CL38" s="19">
        <v>231</v>
      </c>
      <c r="CM38" s="8">
        <v>44047</v>
      </c>
      <c r="CN38" s="9"/>
      <c r="CO38" s="9"/>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row>
    <row r="39" spans="1:210">
      <c r="A39" s="5" t="s">
        <v>78</v>
      </c>
      <c r="B39" s="6"/>
      <c r="C39" s="6"/>
      <c r="D39" s="7"/>
      <c r="E39" s="7"/>
      <c r="F39" s="7"/>
      <c r="G39" s="7"/>
      <c r="H39" s="7"/>
      <c r="I39" s="7"/>
      <c r="J39" s="7"/>
      <c r="K39" s="7"/>
      <c r="L39" s="7">
        <v>1</v>
      </c>
      <c r="M39" s="7">
        <v>4</v>
      </c>
      <c r="N39" s="7">
        <v>1</v>
      </c>
      <c r="O39" s="7">
        <v>6</v>
      </c>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8"/>
      <c r="CK39" s="8"/>
      <c r="CL39" s="19">
        <v>2</v>
      </c>
      <c r="CM39" s="8">
        <v>10</v>
      </c>
      <c r="CN39" s="9"/>
      <c r="CO39" s="9"/>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row>
    <row r="40" spans="1:210">
      <c r="A40" s="5" t="s">
        <v>79</v>
      </c>
      <c r="B40" s="6">
        <v>8</v>
      </c>
      <c r="C40" s="6">
        <v>355</v>
      </c>
      <c r="D40" s="7">
        <v>10</v>
      </c>
      <c r="E40" s="7">
        <v>601</v>
      </c>
      <c r="F40" s="7">
        <v>14</v>
      </c>
      <c r="G40" s="7">
        <v>1438</v>
      </c>
      <c r="H40" s="7"/>
      <c r="I40" s="7"/>
      <c r="J40" s="7">
        <v>1</v>
      </c>
      <c r="K40" s="7">
        <v>46</v>
      </c>
      <c r="L40" s="7">
        <v>5</v>
      </c>
      <c r="M40" s="7">
        <v>74</v>
      </c>
      <c r="N40" s="7">
        <v>4</v>
      </c>
      <c r="O40" s="7">
        <v>56</v>
      </c>
      <c r="P40" s="7"/>
      <c r="Q40" s="7"/>
      <c r="R40" s="7"/>
      <c r="S40" s="7"/>
      <c r="T40" s="7"/>
      <c r="U40" s="7"/>
      <c r="V40" s="7"/>
      <c r="W40" s="7"/>
      <c r="X40" s="7"/>
      <c r="Y40" s="7"/>
      <c r="Z40" s="7"/>
      <c r="AA40" s="7"/>
      <c r="AB40" s="7"/>
      <c r="AC40" s="7"/>
      <c r="AD40" s="7">
        <v>1</v>
      </c>
      <c r="AE40" s="7">
        <v>47</v>
      </c>
      <c r="AF40" s="7">
        <v>2</v>
      </c>
      <c r="AG40" s="7">
        <v>190</v>
      </c>
      <c r="AH40" s="7">
        <v>8</v>
      </c>
      <c r="AI40" s="7">
        <v>1651</v>
      </c>
      <c r="AJ40" s="7">
        <v>3</v>
      </c>
      <c r="AK40" s="7">
        <v>470</v>
      </c>
      <c r="AL40" s="7">
        <v>2</v>
      </c>
      <c r="AM40" s="7">
        <v>283</v>
      </c>
      <c r="AN40" s="7">
        <v>1</v>
      </c>
      <c r="AO40" s="7">
        <v>39</v>
      </c>
      <c r="AP40" s="7"/>
      <c r="AQ40" s="7"/>
      <c r="AR40" s="7">
        <v>1</v>
      </c>
      <c r="AS40" s="7">
        <v>12</v>
      </c>
      <c r="AT40" s="7"/>
      <c r="AU40" s="7"/>
      <c r="AV40" s="7"/>
      <c r="AW40" s="7"/>
      <c r="AX40" s="7"/>
      <c r="AY40" s="7"/>
      <c r="AZ40" s="7"/>
      <c r="BA40" s="7"/>
      <c r="BB40" s="7">
        <v>3</v>
      </c>
      <c r="BC40" s="7">
        <v>721</v>
      </c>
      <c r="BD40" s="7">
        <v>4</v>
      </c>
      <c r="BE40" s="7">
        <v>849</v>
      </c>
      <c r="BF40" s="7"/>
      <c r="BG40" s="7"/>
      <c r="BH40" s="7"/>
      <c r="BI40" s="7"/>
      <c r="BJ40" s="7"/>
      <c r="BK40" s="7"/>
      <c r="BL40" s="7"/>
      <c r="BM40" s="7"/>
      <c r="BN40" s="7"/>
      <c r="BO40" s="7"/>
      <c r="BP40" s="7"/>
      <c r="BQ40" s="7"/>
      <c r="BR40" s="7">
        <v>1</v>
      </c>
      <c r="BS40" s="7">
        <v>60</v>
      </c>
      <c r="BT40" s="7">
        <v>4</v>
      </c>
      <c r="BU40" s="7">
        <v>202</v>
      </c>
      <c r="BV40" s="7"/>
      <c r="BW40" s="7"/>
      <c r="BX40" s="7">
        <v>2</v>
      </c>
      <c r="BY40" s="7">
        <v>80</v>
      </c>
      <c r="BZ40" s="7">
        <v>4</v>
      </c>
      <c r="CA40" s="7">
        <v>195</v>
      </c>
      <c r="CB40" s="7"/>
      <c r="CC40" s="7"/>
      <c r="CD40" s="7"/>
      <c r="CE40" s="7"/>
      <c r="CF40" s="7"/>
      <c r="CG40" s="7"/>
      <c r="CH40" s="7"/>
      <c r="CI40" s="7"/>
      <c r="CJ40" s="6">
        <v>1</v>
      </c>
      <c r="CK40" s="6">
        <v>23</v>
      </c>
      <c r="CL40" s="19">
        <v>79</v>
      </c>
      <c r="CM40" s="8">
        <v>7392</v>
      </c>
      <c r="CN40" s="9"/>
      <c r="CO40" s="9"/>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row>
    <row r="41" spans="1:210">
      <c r="A41" s="5" t="s">
        <v>80</v>
      </c>
      <c r="B41" s="6"/>
      <c r="C41" s="6"/>
      <c r="D41" s="7"/>
      <c r="E41" s="7"/>
      <c r="F41" s="7"/>
      <c r="G41" s="7"/>
      <c r="H41" s="7"/>
      <c r="I41" s="7"/>
      <c r="J41" s="7">
        <v>1</v>
      </c>
      <c r="K41" s="7">
        <v>49</v>
      </c>
      <c r="L41" s="7">
        <v>2</v>
      </c>
      <c r="M41" s="7">
        <v>33</v>
      </c>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8"/>
      <c r="CK41" s="8"/>
      <c r="CL41" s="19">
        <v>3</v>
      </c>
      <c r="CM41" s="8">
        <v>82</v>
      </c>
      <c r="CN41" s="9"/>
      <c r="CO41" s="9"/>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row>
    <row r="42" spans="1:210">
      <c r="A42" s="5" t="s">
        <v>81</v>
      </c>
      <c r="B42" s="6"/>
      <c r="C42" s="6"/>
      <c r="D42" s="7"/>
      <c r="E42" s="7"/>
      <c r="F42" s="7">
        <v>1</v>
      </c>
      <c r="G42" s="7">
        <v>25</v>
      </c>
      <c r="H42" s="7"/>
      <c r="I42" s="7"/>
      <c r="J42" s="7">
        <v>1</v>
      </c>
      <c r="K42" s="7">
        <v>47</v>
      </c>
      <c r="L42" s="7">
        <v>4</v>
      </c>
      <c r="M42" s="7">
        <v>34</v>
      </c>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8"/>
      <c r="CK42" s="8"/>
      <c r="CL42" s="19">
        <v>6</v>
      </c>
      <c r="CM42" s="8">
        <v>106</v>
      </c>
      <c r="CN42" s="9"/>
      <c r="CO42" s="9"/>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row>
    <row r="43" spans="1:210">
      <c r="A43" s="5" t="s">
        <v>82</v>
      </c>
      <c r="B43" s="6"/>
      <c r="C43" s="6"/>
      <c r="D43" s="7"/>
      <c r="E43" s="7"/>
      <c r="F43" s="7"/>
      <c r="G43" s="7"/>
      <c r="H43" s="7"/>
      <c r="I43" s="7"/>
      <c r="J43" s="7"/>
      <c r="K43" s="7"/>
      <c r="L43" s="7">
        <v>2</v>
      </c>
      <c r="M43" s="7">
        <v>28</v>
      </c>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v>1</v>
      </c>
      <c r="CI43" s="7">
        <v>11</v>
      </c>
      <c r="CJ43" s="8"/>
      <c r="CK43" s="8"/>
      <c r="CL43" s="19">
        <v>3</v>
      </c>
      <c r="CM43" s="8">
        <v>39</v>
      </c>
      <c r="CN43" s="9"/>
      <c r="CO43" s="9"/>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row>
    <row r="44" spans="1:210">
      <c r="A44" s="5" t="s">
        <v>83</v>
      </c>
      <c r="B44" s="6">
        <v>9</v>
      </c>
      <c r="C44" s="6">
        <v>527</v>
      </c>
      <c r="D44" s="7">
        <v>8</v>
      </c>
      <c r="E44" s="7">
        <v>636</v>
      </c>
      <c r="F44" s="7">
        <v>10</v>
      </c>
      <c r="G44" s="7">
        <v>1773</v>
      </c>
      <c r="H44" s="7">
        <v>1</v>
      </c>
      <c r="I44" s="7">
        <v>184</v>
      </c>
      <c r="J44" s="7">
        <v>1</v>
      </c>
      <c r="K44" s="7">
        <v>44</v>
      </c>
      <c r="L44" s="7">
        <v>3</v>
      </c>
      <c r="M44" s="7">
        <v>50</v>
      </c>
      <c r="N44" s="7"/>
      <c r="O44" s="7"/>
      <c r="P44" s="7"/>
      <c r="Q44" s="7"/>
      <c r="R44" s="7"/>
      <c r="S44" s="7"/>
      <c r="T44" s="7"/>
      <c r="U44" s="7"/>
      <c r="V44" s="7"/>
      <c r="W44" s="7"/>
      <c r="X44" s="7"/>
      <c r="Y44" s="7"/>
      <c r="Z44" s="7"/>
      <c r="AA44" s="7"/>
      <c r="AB44" s="7"/>
      <c r="AC44" s="7"/>
      <c r="AD44" s="7">
        <v>1</v>
      </c>
      <c r="AE44" s="7">
        <v>175</v>
      </c>
      <c r="AF44" s="7">
        <v>2</v>
      </c>
      <c r="AG44" s="7">
        <v>508</v>
      </c>
      <c r="AH44" s="7">
        <v>11</v>
      </c>
      <c r="AI44" s="7">
        <v>2321</v>
      </c>
      <c r="AJ44" s="7">
        <v>17</v>
      </c>
      <c r="AK44" s="7">
        <v>6621</v>
      </c>
      <c r="AL44" s="7">
        <v>2</v>
      </c>
      <c r="AM44" s="7">
        <v>608</v>
      </c>
      <c r="AN44" s="7">
        <v>1</v>
      </c>
      <c r="AO44" s="7">
        <v>45</v>
      </c>
      <c r="AP44" s="7">
        <v>2</v>
      </c>
      <c r="AQ44" s="7">
        <v>177</v>
      </c>
      <c r="AR44" s="7"/>
      <c r="AS44" s="7"/>
      <c r="AT44" s="7"/>
      <c r="AU44" s="7"/>
      <c r="AV44" s="7"/>
      <c r="AW44" s="7"/>
      <c r="AX44" s="7"/>
      <c r="AY44" s="7"/>
      <c r="AZ44" s="7"/>
      <c r="BA44" s="7"/>
      <c r="BB44" s="7">
        <v>12</v>
      </c>
      <c r="BC44" s="7">
        <v>5937</v>
      </c>
      <c r="BD44" s="7">
        <v>9</v>
      </c>
      <c r="BE44" s="7">
        <v>4799</v>
      </c>
      <c r="BF44" s="7"/>
      <c r="BG44" s="7"/>
      <c r="BH44" s="7"/>
      <c r="BI44" s="7"/>
      <c r="BJ44" s="7"/>
      <c r="BK44" s="7"/>
      <c r="BL44" s="7"/>
      <c r="BM44" s="7"/>
      <c r="BN44" s="7"/>
      <c r="BO44" s="7"/>
      <c r="BP44" s="7"/>
      <c r="BQ44" s="7"/>
      <c r="BR44" s="7"/>
      <c r="BS44" s="7"/>
      <c r="BT44" s="7">
        <v>2</v>
      </c>
      <c r="BU44" s="7">
        <v>94</v>
      </c>
      <c r="BV44" s="7"/>
      <c r="BW44" s="7"/>
      <c r="BX44" s="7">
        <v>2</v>
      </c>
      <c r="BY44" s="7">
        <v>81</v>
      </c>
      <c r="BZ44" s="7">
        <v>2</v>
      </c>
      <c r="CA44" s="7">
        <v>71</v>
      </c>
      <c r="CB44" s="7"/>
      <c r="CC44" s="7"/>
      <c r="CD44" s="7"/>
      <c r="CE44" s="7"/>
      <c r="CF44" s="7">
        <v>2</v>
      </c>
      <c r="CG44" s="7">
        <v>96</v>
      </c>
      <c r="CH44" s="7"/>
      <c r="CI44" s="7"/>
      <c r="CJ44" s="8"/>
      <c r="CK44" s="8"/>
      <c r="CL44" s="19">
        <v>97</v>
      </c>
      <c r="CM44" s="8">
        <v>24747</v>
      </c>
      <c r="CN44" s="9"/>
      <c r="CO44" s="9"/>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row>
    <row r="45" spans="1:210">
      <c r="A45" s="5" t="s">
        <v>84</v>
      </c>
      <c r="B45" s="6"/>
      <c r="C45" s="6"/>
      <c r="D45" s="7"/>
      <c r="E45" s="7"/>
      <c r="F45" s="7"/>
      <c r="G45" s="7"/>
      <c r="H45" s="7"/>
      <c r="I45" s="7"/>
      <c r="J45" s="7"/>
      <c r="K45" s="7"/>
      <c r="L45" s="7">
        <v>1</v>
      </c>
      <c r="M45" s="7">
        <v>10</v>
      </c>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8"/>
      <c r="CK45" s="8"/>
      <c r="CL45" s="19">
        <v>1</v>
      </c>
      <c r="CM45" s="8">
        <v>10</v>
      </c>
      <c r="CN45" s="9"/>
      <c r="CO45" s="9"/>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row>
    <row r="46" spans="1:210">
      <c r="A46" s="5" t="s">
        <v>85</v>
      </c>
      <c r="B46" s="6">
        <v>6</v>
      </c>
      <c r="C46" s="6">
        <v>282</v>
      </c>
      <c r="D46" s="7">
        <v>8</v>
      </c>
      <c r="E46" s="7">
        <v>361</v>
      </c>
      <c r="F46" s="7"/>
      <c r="G46" s="7"/>
      <c r="H46" s="7"/>
      <c r="I46" s="7"/>
      <c r="J46" s="7">
        <v>1</v>
      </c>
      <c r="K46" s="7">
        <v>50</v>
      </c>
      <c r="L46" s="7">
        <v>4</v>
      </c>
      <c r="M46" s="7">
        <v>60</v>
      </c>
      <c r="N46" s="7"/>
      <c r="O46" s="7"/>
      <c r="P46" s="7"/>
      <c r="Q46" s="7"/>
      <c r="R46" s="7"/>
      <c r="S46" s="7"/>
      <c r="T46" s="7"/>
      <c r="U46" s="7"/>
      <c r="V46" s="7"/>
      <c r="W46" s="7"/>
      <c r="X46" s="7"/>
      <c r="Y46" s="7"/>
      <c r="Z46" s="7"/>
      <c r="AA46" s="7"/>
      <c r="AB46" s="7"/>
      <c r="AC46" s="7"/>
      <c r="AD46" s="7">
        <v>2</v>
      </c>
      <c r="AE46" s="7">
        <v>276</v>
      </c>
      <c r="AF46" s="7">
        <v>1</v>
      </c>
      <c r="AG46" s="7">
        <v>154</v>
      </c>
      <c r="AH46" s="7">
        <v>19</v>
      </c>
      <c r="AI46" s="7">
        <v>6161</v>
      </c>
      <c r="AJ46" s="7">
        <v>1</v>
      </c>
      <c r="AK46" s="7">
        <v>542</v>
      </c>
      <c r="AL46" s="7"/>
      <c r="AM46" s="7"/>
      <c r="AN46" s="7"/>
      <c r="AO46" s="7"/>
      <c r="AP46" s="7"/>
      <c r="AQ46" s="7"/>
      <c r="AR46" s="7"/>
      <c r="AS46" s="7"/>
      <c r="AT46" s="7"/>
      <c r="AU46" s="7"/>
      <c r="AV46" s="7"/>
      <c r="AW46" s="7"/>
      <c r="AX46" s="7"/>
      <c r="AY46" s="7"/>
      <c r="AZ46" s="7"/>
      <c r="BA46" s="7"/>
      <c r="BB46" s="7">
        <v>6</v>
      </c>
      <c r="BC46" s="7">
        <v>1097</v>
      </c>
      <c r="BD46" s="7">
        <v>8</v>
      </c>
      <c r="BE46" s="7">
        <v>3577</v>
      </c>
      <c r="BF46" s="7"/>
      <c r="BG46" s="7"/>
      <c r="BH46" s="7"/>
      <c r="BI46" s="7"/>
      <c r="BJ46" s="7"/>
      <c r="BK46" s="7"/>
      <c r="BL46" s="7"/>
      <c r="BM46" s="7"/>
      <c r="BN46" s="7"/>
      <c r="BO46" s="7"/>
      <c r="BP46" s="7"/>
      <c r="BQ46" s="7"/>
      <c r="BR46" s="7">
        <v>2</v>
      </c>
      <c r="BS46" s="7">
        <v>141</v>
      </c>
      <c r="BT46" s="7">
        <v>1</v>
      </c>
      <c r="BU46" s="7">
        <v>68</v>
      </c>
      <c r="BV46" s="7">
        <v>1</v>
      </c>
      <c r="BW46" s="7">
        <v>142</v>
      </c>
      <c r="BX46" s="7">
        <v>2</v>
      </c>
      <c r="BY46" s="7">
        <v>64</v>
      </c>
      <c r="BZ46" s="7"/>
      <c r="CA46" s="7"/>
      <c r="CB46" s="7"/>
      <c r="CC46" s="7"/>
      <c r="CD46" s="7"/>
      <c r="CE46" s="7"/>
      <c r="CF46" s="7"/>
      <c r="CG46" s="7"/>
      <c r="CH46" s="7"/>
      <c r="CI46" s="7"/>
      <c r="CJ46" s="8"/>
      <c r="CK46" s="8"/>
      <c r="CL46" s="19">
        <v>62</v>
      </c>
      <c r="CM46" s="8">
        <v>12975</v>
      </c>
      <c r="CN46" s="9"/>
      <c r="CO46" s="9"/>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row>
    <row r="47" spans="1:210">
      <c r="A47" s="5" t="s">
        <v>86</v>
      </c>
      <c r="B47" s="6"/>
      <c r="C47" s="6"/>
      <c r="D47" s="7"/>
      <c r="E47" s="7"/>
      <c r="F47" s="7"/>
      <c r="G47" s="7"/>
      <c r="H47" s="7"/>
      <c r="I47" s="7"/>
      <c r="J47" s="7">
        <v>1</v>
      </c>
      <c r="K47" s="7">
        <v>41</v>
      </c>
      <c r="L47" s="7">
        <v>2</v>
      </c>
      <c r="M47" s="7">
        <v>22</v>
      </c>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8"/>
      <c r="CK47" s="8"/>
      <c r="CL47" s="19">
        <v>3</v>
      </c>
      <c r="CM47" s="8">
        <v>63</v>
      </c>
      <c r="CN47" s="9"/>
      <c r="CO47" s="9"/>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row>
    <row r="48" spans="1:210">
      <c r="A48" s="5" t="s">
        <v>87</v>
      </c>
      <c r="B48" s="6">
        <v>13</v>
      </c>
      <c r="C48" s="6">
        <v>314</v>
      </c>
      <c r="D48" s="7">
        <v>21</v>
      </c>
      <c r="E48" s="7">
        <v>2949</v>
      </c>
      <c r="F48" s="7">
        <v>11</v>
      </c>
      <c r="G48" s="7">
        <v>1854</v>
      </c>
      <c r="H48" s="7"/>
      <c r="I48" s="7"/>
      <c r="J48" s="7"/>
      <c r="K48" s="7"/>
      <c r="L48" s="7">
        <v>2</v>
      </c>
      <c r="M48" s="7">
        <v>36</v>
      </c>
      <c r="N48" s="7">
        <v>1</v>
      </c>
      <c r="O48" s="7">
        <v>16</v>
      </c>
      <c r="P48" s="7"/>
      <c r="Q48" s="7"/>
      <c r="R48" s="7"/>
      <c r="S48" s="7"/>
      <c r="T48" s="7"/>
      <c r="U48" s="7"/>
      <c r="V48" s="7"/>
      <c r="W48" s="7"/>
      <c r="X48" s="7"/>
      <c r="Y48" s="7"/>
      <c r="Z48" s="7"/>
      <c r="AA48" s="7"/>
      <c r="AB48" s="7"/>
      <c r="AC48" s="7"/>
      <c r="AD48" s="7">
        <v>1</v>
      </c>
      <c r="AE48" s="7">
        <v>76</v>
      </c>
      <c r="AF48" s="7">
        <v>3</v>
      </c>
      <c r="AG48" s="7">
        <v>244</v>
      </c>
      <c r="AH48" s="7">
        <v>12</v>
      </c>
      <c r="AI48" s="7">
        <v>3304</v>
      </c>
      <c r="AJ48" s="7">
        <v>4</v>
      </c>
      <c r="AK48" s="7">
        <v>766</v>
      </c>
      <c r="AL48" s="7">
        <v>1</v>
      </c>
      <c r="AM48" s="7">
        <v>759</v>
      </c>
      <c r="AN48" s="7"/>
      <c r="AO48" s="7"/>
      <c r="AP48" s="7"/>
      <c r="AQ48" s="7"/>
      <c r="AR48" s="7"/>
      <c r="AS48" s="7"/>
      <c r="AT48" s="7"/>
      <c r="AU48" s="7"/>
      <c r="AV48" s="7"/>
      <c r="AW48" s="7"/>
      <c r="AX48" s="7"/>
      <c r="AY48" s="7"/>
      <c r="AZ48" s="7">
        <v>1</v>
      </c>
      <c r="BA48" s="7">
        <v>81</v>
      </c>
      <c r="BB48" s="7">
        <v>8</v>
      </c>
      <c r="BC48" s="7">
        <v>4639</v>
      </c>
      <c r="BD48" s="7">
        <v>2</v>
      </c>
      <c r="BE48" s="7">
        <v>533</v>
      </c>
      <c r="BF48" s="7">
        <v>1</v>
      </c>
      <c r="BG48" s="7">
        <v>94</v>
      </c>
      <c r="BH48" s="7"/>
      <c r="BI48" s="7"/>
      <c r="BJ48" s="7"/>
      <c r="BK48" s="7"/>
      <c r="BL48" s="7"/>
      <c r="BM48" s="7"/>
      <c r="BN48" s="7"/>
      <c r="BO48" s="7"/>
      <c r="BP48" s="7"/>
      <c r="BQ48" s="7"/>
      <c r="BR48" s="7">
        <v>11</v>
      </c>
      <c r="BS48" s="7">
        <v>456</v>
      </c>
      <c r="BT48" s="7">
        <v>7</v>
      </c>
      <c r="BU48" s="7">
        <v>410</v>
      </c>
      <c r="BV48" s="7"/>
      <c r="BW48" s="7"/>
      <c r="BX48" s="7">
        <v>8</v>
      </c>
      <c r="BY48" s="7">
        <v>305</v>
      </c>
      <c r="BZ48" s="7">
        <v>7</v>
      </c>
      <c r="CA48" s="7">
        <v>199</v>
      </c>
      <c r="CB48" s="7"/>
      <c r="CC48" s="7"/>
      <c r="CD48" s="7"/>
      <c r="CE48" s="7"/>
      <c r="CF48" s="7">
        <v>3</v>
      </c>
      <c r="CG48" s="7">
        <v>80</v>
      </c>
      <c r="CH48" s="7">
        <v>2</v>
      </c>
      <c r="CI48" s="7">
        <v>70</v>
      </c>
      <c r="CJ48" s="8"/>
      <c r="CK48" s="8"/>
      <c r="CL48" s="19">
        <v>119</v>
      </c>
      <c r="CM48" s="8">
        <v>17185</v>
      </c>
      <c r="CN48" s="9"/>
      <c r="CO48" s="9"/>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row>
    <row r="49" spans="1:210">
      <c r="A49" s="5" t="s">
        <v>88</v>
      </c>
      <c r="B49" s="6"/>
      <c r="C49" s="6"/>
      <c r="D49" s="7"/>
      <c r="E49" s="7"/>
      <c r="F49" s="7"/>
      <c r="G49" s="7"/>
      <c r="H49" s="7"/>
      <c r="I49" s="7"/>
      <c r="J49" s="7"/>
      <c r="K49" s="7"/>
      <c r="L49" s="7">
        <v>4</v>
      </c>
      <c r="M49" s="7">
        <v>80</v>
      </c>
      <c r="N49" s="7">
        <v>3</v>
      </c>
      <c r="O49" s="7">
        <v>38</v>
      </c>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8"/>
      <c r="CK49" s="8"/>
      <c r="CL49" s="19">
        <v>7</v>
      </c>
      <c r="CM49" s="8">
        <v>118</v>
      </c>
      <c r="CN49" s="9"/>
      <c r="CO49" s="9"/>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row>
    <row r="50" spans="1:210">
      <c r="A50" s="5" t="s">
        <v>89</v>
      </c>
      <c r="B50" s="6"/>
      <c r="C50" s="6"/>
      <c r="D50" s="7"/>
      <c r="E50" s="7"/>
      <c r="F50" s="7"/>
      <c r="G50" s="7"/>
      <c r="H50" s="7"/>
      <c r="I50" s="7"/>
      <c r="J50" s="7"/>
      <c r="K50" s="7"/>
      <c r="L50" s="7">
        <v>2</v>
      </c>
      <c r="M50" s="7">
        <v>26</v>
      </c>
      <c r="N50" s="7">
        <v>1</v>
      </c>
      <c r="O50" s="7">
        <v>4</v>
      </c>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8"/>
      <c r="CK50" s="8"/>
      <c r="CL50" s="19">
        <v>3</v>
      </c>
      <c r="CM50" s="8">
        <v>30</v>
      </c>
      <c r="CN50" s="9"/>
      <c r="CO50" s="9"/>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row>
    <row r="51" spans="1:210">
      <c r="A51" s="5" t="s">
        <v>90</v>
      </c>
      <c r="B51" s="6">
        <v>8</v>
      </c>
      <c r="C51" s="6">
        <v>254</v>
      </c>
      <c r="D51" s="7">
        <v>2</v>
      </c>
      <c r="E51" s="7">
        <v>72</v>
      </c>
      <c r="F51" s="7">
        <v>4</v>
      </c>
      <c r="G51" s="7">
        <v>116</v>
      </c>
      <c r="H51" s="7"/>
      <c r="I51" s="7"/>
      <c r="J51" s="7">
        <v>1</v>
      </c>
      <c r="K51" s="7">
        <v>18</v>
      </c>
      <c r="L51" s="7">
        <v>4</v>
      </c>
      <c r="M51" s="7">
        <v>41</v>
      </c>
      <c r="N51" s="7"/>
      <c r="O51" s="7"/>
      <c r="P51" s="7"/>
      <c r="Q51" s="7"/>
      <c r="R51" s="7"/>
      <c r="S51" s="7"/>
      <c r="T51" s="7"/>
      <c r="U51" s="7"/>
      <c r="V51" s="7"/>
      <c r="W51" s="7"/>
      <c r="X51" s="7"/>
      <c r="Y51" s="7"/>
      <c r="Z51" s="7"/>
      <c r="AA51" s="7"/>
      <c r="AB51" s="7"/>
      <c r="AC51" s="7"/>
      <c r="AD51" s="7"/>
      <c r="AE51" s="7"/>
      <c r="AF51" s="7"/>
      <c r="AG51" s="7"/>
      <c r="AH51" s="7">
        <v>7</v>
      </c>
      <c r="AI51" s="7">
        <v>1710</v>
      </c>
      <c r="AJ51" s="7">
        <v>5</v>
      </c>
      <c r="AK51" s="7">
        <v>1358</v>
      </c>
      <c r="AL51" s="7"/>
      <c r="AM51" s="7"/>
      <c r="AN51" s="7"/>
      <c r="AO51" s="7"/>
      <c r="AP51" s="7"/>
      <c r="AQ51" s="7"/>
      <c r="AR51" s="7"/>
      <c r="AS51" s="7"/>
      <c r="AT51" s="7"/>
      <c r="AU51" s="7"/>
      <c r="AV51" s="7"/>
      <c r="AW51" s="7"/>
      <c r="AX51" s="7"/>
      <c r="AY51" s="7"/>
      <c r="AZ51" s="7"/>
      <c r="BA51" s="7"/>
      <c r="BB51" s="7"/>
      <c r="BC51" s="7"/>
      <c r="BD51" s="7">
        <v>1</v>
      </c>
      <c r="BE51" s="7">
        <v>156</v>
      </c>
      <c r="BF51" s="7"/>
      <c r="BG51" s="7"/>
      <c r="BH51" s="7"/>
      <c r="BI51" s="7"/>
      <c r="BJ51" s="7"/>
      <c r="BK51" s="7"/>
      <c r="BL51" s="7"/>
      <c r="BM51" s="7"/>
      <c r="BN51" s="7"/>
      <c r="BO51" s="7"/>
      <c r="BP51" s="7"/>
      <c r="BQ51" s="7"/>
      <c r="BR51" s="7">
        <v>4</v>
      </c>
      <c r="BS51" s="7">
        <v>114</v>
      </c>
      <c r="BT51" s="7">
        <v>2</v>
      </c>
      <c r="BU51" s="7">
        <v>42</v>
      </c>
      <c r="BV51" s="7"/>
      <c r="BW51" s="7"/>
      <c r="BX51" s="7"/>
      <c r="BY51" s="7"/>
      <c r="BZ51" s="7"/>
      <c r="CA51" s="7"/>
      <c r="CB51" s="7">
        <v>1</v>
      </c>
      <c r="CC51" s="7">
        <v>54</v>
      </c>
      <c r="CD51" s="7"/>
      <c r="CE51" s="7"/>
      <c r="CF51" s="7"/>
      <c r="CG51" s="7"/>
      <c r="CH51" s="7"/>
      <c r="CI51" s="7"/>
      <c r="CJ51" s="8"/>
      <c r="CK51" s="8"/>
      <c r="CL51" s="19">
        <v>39</v>
      </c>
      <c r="CM51" s="8">
        <v>3935</v>
      </c>
      <c r="CN51" s="9"/>
      <c r="CO51" s="9"/>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row>
    <row r="52" spans="1:210">
      <c r="A52" s="5" t="s">
        <v>91</v>
      </c>
      <c r="B52" s="6"/>
      <c r="C52" s="6"/>
      <c r="D52" s="7"/>
      <c r="E52" s="7"/>
      <c r="F52" s="7"/>
      <c r="G52" s="7"/>
      <c r="H52" s="7"/>
      <c r="I52" s="7"/>
      <c r="J52" s="7"/>
      <c r="K52" s="7"/>
      <c r="L52" s="7">
        <v>1</v>
      </c>
      <c r="M52" s="7">
        <v>20</v>
      </c>
      <c r="N52" s="7">
        <v>3</v>
      </c>
      <c r="O52" s="7">
        <v>34</v>
      </c>
      <c r="P52" s="7"/>
      <c r="Q52" s="7"/>
      <c r="R52" s="7"/>
      <c r="S52" s="7"/>
      <c r="T52" s="7"/>
      <c r="U52" s="7"/>
      <c r="V52" s="7"/>
      <c r="W52" s="7"/>
      <c r="X52" s="7"/>
      <c r="Y52" s="7"/>
      <c r="Z52" s="7"/>
      <c r="AA52" s="7"/>
      <c r="AB52" s="7"/>
      <c r="AC52" s="7"/>
      <c r="AD52" s="7"/>
      <c r="AE52" s="7"/>
      <c r="AF52" s="7"/>
      <c r="AG52" s="7"/>
      <c r="AH52" s="7">
        <v>1</v>
      </c>
      <c r="AI52" s="7">
        <v>12</v>
      </c>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8"/>
      <c r="CK52" s="8"/>
      <c r="CL52" s="19">
        <v>5</v>
      </c>
      <c r="CM52" s="8">
        <v>66</v>
      </c>
      <c r="CN52" s="9"/>
      <c r="CO52" s="9"/>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row>
    <row r="53" spans="1:210">
      <c r="A53" s="5" t="s">
        <v>92</v>
      </c>
      <c r="B53" s="6">
        <v>2</v>
      </c>
      <c r="C53" s="6">
        <v>18</v>
      </c>
      <c r="D53" s="7"/>
      <c r="E53" s="7"/>
      <c r="F53" s="7">
        <v>1</v>
      </c>
      <c r="G53" s="7">
        <v>82</v>
      </c>
      <c r="H53" s="7"/>
      <c r="I53" s="7"/>
      <c r="J53" s="7">
        <v>1</v>
      </c>
      <c r="K53" s="7">
        <v>16</v>
      </c>
      <c r="L53" s="7">
        <v>7</v>
      </c>
      <c r="M53" s="7">
        <v>93</v>
      </c>
      <c r="N53" s="7">
        <v>3</v>
      </c>
      <c r="O53" s="7">
        <v>38</v>
      </c>
      <c r="P53" s="7"/>
      <c r="Q53" s="7"/>
      <c r="R53" s="7"/>
      <c r="S53" s="7"/>
      <c r="T53" s="7"/>
      <c r="U53" s="7"/>
      <c r="V53" s="7"/>
      <c r="W53" s="7"/>
      <c r="X53" s="7"/>
      <c r="Y53" s="7"/>
      <c r="Z53" s="7"/>
      <c r="AA53" s="7"/>
      <c r="AB53" s="7"/>
      <c r="AC53" s="7"/>
      <c r="AD53" s="7">
        <v>1</v>
      </c>
      <c r="AE53" s="7">
        <v>63</v>
      </c>
      <c r="AF53" s="7">
        <v>6</v>
      </c>
      <c r="AG53" s="7">
        <v>809</v>
      </c>
      <c r="AH53" s="7">
        <v>4</v>
      </c>
      <c r="AI53" s="7">
        <v>1005</v>
      </c>
      <c r="AJ53" s="7">
        <v>2</v>
      </c>
      <c r="AK53" s="7">
        <v>134</v>
      </c>
      <c r="AL53" s="7">
        <v>1</v>
      </c>
      <c r="AM53" s="7">
        <v>74</v>
      </c>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v>4</v>
      </c>
      <c r="BS53" s="7">
        <v>216</v>
      </c>
      <c r="BT53" s="7"/>
      <c r="BU53" s="7"/>
      <c r="BV53" s="7"/>
      <c r="BW53" s="7"/>
      <c r="BX53" s="7"/>
      <c r="BY53" s="7"/>
      <c r="BZ53" s="7">
        <v>2</v>
      </c>
      <c r="CA53" s="7">
        <v>87</v>
      </c>
      <c r="CB53" s="7"/>
      <c r="CC53" s="7"/>
      <c r="CD53" s="7"/>
      <c r="CE53" s="7"/>
      <c r="CF53" s="7">
        <v>1</v>
      </c>
      <c r="CG53" s="7">
        <v>15</v>
      </c>
      <c r="CH53" s="7"/>
      <c r="CI53" s="7"/>
      <c r="CJ53" s="8"/>
      <c r="CK53" s="8"/>
      <c r="CL53" s="19">
        <v>35</v>
      </c>
      <c r="CM53" s="8">
        <v>2650</v>
      </c>
      <c r="CN53" s="9"/>
      <c r="CO53" s="9"/>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row>
    <row r="54" spans="1:210">
      <c r="A54" s="5" t="s">
        <v>93</v>
      </c>
      <c r="B54" s="6">
        <v>23</v>
      </c>
      <c r="C54" s="6">
        <v>1502</v>
      </c>
      <c r="D54" s="6">
        <v>6</v>
      </c>
      <c r="E54" s="6">
        <v>702</v>
      </c>
      <c r="F54" s="6">
        <v>6</v>
      </c>
      <c r="G54" s="6">
        <v>1029</v>
      </c>
      <c r="H54" s="6"/>
      <c r="I54" s="6"/>
      <c r="J54" s="6"/>
      <c r="K54" s="6"/>
      <c r="L54" s="6">
        <v>2</v>
      </c>
      <c r="M54" s="6">
        <v>40</v>
      </c>
      <c r="N54" s="6">
        <v>1</v>
      </c>
      <c r="O54" s="6">
        <v>10</v>
      </c>
      <c r="P54" s="6"/>
      <c r="Q54" s="6"/>
      <c r="R54" s="6"/>
      <c r="S54" s="6"/>
      <c r="T54" s="6"/>
      <c r="U54" s="6"/>
      <c r="V54" s="6"/>
      <c r="W54" s="6"/>
      <c r="X54" s="6"/>
      <c r="Y54" s="6"/>
      <c r="Z54" s="6"/>
      <c r="AA54" s="6"/>
      <c r="AB54" s="6"/>
      <c r="AC54" s="6"/>
      <c r="AD54" s="6">
        <v>3</v>
      </c>
      <c r="AE54" s="6">
        <v>474</v>
      </c>
      <c r="AF54" s="6">
        <v>4</v>
      </c>
      <c r="AG54" s="6">
        <v>660</v>
      </c>
      <c r="AH54" s="6">
        <v>13</v>
      </c>
      <c r="AI54" s="6">
        <v>2396</v>
      </c>
      <c r="AJ54" s="6">
        <v>3</v>
      </c>
      <c r="AK54" s="6">
        <v>985</v>
      </c>
      <c r="AL54" s="6"/>
      <c r="AM54" s="6"/>
      <c r="AN54" s="6"/>
      <c r="AO54" s="6"/>
      <c r="AP54" s="6"/>
      <c r="AQ54" s="6"/>
      <c r="AR54" s="6"/>
      <c r="AS54" s="6"/>
      <c r="AT54" s="6"/>
      <c r="AU54" s="6"/>
      <c r="AV54" s="6"/>
      <c r="AW54" s="6"/>
      <c r="AX54" s="6"/>
      <c r="AY54" s="6"/>
      <c r="AZ54" s="6">
        <v>1</v>
      </c>
      <c r="BA54" s="6">
        <v>478</v>
      </c>
      <c r="BB54" s="6">
        <v>4</v>
      </c>
      <c r="BC54" s="6">
        <v>1356</v>
      </c>
      <c r="BD54" s="6">
        <v>7</v>
      </c>
      <c r="BE54" s="6">
        <v>2209</v>
      </c>
      <c r="BF54" s="6">
        <v>1</v>
      </c>
      <c r="BG54" s="6">
        <v>136</v>
      </c>
      <c r="BH54" s="6"/>
      <c r="BI54" s="6"/>
      <c r="BJ54" s="6"/>
      <c r="BK54" s="6"/>
      <c r="BL54" s="6"/>
      <c r="BM54" s="6"/>
      <c r="BN54" s="6"/>
      <c r="BO54" s="6"/>
      <c r="BP54" s="6"/>
      <c r="BQ54" s="6"/>
      <c r="BR54" s="6">
        <v>1</v>
      </c>
      <c r="BS54" s="6">
        <v>49</v>
      </c>
      <c r="BT54" s="6">
        <v>2</v>
      </c>
      <c r="BU54" s="6">
        <v>164</v>
      </c>
      <c r="BV54" s="6"/>
      <c r="BW54" s="6"/>
      <c r="BX54" s="6">
        <v>5</v>
      </c>
      <c r="BY54" s="6">
        <v>193</v>
      </c>
      <c r="BZ54" s="6">
        <v>2</v>
      </c>
      <c r="CA54" s="6">
        <v>114</v>
      </c>
      <c r="CB54" s="6"/>
      <c r="CC54" s="6"/>
      <c r="CD54" s="6"/>
      <c r="CE54" s="6"/>
      <c r="CF54" s="6">
        <v>2</v>
      </c>
      <c r="CG54" s="6">
        <v>40</v>
      </c>
      <c r="CH54" s="6">
        <v>1</v>
      </c>
      <c r="CI54" s="6">
        <v>18</v>
      </c>
      <c r="CJ54" s="8"/>
      <c r="CK54" s="8"/>
      <c r="CL54" s="19">
        <v>87</v>
      </c>
      <c r="CM54" s="8">
        <v>12555</v>
      </c>
      <c r="CN54" s="9"/>
      <c r="CO54" s="9"/>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row>
    <row r="55" spans="1:210">
      <c r="A55" s="5" t="s">
        <v>94</v>
      </c>
      <c r="B55" s="6"/>
      <c r="C55" s="6"/>
      <c r="D55" s="6"/>
      <c r="E55" s="6"/>
      <c r="F55" s="6"/>
      <c r="G55" s="6"/>
      <c r="H55" s="6"/>
      <c r="I55" s="6"/>
      <c r="J55" s="6">
        <v>1</v>
      </c>
      <c r="K55" s="6">
        <v>32</v>
      </c>
      <c r="L55" s="6">
        <v>4</v>
      </c>
      <c r="M55" s="6">
        <v>77</v>
      </c>
      <c r="N55" s="6">
        <v>1</v>
      </c>
      <c r="O55" s="6">
        <v>16</v>
      </c>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v>1</v>
      </c>
      <c r="BA55" s="6">
        <v>110</v>
      </c>
      <c r="BB55" s="6"/>
      <c r="BC55" s="6"/>
      <c r="BD55" s="6"/>
      <c r="BE55" s="6"/>
      <c r="BF55" s="6"/>
      <c r="BG55" s="6"/>
      <c r="BH55" s="6"/>
      <c r="BI55" s="6"/>
      <c r="BJ55" s="6"/>
      <c r="BK55" s="6"/>
      <c r="BL55" s="6"/>
      <c r="BM55" s="6"/>
      <c r="BN55" s="6"/>
      <c r="BO55" s="6"/>
      <c r="BP55" s="6"/>
      <c r="BQ55" s="6"/>
      <c r="BR55" s="6">
        <v>1</v>
      </c>
      <c r="BS55" s="6">
        <v>16</v>
      </c>
      <c r="BT55" s="6"/>
      <c r="BU55" s="6"/>
      <c r="BV55" s="6"/>
      <c r="BW55" s="6"/>
      <c r="BX55" s="6"/>
      <c r="BY55" s="6"/>
      <c r="BZ55" s="6"/>
      <c r="CA55" s="6"/>
      <c r="CB55" s="6"/>
      <c r="CC55" s="6"/>
      <c r="CD55" s="6"/>
      <c r="CE55" s="6"/>
      <c r="CF55" s="6"/>
      <c r="CG55" s="6"/>
      <c r="CH55" s="6"/>
      <c r="CI55" s="6"/>
      <c r="CJ55" s="8"/>
      <c r="CK55" s="8"/>
      <c r="CL55" s="19">
        <v>8</v>
      </c>
      <c r="CM55" s="8">
        <v>251</v>
      </c>
      <c r="CN55" s="9"/>
      <c r="CO55" s="9"/>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row>
    <row r="56" spans="1:210">
      <c r="A56" s="5" t="s">
        <v>95</v>
      </c>
      <c r="B56" s="6"/>
      <c r="C56" s="6"/>
      <c r="D56" s="6"/>
      <c r="E56" s="6"/>
      <c r="F56" s="6"/>
      <c r="G56" s="6"/>
      <c r="H56" s="6"/>
      <c r="I56" s="6"/>
      <c r="J56" s="6"/>
      <c r="K56" s="6"/>
      <c r="L56" s="6">
        <v>1</v>
      </c>
      <c r="M56" s="6">
        <v>20</v>
      </c>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8"/>
      <c r="CK56" s="8"/>
      <c r="CL56" s="19">
        <v>1</v>
      </c>
      <c r="CM56" s="8">
        <v>20</v>
      </c>
      <c r="CN56" s="9"/>
      <c r="CO56" s="9"/>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row>
    <row r="57" spans="1:210">
      <c r="A57" s="11" t="s">
        <v>96</v>
      </c>
      <c r="B57" s="12">
        <v>141</v>
      </c>
      <c r="C57" s="12">
        <v>8530</v>
      </c>
      <c r="D57" s="12">
        <v>149</v>
      </c>
      <c r="E57" s="12">
        <v>18706</v>
      </c>
      <c r="F57" s="12">
        <v>114</v>
      </c>
      <c r="G57" s="12">
        <v>21241</v>
      </c>
      <c r="H57" s="12">
        <v>6</v>
      </c>
      <c r="I57" s="12">
        <v>1157</v>
      </c>
      <c r="J57" s="12">
        <v>25</v>
      </c>
      <c r="K57" s="12">
        <v>887</v>
      </c>
      <c r="L57" s="12">
        <v>142</v>
      </c>
      <c r="M57" s="12">
        <v>1920</v>
      </c>
      <c r="N57" s="12">
        <v>43</v>
      </c>
      <c r="O57" s="12">
        <v>530</v>
      </c>
      <c r="P57" s="12">
        <v>1</v>
      </c>
      <c r="Q57" s="12">
        <v>500</v>
      </c>
      <c r="R57" s="12"/>
      <c r="S57" s="12"/>
      <c r="T57" s="12"/>
      <c r="U57" s="12"/>
      <c r="V57" s="12"/>
      <c r="W57" s="12"/>
      <c r="X57" s="12"/>
      <c r="Y57" s="12"/>
      <c r="Z57" s="12">
        <v>1</v>
      </c>
      <c r="AA57" s="12">
        <v>660</v>
      </c>
      <c r="AB57" s="12">
        <v>1</v>
      </c>
      <c r="AC57" s="12">
        <v>1118</v>
      </c>
      <c r="AD57" s="12">
        <v>37</v>
      </c>
      <c r="AE57" s="12">
        <v>3638</v>
      </c>
      <c r="AF57" s="12">
        <v>63</v>
      </c>
      <c r="AG57" s="12">
        <v>10496</v>
      </c>
      <c r="AH57" s="12">
        <v>297</v>
      </c>
      <c r="AI57" s="12">
        <v>88910</v>
      </c>
      <c r="AJ57" s="12">
        <v>137</v>
      </c>
      <c r="AK57" s="12">
        <v>40779</v>
      </c>
      <c r="AL57" s="12">
        <v>22</v>
      </c>
      <c r="AM57" s="12">
        <v>5264</v>
      </c>
      <c r="AN57" s="12">
        <v>5</v>
      </c>
      <c r="AO57" s="12">
        <v>209</v>
      </c>
      <c r="AP57" s="12">
        <v>3</v>
      </c>
      <c r="AQ57" s="12">
        <v>228</v>
      </c>
      <c r="AR57" s="12">
        <v>3</v>
      </c>
      <c r="AS57" s="12">
        <v>251</v>
      </c>
      <c r="AT57" s="12">
        <v>1</v>
      </c>
      <c r="AU57" s="12">
        <v>33</v>
      </c>
      <c r="AV57" s="12"/>
      <c r="AW57" s="12"/>
      <c r="AX57" s="12">
        <v>2</v>
      </c>
      <c r="AY57" s="12">
        <v>106</v>
      </c>
      <c r="AZ57" s="12">
        <v>11</v>
      </c>
      <c r="BA57" s="12">
        <v>2024</v>
      </c>
      <c r="BB57" s="12">
        <v>92</v>
      </c>
      <c r="BC57" s="12">
        <v>40451</v>
      </c>
      <c r="BD57" s="12">
        <v>64</v>
      </c>
      <c r="BE57" s="12">
        <v>27032</v>
      </c>
      <c r="BF57" s="12">
        <v>3</v>
      </c>
      <c r="BG57" s="12">
        <v>448</v>
      </c>
      <c r="BH57" s="12"/>
      <c r="BI57" s="12"/>
      <c r="BJ57" s="12"/>
      <c r="BK57" s="12"/>
      <c r="BL57" s="12"/>
      <c r="BM57" s="12"/>
      <c r="BN57" s="12"/>
      <c r="BO57" s="12"/>
      <c r="BP57" s="12"/>
      <c r="BQ57" s="12"/>
      <c r="BR57" s="12">
        <v>58</v>
      </c>
      <c r="BS57" s="12">
        <v>3187</v>
      </c>
      <c r="BT57" s="12">
        <v>39</v>
      </c>
      <c r="BU57" s="12">
        <v>2286</v>
      </c>
      <c r="BV57" s="12">
        <v>6</v>
      </c>
      <c r="BW57" s="12">
        <v>410</v>
      </c>
      <c r="BX57" s="12">
        <v>67</v>
      </c>
      <c r="BY57" s="12">
        <v>2680</v>
      </c>
      <c r="BZ57" s="12">
        <v>38</v>
      </c>
      <c r="CA57" s="12">
        <v>1554</v>
      </c>
      <c r="CB57" s="12">
        <v>3</v>
      </c>
      <c r="CC57" s="12">
        <v>140</v>
      </c>
      <c r="CD57" s="12"/>
      <c r="CE57" s="12"/>
      <c r="CF57" s="12">
        <v>20</v>
      </c>
      <c r="CG57" s="12">
        <v>585</v>
      </c>
      <c r="CH57" s="12">
        <v>9</v>
      </c>
      <c r="CI57" s="12">
        <v>248</v>
      </c>
      <c r="CJ57" s="12">
        <v>1</v>
      </c>
      <c r="CK57" s="12">
        <v>23</v>
      </c>
      <c r="CL57" s="12">
        <v>1604</v>
      </c>
      <c r="CM57" s="12">
        <v>286231</v>
      </c>
      <c r="CN57" s="9"/>
      <c r="CO57" s="9"/>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row>
  </sheetData>
  <sheetProtection password="C668" sheet="1"/>
  <mergeCells count="46">
    <mergeCell ref="V6:W6"/>
    <mergeCell ref="A6:A8"/>
    <mergeCell ref="B6:C6"/>
    <mergeCell ref="D6:E6"/>
    <mergeCell ref="F6:G6"/>
    <mergeCell ref="H6:I6"/>
    <mergeCell ref="J6:K6"/>
    <mergeCell ref="L6:M6"/>
    <mergeCell ref="N6:O6"/>
    <mergeCell ref="P6:Q6"/>
    <mergeCell ref="R6:S6"/>
    <mergeCell ref="T6:U6"/>
    <mergeCell ref="AT6:AU6"/>
    <mergeCell ref="X6:Y6"/>
    <mergeCell ref="Z6:AA6"/>
    <mergeCell ref="AB6:AC6"/>
    <mergeCell ref="AD6:AE6"/>
    <mergeCell ref="AF6:AG6"/>
    <mergeCell ref="AH6:AI6"/>
    <mergeCell ref="AJ6:AK6"/>
    <mergeCell ref="AL6:AM6"/>
    <mergeCell ref="AN6:AO6"/>
    <mergeCell ref="AP6:AQ6"/>
    <mergeCell ref="AR6:AS6"/>
    <mergeCell ref="BR6:BS6"/>
    <mergeCell ref="AV6:AW6"/>
    <mergeCell ref="AX6:AY6"/>
    <mergeCell ref="AZ6:BA6"/>
    <mergeCell ref="BB6:BC6"/>
    <mergeCell ref="BD6:BE6"/>
    <mergeCell ref="BF6:BG6"/>
    <mergeCell ref="BH6:BI6"/>
    <mergeCell ref="BJ6:BK6"/>
    <mergeCell ref="BL6:BM6"/>
    <mergeCell ref="BN6:BO6"/>
    <mergeCell ref="BP6:BQ6"/>
    <mergeCell ref="CF6:CG6"/>
    <mergeCell ref="CH6:CI6"/>
    <mergeCell ref="CJ6:CK6"/>
    <mergeCell ref="CL6:CM6"/>
    <mergeCell ref="BT6:BU6"/>
    <mergeCell ref="BV6:BW6"/>
    <mergeCell ref="BX6:BY6"/>
    <mergeCell ref="BZ6:CA6"/>
    <mergeCell ref="CB6:CC6"/>
    <mergeCell ref="CD6:CE6"/>
  </mergeCells>
  <conditionalFormatting sqref="A9:CM56">
    <cfRule type="expression" dxfId="2" priority="1" stopIfTrue="1">
      <formula>MOD(ROW(),2)=0</formula>
    </cfRule>
  </conditionalFormatting>
  <pageMargins left="0" right="0" top="0" bottom="0" header="0.31496062992125984" footer="0.31496062992125984"/>
  <pageSetup paperSize="8" scale="70" orientation="landscape" r:id="rId1"/>
  <colBreaks count="4" manualBreakCount="4">
    <brk id="19" max="1048575" man="1"/>
    <brk id="37" max="1048575" man="1"/>
    <brk id="55" max="1048575" man="1"/>
    <brk id="73" max="1048575" man="1"/>
  </col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3:M44"/>
  <sheetViews>
    <sheetView showGridLines="0" workbookViewId="0"/>
  </sheetViews>
  <sheetFormatPr baseColWidth="10" defaultRowHeight="15"/>
  <cols>
    <col min="1" max="1" width="16.42578125" customWidth="1"/>
    <col min="3" max="3" width="17" bestFit="1" customWidth="1"/>
    <col min="4" max="4" width="15.140625" bestFit="1" customWidth="1"/>
    <col min="5" max="5" width="14" bestFit="1" customWidth="1"/>
    <col min="8" max="8" width="15.85546875" customWidth="1"/>
    <col min="10" max="10" width="17" bestFit="1" customWidth="1"/>
    <col min="11" max="11" width="15.140625" bestFit="1" customWidth="1"/>
    <col min="12" max="12" width="14" bestFit="1" customWidth="1"/>
  </cols>
  <sheetData>
    <row r="3" spans="1:13" ht="16.5">
      <c r="A3" s="13" t="s">
        <v>136</v>
      </c>
      <c r="B3" s="14"/>
      <c r="C3" s="15"/>
      <c r="D3" s="15"/>
      <c r="E3" s="15"/>
      <c r="F3" s="15"/>
    </row>
    <row r="4" spans="1:13" ht="16.5">
      <c r="A4" s="16" t="s">
        <v>137</v>
      </c>
      <c r="B4" s="17"/>
      <c r="C4" s="18"/>
      <c r="D4" s="18"/>
      <c r="E4" s="18"/>
      <c r="F4" s="18"/>
    </row>
    <row r="5" spans="1:13" ht="16.5">
      <c r="A5" s="16" t="s">
        <v>138</v>
      </c>
      <c r="B5" s="17"/>
      <c r="C5" s="18"/>
      <c r="D5" s="18"/>
      <c r="E5" s="18"/>
      <c r="F5" s="18"/>
    </row>
    <row r="7" spans="1:13" s="109" customFormat="1" ht="12.75">
      <c r="A7" s="143" t="s">
        <v>104</v>
      </c>
      <c r="B7" s="143"/>
      <c r="C7" s="107" t="s">
        <v>105</v>
      </c>
      <c r="D7" s="107" t="s">
        <v>106</v>
      </c>
      <c r="E7" s="107" t="s">
        <v>107</v>
      </c>
      <c r="F7" s="107" t="s">
        <v>108</v>
      </c>
      <c r="H7" s="143" t="s">
        <v>104</v>
      </c>
      <c r="I7" s="143"/>
      <c r="J7" s="107" t="s">
        <v>105</v>
      </c>
      <c r="K7" s="107" t="s">
        <v>106</v>
      </c>
      <c r="L7" s="107" t="s">
        <v>107</v>
      </c>
      <c r="M7" s="107" t="s">
        <v>108</v>
      </c>
    </row>
    <row r="8" spans="1:13" s="109" customFormat="1" ht="12.75">
      <c r="A8" s="144" t="s">
        <v>109</v>
      </c>
      <c r="B8" s="144"/>
      <c r="C8" s="108" t="s">
        <v>110</v>
      </c>
      <c r="D8" s="108" t="s">
        <v>111</v>
      </c>
      <c r="E8" s="108" t="s">
        <v>112</v>
      </c>
      <c r="F8" s="108" t="s">
        <v>113</v>
      </c>
      <c r="H8" s="144" t="s">
        <v>109</v>
      </c>
      <c r="I8" s="144"/>
      <c r="J8" s="108" t="s">
        <v>110</v>
      </c>
      <c r="K8" s="108" t="s">
        <v>111</v>
      </c>
      <c r="L8" s="108" t="s">
        <v>112</v>
      </c>
      <c r="M8" s="108" t="s">
        <v>113</v>
      </c>
    </row>
    <row r="9" spans="1:13" s="109" customFormat="1" ht="12.75">
      <c r="A9" s="144" t="s">
        <v>114</v>
      </c>
      <c r="B9" s="144"/>
      <c r="C9" s="108" t="s">
        <v>115</v>
      </c>
      <c r="D9" s="108" t="s">
        <v>116</v>
      </c>
      <c r="E9" s="108" t="s">
        <v>117</v>
      </c>
      <c r="F9" s="108" t="s">
        <v>118</v>
      </c>
      <c r="H9" s="144" t="s">
        <v>114</v>
      </c>
      <c r="I9" s="144"/>
      <c r="J9" s="108" t="s">
        <v>115</v>
      </c>
      <c r="K9" s="108" t="s">
        <v>116</v>
      </c>
      <c r="L9" s="108" t="s">
        <v>117</v>
      </c>
      <c r="M9" s="108" t="s">
        <v>118</v>
      </c>
    </row>
    <row r="10" spans="1:13">
      <c r="A10" s="139" t="s">
        <v>119</v>
      </c>
      <c r="B10" s="139"/>
      <c r="C10" s="6">
        <v>144</v>
      </c>
      <c r="D10" s="6">
        <v>3001</v>
      </c>
      <c r="E10" s="6">
        <v>8705</v>
      </c>
      <c r="F10" s="20">
        <v>0.17171318670480323</v>
      </c>
      <c r="H10" s="139" t="s">
        <v>25</v>
      </c>
      <c r="I10" s="139"/>
      <c r="J10" s="6">
        <v>2</v>
      </c>
      <c r="K10" s="6">
        <v>33</v>
      </c>
      <c r="L10" s="6">
        <v>106</v>
      </c>
      <c r="M10" s="20">
        <v>1.5809569263811002E-3</v>
      </c>
    </row>
    <row r="11" spans="1:13">
      <c r="A11" s="139" t="s">
        <v>120</v>
      </c>
      <c r="B11" s="139"/>
      <c r="C11" s="6">
        <v>151</v>
      </c>
      <c r="D11" s="6">
        <v>7254</v>
      </c>
      <c r="E11" s="6">
        <v>19144</v>
      </c>
      <c r="F11" s="20">
        <v>0.37763093007199922</v>
      </c>
      <c r="H11" s="139" t="s">
        <v>26</v>
      </c>
      <c r="I11" s="139"/>
      <c r="J11" s="6">
        <v>11</v>
      </c>
      <c r="K11" s="6">
        <v>767</v>
      </c>
      <c r="L11" s="6">
        <v>2024</v>
      </c>
      <c r="M11" s="20">
        <v>3.0187328481088176E-2</v>
      </c>
    </row>
    <row r="12" spans="1:13">
      <c r="A12" s="139" t="s">
        <v>121</v>
      </c>
      <c r="B12" s="139"/>
      <c r="C12" s="6">
        <v>117</v>
      </c>
      <c r="D12" s="6">
        <v>8408</v>
      </c>
      <c r="E12" s="6">
        <v>21895</v>
      </c>
      <c r="F12" s="20">
        <v>0.43189663674918632</v>
      </c>
      <c r="H12" s="139" t="s">
        <v>27</v>
      </c>
      <c r="I12" s="139"/>
      <c r="J12" s="6">
        <v>89</v>
      </c>
      <c r="K12" s="6">
        <v>16985</v>
      </c>
      <c r="L12" s="6">
        <v>39284</v>
      </c>
      <c r="M12" s="20">
        <v>0.58590860279202961</v>
      </c>
    </row>
    <row r="13" spans="1:13">
      <c r="A13" s="139" t="s">
        <v>122</v>
      </c>
      <c r="B13" s="139"/>
      <c r="C13" s="6">
        <v>5</v>
      </c>
      <c r="D13" s="6">
        <v>329</v>
      </c>
      <c r="E13" s="6">
        <v>951</v>
      </c>
      <c r="F13" s="20">
        <v>1.8759246474011244E-2</v>
      </c>
      <c r="H13" s="139" t="s">
        <v>28</v>
      </c>
      <c r="I13" s="139"/>
      <c r="J13" s="6">
        <v>62</v>
      </c>
      <c r="K13" s="6">
        <v>11739</v>
      </c>
      <c r="L13" s="6">
        <v>25416</v>
      </c>
      <c r="M13" s="20">
        <v>0.37907170981983057</v>
      </c>
    </row>
    <row r="14" spans="1:13">
      <c r="A14" s="140" t="s">
        <v>123</v>
      </c>
      <c r="B14" s="140"/>
      <c r="C14" s="21">
        <v>417</v>
      </c>
      <c r="D14" s="21">
        <v>18992</v>
      </c>
      <c r="E14" s="21">
        <v>50695</v>
      </c>
      <c r="F14" s="22">
        <v>1</v>
      </c>
      <c r="H14" s="139" t="s">
        <v>29</v>
      </c>
      <c r="I14" s="139"/>
      <c r="J14" s="6">
        <v>1</v>
      </c>
      <c r="K14" s="6">
        <v>109</v>
      </c>
      <c r="L14" s="6">
        <v>218</v>
      </c>
      <c r="M14" s="20">
        <v>3.2514019806705644E-3</v>
      </c>
    </row>
    <row r="15" spans="1:13">
      <c r="A15" s="139"/>
      <c r="B15" s="139"/>
      <c r="C15" s="6"/>
      <c r="D15" s="6"/>
      <c r="E15" s="6"/>
      <c r="F15" s="20"/>
      <c r="H15" s="140" t="s">
        <v>124</v>
      </c>
      <c r="I15" s="140"/>
      <c r="J15" s="21">
        <v>165</v>
      </c>
      <c r="K15" s="21">
        <v>29633</v>
      </c>
      <c r="L15" s="21">
        <v>67048</v>
      </c>
      <c r="M15" s="22">
        <v>1</v>
      </c>
    </row>
    <row r="16" spans="1:13">
      <c r="A16" s="140" t="s">
        <v>7</v>
      </c>
      <c r="B16" s="140"/>
      <c r="C16" s="21">
        <v>23</v>
      </c>
      <c r="D16" s="21">
        <v>414</v>
      </c>
      <c r="E16" s="21">
        <v>807</v>
      </c>
      <c r="F16" s="22">
        <v>1</v>
      </c>
      <c r="H16" s="139"/>
      <c r="I16" s="139"/>
      <c r="J16" s="6"/>
      <c r="K16" s="6"/>
      <c r="L16" s="6"/>
      <c r="M16" s="20"/>
    </row>
    <row r="17" spans="1:13">
      <c r="A17" s="140" t="s">
        <v>167</v>
      </c>
      <c r="B17" s="140"/>
      <c r="C17" s="21">
        <v>131</v>
      </c>
      <c r="D17" s="21">
        <v>836</v>
      </c>
      <c r="E17" s="21">
        <v>1743</v>
      </c>
      <c r="F17" s="22">
        <v>1</v>
      </c>
      <c r="H17" s="139" t="s">
        <v>30</v>
      </c>
      <c r="I17" s="139"/>
      <c r="J17" s="6"/>
      <c r="K17" s="6"/>
      <c r="L17" s="6"/>
      <c r="M17" s="6"/>
    </row>
    <row r="18" spans="1:13">
      <c r="A18" s="140" t="s">
        <v>8</v>
      </c>
      <c r="B18" s="140"/>
      <c r="C18" s="21">
        <v>42</v>
      </c>
      <c r="D18" s="21">
        <v>261</v>
      </c>
      <c r="E18" s="21">
        <v>514</v>
      </c>
      <c r="F18" s="22">
        <v>1</v>
      </c>
      <c r="H18" s="139" t="s">
        <v>31</v>
      </c>
      <c r="I18" s="139"/>
      <c r="J18" s="6"/>
      <c r="K18" s="6"/>
      <c r="L18" s="6"/>
      <c r="M18" s="6"/>
    </row>
    <row r="19" spans="1:13">
      <c r="A19" s="141"/>
      <c r="B19" s="141"/>
      <c r="C19" s="6"/>
      <c r="D19" s="6"/>
      <c r="E19" s="6"/>
      <c r="F19" s="20"/>
      <c r="H19" s="139" t="s">
        <v>32</v>
      </c>
      <c r="I19" s="139"/>
      <c r="J19" s="6"/>
      <c r="K19" s="6"/>
      <c r="L19" s="6"/>
      <c r="M19" s="6"/>
    </row>
    <row r="20" spans="1:13">
      <c r="A20" s="139" t="s">
        <v>11</v>
      </c>
      <c r="B20" s="139"/>
      <c r="C20" s="6"/>
      <c r="D20" s="23"/>
      <c r="E20" s="6"/>
      <c r="F20" s="20"/>
      <c r="H20" s="139" t="s">
        <v>33</v>
      </c>
      <c r="I20" s="139"/>
      <c r="J20" s="6"/>
      <c r="K20" s="6"/>
      <c r="L20" s="6"/>
      <c r="M20" s="6"/>
    </row>
    <row r="21" spans="1:13">
      <c r="A21" s="139" t="s">
        <v>10</v>
      </c>
      <c r="B21" s="139"/>
      <c r="C21" s="6"/>
      <c r="D21" s="23"/>
      <c r="E21" s="6"/>
      <c r="F21" s="20"/>
      <c r="H21" s="139" t="s">
        <v>34</v>
      </c>
      <c r="I21" s="139"/>
      <c r="J21" s="6"/>
      <c r="K21" s="6"/>
      <c r="L21" s="6"/>
      <c r="M21" s="6"/>
    </row>
    <row r="22" spans="1:13">
      <c r="A22" s="139" t="s">
        <v>9</v>
      </c>
      <c r="B22" s="139"/>
      <c r="C22" s="6">
        <v>1</v>
      </c>
      <c r="D22" s="6"/>
      <c r="E22" s="6">
        <v>500</v>
      </c>
      <c r="F22" s="20">
        <v>0.5</v>
      </c>
      <c r="H22" s="140" t="s">
        <v>125</v>
      </c>
      <c r="I22" s="140"/>
      <c r="J22" s="21"/>
      <c r="K22" s="21"/>
      <c r="L22" s="21"/>
      <c r="M22" s="24"/>
    </row>
    <row r="23" spans="1:13">
      <c r="A23" s="139" t="s">
        <v>126</v>
      </c>
      <c r="B23" s="139"/>
      <c r="C23" s="6">
        <v>1</v>
      </c>
      <c r="D23" s="6">
        <v>163</v>
      </c>
      <c r="E23" s="6">
        <v>500</v>
      </c>
      <c r="F23" s="20">
        <v>0.5</v>
      </c>
      <c r="H23" s="139"/>
      <c r="I23" s="139"/>
      <c r="J23" s="6"/>
      <c r="K23" s="6"/>
      <c r="L23" s="6"/>
      <c r="M23" s="20"/>
    </row>
    <row r="24" spans="1:13">
      <c r="A24" s="140" t="s">
        <v>127</v>
      </c>
      <c r="B24" s="140"/>
      <c r="C24" s="21">
        <v>2</v>
      </c>
      <c r="D24" s="21">
        <v>163</v>
      </c>
      <c r="E24" s="21">
        <v>1000</v>
      </c>
      <c r="F24" s="22">
        <v>1</v>
      </c>
      <c r="H24" s="139" t="s">
        <v>35</v>
      </c>
      <c r="I24" s="139"/>
      <c r="J24" s="6">
        <v>58</v>
      </c>
      <c r="K24" s="6">
        <v>1679</v>
      </c>
      <c r="L24" s="6">
        <v>3238</v>
      </c>
      <c r="M24" s="20">
        <v>0.53858948769128412</v>
      </c>
    </row>
    <row r="25" spans="1:13">
      <c r="A25" s="139"/>
      <c r="B25" s="139"/>
      <c r="C25" s="6"/>
      <c r="D25" s="6"/>
      <c r="E25" s="6"/>
      <c r="F25" s="20"/>
      <c r="H25" s="139" t="s">
        <v>36</v>
      </c>
      <c r="I25" s="139"/>
      <c r="J25" s="6">
        <v>40</v>
      </c>
      <c r="K25" s="6">
        <v>1253</v>
      </c>
      <c r="L25" s="6">
        <v>2364</v>
      </c>
      <c r="M25" s="20">
        <v>0.39321357285429143</v>
      </c>
    </row>
    <row r="26" spans="1:13">
      <c r="A26" s="139" t="s">
        <v>12</v>
      </c>
      <c r="B26" s="139"/>
      <c r="C26" s="6"/>
      <c r="D26" s="6"/>
      <c r="E26" s="6"/>
      <c r="F26" s="20"/>
      <c r="H26" s="139" t="s">
        <v>37</v>
      </c>
      <c r="I26" s="139"/>
      <c r="J26" s="6">
        <v>6</v>
      </c>
      <c r="K26" s="6">
        <v>229</v>
      </c>
      <c r="L26" s="6">
        <v>410</v>
      </c>
      <c r="M26" s="20">
        <v>6.8196939454424482E-2</v>
      </c>
    </row>
    <row r="27" spans="1:13">
      <c r="A27" s="139" t="s">
        <v>13</v>
      </c>
      <c r="B27" s="139"/>
      <c r="C27" s="6">
        <v>1</v>
      </c>
      <c r="D27" s="6">
        <v>324</v>
      </c>
      <c r="E27" s="6">
        <v>660</v>
      </c>
      <c r="F27" s="20">
        <v>0.25210084033613445</v>
      </c>
      <c r="H27" s="140" t="s">
        <v>128</v>
      </c>
      <c r="I27" s="140"/>
      <c r="J27" s="21">
        <v>104</v>
      </c>
      <c r="K27" s="21">
        <v>3161</v>
      </c>
      <c r="L27" s="21">
        <v>6012</v>
      </c>
      <c r="M27" s="22">
        <v>1</v>
      </c>
    </row>
    <row r="28" spans="1:13">
      <c r="A28" s="139" t="s">
        <v>14</v>
      </c>
      <c r="B28" s="139"/>
      <c r="C28" s="6">
        <v>2</v>
      </c>
      <c r="D28" s="6">
        <v>783</v>
      </c>
      <c r="E28" s="6">
        <v>1958</v>
      </c>
      <c r="F28" s="20">
        <v>0.74789915966386555</v>
      </c>
      <c r="H28" s="139"/>
      <c r="I28" s="139"/>
      <c r="J28" s="6"/>
      <c r="K28" s="6"/>
      <c r="L28" s="6"/>
      <c r="M28" s="20"/>
    </row>
    <row r="29" spans="1:13">
      <c r="A29" s="140" t="s">
        <v>129</v>
      </c>
      <c r="B29" s="140"/>
      <c r="C29" s="21">
        <v>3</v>
      </c>
      <c r="D29" s="21">
        <v>1107</v>
      </c>
      <c r="E29" s="21">
        <v>2618</v>
      </c>
      <c r="F29" s="22">
        <v>1</v>
      </c>
      <c r="H29" s="139" t="s">
        <v>38</v>
      </c>
      <c r="I29" s="139"/>
      <c r="J29" s="6">
        <v>69</v>
      </c>
      <c r="K29" s="6">
        <v>1466</v>
      </c>
      <c r="L29" s="6">
        <v>2743</v>
      </c>
      <c r="M29" s="20">
        <v>0.61821050259184129</v>
      </c>
    </row>
    <row r="30" spans="1:13">
      <c r="A30" s="139"/>
      <c r="B30" s="139"/>
      <c r="C30" s="6"/>
      <c r="D30" s="6"/>
      <c r="E30" s="6"/>
      <c r="F30" s="20"/>
      <c r="H30" s="139" t="s">
        <v>39</v>
      </c>
      <c r="I30" s="139"/>
      <c r="J30" s="6">
        <v>38</v>
      </c>
      <c r="K30" s="6">
        <v>835</v>
      </c>
      <c r="L30" s="6">
        <v>1554</v>
      </c>
      <c r="M30" s="20">
        <v>0.35023664638269103</v>
      </c>
    </row>
    <row r="31" spans="1:13">
      <c r="A31" s="139" t="s">
        <v>15</v>
      </c>
      <c r="B31" s="139"/>
      <c r="C31" s="6">
        <v>36</v>
      </c>
      <c r="D31" s="6">
        <v>1932</v>
      </c>
      <c r="E31" s="6">
        <v>3591</v>
      </c>
      <c r="F31" s="20">
        <v>2.3946385702854095E-2</v>
      </c>
      <c r="H31" s="139" t="s">
        <v>40</v>
      </c>
      <c r="I31" s="139"/>
      <c r="J31" s="6">
        <v>3</v>
      </c>
      <c r="K31" s="6">
        <v>74</v>
      </c>
      <c r="L31" s="6">
        <v>140</v>
      </c>
      <c r="M31" s="20">
        <v>3.1552851025467656E-2</v>
      </c>
    </row>
    <row r="32" spans="1:13">
      <c r="A32" s="139" t="s">
        <v>16</v>
      </c>
      <c r="B32" s="139"/>
      <c r="C32" s="6">
        <v>70</v>
      </c>
      <c r="D32" s="6">
        <v>6547</v>
      </c>
      <c r="E32" s="6">
        <v>12187</v>
      </c>
      <c r="F32" s="20">
        <v>8.1268338223526276E-2</v>
      </c>
      <c r="H32" s="140" t="s">
        <v>130</v>
      </c>
      <c r="I32" s="140"/>
      <c r="J32" s="21">
        <v>110</v>
      </c>
      <c r="K32" s="21">
        <v>2375</v>
      </c>
      <c r="L32" s="21">
        <v>4437</v>
      </c>
      <c r="M32" s="22">
        <v>1</v>
      </c>
    </row>
    <row r="33" spans="1:13">
      <c r="A33" s="139" t="s">
        <v>17</v>
      </c>
      <c r="B33" s="139"/>
      <c r="C33" s="6">
        <v>299</v>
      </c>
      <c r="D33" s="6">
        <v>47823</v>
      </c>
      <c r="E33" s="6">
        <v>89913</v>
      </c>
      <c r="F33" s="20">
        <v>0.5995798879701254</v>
      </c>
      <c r="H33" s="139"/>
      <c r="I33" s="139"/>
      <c r="J33" s="15"/>
      <c r="K33" s="15"/>
      <c r="L33" s="15"/>
      <c r="M33" s="15"/>
    </row>
    <row r="34" spans="1:13">
      <c r="A34" s="139" t="s">
        <v>168</v>
      </c>
      <c r="B34" s="139"/>
      <c r="C34" s="6">
        <v>131</v>
      </c>
      <c r="D34" s="6">
        <v>20997</v>
      </c>
      <c r="E34" s="6">
        <v>39764</v>
      </c>
      <c r="F34" s="20">
        <v>0.26516404374499869</v>
      </c>
      <c r="H34" s="140" t="s">
        <v>42</v>
      </c>
      <c r="I34" s="140"/>
      <c r="J34" s="21">
        <v>21</v>
      </c>
      <c r="K34" s="21">
        <v>320</v>
      </c>
      <c r="L34" s="21">
        <v>601</v>
      </c>
      <c r="M34" s="22">
        <v>1</v>
      </c>
    </row>
    <row r="35" spans="1:13">
      <c r="A35" s="139" t="s">
        <v>19</v>
      </c>
      <c r="B35" s="139"/>
      <c r="C35" s="6">
        <v>21</v>
      </c>
      <c r="D35" s="6">
        <v>2312</v>
      </c>
      <c r="E35" s="6">
        <v>4505</v>
      </c>
      <c r="F35" s="20">
        <v>3.0041344358495599E-2</v>
      </c>
      <c r="H35" s="140" t="s">
        <v>43</v>
      </c>
      <c r="I35" s="140"/>
      <c r="J35" s="21">
        <v>9</v>
      </c>
      <c r="K35" s="21">
        <v>138</v>
      </c>
      <c r="L35" s="21">
        <v>248</v>
      </c>
      <c r="M35" s="22">
        <v>1</v>
      </c>
    </row>
    <row r="36" spans="1:13">
      <c r="A36" s="139"/>
      <c r="B36" s="142"/>
      <c r="C36" s="6"/>
      <c r="D36" s="6"/>
      <c r="E36" s="6"/>
      <c r="F36" s="20"/>
      <c r="H36" s="140" t="s">
        <v>44</v>
      </c>
      <c r="I36" s="140"/>
      <c r="J36" s="21">
        <v>1</v>
      </c>
      <c r="K36" s="21">
        <v>12</v>
      </c>
      <c r="L36" s="21">
        <v>23</v>
      </c>
      <c r="M36" s="22">
        <v>1</v>
      </c>
    </row>
    <row r="37" spans="1:13">
      <c r="A37" s="140" t="s">
        <v>131</v>
      </c>
      <c r="B37" s="140"/>
      <c r="C37" s="21">
        <v>557</v>
      </c>
      <c r="D37" s="21">
        <v>79611</v>
      </c>
      <c r="E37" s="21">
        <v>149960</v>
      </c>
      <c r="F37" s="22">
        <v>1</v>
      </c>
      <c r="H37" s="139"/>
      <c r="I37" s="139"/>
      <c r="J37" s="6"/>
      <c r="K37" s="6"/>
      <c r="L37" s="6"/>
      <c r="M37" s="6"/>
    </row>
    <row r="38" spans="1:13">
      <c r="A38" s="139"/>
      <c r="B38" s="139"/>
      <c r="C38" s="6"/>
      <c r="D38" s="6"/>
      <c r="E38" s="6"/>
      <c r="F38" s="20"/>
      <c r="H38" s="139"/>
      <c r="I38" s="139"/>
      <c r="J38" s="6"/>
      <c r="K38" s="6"/>
      <c r="L38" s="6"/>
      <c r="M38" s="6"/>
    </row>
    <row r="39" spans="1:13">
      <c r="A39" s="139" t="s">
        <v>20</v>
      </c>
      <c r="B39" s="139"/>
      <c r="C39" s="6">
        <v>4</v>
      </c>
      <c r="D39" s="6">
        <v>101</v>
      </c>
      <c r="E39" s="6">
        <v>190</v>
      </c>
      <c r="F39" s="20">
        <v>0.27065527065527067</v>
      </c>
      <c r="H39" s="141"/>
      <c r="I39" s="141"/>
      <c r="J39" s="6"/>
      <c r="K39" s="6"/>
      <c r="L39" s="6"/>
      <c r="M39" s="6"/>
    </row>
    <row r="40" spans="1:13">
      <c r="A40" s="139" t="s">
        <v>21</v>
      </c>
      <c r="B40" s="139"/>
      <c r="C40" s="6">
        <v>3</v>
      </c>
      <c r="D40" s="6">
        <v>122</v>
      </c>
      <c r="E40" s="6">
        <v>228</v>
      </c>
      <c r="F40" s="20">
        <v>0.3247863247863248</v>
      </c>
      <c r="H40" s="19"/>
      <c r="I40" s="19"/>
      <c r="J40" s="6"/>
      <c r="K40" s="6"/>
      <c r="L40" s="6"/>
      <c r="M40" s="26"/>
    </row>
    <row r="41" spans="1:13">
      <c r="A41" s="139" t="s">
        <v>22</v>
      </c>
      <c r="B41" s="139"/>
      <c r="C41" s="6">
        <v>3</v>
      </c>
      <c r="D41" s="6">
        <v>138</v>
      </c>
      <c r="E41" s="6">
        <v>251</v>
      </c>
      <c r="F41" s="20">
        <v>0.35754985754985757</v>
      </c>
      <c r="H41" s="140" t="s">
        <v>45</v>
      </c>
      <c r="I41" s="140"/>
      <c r="J41" s="21">
        <v>1596</v>
      </c>
      <c r="K41" s="21">
        <v>137402</v>
      </c>
      <c r="L41" s="21">
        <v>286408</v>
      </c>
      <c r="M41" s="6"/>
    </row>
    <row r="42" spans="1:13">
      <c r="A42" s="139" t="s">
        <v>172</v>
      </c>
      <c r="B42" s="139"/>
      <c r="C42" s="6">
        <v>1</v>
      </c>
      <c r="D42" s="6">
        <v>18</v>
      </c>
      <c r="E42" s="6">
        <v>33</v>
      </c>
      <c r="F42" s="20">
        <v>4.7008547008547008E-2</v>
      </c>
    </row>
    <row r="43" spans="1:13">
      <c r="A43" s="139" t="s">
        <v>24</v>
      </c>
      <c r="B43" s="139"/>
      <c r="C43" s="6"/>
      <c r="D43" s="6"/>
      <c r="E43" s="6"/>
      <c r="F43" s="20"/>
    </row>
    <row r="44" spans="1:13">
      <c r="A44" s="140" t="s">
        <v>132</v>
      </c>
      <c r="B44" s="140"/>
      <c r="C44" s="21">
        <v>11</v>
      </c>
      <c r="D44" s="21">
        <v>379</v>
      </c>
      <c r="E44" s="21">
        <v>702</v>
      </c>
      <c r="F44" s="22">
        <v>1</v>
      </c>
    </row>
  </sheetData>
  <sheetProtection algorithmName="SHA-512" hashValue="8G7PJbpyEpMOiSQQsAykFLInii9flN0ttXQnaZ6oBoJgKPfYuUdjl4+yNRPsi3Q4Q1q0eIhbTHH03LUFf31POQ==" saltValue="hFSuvvbjHrO7LRPwrTon/A==" spinCount="100000" sheet="1" objects="1" scenarios="1"/>
  <mergeCells count="72">
    <mergeCell ref="A7:B7"/>
    <mergeCell ref="H7:I7"/>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 ref="A21:B21"/>
    <mergeCell ref="H21:I21"/>
    <mergeCell ref="A22:B22"/>
    <mergeCell ref="H22:I22"/>
    <mergeCell ref="A23:B23"/>
    <mergeCell ref="H23:I23"/>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44:B44"/>
    <mergeCell ref="A37:B37"/>
    <mergeCell ref="H37:I37"/>
    <mergeCell ref="A38:B38"/>
    <mergeCell ref="H38:I38"/>
    <mergeCell ref="A39:B39"/>
    <mergeCell ref="H39:I39"/>
    <mergeCell ref="A40:B40"/>
    <mergeCell ref="A41:B41"/>
    <mergeCell ref="H41:I41"/>
    <mergeCell ref="A42:B42"/>
    <mergeCell ref="A43:B43"/>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2:HB57"/>
  <sheetViews>
    <sheetView showGridLines="0" zoomScaleNormal="100" workbookViewId="0"/>
  </sheetViews>
  <sheetFormatPr baseColWidth="10" defaultRowHeight="15"/>
  <cols>
    <col min="1" max="1" width="79.85546875" customWidth="1"/>
  </cols>
  <sheetData>
    <row r="2" spans="1:210" ht="16.5">
      <c r="A2" s="1" t="s">
        <v>133</v>
      </c>
      <c r="B2" s="2"/>
      <c r="C2" s="2"/>
    </row>
    <row r="3" spans="1:210" ht="16.5">
      <c r="A3" s="3" t="s">
        <v>134</v>
      </c>
      <c r="B3" s="2"/>
      <c r="C3" s="2"/>
    </row>
    <row r="4" spans="1:210" ht="16.5">
      <c r="A4" s="3" t="s">
        <v>135</v>
      </c>
      <c r="B4" s="2"/>
      <c r="C4" s="2"/>
    </row>
    <row r="6" spans="1:210" ht="15" customHeight="1">
      <c r="A6" s="138" t="s">
        <v>97</v>
      </c>
      <c r="B6" s="137" t="s">
        <v>3</v>
      </c>
      <c r="C6" s="137"/>
      <c r="D6" s="137" t="s">
        <v>4</v>
      </c>
      <c r="E6" s="137"/>
      <c r="F6" s="137" t="s">
        <v>5</v>
      </c>
      <c r="G6" s="137"/>
      <c r="H6" s="137" t="s">
        <v>6</v>
      </c>
      <c r="I6" s="137"/>
      <c r="J6" s="137" t="s">
        <v>7</v>
      </c>
      <c r="K6" s="137"/>
      <c r="L6" s="137" t="s">
        <v>167</v>
      </c>
      <c r="M6" s="137"/>
      <c r="N6" s="137" t="s">
        <v>8</v>
      </c>
      <c r="O6" s="137"/>
      <c r="P6" s="137" t="s">
        <v>126</v>
      </c>
      <c r="Q6" s="137"/>
      <c r="R6" s="137" t="s">
        <v>9</v>
      </c>
      <c r="S6" s="137"/>
      <c r="T6" s="137" t="s">
        <v>10</v>
      </c>
      <c r="U6" s="137"/>
      <c r="V6" s="137" t="s">
        <v>11</v>
      </c>
      <c r="W6" s="137"/>
      <c r="X6" s="137" t="s">
        <v>12</v>
      </c>
      <c r="Y6" s="137"/>
      <c r="Z6" s="137" t="s">
        <v>13</v>
      </c>
      <c r="AA6" s="137"/>
      <c r="AB6" s="137" t="s">
        <v>14</v>
      </c>
      <c r="AC6" s="137"/>
      <c r="AD6" s="137" t="s">
        <v>15</v>
      </c>
      <c r="AE6" s="137"/>
      <c r="AF6" s="137" t="s">
        <v>16</v>
      </c>
      <c r="AG6" s="137"/>
      <c r="AH6" s="137" t="s">
        <v>17</v>
      </c>
      <c r="AI6" s="137"/>
      <c r="AJ6" s="137" t="s">
        <v>18</v>
      </c>
      <c r="AK6" s="137"/>
      <c r="AL6" s="137" t="s">
        <v>19</v>
      </c>
      <c r="AM6" s="137"/>
      <c r="AN6" s="137" t="s">
        <v>20</v>
      </c>
      <c r="AO6" s="137"/>
      <c r="AP6" s="137" t="s">
        <v>21</v>
      </c>
      <c r="AQ6" s="137"/>
      <c r="AR6" s="137" t="s">
        <v>22</v>
      </c>
      <c r="AS6" s="137"/>
      <c r="AT6" s="137" t="s">
        <v>23</v>
      </c>
      <c r="AU6" s="137"/>
      <c r="AV6" s="137" t="s">
        <v>24</v>
      </c>
      <c r="AW6" s="137"/>
      <c r="AX6" s="137" t="s">
        <v>25</v>
      </c>
      <c r="AY6" s="137"/>
      <c r="AZ6" s="137" t="s">
        <v>26</v>
      </c>
      <c r="BA6" s="137"/>
      <c r="BB6" s="137" t="s">
        <v>27</v>
      </c>
      <c r="BC6" s="137"/>
      <c r="BD6" s="137" t="s">
        <v>28</v>
      </c>
      <c r="BE6" s="137"/>
      <c r="BF6" s="137" t="s">
        <v>29</v>
      </c>
      <c r="BG6" s="137"/>
      <c r="BH6" s="137" t="s">
        <v>30</v>
      </c>
      <c r="BI6" s="137"/>
      <c r="BJ6" s="137" t="s">
        <v>31</v>
      </c>
      <c r="BK6" s="137"/>
      <c r="BL6" s="137" t="s">
        <v>32</v>
      </c>
      <c r="BM6" s="137"/>
      <c r="BN6" s="137" t="s">
        <v>33</v>
      </c>
      <c r="BO6" s="137"/>
      <c r="BP6" s="137" t="s">
        <v>34</v>
      </c>
      <c r="BQ6" s="137"/>
      <c r="BR6" s="137" t="s">
        <v>35</v>
      </c>
      <c r="BS6" s="137"/>
      <c r="BT6" s="137" t="s">
        <v>36</v>
      </c>
      <c r="BU6" s="137"/>
      <c r="BV6" s="137" t="s">
        <v>37</v>
      </c>
      <c r="BW6" s="137"/>
      <c r="BX6" s="137" t="s">
        <v>38</v>
      </c>
      <c r="BY6" s="137"/>
      <c r="BZ6" s="137" t="s">
        <v>39</v>
      </c>
      <c r="CA6" s="137"/>
      <c r="CB6" s="137" t="s">
        <v>40</v>
      </c>
      <c r="CC6" s="137"/>
      <c r="CD6" s="137" t="s">
        <v>41</v>
      </c>
      <c r="CE6" s="137"/>
      <c r="CF6" s="137" t="s">
        <v>42</v>
      </c>
      <c r="CG6" s="137"/>
      <c r="CH6" s="137" t="s">
        <v>43</v>
      </c>
      <c r="CI6" s="137"/>
      <c r="CJ6" s="137" t="s">
        <v>44</v>
      </c>
      <c r="CK6" s="137"/>
      <c r="CL6" s="137" t="s">
        <v>45</v>
      </c>
      <c r="CM6" s="137"/>
    </row>
    <row r="7" spans="1:210">
      <c r="A7" s="138"/>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row>
    <row r="8" spans="1:210">
      <c r="A8" s="138"/>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46</v>
      </c>
      <c r="BC8" s="4" t="s">
        <v>47</v>
      </c>
      <c r="BD8" s="4" t="s">
        <v>46</v>
      </c>
      <c r="BE8" s="4" t="s">
        <v>47</v>
      </c>
      <c r="BF8" s="4" t="s">
        <v>46</v>
      </c>
      <c r="BG8" s="4" t="s">
        <v>47</v>
      </c>
      <c r="BH8" s="4" t="s">
        <v>46</v>
      </c>
      <c r="BI8" s="4" t="s">
        <v>47</v>
      </c>
      <c r="BJ8" s="4" t="s">
        <v>46</v>
      </c>
      <c r="BK8" s="4" t="s">
        <v>47</v>
      </c>
      <c r="BL8" s="4" t="s">
        <v>46</v>
      </c>
      <c r="BM8" s="4" t="s">
        <v>47</v>
      </c>
      <c r="BN8" s="4" t="s">
        <v>46</v>
      </c>
      <c r="BO8" s="4" t="s">
        <v>47</v>
      </c>
      <c r="BP8" s="4" t="s">
        <v>46</v>
      </c>
      <c r="BQ8" s="4" t="s">
        <v>47</v>
      </c>
      <c r="BR8" s="4" t="s">
        <v>46</v>
      </c>
      <c r="BS8" s="4" t="s">
        <v>47</v>
      </c>
      <c r="BT8" s="4" t="s">
        <v>46</v>
      </c>
      <c r="BU8" s="4" t="s">
        <v>47</v>
      </c>
      <c r="BV8" s="4" t="s">
        <v>46</v>
      </c>
      <c r="BW8" s="4" t="s">
        <v>47</v>
      </c>
      <c r="BX8" s="4" t="s">
        <v>46</v>
      </c>
      <c r="BY8" s="4" t="s">
        <v>47</v>
      </c>
      <c r="BZ8" s="4" t="s">
        <v>46</v>
      </c>
      <c r="CA8" s="4" t="s">
        <v>47</v>
      </c>
      <c r="CB8" s="4" t="s">
        <v>46</v>
      </c>
      <c r="CC8" s="4" t="s">
        <v>47</v>
      </c>
      <c r="CD8" s="4" t="s">
        <v>46</v>
      </c>
      <c r="CE8" s="4" t="s">
        <v>47</v>
      </c>
      <c r="CF8" s="4" t="s">
        <v>46</v>
      </c>
      <c r="CG8" s="4" t="s">
        <v>47</v>
      </c>
      <c r="CH8" s="4" t="s">
        <v>46</v>
      </c>
      <c r="CI8" s="4" t="s">
        <v>47</v>
      </c>
      <c r="CJ8" s="4" t="s">
        <v>46</v>
      </c>
      <c r="CK8" s="4" t="s">
        <v>47</v>
      </c>
      <c r="CL8" s="4" t="s">
        <v>46</v>
      </c>
      <c r="CM8" s="4" t="s">
        <v>47</v>
      </c>
    </row>
    <row r="9" spans="1:210">
      <c r="A9" s="5" t="s">
        <v>48</v>
      </c>
      <c r="B9" s="6"/>
      <c r="C9" s="6"/>
      <c r="D9" s="7"/>
      <c r="E9" s="7"/>
      <c r="F9" s="7"/>
      <c r="G9" s="7"/>
      <c r="H9" s="7"/>
      <c r="I9" s="7"/>
      <c r="J9" s="7">
        <v>1</v>
      </c>
      <c r="K9" s="7">
        <v>50</v>
      </c>
      <c r="L9" s="7">
        <v>1</v>
      </c>
      <c r="M9" s="7">
        <v>12</v>
      </c>
      <c r="N9" s="7">
        <v>1</v>
      </c>
      <c r="O9" s="7">
        <v>16</v>
      </c>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v>1</v>
      </c>
      <c r="CA9" s="7">
        <v>21</v>
      </c>
      <c r="CB9" s="7"/>
      <c r="CC9" s="7"/>
      <c r="CD9" s="7"/>
      <c r="CE9" s="7"/>
      <c r="CF9" s="7"/>
      <c r="CG9" s="7"/>
      <c r="CH9" s="7"/>
      <c r="CI9" s="7"/>
      <c r="CJ9" s="8"/>
      <c r="CK9" s="8"/>
      <c r="CL9" s="8">
        <v>4</v>
      </c>
      <c r="CM9" s="8">
        <v>99</v>
      </c>
      <c r="CN9" s="9"/>
      <c r="CO9" s="9"/>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row>
    <row r="10" spans="1:210">
      <c r="A10" s="10" t="s">
        <v>49</v>
      </c>
      <c r="B10" s="6">
        <v>8</v>
      </c>
      <c r="C10" s="6">
        <v>510</v>
      </c>
      <c r="D10" s="6">
        <v>20</v>
      </c>
      <c r="E10" s="7">
        <v>3541</v>
      </c>
      <c r="F10" s="7">
        <v>7</v>
      </c>
      <c r="G10" s="7">
        <v>4980</v>
      </c>
      <c r="H10" s="7"/>
      <c r="I10" s="7"/>
      <c r="J10" s="7"/>
      <c r="K10" s="7"/>
      <c r="L10" s="7">
        <v>3</v>
      </c>
      <c r="M10" s="7">
        <v>34</v>
      </c>
      <c r="N10" s="7">
        <v>5</v>
      </c>
      <c r="O10" s="7">
        <v>54</v>
      </c>
      <c r="P10" s="7"/>
      <c r="Q10" s="7"/>
      <c r="R10" s="7"/>
      <c r="S10" s="7"/>
      <c r="T10" s="7"/>
      <c r="U10" s="7"/>
      <c r="V10" s="7"/>
      <c r="W10" s="7"/>
      <c r="X10" s="7"/>
      <c r="Y10" s="7"/>
      <c r="Z10" s="7"/>
      <c r="AA10" s="7"/>
      <c r="AB10" s="7"/>
      <c r="AC10" s="7"/>
      <c r="AD10" s="7"/>
      <c r="AE10" s="7"/>
      <c r="AF10" s="7">
        <v>3</v>
      </c>
      <c r="AG10" s="7">
        <v>873</v>
      </c>
      <c r="AH10" s="7">
        <v>17</v>
      </c>
      <c r="AI10" s="7">
        <v>8419</v>
      </c>
      <c r="AJ10" s="7">
        <v>2</v>
      </c>
      <c r="AK10" s="7">
        <v>1049</v>
      </c>
      <c r="AL10" s="7"/>
      <c r="AM10" s="7"/>
      <c r="AN10" s="7"/>
      <c r="AO10" s="7"/>
      <c r="AP10" s="7"/>
      <c r="AQ10" s="7"/>
      <c r="AR10" s="7"/>
      <c r="AS10" s="7"/>
      <c r="AT10" s="7"/>
      <c r="AU10" s="7"/>
      <c r="AV10" s="7"/>
      <c r="AW10" s="7"/>
      <c r="AX10" s="7"/>
      <c r="AY10" s="7"/>
      <c r="AZ10" s="7">
        <v>1</v>
      </c>
      <c r="BA10" s="7">
        <v>615</v>
      </c>
      <c r="BB10" s="7">
        <v>9</v>
      </c>
      <c r="BC10" s="7">
        <v>4020</v>
      </c>
      <c r="BD10" s="7">
        <v>7</v>
      </c>
      <c r="BE10" s="7">
        <v>2119</v>
      </c>
      <c r="BF10" s="7"/>
      <c r="BG10" s="7"/>
      <c r="BH10" s="7"/>
      <c r="BI10" s="7"/>
      <c r="BJ10" s="7"/>
      <c r="BK10" s="7"/>
      <c r="BL10" s="7"/>
      <c r="BM10" s="7"/>
      <c r="BN10" s="7"/>
      <c r="BO10" s="7"/>
      <c r="BP10" s="7"/>
      <c r="BQ10" s="7"/>
      <c r="BR10" s="7">
        <v>4</v>
      </c>
      <c r="BS10" s="7">
        <v>207</v>
      </c>
      <c r="BT10" s="7"/>
      <c r="BU10" s="7"/>
      <c r="BV10" s="7"/>
      <c r="BW10" s="7"/>
      <c r="BX10" s="7">
        <v>1</v>
      </c>
      <c r="BY10" s="7">
        <v>55</v>
      </c>
      <c r="BZ10" s="7">
        <v>1</v>
      </c>
      <c r="CA10" s="7">
        <v>39</v>
      </c>
      <c r="CB10" s="7"/>
      <c r="CC10" s="7"/>
      <c r="CD10" s="7"/>
      <c r="CE10" s="7"/>
      <c r="CF10" s="7"/>
      <c r="CG10" s="7"/>
      <c r="CH10" s="7">
        <v>1</v>
      </c>
      <c r="CI10" s="7">
        <v>32</v>
      </c>
      <c r="CJ10" s="8"/>
      <c r="CK10" s="8"/>
      <c r="CL10" s="8">
        <v>89</v>
      </c>
      <c r="CM10" s="8">
        <v>26547</v>
      </c>
      <c r="CN10" s="9"/>
      <c r="CO10" s="9"/>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row>
    <row r="11" spans="1:210">
      <c r="A11" s="5" t="s">
        <v>50</v>
      </c>
      <c r="B11" s="6"/>
      <c r="C11" s="6"/>
      <c r="D11" s="7"/>
      <c r="E11" s="7"/>
      <c r="F11" s="7"/>
      <c r="G11" s="7"/>
      <c r="H11" s="7"/>
      <c r="I11" s="7"/>
      <c r="J11" s="7">
        <v>1</v>
      </c>
      <c r="K11" s="7">
        <v>31</v>
      </c>
      <c r="L11" s="7">
        <v>1</v>
      </c>
      <c r="M11" s="7">
        <v>20</v>
      </c>
      <c r="N11" s="7">
        <v>1</v>
      </c>
      <c r="O11" s="7">
        <v>10</v>
      </c>
      <c r="P11" s="7"/>
      <c r="Q11" s="7"/>
      <c r="R11" s="7"/>
      <c r="S11" s="7"/>
      <c r="T11" s="7"/>
      <c r="U11" s="7"/>
      <c r="V11" s="7"/>
      <c r="W11" s="7"/>
      <c r="X11" s="7"/>
      <c r="Y11" s="7"/>
      <c r="Z11" s="7"/>
      <c r="AA11" s="7"/>
      <c r="AB11" s="7"/>
      <c r="AC11" s="7"/>
      <c r="AD11" s="7"/>
      <c r="AE11" s="7"/>
      <c r="AF11" s="7"/>
      <c r="AG11" s="7"/>
      <c r="AH11" s="7">
        <v>1</v>
      </c>
      <c r="AI11" s="7">
        <v>28</v>
      </c>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8"/>
      <c r="CK11" s="8"/>
      <c r="CL11" s="19">
        <v>4</v>
      </c>
      <c r="CM11" s="8">
        <v>89</v>
      </c>
      <c r="CN11" s="9"/>
      <c r="CO11" s="9"/>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row>
    <row r="12" spans="1:210">
      <c r="A12" s="5" t="s">
        <v>51</v>
      </c>
      <c r="B12" s="6">
        <v>1</v>
      </c>
      <c r="C12" s="6">
        <v>54</v>
      </c>
      <c r="D12" s="7"/>
      <c r="E12" s="7"/>
      <c r="F12" s="7">
        <v>2</v>
      </c>
      <c r="G12" s="7">
        <v>446</v>
      </c>
      <c r="H12" s="7"/>
      <c r="I12" s="7"/>
      <c r="J12" s="7"/>
      <c r="K12" s="7"/>
      <c r="L12" s="7">
        <v>1</v>
      </c>
      <c r="M12" s="7">
        <v>14</v>
      </c>
      <c r="N12" s="7">
        <v>1</v>
      </c>
      <c r="O12" s="7">
        <v>8</v>
      </c>
      <c r="P12" s="7"/>
      <c r="Q12" s="7"/>
      <c r="R12" s="7"/>
      <c r="S12" s="7"/>
      <c r="T12" s="7"/>
      <c r="U12" s="7"/>
      <c r="V12" s="7"/>
      <c r="W12" s="7"/>
      <c r="X12" s="7"/>
      <c r="Y12" s="7"/>
      <c r="Z12" s="7"/>
      <c r="AA12" s="7"/>
      <c r="AB12" s="7"/>
      <c r="AC12" s="7"/>
      <c r="AD12" s="7"/>
      <c r="AE12" s="7"/>
      <c r="AF12" s="7">
        <v>1</v>
      </c>
      <c r="AG12" s="7">
        <v>200</v>
      </c>
      <c r="AH12" s="7">
        <v>2</v>
      </c>
      <c r="AI12" s="7">
        <v>207</v>
      </c>
      <c r="AJ12" s="7">
        <v>4</v>
      </c>
      <c r="AK12" s="7">
        <v>1703</v>
      </c>
      <c r="AL12" s="7">
        <v>1</v>
      </c>
      <c r="AM12" s="7">
        <v>330</v>
      </c>
      <c r="AN12" s="7"/>
      <c r="AO12" s="7"/>
      <c r="AP12" s="7"/>
      <c r="AQ12" s="7"/>
      <c r="AR12" s="7"/>
      <c r="AS12" s="7"/>
      <c r="AT12" s="7"/>
      <c r="AU12" s="7"/>
      <c r="AV12" s="7"/>
      <c r="AW12" s="7"/>
      <c r="AX12" s="7"/>
      <c r="AY12" s="7"/>
      <c r="AZ12" s="7"/>
      <c r="BA12" s="7"/>
      <c r="BB12" s="7">
        <v>2</v>
      </c>
      <c r="BC12" s="7">
        <v>324</v>
      </c>
      <c r="BD12" s="7">
        <v>1</v>
      </c>
      <c r="BE12" s="7">
        <v>222</v>
      </c>
      <c r="BF12" s="7"/>
      <c r="BG12" s="7"/>
      <c r="BH12" s="7"/>
      <c r="BI12" s="7"/>
      <c r="BJ12" s="7"/>
      <c r="BK12" s="7"/>
      <c r="BL12" s="7"/>
      <c r="BM12" s="7"/>
      <c r="BN12" s="7"/>
      <c r="BO12" s="7"/>
      <c r="BP12" s="7"/>
      <c r="BQ12" s="7"/>
      <c r="BR12" s="7">
        <v>1</v>
      </c>
      <c r="BS12" s="7">
        <v>40</v>
      </c>
      <c r="BT12" s="7">
        <v>1</v>
      </c>
      <c r="BU12" s="7">
        <v>30</v>
      </c>
      <c r="BV12" s="7"/>
      <c r="BW12" s="7"/>
      <c r="BX12" s="7"/>
      <c r="BY12" s="7"/>
      <c r="BZ12" s="7">
        <v>1</v>
      </c>
      <c r="CA12" s="7">
        <v>28</v>
      </c>
      <c r="CB12" s="7"/>
      <c r="CC12" s="7"/>
      <c r="CD12" s="7"/>
      <c r="CE12" s="7"/>
      <c r="CF12" s="7"/>
      <c r="CG12" s="7"/>
      <c r="CH12" s="7"/>
      <c r="CI12" s="7"/>
      <c r="CJ12" s="8"/>
      <c r="CK12" s="8"/>
      <c r="CL12" s="19">
        <v>19</v>
      </c>
      <c r="CM12" s="8">
        <v>3606</v>
      </c>
      <c r="CN12" s="9"/>
      <c r="CO12" s="9"/>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row>
    <row r="13" spans="1:210">
      <c r="A13" s="5" t="s">
        <v>52</v>
      </c>
      <c r="B13" s="6">
        <v>1</v>
      </c>
      <c r="C13" s="6">
        <v>38</v>
      </c>
      <c r="D13" s="7"/>
      <c r="E13" s="7"/>
      <c r="F13" s="7"/>
      <c r="G13" s="7"/>
      <c r="H13" s="7"/>
      <c r="I13" s="7"/>
      <c r="J13" s="7">
        <v>1</v>
      </c>
      <c r="K13" s="7">
        <v>50</v>
      </c>
      <c r="L13" s="7">
        <v>3</v>
      </c>
      <c r="M13" s="7">
        <v>36</v>
      </c>
      <c r="N13" s="7">
        <v>3</v>
      </c>
      <c r="O13" s="7">
        <v>40</v>
      </c>
      <c r="P13" s="7"/>
      <c r="Q13" s="7"/>
      <c r="R13" s="7">
        <v>1</v>
      </c>
      <c r="S13" s="7">
        <v>500</v>
      </c>
      <c r="T13" s="7"/>
      <c r="U13" s="7"/>
      <c r="V13" s="7"/>
      <c r="W13" s="7"/>
      <c r="X13" s="7"/>
      <c r="Y13" s="7"/>
      <c r="Z13" s="7"/>
      <c r="AA13" s="7"/>
      <c r="AB13" s="7"/>
      <c r="AC13" s="7"/>
      <c r="AD13" s="7"/>
      <c r="AE13" s="7"/>
      <c r="AF13" s="7"/>
      <c r="AG13" s="7"/>
      <c r="AH13" s="7"/>
      <c r="AI13" s="7"/>
      <c r="AJ13" s="7">
        <v>1</v>
      </c>
      <c r="AK13" s="7">
        <v>16</v>
      </c>
      <c r="AL13" s="7"/>
      <c r="AM13" s="7"/>
      <c r="AN13" s="7"/>
      <c r="AO13" s="7"/>
      <c r="AP13" s="7"/>
      <c r="AQ13" s="7"/>
      <c r="AR13" s="7"/>
      <c r="AS13" s="7"/>
      <c r="AT13" s="7"/>
      <c r="AU13" s="7"/>
      <c r="AV13" s="7"/>
      <c r="AW13" s="7"/>
      <c r="AX13" s="7"/>
      <c r="AY13" s="7"/>
      <c r="AZ13" s="7"/>
      <c r="BA13" s="7"/>
      <c r="BB13" s="7"/>
      <c r="BC13" s="7"/>
      <c r="BD13" s="7">
        <v>1</v>
      </c>
      <c r="BE13" s="7">
        <v>89</v>
      </c>
      <c r="BF13" s="7"/>
      <c r="BG13" s="7"/>
      <c r="BH13" s="7"/>
      <c r="BI13" s="7"/>
      <c r="BJ13" s="7"/>
      <c r="BK13" s="7"/>
      <c r="BL13" s="7"/>
      <c r="BM13" s="7"/>
      <c r="BN13" s="7"/>
      <c r="BO13" s="7"/>
      <c r="BP13" s="7"/>
      <c r="BQ13" s="7"/>
      <c r="BR13" s="7">
        <v>1</v>
      </c>
      <c r="BS13" s="7">
        <v>15</v>
      </c>
      <c r="BT13" s="7">
        <v>1</v>
      </c>
      <c r="BU13" s="7">
        <v>12</v>
      </c>
      <c r="BV13" s="7"/>
      <c r="BW13" s="7"/>
      <c r="BX13" s="7"/>
      <c r="BY13" s="7"/>
      <c r="BZ13" s="7"/>
      <c r="CA13" s="7"/>
      <c r="CB13" s="7"/>
      <c r="CC13" s="7"/>
      <c r="CD13" s="7"/>
      <c r="CE13" s="7"/>
      <c r="CF13" s="7"/>
      <c r="CG13" s="7"/>
      <c r="CH13" s="7"/>
      <c r="CI13" s="7"/>
      <c r="CJ13" s="8"/>
      <c r="CK13" s="8"/>
      <c r="CL13" s="19">
        <v>13</v>
      </c>
      <c r="CM13" s="8">
        <v>796</v>
      </c>
      <c r="CN13" s="9"/>
      <c r="CO13" s="9"/>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row>
    <row r="14" spans="1:210">
      <c r="A14" s="5" t="s">
        <v>53</v>
      </c>
      <c r="B14" s="6"/>
      <c r="C14" s="6"/>
      <c r="D14" s="7"/>
      <c r="E14" s="7"/>
      <c r="F14" s="7"/>
      <c r="G14" s="7"/>
      <c r="H14" s="7"/>
      <c r="I14" s="7"/>
      <c r="J14" s="7"/>
      <c r="K14" s="7"/>
      <c r="L14" s="7"/>
      <c r="M14" s="7"/>
      <c r="N14" s="7">
        <v>3</v>
      </c>
      <c r="O14" s="7">
        <v>35</v>
      </c>
      <c r="P14" s="7"/>
      <c r="Q14" s="7"/>
      <c r="R14" s="7"/>
      <c r="S14" s="7"/>
      <c r="T14" s="7"/>
      <c r="U14" s="7"/>
      <c r="V14" s="7"/>
      <c r="W14" s="7"/>
      <c r="X14" s="7"/>
      <c r="Y14" s="7"/>
      <c r="Z14" s="7"/>
      <c r="AA14" s="7"/>
      <c r="AB14" s="7"/>
      <c r="AC14" s="7"/>
      <c r="AD14" s="7"/>
      <c r="AE14" s="7"/>
      <c r="AF14" s="7"/>
      <c r="AG14" s="7"/>
      <c r="AH14" s="7">
        <v>2</v>
      </c>
      <c r="AI14" s="7">
        <v>121</v>
      </c>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v>1</v>
      </c>
      <c r="BU14" s="7">
        <v>75</v>
      </c>
      <c r="BV14" s="7"/>
      <c r="BW14" s="7"/>
      <c r="BX14" s="7"/>
      <c r="BY14" s="7"/>
      <c r="BZ14" s="7"/>
      <c r="CA14" s="7"/>
      <c r="CB14" s="7"/>
      <c r="CC14" s="7"/>
      <c r="CD14" s="7"/>
      <c r="CE14" s="7"/>
      <c r="CF14" s="7"/>
      <c r="CG14" s="7"/>
      <c r="CH14" s="7"/>
      <c r="CI14" s="7"/>
      <c r="CJ14" s="8"/>
      <c r="CK14" s="8"/>
      <c r="CL14" s="19">
        <v>6</v>
      </c>
      <c r="CM14" s="8">
        <v>231</v>
      </c>
      <c r="CN14" s="9"/>
      <c r="CO14" s="9"/>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row>
    <row r="15" spans="1:210">
      <c r="A15" s="5" t="s">
        <v>54</v>
      </c>
      <c r="B15" s="6"/>
      <c r="C15" s="6"/>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v>1</v>
      </c>
      <c r="AU15" s="7">
        <v>33</v>
      </c>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8"/>
      <c r="CK15" s="8"/>
      <c r="CL15" s="19">
        <v>1</v>
      </c>
      <c r="CM15" s="8">
        <v>33</v>
      </c>
      <c r="CN15" s="9"/>
      <c r="CO15" s="9"/>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row>
    <row r="16" spans="1:210">
      <c r="A16" s="5" t="s">
        <v>55</v>
      </c>
      <c r="B16" s="6"/>
      <c r="C16" s="6"/>
      <c r="D16" s="7"/>
      <c r="E16" s="7"/>
      <c r="F16" s="7"/>
      <c r="G16" s="7"/>
      <c r="H16" s="7"/>
      <c r="I16" s="7"/>
      <c r="J16" s="7"/>
      <c r="K16" s="7"/>
      <c r="L16" s="7">
        <v>1</v>
      </c>
      <c r="M16" s="7">
        <v>12</v>
      </c>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8"/>
      <c r="CK16" s="8"/>
      <c r="CL16" s="19">
        <v>1</v>
      </c>
      <c r="CM16" s="8">
        <v>12</v>
      </c>
      <c r="CN16" s="9"/>
      <c r="CO16" s="9"/>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row>
    <row r="17" spans="1:210">
      <c r="A17" s="5" t="s">
        <v>56</v>
      </c>
      <c r="B17" s="6"/>
      <c r="C17" s="6"/>
      <c r="D17" s="7"/>
      <c r="E17" s="7"/>
      <c r="F17" s="7"/>
      <c r="G17" s="7"/>
      <c r="H17" s="7"/>
      <c r="I17" s="7"/>
      <c r="J17" s="7"/>
      <c r="K17" s="7"/>
      <c r="L17" s="7">
        <v>10</v>
      </c>
      <c r="M17" s="7">
        <v>105</v>
      </c>
      <c r="N17" s="7"/>
      <c r="O17" s="7"/>
      <c r="P17" s="7"/>
      <c r="Q17" s="7"/>
      <c r="R17" s="7"/>
      <c r="S17" s="7"/>
      <c r="T17" s="7"/>
      <c r="U17" s="7"/>
      <c r="V17" s="7"/>
      <c r="W17" s="7"/>
      <c r="X17" s="7"/>
      <c r="Y17" s="7"/>
      <c r="Z17" s="7"/>
      <c r="AA17" s="7"/>
      <c r="AB17" s="7"/>
      <c r="AC17" s="7"/>
      <c r="AD17" s="7"/>
      <c r="AE17" s="7"/>
      <c r="AF17" s="7"/>
      <c r="AG17" s="7"/>
      <c r="AH17" s="7"/>
      <c r="AI17" s="7"/>
      <c r="AJ17" s="7">
        <v>1</v>
      </c>
      <c r="AK17" s="7">
        <v>38</v>
      </c>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v>1</v>
      </c>
      <c r="CA17" s="7">
        <v>30</v>
      </c>
      <c r="CB17" s="7"/>
      <c r="CC17" s="7"/>
      <c r="CD17" s="7"/>
      <c r="CE17" s="7"/>
      <c r="CF17" s="7"/>
      <c r="CG17" s="7"/>
      <c r="CH17" s="7"/>
      <c r="CI17" s="7"/>
      <c r="CJ17" s="8"/>
      <c r="CK17" s="8"/>
      <c r="CL17" s="19">
        <v>12</v>
      </c>
      <c r="CM17" s="8">
        <v>173</v>
      </c>
      <c r="CN17" s="9"/>
      <c r="CO17" s="9"/>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row>
    <row r="18" spans="1:210">
      <c r="A18" s="5" t="s">
        <v>57</v>
      </c>
      <c r="B18" s="6">
        <v>21</v>
      </c>
      <c r="C18" s="6">
        <v>1527</v>
      </c>
      <c r="D18" s="7">
        <v>33</v>
      </c>
      <c r="E18" s="7">
        <v>5063</v>
      </c>
      <c r="F18" s="7">
        <v>30</v>
      </c>
      <c r="G18" s="7">
        <v>5469</v>
      </c>
      <c r="H18" s="7">
        <v>4</v>
      </c>
      <c r="I18" s="7">
        <v>767</v>
      </c>
      <c r="J18" s="7"/>
      <c r="K18" s="7"/>
      <c r="L18" s="7">
        <v>4</v>
      </c>
      <c r="M18" s="7">
        <v>52</v>
      </c>
      <c r="N18" s="7"/>
      <c r="O18" s="7"/>
      <c r="P18" s="7"/>
      <c r="Q18" s="7"/>
      <c r="R18" s="7"/>
      <c r="S18" s="7"/>
      <c r="T18" s="7"/>
      <c r="U18" s="7"/>
      <c r="V18" s="7"/>
      <c r="W18" s="7"/>
      <c r="X18" s="7"/>
      <c r="Y18" s="7"/>
      <c r="Z18" s="7"/>
      <c r="AA18" s="7"/>
      <c r="AB18" s="7">
        <v>1</v>
      </c>
      <c r="AC18" s="7">
        <v>1118</v>
      </c>
      <c r="AD18" s="7">
        <v>3</v>
      </c>
      <c r="AE18" s="7">
        <v>203</v>
      </c>
      <c r="AF18" s="7">
        <v>15</v>
      </c>
      <c r="AG18" s="7">
        <v>2646</v>
      </c>
      <c r="AH18" s="7">
        <v>61</v>
      </c>
      <c r="AI18" s="7">
        <v>20423</v>
      </c>
      <c r="AJ18" s="7">
        <v>36</v>
      </c>
      <c r="AK18" s="7">
        <v>10248</v>
      </c>
      <c r="AL18" s="7">
        <v>4</v>
      </c>
      <c r="AM18" s="7">
        <v>738</v>
      </c>
      <c r="AN18" s="7">
        <v>1</v>
      </c>
      <c r="AO18" s="7">
        <v>27</v>
      </c>
      <c r="AP18" s="7"/>
      <c r="AQ18" s="7"/>
      <c r="AR18" s="7"/>
      <c r="AS18" s="7"/>
      <c r="AT18" s="7"/>
      <c r="AU18" s="7"/>
      <c r="AV18" s="7"/>
      <c r="AW18" s="7"/>
      <c r="AX18" s="7"/>
      <c r="AY18" s="7"/>
      <c r="AZ18" s="7">
        <v>2</v>
      </c>
      <c r="BA18" s="7">
        <v>159</v>
      </c>
      <c r="BB18" s="7">
        <v>19</v>
      </c>
      <c r="BC18" s="7">
        <v>9323</v>
      </c>
      <c r="BD18" s="7">
        <v>2</v>
      </c>
      <c r="BE18" s="7">
        <v>581</v>
      </c>
      <c r="BF18" s="7"/>
      <c r="BG18" s="7"/>
      <c r="BH18" s="7"/>
      <c r="BI18" s="7"/>
      <c r="BJ18" s="7"/>
      <c r="BK18" s="7"/>
      <c r="BL18" s="7"/>
      <c r="BM18" s="7"/>
      <c r="BN18" s="7"/>
      <c r="BO18" s="7"/>
      <c r="BP18" s="7"/>
      <c r="BQ18" s="7"/>
      <c r="BR18" s="7">
        <v>4</v>
      </c>
      <c r="BS18" s="7">
        <v>189</v>
      </c>
      <c r="BT18" s="7">
        <v>7</v>
      </c>
      <c r="BU18" s="7">
        <v>446</v>
      </c>
      <c r="BV18" s="7">
        <v>3</v>
      </c>
      <c r="BW18" s="7">
        <v>128</v>
      </c>
      <c r="BX18" s="7">
        <v>9</v>
      </c>
      <c r="BY18" s="7">
        <v>345</v>
      </c>
      <c r="BZ18" s="7">
        <v>4</v>
      </c>
      <c r="CA18" s="7">
        <v>180</v>
      </c>
      <c r="CB18" s="7">
        <v>2</v>
      </c>
      <c r="CC18" s="7">
        <v>86</v>
      </c>
      <c r="CD18" s="7"/>
      <c r="CE18" s="7"/>
      <c r="CF18" s="7">
        <v>2</v>
      </c>
      <c r="CG18" s="7">
        <v>32</v>
      </c>
      <c r="CH18" s="7"/>
      <c r="CI18" s="7"/>
      <c r="CJ18" s="8"/>
      <c r="CK18" s="8"/>
      <c r="CL18" s="19">
        <v>267</v>
      </c>
      <c r="CM18" s="8">
        <v>59750</v>
      </c>
      <c r="CN18" s="9"/>
      <c r="CO18" s="9"/>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row>
    <row r="19" spans="1:210">
      <c r="A19" s="5" t="s">
        <v>58</v>
      </c>
      <c r="B19" s="6"/>
      <c r="C19" s="6"/>
      <c r="D19" s="7"/>
      <c r="E19" s="7"/>
      <c r="F19" s="7"/>
      <c r="G19" s="7"/>
      <c r="H19" s="7"/>
      <c r="I19" s="7"/>
      <c r="J19" s="7">
        <v>1</v>
      </c>
      <c r="K19" s="7">
        <v>50</v>
      </c>
      <c r="L19" s="7">
        <v>2</v>
      </c>
      <c r="M19" s="7">
        <v>33</v>
      </c>
      <c r="N19" s="7">
        <v>1</v>
      </c>
      <c r="O19" s="7">
        <v>12</v>
      </c>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8"/>
      <c r="CK19" s="8"/>
      <c r="CL19" s="19">
        <v>4</v>
      </c>
      <c r="CM19" s="8">
        <v>95</v>
      </c>
      <c r="CN19" s="9"/>
      <c r="CO19" s="9"/>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row>
    <row r="20" spans="1:210">
      <c r="A20" s="5" t="s">
        <v>59</v>
      </c>
      <c r="B20" s="6"/>
      <c r="C20" s="6"/>
      <c r="D20" s="7"/>
      <c r="E20" s="7"/>
      <c r="F20" s="7"/>
      <c r="G20" s="7"/>
      <c r="H20" s="7"/>
      <c r="I20" s="7"/>
      <c r="J20" s="7">
        <v>1</v>
      </c>
      <c r="K20" s="7">
        <v>20</v>
      </c>
      <c r="L20" s="7">
        <v>12</v>
      </c>
      <c r="M20" s="7">
        <v>155</v>
      </c>
      <c r="N20" s="7"/>
      <c r="O20" s="7"/>
      <c r="P20" s="7"/>
      <c r="Q20" s="7"/>
      <c r="R20" s="7"/>
      <c r="S20" s="7"/>
      <c r="T20" s="7"/>
      <c r="U20" s="7"/>
      <c r="V20" s="7"/>
      <c r="W20" s="7"/>
      <c r="X20" s="7"/>
      <c r="Y20" s="7"/>
      <c r="Z20" s="7"/>
      <c r="AA20" s="7"/>
      <c r="AB20" s="7"/>
      <c r="AC20" s="7"/>
      <c r="AD20" s="7"/>
      <c r="AE20" s="7"/>
      <c r="AF20" s="7">
        <v>1</v>
      </c>
      <c r="AG20" s="7">
        <v>37</v>
      </c>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v>1</v>
      </c>
      <c r="BY20" s="7">
        <v>41</v>
      </c>
      <c r="BZ20" s="7"/>
      <c r="CA20" s="7"/>
      <c r="CB20" s="7"/>
      <c r="CC20" s="7"/>
      <c r="CD20" s="7"/>
      <c r="CE20" s="7"/>
      <c r="CF20" s="7"/>
      <c r="CG20" s="7"/>
      <c r="CH20" s="7"/>
      <c r="CI20" s="7"/>
      <c r="CJ20" s="8"/>
      <c r="CK20" s="8"/>
      <c r="CL20" s="19">
        <v>15</v>
      </c>
      <c r="CM20" s="8">
        <v>253</v>
      </c>
      <c r="CN20" s="9"/>
      <c r="CO20" s="9"/>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row>
    <row r="21" spans="1:210">
      <c r="A21" s="5" t="s">
        <v>60</v>
      </c>
      <c r="B21" s="6">
        <v>14</v>
      </c>
      <c r="C21" s="6">
        <v>822</v>
      </c>
      <c r="D21" s="7">
        <v>14</v>
      </c>
      <c r="E21" s="7">
        <v>861</v>
      </c>
      <c r="F21" s="7">
        <v>8</v>
      </c>
      <c r="G21" s="7">
        <v>1391</v>
      </c>
      <c r="H21" s="7"/>
      <c r="I21" s="7"/>
      <c r="J21" s="7"/>
      <c r="K21" s="7"/>
      <c r="L21" s="7">
        <v>2</v>
      </c>
      <c r="M21" s="7">
        <v>32</v>
      </c>
      <c r="N21" s="7"/>
      <c r="O21" s="7"/>
      <c r="P21" s="7"/>
      <c r="Q21" s="7"/>
      <c r="R21" s="7"/>
      <c r="S21" s="7"/>
      <c r="T21" s="7"/>
      <c r="U21" s="7"/>
      <c r="V21" s="7"/>
      <c r="W21" s="7"/>
      <c r="X21" s="7"/>
      <c r="Y21" s="7"/>
      <c r="Z21" s="7"/>
      <c r="AA21" s="7"/>
      <c r="AB21" s="7">
        <v>1</v>
      </c>
      <c r="AC21" s="7">
        <v>840</v>
      </c>
      <c r="AD21" s="7">
        <v>7</v>
      </c>
      <c r="AE21" s="7">
        <v>373</v>
      </c>
      <c r="AF21" s="7">
        <v>3</v>
      </c>
      <c r="AG21" s="7">
        <v>520</v>
      </c>
      <c r="AH21" s="7">
        <v>18</v>
      </c>
      <c r="AI21" s="7">
        <v>4430</v>
      </c>
      <c r="AJ21" s="7">
        <v>9</v>
      </c>
      <c r="AK21" s="7">
        <v>2243</v>
      </c>
      <c r="AL21" s="7">
        <v>2</v>
      </c>
      <c r="AM21" s="7">
        <v>437</v>
      </c>
      <c r="AN21" s="7"/>
      <c r="AO21" s="7"/>
      <c r="AP21" s="7"/>
      <c r="AQ21" s="7"/>
      <c r="AR21" s="7"/>
      <c r="AS21" s="7"/>
      <c r="AT21" s="7"/>
      <c r="AU21" s="7"/>
      <c r="AV21" s="7"/>
      <c r="AW21" s="7"/>
      <c r="AX21" s="7">
        <v>2</v>
      </c>
      <c r="AY21" s="7">
        <v>106</v>
      </c>
      <c r="AZ21" s="7">
        <v>2</v>
      </c>
      <c r="BA21" s="7">
        <v>226</v>
      </c>
      <c r="BB21" s="7">
        <v>5</v>
      </c>
      <c r="BC21" s="7">
        <v>1608</v>
      </c>
      <c r="BD21" s="7">
        <v>6</v>
      </c>
      <c r="BE21" s="7">
        <v>2818</v>
      </c>
      <c r="BF21" s="7"/>
      <c r="BG21" s="7"/>
      <c r="BH21" s="7"/>
      <c r="BI21" s="7"/>
      <c r="BJ21" s="7"/>
      <c r="BK21" s="7"/>
      <c r="BL21" s="7"/>
      <c r="BM21" s="7"/>
      <c r="BN21" s="7"/>
      <c r="BO21" s="7"/>
      <c r="BP21" s="7"/>
      <c r="BQ21" s="7"/>
      <c r="BR21" s="7">
        <v>10</v>
      </c>
      <c r="BS21" s="7">
        <v>1187</v>
      </c>
      <c r="BT21" s="7">
        <v>7</v>
      </c>
      <c r="BU21" s="7">
        <v>420</v>
      </c>
      <c r="BV21" s="7">
        <v>1</v>
      </c>
      <c r="BW21" s="7">
        <v>22</v>
      </c>
      <c r="BX21" s="7">
        <v>8</v>
      </c>
      <c r="BY21" s="7">
        <v>264</v>
      </c>
      <c r="BZ21" s="7">
        <v>2</v>
      </c>
      <c r="CA21" s="7">
        <v>83</v>
      </c>
      <c r="CB21" s="7"/>
      <c r="CC21" s="7"/>
      <c r="CD21" s="7"/>
      <c r="CE21" s="7"/>
      <c r="CF21" s="7"/>
      <c r="CG21" s="7"/>
      <c r="CH21" s="7">
        <v>1</v>
      </c>
      <c r="CI21" s="7">
        <v>68</v>
      </c>
      <c r="CJ21" s="8"/>
      <c r="CK21" s="8"/>
      <c r="CL21" s="19">
        <v>122</v>
      </c>
      <c r="CM21" s="8">
        <v>18751</v>
      </c>
      <c r="CN21" s="9"/>
      <c r="CO21" s="9"/>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row>
    <row r="22" spans="1:210">
      <c r="A22" s="5" t="s">
        <v>61</v>
      </c>
      <c r="B22" s="6"/>
      <c r="C22" s="6"/>
      <c r="D22" s="7"/>
      <c r="E22" s="7"/>
      <c r="F22" s="7"/>
      <c r="G22" s="7"/>
      <c r="H22" s="7"/>
      <c r="I22" s="7"/>
      <c r="J22" s="7"/>
      <c r="K22" s="7"/>
      <c r="L22" s="7"/>
      <c r="M22" s="7"/>
      <c r="N22" s="7">
        <v>1</v>
      </c>
      <c r="O22" s="7">
        <v>16</v>
      </c>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8"/>
      <c r="CK22" s="8"/>
      <c r="CL22" s="19">
        <v>1</v>
      </c>
      <c r="CM22" s="8">
        <v>16</v>
      </c>
      <c r="CN22" s="9"/>
      <c r="CO22" s="9"/>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row>
    <row r="23" spans="1:210">
      <c r="A23" s="5" t="s">
        <v>62</v>
      </c>
      <c r="B23" s="6"/>
      <c r="C23" s="6"/>
      <c r="D23" s="7"/>
      <c r="E23" s="7"/>
      <c r="F23" s="7"/>
      <c r="G23" s="7"/>
      <c r="H23" s="7"/>
      <c r="I23" s="7"/>
      <c r="J23" s="7"/>
      <c r="K23" s="7"/>
      <c r="L23" s="7">
        <v>1</v>
      </c>
      <c r="M23" s="7">
        <v>16</v>
      </c>
      <c r="N23" s="7">
        <v>1</v>
      </c>
      <c r="O23" s="7">
        <v>16</v>
      </c>
      <c r="P23" s="7"/>
      <c r="Q23" s="7"/>
      <c r="R23" s="7"/>
      <c r="S23" s="7"/>
      <c r="T23" s="7"/>
      <c r="U23" s="7"/>
      <c r="V23" s="7"/>
      <c r="W23" s="7"/>
      <c r="X23" s="7"/>
      <c r="Y23" s="7"/>
      <c r="Z23" s="7"/>
      <c r="AA23" s="7"/>
      <c r="AB23" s="7"/>
      <c r="AC23" s="7"/>
      <c r="AD23" s="7">
        <v>1</v>
      </c>
      <c r="AE23" s="7">
        <v>79</v>
      </c>
      <c r="AF23" s="7"/>
      <c r="AG23" s="7"/>
      <c r="AH23" s="7"/>
      <c r="AI23" s="7"/>
      <c r="AJ23" s="7">
        <v>2</v>
      </c>
      <c r="AK23" s="7">
        <v>288</v>
      </c>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v>1</v>
      </c>
      <c r="BS23" s="7">
        <v>14</v>
      </c>
      <c r="BT23" s="7"/>
      <c r="BU23" s="7"/>
      <c r="BV23" s="7"/>
      <c r="BW23" s="7"/>
      <c r="BX23" s="7"/>
      <c r="BY23" s="7"/>
      <c r="BZ23" s="7"/>
      <c r="CA23" s="7"/>
      <c r="CB23" s="7"/>
      <c r="CC23" s="7"/>
      <c r="CD23" s="7"/>
      <c r="CE23" s="7"/>
      <c r="CF23" s="7"/>
      <c r="CG23" s="7"/>
      <c r="CH23" s="7">
        <v>1</v>
      </c>
      <c r="CI23" s="7">
        <v>17</v>
      </c>
      <c r="CJ23" s="8"/>
      <c r="CK23" s="8"/>
      <c r="CL23" s="19">
        <v>7</v>
      </c>
      <c r="CM23" s="8">
        <v>430</v>
      </c>
      <c r="CN23" s="9"/>
      <c r="CO23" s="9"/>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row>
    <row r="24" spans="1:210">
      <c r="A24" s="5" t="s">
        <v>63</v>
      </c>
      <c r="B24" s="6"/>
      <c r="C24" s="6"/>
      <c r="D24" s="7"/>
      <c r="E24" s="7"/>
      <c r="F24" s="7"/>
      <c r="G24" s="7"/>
      <c r="H24" s="7"/>
      <c r="I24" s="7"/>
      <c r="J24" s="7"/>
      <c r="K24" s="7"/>
      <c r="L24" s="7">
        <v>2</v>
      </c>
      <c r="M24" s="7">
        <v>26</v>
      </c>
      <c r="N24" s="7"/>
      <c r="O24" s="7"/>
      <c r="P24" s="7"/>
      <c r="Q24" s="7"/>
      <c r="R24" s="7"/>
      <c r="S24" s="7"/>
      <c r="T24" s="7"/>
      <c r="U24" s="7"/>
      <c r="V24" s="7"/>
      <c r="W24" s="7"/>
      <c r="X24" s="7"/>
      <c r="Y24" s="7"/>
      <c r="Z24" s="7"/>
      <c r="AA24" s="7"/>
      <c r="AB24" s="7"/>
      <c r="AC24" s="7"/>
      <c r="AD24" s="7"/>
      <c r="AE24" s="7"/>
      <c r="AF24" s="7"/>
      <c r="AG24" s="7"/>
      <c r="AH24" s="7"/>
      <c r="AI24" s="7"/>
      <c r="AJ24" s="7">
        <v>1</v>
      </c>
      <c r="AK24" s="7">
        <v>37</v>
      </c>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v>1</v>
      </c>
      <c r="BS24" s="7">
        <v>16</v>
      </c>
      <c r="BT24" s="7"/>
      <c r="BU24" s="7"/>
      <c r="BV24" s="7"/>
      <c r="BW24" s="7"/>
      <c r="BX24" s="7"/>
      <c r="BY24" s="7"/>
      <c r="BZ24" s="7"/>
      <c r="CA24" s="7"/>
      <c r="CB24" s="7"/>
      <c r="CC24" s="7"/>
      <c r="CD24" s="7"/>
      <c r="CE24" s="7"/>
      <c r="CF24" s="7"/>
      <c r="CG24" s="7"/>
      <c r="CH24" s="7"/>
      <c r="CI24" s="7"/>
      <c r="CJ24" s="8"/>
      <c r="CK24" s="8"/>
      <c r="CL24" s="19">
        <v>4</v>
      </c>
      <c r="CM24" s="8">
        <v>79</v>
      </c>
      <c r="CN24" s="9"/>
      <c r="CO24" s="9"/>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row>
    <row r="25" spans="1:210">
      <c r="A25" s="5" t="s">
        <v>64</v>
      </c>
      <c r="B25" s="6"/>
      <c r="C25" s="6"/>
      <c r="D25" s="7"/>
      <c r="E25" s="7"/>
      <c r="F25" s="7"/>
      <c r="G25" s="7"/>
      <c r="H25" s="7"/>
      <c r="I25" s="7"/>
      <c r="J25" s="7"/>
      <c r="K25" s="7"/>
      <c r="L25" s="7"/>
      <c r="M25" s="7"/>
      <c r="N25" s="7">
        <v>2</v>
      </c>
      <c r="O25" s="7">
        <v>26</v>
      </c>
      <c r="P25" s="7"/>
      <c r="Q25" s="7"/>
      <c r="R25" s="7"/>
      <c r="S25" s="7"/>
      <c r="T25" s="7"/>
      <c r="U25" s="7"/>
      <c r="V25" s="7"/>
      <c r="W25" s="7"/>
      <c r="X25" s="7"/>
      <c r="Y25" s="7"/>
      <c r="Z25" s="7"/>
      <c r="AA25" s="7"/>
      <c r="AB25" s="7"/>
      <c r="AC25" s="7"/>
      <c r="AD25" s="7"/>
      <c r="AE25" s="7"/>
      <c r="AF25" s="7">
        <v>1</v>
      </c>
      <c r="AG25" s="7">
        <v>101</v>
      </c>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8"/>
      <c r="CK25" s="8"/>
      <c r="CL25" s="19">
        <v>3</v>
      </c>
      <c r="CM25" s="8">
        <v>127</v>
      </c>
      <c r="CN25" s="9"/>
      <c r="CO25" s="9"/>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row>
    <row r="26" spans="1:210">
      <c r="A26" s="5" t="s">
        <v>65</v>
      </c>
      <c r="B26" s="6">
        <v>14</v>
      </c>
      <c r="C26" s="6">
        <v>407</v>
      </c>
      <c r="D26" s="7">
        <v>11</v>
      </c>
      <c r="E26" s="7">
        <v>1829</v>
      </c>
      <c r="F26" s="7">
        <v>2</v>
      </c>
      <c r="G26" s="7">
        <v>405</v>
      </c>
      <c r="H26" s="7"/>
      <c r="I26" s="7"/>
      <c r="J26" s="7">
        <v>3</v>
      </c>
      <c r="K26" s="7">
        <v>74</v>
      </c>
      <c r="L26" s="7">
        <v>6</v>
      </c>
      <c r="M26" s="7">
        <v>80</v>
      </c>
      <c r="N26" s="7"/>
      <c r="O26" s="7"/>
      <c r="P26" s="7"/>
      <c r="Q26" s="7"/>
      <c r="R26" s="7"/>
      <c r="S26" s="7"/>
      <c r="T26" s="7"/>
      <c r="U26" s="7"/>
      <c r="V26" s="7"/>
      <c r="W26" s="7"/>
      <c r="X26" s="7"/>
      <c r="Y26" s="7"/>
      <c r="Z26" s="7"/>
      <c r="AA26" s="7"/>
      <c r="AB26" s="7"/>
      <c r="AC26" s="7"/>
      <c r="AD26" s="7">
        <v>2</v>
      </c>
      <c r="AE26" s="7">
        <v>158</v>
      </c>
      <c r="AF26" s="7">
        <v>1</v>
      </c>
      <c r="AG26" s="7">
        <v>42</v>
      </c>
      <c r="AH26" s="7">
        <v>6</v>
      </c>
      <c r="AI26" s="7">
        <v>2242</v>
      </c>
      <c r="AJ26" s="7">
        <v>2</v>
      </c>
      <c r="AK26" s="7">
        <v>822</v>
      </c>
      <c r="AL26" s="7">
        <v>1</v>
      </c>
      <c r="AM26" s="7">
        <v>20</v>
      </c>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v>1</v>
      </c>
      <c r="BS26" s="7">
        <v>35</v>
      </c>
      <c r="BT26" s="7"/>
      <c r="BU26" s="7"/>
      <c r="BV26" s="7"/>
      <c r="BW26" s="7"/>
      <c r="BX26" s="7">
        <v>3</v>
      </c>
      <c r="BY26" s="7">
        <v>130</v>
      </c>
      <c r="BZ26" s="7"/>
      <c r="CA26" s="7"/>
      <c r="CB26" s="7"/>
      <c r="CC26" s="7"/>
      <c r="CD26" s="7"/>
      <c r="CE26" s="7"/>
      <c r="CF26" s="7"/>
      <c r="CG26" s="7"/>
      <c r="CH26" s="7"/>
      <c r="CI26" s="7"/>
      <c r="CJ26" s="8"/>
      <c r="CK26" s="8"/>
      <c r="CL26" s="19">
        <v>52</v>
      </c>
      <c r="CM26" s="8">
        <v>6244</v>
      </c>
      <c r="CN26" s="9"/>
      <c r="CO26" s="9"/>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row>
    <row r="27" spans="1:210">
      <c r="A27" s="5" t="s">
        <v>66</v>
      </c>
      <c r="B27" s="6"/>
      <c r="C27" s="6"/>
      <c r="D27" s="7"/>
      <c r="E27" s="7"/>
      <c r="F27" s="7"/>
      <c r="G27" s="7"/>
      <c r="H27" s="7"/>
      <c r="I27" s="7"/>
      <c r="J27" s="7"/>
      <c r="K27" s="7"/>
      <c r="L27" s="7">
        <v>2</v>
      </c>
      <c r="M27" s="7">
        <v>25</v>
      </c>
      <c r="N27" s="7">
        <v>2</v>
      </c>
      <c r="O27" s="7">
        <v>25</v>
      </c>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v>1</v>
      </c>
      <c r="BE27" s="7">
        <v>40</v>
      </c>
      <c r="BF27" s="7"/>
      <c r="BG27" s="7"/>
      <c r="BH27" s="7"/>
      <c r="BI27" s="7"/>
      <c r="BJ27" s="7"/>
      <c r="BK27" s="7"/>
      <c r="BL27" s="7"/>
      <c r="BM27" s="7"/>
      <c r="BN27" s="7"/>
      <c r="BO27" s="7"/>
      <c r="BP27" s="7"/>
      <c r="BQ27" s="7"/>
      <c r="BR27" s="7">
        <v>1</v>
      </c>
      <c r="BS27" s="7">
        <v>10</v>
      </c>
      <c r="BT27" s="7"/>
      <c r="BU27" s="7"/>
      <c r="BV27" s="7"/>
      <c r="BW27" s="7"/>
      <c r="BX27" s="7"/>
      <c r="BY27" s="7"/>
      <c r="BZ27" s="7"/>
      <c r="CA27" s="7"/>
      <c r="CB27" s="7"/>
      <c r="CC27" s="7"/>
      <c r="CD27" s="7"/>
      <c r="CE27" s="7"/>
      <c r="CF27" s="7"/>
      <c r="CG27" s="7"/>
      <c r="CH27" s="7"/>
      <c r="CI27" s="7"/>
      <c r="CJ27" s="8"/>
      <c r="CK27" s="8"/>
      <c r="CL27" s="19">
        <v>6</v>
      </c>
      <c r="CM27" s="8">
        <v>100</v>
      </c>
      <c r="CN27" s="9"/>
      <c r="CO27" s="9"/>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row>
    <row r="28" spans="1:210">
      <c r="A28" s="5" t="s">
        <v>67</v>
      </c>
      <c r="B28" s="6"/>
      <c r="C28" s="6"/>
      <c r="D28" s="7"/>
      <c r="E28" s="7"/>
      <c r="F28" s="7"/>
      <c r="G28" s="7"/>
      <c r="H28" s="7"/>
      <c r="I28" s="7"/>
      <c r="J28" s="7">
        <v>1</v>
      </c>
      <c r="K28" s="7">
        <v>30</v>
      </c>
      <c r="L28" s="7">
        <v>1</v>
      </c>
      <c r="M28" s="7">
        <v>6</v>
      </c>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8"/>
      <c r="CK28" s="8"/>
      <c r="CL28" s="19">
        <v>2</v>
      </c>
      <c r="CM28" s="8">
        <v>36</v>
      </c>
      <c r="CN28" s="9"/>
      <c r="CO28" s="9"/>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row>
    <row r="29" spans="1:210">
      <c r="A29" s="5" t="s">
        <v>68</v>
      </c>
      <c r="B29" s="6"/>
      <c r="C29" s="6"/>
      <c r="D29" s="7"/>
      <c r="E29" s="7"/>
      <c r="F29" s="7"/>
      <c r="G29" s="7"/>
      <c r="H29" s="7"/>
      <c r="I29" s="7"/>
      <c r="J29" s="7"/>
      <c r="K29" s="7"/>
      <c r="L29" s="7">
        <v>2</v>
      </c>
      <c r="M29" s="7">
        <v>38</v>
      </c>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8"/>
      <c r="CK29" s="8"/>
      <c r="CL29" s="19">
        <v>2</v>
      </c>
      <c r="CM29" s="8">
        <v>38</v>
      </c>
      <c r="CN29" s="9"/>
      <c r="CO29" s="9"/>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row>
    <row r="30" spans="1:210">
      <c r="A30" s="5" t="s">
        <v>69</v>
      </c>
      <c r="B30" s="6"/>
      <c r="C30" s="6"/>
      <c r="D30" s="7"/>
      <c r="E30" s="7"/>
      <c r="F30" s="7"/>
      <c r="G30" s="7"/>
      <c r="H30" s="7"/>
      <c r="I30" s="7"/>
      <c r="J30" s="7"/>
      <c r="K30" s="7"/>
      <c r="L30" s="7"/>
      <c r="M30" s="7"/>
      <c r="N30" s="7">
        <v>1</v>
      </c>
      <c r="O30" s="7">
        <v>16</v>
      </c>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8"/>
      <c r="CK30" s="8"/>
      <c r="CL30" s="19">
        <v>1</v>
      </c>
      <c r="CM30" s="8">
        <v>16</v>
      </c>
      <c r="CN30" s="9"/>
      <c r="CO30" s="9"/>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row>
    <row r="31" spans="1:210">
      <c r="A31" s="5" t="s">
        <v>70</v>
      </c>
      <c r="B31" s="6"/>
      <c r="C31" s="6"/>
      <c r="D31" s="7"/>
      <c r="E31" s="7"/>
      <c r="F31" s="7"/>
      <c r="G31" s="7"/>
      <c r="H31" s="7"/>
      <c r="I31" s="7"/>
      <c r="J31" s="7"/>
      <c r="K31" s="7"/>
      <c r="L31" s="7">
        <v>1</v>
      </c>
      <c r="M31" s="7">
        <v>20</v>
      </c>
      <c r="N31" s="7">
        <v>1</v>
      </c>
      <c r="O31" s="7">
        <v>6</v>
      </c>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8"/>
      <c r="CK31" s="8"/>
      <c r="CL31" s="19">
        <v>2</v>
      </c>
      <c r="CM31" s="8">
        <v>26</v>
      </c>
      <c r="CN31" s="9"/>
      <c r="CO31" s="9"/>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row>
    <row r="32" spans="1:210">
      <c r="A32" s="5" t="s">
        <v>71</v>
      </c>
      <c r="B32" s="6">
        <v>1</v>
      </c>
      <c r="C32" s="6">
        <v>120</v>
      </c>
      <c r="D32" s="7"/>
      <c r="E32" s="7"/>
      <c r="F32" s="7"/>
      <c r="G32" s="7"/>
      <c r="H32" s="7"/>
      <c r="I32" s="7"/>
      <c r="J32" s="7"/>
      <c r="K32" s="7"/>
      <c r="L32" s="7">
        <v>12</v>
      </c>
      <c r="M32" s="7">
        <v>153</v>
      </c>
      <c r="N32" s="7"/>
      <c r="O32" s="7"/>
      <c r="P32" s="7"/>
      <c r="Q32" s="7"/>
      <c r="R32" s="7"/>
      <c r="S32" s="7"/>
      <c r="T32" s="7"/>
      <c r="U32" s="7"/>
      <c r="V32" s="7"/>
      <c r="W32" s="7"/>
      <c r="X32" s="7"/>
      <c r="Y32" s="7"/>
      <c r="Z32" s="7">
        <v>1</v>
      </c>
      <c r="AA32" s="7">
        <v>660</v>
      </c>
      <c r="AB32" s="7"/>
      <c r="AC32" s="7"/>
      <c r="AD32" s="7"/>
      <c r="AE32" s="7"/>
      <c r="AF32" s="7">
        <v>11</v>
      </c>
      <c r="AG32" s="7">
        <v>2536</v>
      </c>
      <c r="AH32" s="7">
        <v>18</v>
      </c>
      <c r="AI32" s="7">
        <v>5694</v>
      </c>
      <c r="AJ32" s="7">
        <v>2</v>
      </c>
      <c r="AK32" s="7">
        <v>1004</v>
      </c>
      <c r="AL32" s="7">
        <v>1</v>
      </c>
      <c r="AM32" s="7">
        <v>300</v>
      </c>
      <c r="AN32" s="7"/>
      <c r="AO32" s="7"/>
      <c r="AP32" s="7"/>
      <c r="AQ32" s="7"/>
      <c r="AR32" s="7"/>
      <c r="AS32" s="7"/>
      <c r="AT32" s="7"/>
      <c r="AU32" s="7"/>
      <c r="AV32" s="7"/>
      <c r="AW32" s="7"/>
      <c r="AX32" s="7"/>
      <c r="AY32" s="7"/>
      <c r="AZ32" s="7"/>
      <c r="BA32" s="7"/>
      <c r="BB32" s="7">
        <v>1</v>
      </c>
      <c r="BC32" s="7">
        <v>346</v>
      </c>
      <c r="BD32" s="7"/>
      <c r="BE32" s="7"/>
      <c r="BF32" s="7"/>
      <c r="BG32" s="7"/>
      <c r="BH32" s="7"/>
      <c r="BI32" s="7"/>
      <c r="BJ32" s="7"/>
      <c r="BK32" s="7"/>
      <c r="BL32" s="7"/>
      <c r="BM32" s="7"/>
      <c r="BN32" s="7"/>
      <c r="BO32" s="7"/>
      <c r="BP32" s="7"/>
      <c r="BQ32" s="7"/>
      <c r="BR32" s="7">
        <v>3</v>
      </c>
      <c r="BS32" s="7">
        <v>161</v>
      </c>
      <c r="BT32" s="7"/>
      <c r="BU32" s="7"/>
      <c r="BV32" s="7"/>
      <c r="BW32" s="7"/>
      <c r="BX32" s="7">
        <v>3</v>
      </c>
      <c r="BY32" s="7">
        <v>153</v>
      </c>
      <c r="BZ32" s="7">
        <v>2</v>
      </c>
      <c r="CA32" s="7">
        <v>80</v>
      </c>
      <c r="CB32" s="7"/>
      <c r="CC32" s="7"/>
      <c r="CD32" s="7"/>
      <c r="CE32" s="7"/>
      <c r="CF32" s="7"/>
      <c r="CG32" s="7"/>
      <c r="CH32" s="7">
        <v>1</v>
      </c>
      <c r="CI32" s="7">
        <v>20</v>
      </c>
      <c r="CJ32" s="8"/>
      <c r="CK32" s="8"/>
      <c r="CL32" s="19">
        <v>56</v>
      </c>
      <c r="CM32" s="8">
        <v>11227</v>
      </c>
      <c r="CN32" s="9"/>
      <c r="CO32" s="9"/>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row>
    <row r="33" spans="1:210">
      <c r="A33" s="5" t="s">
        <v>72</v>
      </c>
      <c r="B33" s="6">
        <v>9</v>
      </c>
      <c r="C33" s="6">
        <v>1597</v>
      </c>
      <c r="D33" s="7">
        <v>7</v>
      </c>
      <c r="E33" s="7">
        <v>797</v>
      </c>
      <c r="F33" s="7">
        <v>3</v>
      </c>
      <c r="G33" s="7">
        <v>123</v>
      </c>
      <c r="H33" s="7"/>
      <c r="I33" s="7"/>
      <c r="J33" s="7">
        <v>3</v>
      </c>
      <c r="K33" s="7">
        <v>98</v>
      </c>
      <c r="L33" s="7">
        <v>14</v>
      </c>
      <c r="M33" s="7">
        <v>178</v>
      </c>
      <c r="N33" s="7"/>
      <c r="O33" s="7"/>
      <c r="P33" s="7"/>
      <c r="Q33" s="7"/>
      <c r="R33" s="7"/>
      <c r="S33" s="7"/>
      <c r="T33" s="7"/>
      <c r="U33" s="7"/>
      <c r="V33" s="7"/>
      <c r="W33" s="7"/>
      <c r="X33" s="7"/>
      <c r="Y33" s="7"/>
      <c r="Z33" s="7"/>
      <c r="AA33" s="7"/>
      <c r="AB33" s="7"/>
      <c r="AC33" s="7"/>
      <c r="AD33" s="7">
        <v>3</v>
      </c>
      <c r="AE33" s="7">
        <v>699</v>
      </c>
      <c r="AF33" s="7">
        <v>2</v>
      </c>
      <c r="AG33" s="7">
        <v>400</v>
      </c>
      <c r="AH33" s="7">
        <v>15</v>
      </c>
      <c r="AI33" s="7">
        <v>5951</v>
      </c>
      <c r="AJ33" s="7">
        <v>1</v>
      </c>
      <c r="AK33" s="7">
        <v>411</v>
      </c>
      <c r="AL33" s="7"/>
      <c r="AM33" s="7"/>
      <c r="AN33" s="7"/>
      <c r="AO33" s="7"/>
      <c r="AP33" s="7"/>
      <c r="AQ33" s="7"/>
      <c r="AR33" s="7"/>
      <c r="AS33" s="7"/>
      <c r="AT33" s="7"/>
      <c r="AU33" s="7"/>
      <c r="AV33" s="7"/>
      <c r="AW33" s="7"/>
      <c r="AX33" s="7"/>
      <c r="AY33" s="7"/>
      <c r="AZ33" s="7"/>
      <c r="BA33" s="7"/>
      <c r="BB33" s="7">
        <v>3</v>
      </c>
      <c r="BC33" s="7">
        <v>2810</v>
      </c>
      <c r="BD33" s="7">
        <v>1</v>
      </c>
      <c r="BE33" s="7">
        <v>1214</v>
      </c>
      <c r="BF33" s="7"/>
      <c r="BG33" s="7"/>
      <c r="BH33" s="7"/>
      <c r="BI33" s="7"/>
      <c r="BJ33" s="7"/>
      <c r="BK33" s="7"/>
      <c r="BL33" s="7"/>
      <c r="BM33" s="7"/>
      <c r="BN33" s="7"/>
      <c r="BO33" s="7"/>
      <c r="BP33" s="7"/>
      <c r="BQ33" s="7"/>
      <c r="BR33" s="7">
        <v>1</v>
      </c>
      <c r="BS33" s="7">
        <v>111</v>
      </c>
      <c r="BT33" s="7">
        <v>1</v>
      </c>
      <c r="BU33" s="7">
        <v>46</v>
      </c>
      <c r="BV33" s="7"/>
      <c r="BW33" s="7"/>
      <c r="BX33" s="7">
        <v>1</v>
      </c>
      <c r="BY33" s="7">
        <v>40</v>
      </c>
      <c r="BZ33" s="7"/>
      <c r="CA33" s="7"/>
      <c r="CB33" s="7"/>
      <c r="CC33" s="7"/>
      <c r="CD33" s="7"/>
      <c r="CE33" s="7"/>
      <c r="CF33" s="7">
        <v>3</v>
      </c>
      <c r="CG33" s="7">
        <v>94</v>
      </c>
      <c r="CH33" s="7"/>
      <c r="CI33" s="7"/>
      <c r="CJ33" s="8"/>
      <c r="CK33" s="8"/>
      <c r="CL33" s="19">
        <v>67</v>
      </c>
      <c r="CM33" s="8">
        <v>14569</v>
      </c>
      <c r="CN33" s="9"/>
      <c r="CO33" s="9"/>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row>
    <row r="34" spans="1:210">
      <c r="A34" s="5" t="s">
        <v>73</v>
      </c>
      <c r="B34" s="6"/>
      <c r="C34" s="6"/>
      <c r="D34" s="7"/>
      <c r="E34" s="7"/>
      <c r="F34" s="7"/>
      <c r="G34" s="7"/>
      <c r="H34" s="7"/>
      <c r="I34" s="7"/>
      <c r="J34" s="7"/>
      <c r="K34" s="7"/>
      <c r="L34" s="7">
        <v>1</v>
      </c>
      <c r="M34" s="7">
        <v>6</v>
      </c>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8"/>
      <c r="CK34" s="8"/>
      <c r="CL34" s="19">
        <v>1</v>
      </c>
      <c r="CM34" s="8">
        <v>6</v>
      </c>
      <c r="CN34" s="9"/>
      <c r="CO34" s="9"/>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row>
    <row r="35" spans="1:210">
      <c r="A35" s="5" t="s">
        <v>74</v>
      </c>
      <c r="B35" s="6"/>
      <c r="C35" s="6"/>
      <c r="D35" s="7"/>
      <c r="E35" s="7"/>
      <c r="F35" s="7"/>
      <c r="G35" s="7"/>
      <c r="H35" s="7"/>
      <c r="I35" s="7"/>
      <c r="J35" s="7"/>
      <c r="K35" s="7"/>
      <c r="L35" s="7">
        <v>1</v>
      </c>
      <c r="M35" s="7">
        <v>8</v>
      </c>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8"/>
      <c r="CK35" s="8"/>
      <c r="CL35" s="19">
        <v>1</v>
      </c>
      <c r="CM35" s="8">
        <v>8</v>
      </c>
      <c r="CN35" s="9"/>
      <c r="CO35" s="9"/>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row>
    <row r="36" spans="1:210">
      <c r="A36" s="5" t="s">
        <v>75</v>
      </c>
      <c r="B36" s="6"/>
      <c r="C36" s="6"/>
      <c r="D36" s="7"/>
      <c r="E36" s="7"/>
      <c r="F36" s="7"/>
      <c r="G36" s="7"/>
      <c r="H36" s="7"/>
      <c r="I36" s="7"/>
      <c r="J36" s="7">
        <v>1</v>
      </c>
      <c r="K36" s="7">
        <v>50</v>
      </c>
      <c r="L36" s="7">
        <v>2</v>
      </c>
      <c r="M36" s="7">
        <v>18</v>
      </c>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8"/>
      <c r="CK36" s="8"/>
      <c r="CL36" s="19">
        <v>3</v>
      </c>
      <c r="CM36" s="8">
        <v>68</v>
      </c>
      <c r="CN36" s="9"/>
      <c r="CO36" s="9"/>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row>
    <row r="37" spans="1:210">
      <c r="A37" s="5" t="s">
        <v>76</v>
      </c>
      <c r="B37" s="6"/>
      <c r="C37" s="6"/>
      <c r="D37" s="7">
        <v>2</v>
      </c>
      <c r="E37" s="7">
        <v>426</v>
      </c>
      <c r="F37" s="7">
        <v>9</v>
      </c>
      <c r="G37" s="7">
        <v>1694</v>
      </c>
      <c r="H37" s="7"/>
      <c r="I37" s="7"/>
      <c r="J37" s="7">
        <v>1</v>
      </c>
      <c r="K37" s="7">
        <v>30</v>
      </c>
      <c r="L37" s="7"/>
      <c r="M37" s="7"/>
      <c r="N37" s="7"/>
      <c r="O37" s="7"/>
      <c r="P37" s="7">
        <v>1</v>
      </c>
      <c r="Q37" s="7">
        <v>500</v>
      </c>
      <c r="R37" s="7"/>
      <c r="S37" s="7"/>
      <c r="T37" s="7"/>
      <c r="U37" s="7"/>
      <c r="V37" s="7"/>
      <c r="W37" s="7"/>
      <c r="X37" s="7"/>
      <c r="Y37" s="7"/>
      <c r="Z37" s="7"/>
      <c r="AA37" s="7"/>
      <c r="AB37" s="7"/>
      <c r="AC37" s="7"/>
      <c r="AD37" s="7"/>
      <c r="AE37" s="7"/>
      <c r="AF37" s="7"/>
      <c r="AG37" s="7"/>
      <c r="AH37" s="7">
        <v>5</v>
      </c>
      <c r="AI37" s="7">
        <v>1762</v>
      </c>
      <c r="AJ37" s="7">
        <v>5</v>
      </c>
      <c r="AK37" s="7">
        <v>2946</v>
      </c>
      <c r="AL37" s="7">
        <v>1</v>
      </c>
      <c r="AM37" s="7">
        <v>268</v>
      </c>
      <c r="AN37" s="7"/>
      <c r="AO37" s="7"/>
      <c r="AP37" s="7"/>
      <c r="AQ37" s="7"/>
      <c r="AR37" s="7"/>
      <c r="AS37" s="7"/>
      <c r="AT37" s="7"/>
      <c r="AU37" s="7"/>
      <c r="AV37" s="7"/>
      <c r="AW37" s="7"/>
      <c r="AX37" s="7"/>
      <c r="AY37" s="7"/>
      <c r="AZ37" s="7"/>
      <c r="BA37" s="7"/>
      <c r="BB37" s="7">
        <v>7</v>
      </c>
      <c r="BC37" s="7">
        <v>4141</v>
      </c>
      <c r="BD37" s="7">
        <v>8</v>
      </c>
      <c r="BE37" s="7">
        <v>4536</v>
      </c>
      <c r="BF37" s="7">
        <v>1</v>
      </c>
      <c r="BG37" s="7">
        <v>218</v>
      </c>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8"/>
      <c r="CK37" s="8"/>
      <c r="CL37" s="19">
        <v>40</v>
      </c>
      <c r="CM37" s="8">
        <v>16521</v>
      </c>
      <c r="CN37" s="9"/>
      <c r="CO37" s="9"/>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row>
    <row r="38" spans="1:210">
      <c r="A38" s="5" t="s">
        <v>77</v>
      </c>
      <c r="B38" s="6">
        <v>6</v>
      </c>
      <c r="C38" s="6">
        <v>378</v>
      </c>
      <c r="D38" s="7">
        <v>7</v>
      </c>
      <c r="E38" s="7">
        <v>942</v>
      </c>
      <c r="F38" s="7">
        <v>7</v>
      </c>
      <c r="G38" s="7">
        <v>848</v>
      </c>
      <c r="H38" s="7"/>
      <c r="I38" s="7"/>
      <c r="J38" s="7">
        <v>1</v>
      </c>
      <c r="K38" s="7">
        <v>25</v>
      </c>
      <c r="L38" s="7"/>
      <c r="M38" s="7"/>
      <c r="N38" s="7">
        <v>1</v>
      </c>
      <c r="O38" s="7">
        <v>16</v>
      </c>
      <c r="P38" s="7"/>
      <c r="Q38" s="7"/>
      <c r="R38" s="7"/>
      <c r="S38" s="7"/>
      <c r="T38" s="7"/>
      <c r="U38" s="7"/>
      <c r="V38" s="7"/>
      <c r="W38" s="7"/>
      <c r="X38" s="7"/>
      <c r="Y38" s="7"/>
      <c r="Z38" s="7"/>
      <c r="AA38" s="7"/>
      <c r="AB38" s="7"/>
      <c r="AC38" s="7"/>
      <c r="AD38" s="7">
        <v>12</v>
      </c>
      <c r="AE38" s="7">
        <v>1015</v>
      </c>
      <c r="AF38" s="7">
        <v>14</v>
      </c>
      <c r="AG38" s="7">
        <v>2100</v>
      </c>
      <c r="AH38" s="7">
        <v>76</v>
      </c>
      <c r="AI38" s="7">
        <v>21618</v>
      </c>
      <c r="AJ38" s="7">
        <v>33</v>
      </c>
      <c r="AK38" s="7">
        <v>8887</v>
      </c>
      <c r="AL38" s="7">
        <v>6</v>
      </c>
      <c r="AM38" s="7">
        <v>1447</v>
      </c>
      <c r="AN38" s="7">
        <v>1</v>
      </c>
      <c r="AO38" s="7">
        <v>79</v>
      </c>
      <c r="AP38" s="7">
        <v>1</v>
      </c>
      <c r="AQ38" s="7">
        <v>51</v>
      </c>
      <c r="AR38" s="7">
        <v>2</v>
      </c>
      <c r="AS38" s="7">
        <v>239</v>
      </c>
      <c r="AT38" s="7"/>
      <c r="AU38" s="7"/>
      <c r="AV38" s="7"/>
      <c r="AW38" s="7"/>
      <c r="AX38" s="7"/>
      <c r="AY38" s="7"/>
      <c r="AZ38" s="7">
        <v>3</v>
      </c>
      <c r="BA38" s="7">
        <v>355</v>
      </c>
      <c r="BB38" s="7">
        <v>7</v>
      </c>
      <c r="BC38" s="7">
        <v>2069</v>
      </c>
      <c r="BD38" s="7">
        <v>4</v>
      </c>
      <c r="BE38" s="7">
        <v>2117</v>
      </c>
      <c r="BF38" s="7"/>
      <c r="BG38" s="7"/>
      <c r="BH38" s="7"/>
      <c r="BI38" s="7"/>
      <c r="BJ38" s="7"/>
      <c r="BK38" s="7"/>
      <c r="BL38" s="7"/>
      <c r="BM38" s="7"/>
      <c r="BN38" s="7"/>
      <c r="BO38" s="7"/>
      <c r="BP38" s="7"/>
      <c r="BQ38" s="7"/>
      <c r="BR38" s="7">
        <v>6</v>
      </c>
      <c r="BS38" s="7">
        <v>201</v>
      </c>
      <c r="BT38" s="7">
        <v>4</v>
      </c>
      <c r="BU38" s="7">
        <v>355</v>
      </c>
      <c r="BV38" s="7">
        <v>1</v>
      </c>
      <c r="BW38" s="7">
        <v>118</v>
      </c>
      <c r="BX38" s="7">
        <v>22</v>
      </c>
      <c r="BY38" s="7">
        <v>892</v>
      </c>
      <c r="BZ38" s="7">
        <v>9</v>
      </c>
      <c r="CA38" s="7">
        <v>427</v>
      </c>
      <c r="CB38" s="7"/>
      <c r="CC38" s="7"/>
      <c r="CD38" s="7"/>
      <c r="CE38" s="7"/>
      <c r="CF38" s="7">
        <v>8</v>
      </c>
      <c r="CG38" s="7">
        <v>244</v>
      </c>
      <c r="CH38" s="7">
        <v>1</v>
      </c>
      <c r="CI38" s="7">
        <v>12</v>
      </c>
      <c r="CJ38" s="8"/>
      <c r="CK38" s="8"/>
      <c r="CL38" s="19">
        <v>232</v>
      </c>
      <c r="CM38" s="8">
        <v>44435</v>
      </c>
      <c r="CN38" s="9"/>
      <c r="CO38" s="9"/>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row>
    <row r="39" spans="1:210">
      <c r="A39" s="5" t="s">
        <v>78</v>
      </c>
      <c r="B39" s="6"/>
      <c r="C39" s="6"/>
      <c r="D39" s="7"/>
      <c r="E39" s="7"/>
      <c r="F39" s="7"/>
      <c r="G39" s="7"/>
      <c r="H39" s="7"/>
      <c r="I39" s="7"/>
      <c r="J39" s="7"/>
      <c r="K39" s="7"/>
      <c r="L39" s="7">
        <v>1</v>
      </c>
      <c r="M39" s="7">
        <v>4</v>
      </c>
      <c r="N39" s="7">
        <v>1</v>
      </c>
      <c r="O39" s="7">
        <v>6</v>
      </c>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8"/>
      <c r="CK39" s="8"/>
      <c r="CL39" s="19">
        <v>2</v>
      </c>
      <c r="CM39" s="8">
        <v>10</v>
      </c>
      <c r="CN39" s="9"/>
      <c r="CO39" s="9"/>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row>
    <row r="40" spans="1:210">
      <c r="A40" s="5" t="s">
        <v>79</v>
      </c>
      <c r="B40" s="6">
        <v>8</v>
      </c>
      <c r="C40" s="6">
        <v>355</v>
      </c>
      <c r="D40" s="7">
        <v>11</v>
      </c>
      <c r="E40" s="7">
        <v>671</v>
      </c>
      <c r="F40" s="7">
        <v>14</v>
      </c>
      <c r="G40" s="7">
        <v>1438</v>
      </c>
      <c r="H40" s="7"/>
      <c r="I40" s="7"/>
      <c r="J40" s="7">
        <v>1</v>
      </c>
      <c r="K40" s="7">
        <v>46</v>
      </c>
      <c r="L40" s="7">
        <v>4</v>
      </c>
      <c r="M40" s="7">
        <v>58</v>
      </c>
      <c r="N40" s="7">
        <v>4</v>
      </c>
      <c r="O40" s="7">
        <v>56</v>
      </c>
      <c r="P40" s="7"/>
      <c r="Q40" s="7"/>
      <c r="R40" s="7"/>
      <c r="S40" s="7"/>
      <c r="T40" s="7"/>
      <c r="U40" s="7"/>
      <c r="V40" s="7"/>
      <c r="W40" s="7"/>
      <c r="X40" s="7"/>
      <c r="Y40" s="7"/>
      <c r="Z40" s="7"/>
      <c r="AA40" s="7"/>
      <c r="AB40" s="7"/>
      <c r="AC40" s="7"/>
      <c r="AD40" s="7"/>
      <c r="AE40" s="7"/>
      <c r="AF40" s="7">
        <v>2</v>
      </c>
      <c r="AG40" s="7">
        <v>190</v>
      </c>
      <c r="AH40" s="7">
        <v>9</v>
      </c>
      <c r="AI40" s="7">
        <v>1698</v>
      </c>
      <c r="AJ40" s="7">
        <v>3</v>
      </c>
      <c r="AK40" s="7">
        <v>470</v>
      </c>
      <c r="AL40" s="7">
        <v>2</v>
      </c>
      <c r="AM40" s="7">
        <v>283</v>
      </c>
      <c r="AN40" s="7">
        <v>1</v>
      </c>
      <c r="AO40" s="7">
        <v>39</v>
      </c>
      <c r="AP40" s="7"/>
      <c r="AQ40" s="7"/>
      <c r="AR40" s="7">
        <v>1</v>
      </c>
      <c r="AS40" s="7">
        <v>12</v>
      </c>
      <c r="AT40" s="7"/>
      <c r="AU40" s="7"/>
      <c r="AV40" s="7"/>
      <c r="AW40" s="7"/>
      <c r="AX40" s="7"/>
      <c r="AY40" s="7"/>
      <c r="AZ40" s="7"/>
      <c r="BA40" s="7"/>
      <c r="BB40" s="7">
        <v>3</v>
      </c>
      <c r="BC40" s="7">
        <v>721</v>
      </c>
      <c r="BD40" s="7">
        <v>4</v>
      </c>
      <c r="BE40" s="7">
        <v>849</v>
      </c>
      <c r="BF40" s="7"/>
      <c r="BG40" s="7"/>
      <c r="BH40" s="7"/>
      <c r="BI40" s="7"/>
      <c r="BJ40" s="7"/>
      <c r="BK40" s="7"/>
      <c r="BL40" s="7"/>
      <c r="BM40" s="7"/>
      <c r="BN40" s="7"/>
      <c r="BO40" s="7"/>
      <c r="BP40" s="7"/>
      <c r="BQ40" s="7"/>
      <c r="BR40" s="7">
        <v>1</v>
      </c>
      <c r="BS40" s="7">
        <v>60</v>
      </c>
      <c r="BT40" s="7">
        <v>4</v>
      </c>
      <c r="BU40" s="7">
        <v>202</v>
      </c>
      <c r="BV40" s="7"/>
      <c r="BW40" s="7"/>
      <c r="BX40" s="7">
        <v>2</v>
      </c>
      <c r="BY40" s="7">
        <v>80</v>
      </c>
      <c r="BZ40" s="7">
        <v>4</v>
      </c>
      <c r="CA40" s="7">
        <v>195</v>
      </c>
      <c r="CB40" s="7"/>
      <c r="CC40" s="7"/>
      <c r="CD40" s="7"/>
      <c r="CE40" s="7"/>
      <c r="CF40" s="7"/>
      <c r="CG40" s="7"/>
      <c r="CH40" s="7"/>
      <c r="CI40" s="7"/>
      <c r="CJ40" s="6">
        <v>1</v>
      </c>
      <c r="CK40" s="6">
        <v>23</v>
      </c>
      <c r="CL40" s="19">
        <v>79</v>
      </c>
      <c r="CM40" s="8">
        <v>7446</v>
      </c>
      <c r="CN40" s="9"/>
      <c r="CO40" s="9"/>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row>
    <row r="41" spans="1:210">
      <c r="A41" s="5" t="s">
        <v>80</v>
      </c>
      <c r="B41" s="6"/>
      <c r="C41" s="6"/>
      <c r="D41" s="7"/>
      <c r="E41" s="7"/>
      <c r="F41" s="7"/>
      <c r="G41" s="7"/>
      <c r="H41" s="7"/>
      <c r="I41" s="7"/>
      <c r="J41" s="7">
        <v>1</v>
      </c>
      <c r="K41" s="7">
        <v>49</v>
      </c>
      <c r="L41" s="7">
        <v>2</v>
      </c>
      <c r="M41" s="7">
        <v>33</v>
      </c>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8"/>
      <c r="CK41" s="8"/>
      <c r="CL41" s="19">
        <v>3</v>
      </c>
      <c r="CM41" s="8">
        <v>82</v>
      </c>
      <c r="CN41" s="9"/>
      <c r="CO41" s="9"/>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row>
    <row r="42" spans="1:210">
      <c r="A42" s="5" t="s">
        <v>81</v>
      </c>
      <c r="B42" s="6"/>
      <c r="C42" s="6"/>
      <c r="D42" s="7"/>
      <c r="E42" s="7"/>
      <c r="F42" s="7">
        <v>1</v>
      </c>
      <c r="G42" s="7">
        <v>25</v>
      </c>
      <c r="H42" s="7"/>
      <c r="I42" s="7"/>
      <c r="J42" s="7">
        <v>1</v>
      </c>
      <c r="K42" s="7">
        <v>47</v>
      </c>
      <c r="L42" s="7">
        <v>4</v>
      </c>
      <c r="M42" s="7">
        <v>34</v>
      </c>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8"/>
      <c r="CK42" s="8"/>
      <c r="CL42" s="19">
        <v>6</v>
      </c>
      <c r="CM42" s="8">
        <v>106</v>
      </c>
      <c r="CN42" s="9"/>
      <c r="CO42" s="9"/>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row>
    <row r="43" spans="1:210">
      <c r="A43" s="5" t="s">
        <v>82</v>
      </c>
      <c r="B43" s="6"/>
      <c r="C43" s="6"/>
      <c r="D43" s="7"/>
      <c r="E43" s="7"/>
      <c r="F43" s="7"/>
      <c r="G43" s="7"/>
      <c r="H43" s="7"/>
      <c r="I43" s="7"/>
      <c r="J43" s="7"/>
      <c r="K43" s="7"/>
      <c r="L43" s="7">
        <v>2</v>
      </c>
      <c r="M43" s="7">
        <v>28</v>
      </c>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v>1</v>
      </c>
      <c r="CI43" s="7">
        <v>11</v>
      </c>
      <c r="CJ43" s="8"/>
      <c r="CK43" s="8"/>
      <c r="CL43" s="19">
        <v>3</v>
      </c>
      <c r="CM43" s="8">
        <v>39</v>
      </c>
      <c r="CN43" s="9"/>
      <c r="CO43" s="9"/>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row>
    <row r="44" spans="1:210">
      <c r="A44" s="5" t="s">
        <v>83</v>
      </c>
      <c r="B44" s="6">
        <v>9</v>
      </c>
      <c r="C44" s="6">
        <v>527</v>
      </c>
      <c r="D44" s="7">
        <v>8</v>
      </c>
      <c r="E44" s="7">
        <v>636</v>
      </c>
      <c r="F44" s="7">
        <v>13</v>
      </c>
      <c r="G44" s="7">
        <v>2415</v>
      </c>
      <c r="H44" s="7">
        <v>1</v>
      </c>
      <c r="I44" s="7">
        <v>184</v>
      </c>
      <c r="J44" s="7"/>
      <c r="K44" s="7"/>
      <c r="L44" s="7">
        <v>3</v>
      </c>
      <c r="M44" s="7">
        <v>50</v>
      </c>
      <c r="N44" s="7"/>
      <c r="O44" s="7"/>
      <c r="P44" s="7"/>
      <c r="Q44" s="7"/>
      <c r="R44" s="7"/>
      <c r="S44" s="7"/>
      <c r="T44" s="7"/>
      <c r="U44" s="7"/>
      <c r="V44" s="7"/>
      <c r="W44" s="7"/>
      <c r="X44" s="7"/>
      <c r="Y44" s="7"/>
      <c r="Z44" s="7"/>
      <c r="AA44" s="7"/>
      <c r="AB44" s="7"/>
      <c r="AC44" s="7"/>
      <c r="AD44" s="7">
        <v>1</v>
      </c>
      <c r="AE44" s="7">
        <v>175</v>
      </c>
      <c r="AF44" s="7">
        <v>3</v>
      </c>
      <c r="AG44" s="7">
        <v>747</v>
      </c>
      <c r="AH44" s="7">
        <v>13</v>
      </c>
      <c r="AI44" s="7">
        <v>2775</v>
      </c>
      <c r="AJ44" s="7">
        <v>14</v>
      </c>
      <c r="AK44" s="7">
        <v>5817</v>
      </c>
      <c r="AL44" s="7">
        <v>2</v>
      </c>
      <c r="AM44" s="7">
        <v>608</v>
      </c>
      <c r="AN44" s="7">
        <v>1</v>
      </c>
      <c r="AO44" s="7">
        <v>45</v>
      </c>
      <c r="AP44" s="7">
        <v>2</v>
      </c>
      <c r="AQ44" s="7">
        <v>177</v>
      </c>
      <c r="AR44" s="7"/>
      <c r="AS44" s="7"/>
      <c r="AT44" s="7"/>
      <c r="AU44" s="7"/>
      <c r="AV44" s="7"/>
      <c r="AW44" s="7"/>
      <c r="AX44" s="7"/>
      <c r="AY44" s="7"/>
      <c r="AZ44" s="7"/>
      <c r="BA44" s="7"/>
      <c r="BB44" s="7">
        <v>15</v>
      </c>
      <c r="BC44" s="7">
        <v>6817</v>
      </c>
      <c r="BD44" s="7">
        <v>8</v>
      </c>
      <c r="BE44" s="7">
        <v>4463</v>
      </c>
      <c r="BF44" s="7"/>
      <c r="BG44" s="7"/>
      <c r="BH44" s="7"/>
      <c r="BI44" s="7"/>
      <c r="BJ44" s="7"/>
      <c r="BK44" s="7"/>
      <c r="BL44" s="7"/>
      <c r="BM44" s="7"/>
      <c r="BN44" s="7"/>
      <c r="BO44" s="7"/>
      <c r="BP44" s="7"/>
      <c r="BQ44" s="7"/>
      <c r="BR44" s="7"/>
      <c r="BS44" s="7"/>
      <c r="BT44" s="7">
        <v>2</v>
      </c>
      <c r="BU44" s="7">
        <v>94</v>
      </c>
      <c r="BV44" s="7"/>
      <c r="BW44" s="7"/>
      <c r="BX44" s="7">
        <v>2</v>
      </c>
      <c r="BY44" s="7">
        <v>81</v>
      </c>
      <c r="BZ44" s="7">
        <v>2</v>
      </c>
      <c r="CA44" s="7">
        <v>71</v>
      </c>
      <c r="CB44" s="7"/>
      <c r="CC44" s="7"/>
      <c r="CD44" s="7"/>
      <c r="CE44" s="7"/>
      <c r="CF44" s="7">
        <v>2</v>
      </c>
      <c r="CG44" s="7">
        <v>96</v>
      </c>
      <c r="CH44" s="7"/>
      <c r="CI44" s="7"/>
      <c r="CJ44" s="8"/>
      <c r="CK44" s="8"/>
      <c r="CL44" s="19">
        <v>101</v>
      </c>
      <c r="CM44" s="8">
        <v>25778</v>
      </c>
      <c r="CN44" s="9"/>
      <c r="CO44" s="9"/>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row>
    <row r="45" spans="1:210">
      <c r="A45" s="5" t="s">
        <v>84</v>
      </c>
      <c r="B45" s="6"/>
      <c r="C45" s="6"/>
      <c r="D45" s="7"/>
      <c r="E45" s="7"/>
      <c r="F45" s="7"/>
      <c r="G45" s="7"/>
      <c r="H45" s="7"/>
      <c r="I45" s="7"/>
      <c r="J45" s="7"/>
      <c r="K45" s="7"/>
      <c r="L45" s="7">
        <v>1</v>
      </c>
      <c r="M45" s="7">
        <v>10</v>
      </c>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8"/>
      <c r="CK45" s="8"/>
      <c r="CL45" s="19">
        <v>1</v>
      </c>
      <c r="CM45" s="8">
        <v>10</v>
      </c>
      <c r="CN45" s="9"/>
      <c r="CO45" s="9"/>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row>
    <row r="46" spans="1:210">
      <c r="A46" s="5" t="s">
        <v>85</v>
      </c>
      <c r="B46" s="6">
        <v>6</v>
      </c>
      <c r="C46" s="6">
        <v>282</v>
      </c>
      <c r="D46" s="7">
        <v>8</v>
      </c>
      <c r="E46" s="7">
        <v>361</v>
      </c>
      <c r="F46" s="7"/>
      <c r="G46" s="7"/>
      <c r="H46" s="7"/>
      <c r="I46" s="7"/>
      <c r="J46" s="7">
        <v>1</v>
      </c>
      <c r="K46" s="7">
        <v>50</v>
      </c>
      <c r="L46" s="7">
        <v>4</v>
      </c>
      <c r="M46" s="7">
        <v>60</v>
      </c>
      <c r="N46" s="7"/>
      <c r="O46" s="7"/>
      <c r="P46" s="7"/>
      <c r="Q46" s="7"/>
      <c r="R46" s="7"/>
      <c r="S46" s="7"/>
      <c r="T46" s="7"/>
      <c r="U46" s="7"/>
      <c r="V46" s="7"/>
      <c r="W46" s="7"/>
      <c r="X46" s="7"/>
      <c r="Y46" s="7"/>
      <c r="Z46" s="7"/>
      <c r="AA46" s="7"/>
      <c r="AB46" s="7"/>
      <c r="AC46" s="7"/>
      <c r="AD46" s="7">
        <v>2</v>
      </c>
      <c r="AE46" s="7">
        <v>276</v>
      </c>
      <c r="AF46" s="7">
        <v>1</v>
      </c>
      <c r="AG46" s="7">
        <v>154</v>
      </c>
      <c r="AH46" s="7">
        <v>19</v>
      </c>
      <c r="AI46" s="7">
        <v>6161</v>
      </c>
      <c r="AJ46" s="7">
        <v>1</v>
      </c>
      <c r="AK46" s="7">
        <v>542</v>
      </c>
      <c r="AL46" s="7"/>
      <c r="AM46" s="7"/>
      <c r="AN46" s="7"/>
      <c r="AO46" s="7"/>
      <c r="AP46" s="7"/>
      <c r="AQ46" s="7"/>
      <c r="AR46" s="7"/>
      <c r="AS46" s="7"/>
      <c r="AT46" s="7"/>
      <c r="AU46" s="7"/>
      <c r="AV46" s="7"/>
      <c r="AW46" s="7"/>
      <c r="AX46" s="7"/>
      <c r="AY46" s="7"/>
      <c r="AZ46" s="7"/>
      <c r="BA46" s="7"/>
      <c r="BB46" s="7">
        <v>6</v>
      </c>
      <c r="BC46" s="7">
        <v>1097</v>
      </c>
      <c r="BD46" s="7">
        <v>8</v>
      </c>
      <c r="BE46" s="7">
        <v>3577</v>
      </c>
      <c r="BF46" s="7"/>
      <c r="BG46" s="7"/>
      <c r="BH46" s="7"/>
      <c r="BI46" s="7"/>
      <c r="BJ46" s="7"/>
      <c r="BK46" s="7"/>
      <c r="BL46" s="7"/>
      <c r="BM46" s="7"/>
      <c r="BN46" s="7"/>
      <c r="BO46" s="7"/>
      <c r="BP46" s="7"/>
      <c r="BQ46" s="7"/>
      <c r="BR46" s="7">
        <v>2</v>
      </c>
      <c r="BS46" s="7">
        <v>141</v>
      </c>
      <c r="BT46" s="7">
        <v>1</v>
      </c>
      <c r="BU46" s="7">
        <v>68</v>
      </c>
      <c r="BV46" s="7">
        <v>1</v>
      </c>
      <c r="BW46" s="7">
        <v>142</v>
      </c>
      <c r="BX46" s="7">
        <v>2</v>
      </c>
      <c r="BY46" s="7">
        <v>64</v>
      </c>
      <c r="BZ46" s="7"/>
      <c r="CA46" s="7"/>
      <c r="CB46" s="7"/>
      <c r="CC46" s="7"/>
      <c r="CD46" s="7"/>
      <c r="CE46" s="7"/>
      <c r="CF46" s="7"/>
      <c r="CG46" s="7"/>
      <c r="CH46" s="7"/>
      <c r="CI46" s="7"/>
      <c r="CJ46" s="8"/>
      <c r="CK46" s="8"/>
      <c r="CL46" s="19">
        <v>62</v>
      </c>
      <c r="CM46" s="8">
        <v>12975</v>
      </c>
      <c r="CN46" s="9"/>
      <c r="CO46" s="9"/>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row>
    <row r="47" spans="1:210">
      <c r="A47" s="5" t="s">
        <v>86</v>
      </c>
      <c r="B47" s="6"/>
      <c r="C47" s="6"/>
      <c r="D47" s="7"/>
      <c r="E47" s="7"/>
      <c r="F47" s="7"/>
      <c r="G47" s="7"/>
      <c r="H47" s="7"/>
      <c r="I47" s="7"/>
      <c r="J47" s="7">
        <v>1</v>
      </c>
      <c r="K47" s="7">
        <v>41</v>
      </c>
      <c r="L47" s="7">
        <v>1</v>
      </c>
      <c r="M47" s="7">
        <v>14</v>
      </c>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8"/>
      <c r="CK47" s="8"/>
      <c r="CL47" s="19">
        <v>2</v>
      </c>
      <c r="CM47" s="8">
        <v>55</v>
      </c>
      <c r="CN47" s="9"/>
      <c r="CO47" s="9"/>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row>
    <row r="48" spans="1:210">
      <c r="A48" s="5" t="s">
        <v>87</v>
      </c>
      <c r="B48" s="6">
        <v>13</v>
      </c>
      <c r="C48" s="6">
        <v>314</v>
      </c>
      <c r="D48" s="7">
        <v>21</v>
      </c>
      <c r="E48" s="7">
        <v>2919</v>
      </c>
      <c r="F48" s="7">
        <v>11</v>
      </c>
      <c r="G48" s="7">
        <v>1854</v>
      </c>
      <c r="H48" s="7"/>
      <c r="I48" s="7"/>
      <c r="J48" s="7"/>
      <c r="K48" s="7"/>
      <c r="L48" s="7">
        <v>1</v>
      </c>
      <c r="M48" s="7">
        <v>14</v>
      </c>
      <c r="N48" s="7">
        <v>1</v>
      </c>
      <c r="O48" s="7">
        <v>16</v>
      </c>
      <c r="P48" s="7"/>
      <c r="Q48" s="7"/>
      <c r="R48" s="7"/>
      <c r="S48" s="7"/>
      <c r="T48" s="7"/>
      <c r="U48" s="7"/>
      <c r="V48" s="7"/>
      <c r="W48" s="7"/>
      <c r="X48" s="7"/>
      <c r="Y48" s="7"/>
      <c r="Z48" s="7"/>
      <c r="AA48" s="7"/>
      <c r="AB48" s="7"/>
      <c r="AC48" s="7"/>
      <c r="AD48" s="7">
        <v>1</v>
      </c>
      <c r="AE48" s="7">
        <v>76</v>
      </c>
      <c r="AF48" s="7">
        <v>2</v>
      </c>
      <c r="AG48" s="7">
        <v>172</v>
      </c>
      <c r="AH48" s="7">
        <v>13</v>
      </c>
      <c r="AI48" s="7">
        <v>3500</v>
      </c>
      <c r="AJ48" s="7">
        <v>4</v>
      </c>
      <c r="AK48" s="7">
        <v>766</v>
      </c>
      <c r="AL48" s="7"/>
      <c r="AM48" s="7"/>
      <c r="AN48" s="7"/>
      <c r="AO48" s="7"/>
      <c r="AP48" s="7"/>
      <c r="AQ48" s="7"/>
      <c r="AR48" s="7"/>
      <c r="AS48" s="7"/>
      <c r="AT48" s="7"/>
      <c r="AU48" s="7"/>
      <c r="AV48" s="7"/>
      <c r="AW48" s="7"/>
      <c r="AX48" s="7"/>
      <c r="AY48" s="7"/>
      <c r="AZ48" s="7">
        <v>1</v>
      </c>
      <c r="BA48" s="7">
        <v>81</v>
      </c>
      <c r="BB48" s="7">
        <v>8</v>
      </c>
      <c r="BC48" s="7">
        <v>4639</v>
      </c>
      <c r="BD48" s="7">
        <v>3</v>
      </c>
      <c r="BE48" s="7">
        <v>627</v>
      </c>
      <c r="BF48" s="7"/>
      <c r="BG48" s="7"/>
      <c r="BH48" s="7"/>
      <c r="BI48" s="7"/>
      <c r="BJ48" s="7"/>
      <c r="BK48" s="7"/>
      <c r="BL48" s="7"/>
      <c r="BM48" s="7"/>
      <c r="BN48" s="7"/>
      <c r="BO48" s="7"/>
      <c r="BP48" s="7"/>
      <c r="BQ48" s="7"/>
      <c r="BR48" s="7">
        <v>11</v>
      </c>
      <c r="BS48" s="7">
        <v>456</v>
      </c>
      <c r="BT48" s="7">
        <v>7</v>
      </c>
      <c r="BU48" s="7">
        <v>410</v>
      </c>
      <c r="BV48" s="7"/>
      <c r="BW48" s="7"/>
      <c r="BX48" s="7">
        <v>10</v>
      </c>
      <c r="BY48" s="7">
        <v>405</v>
      </c>
      <c r="BZ48" s="7">
        <v>7</v>
      </c>
      <c r="CA48" s="7">
        <v>199</v>
      </c>
      <c r="CB48" s="7"/>
      <c r="CC48" s="7"/>
      <c r="CD48" s="7"/>
      <c r="CE48" s="7"/>
      <c r="CF48" s="7">
        <v>3</v>
      </c>
      <c r="CG48" s="7">
        <v>80</v>
      </c>
      <c r="CH48" s="7">
        <v>2</v>
      </c>
      <c r="CI48" s="7">
        <v>70</v>
      </c>
      <c r="CJ48" s="8"/>
      <c r="CK48" s="8"/>
      <c r="CL48" s="19">
        <v>119</v>
      </c>
      <c r="CM48" s="8">
        <v>16598</v>
      </c>
      <c r="CN48" s="9"/>
      <c r="CO48" s="9"/>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row>
    <row r="49" spans="1:210">
      <c r="A49" s="5" t="s">
        <v>88</v>
      </c>
      <c r="B49" s="6"/>
      <c r="C49" s="6"/>
      <c r="D49" s="7"/>
      <c r="E49" s="7"/>
      <c r="F49" s="7"/>
      <c r="G49" s="7"/>
      <c r="H49" s="7"/>
      <c r="I49" s="7"/>
      <c r="J49" s="7"/>
      <c r="K49" s="7"/>
      <c r="L49" s="7">
        <v>4</v>
      </c>
      <c r="M49" s="7">
        <v>80</v>
      </c>
      <c r="N49" s="7">
        <v>3</v>
      </c>
      <c r="O49" s="7">
        <v>38</v>
      </c>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8"/>
      <c r="CK49" s="8"/>
      <c r="CL49" s="19">
        <v>7</v>
      </c>
      <c r="CM49" s="8">
        <v>118</v>
      </c>
      <c r="CN49" s="9"/>
      <c r="CO49" s="9"/>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row>
    <row r="50" spans="1:210">
      <c r="A50" s="5" t="s">
        <v>89</v>
      </c>
      <c r="B50" s="6"/>
      <c r="C50" s="6"/>
      <c r="D50" s="7"/>
      <c r="E50" s="7"/>
      <c r="F50" s="7"/>
      <c r="G50" s="7"/>
      <c r="H50" s="7"/>
      <c r="I50" s="7"/>
      <c r="J50" s="7"/>
      <c r="K50" s="7"/>
      <c r="L50" s="7">
        <v>2</v>
      </c>
      <c r="M50" s="7">
        <v>26</v>
      </c>
      <c r="N50" s="7">
        <v>1</v>
      </c>
      <c r="O50" s="7">
        <v>4</v>
      </c>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8"/>
      <c r="CK50" s="8"/>
      <c r="CL50" s="19">
        <v>3</v>
      </c>
      <c r="CM50" s="8">
        <v>30</v>
      </c>
      <c r="CN50" s="9"/>
      <c r="CO50" s="9"/>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row>
    <row r="51" spans="1:210">
      <c r="A51" s="5" t="s">
        <v>90</v>
      </c>
      <c r="B51" s="6">
        <v>8</v>
      </c>
      <c r="C51" s="6">
        <v>254</v>
      </c>
      <c r="D51" s="7">
        <v>2</v>
      </c>
      <c r="E51" s="7">
        <v>72</v>
      </c>
      <c r="F51" s="7">
        <v>4</v>
      </c>
      <c r="G51" s="7">
        <v>116</v>
      </c>
      <c r="H51" s="7"/>
      <c r="I51" s="7"/>
      <c r="J51" s="7">
        <v>1</v>
      </c>
      <c r="K51" s="7">
        <v>18</v>
      </c>
      <c r="L51" s="7">
        <v>4</v>
      </c>
      <c r="M51" s="7">
        <v>41</v>
      </c>
      <c r="N51" s="7"/>
      <c r="O51" s="7"/>
      <c r="P51" s="7"/>
      <c r="Q51" s="7"/>
      <c r="R51" s="7"/>
      <c r="S51" s="7"/>
      <c r="T51" s="7"/>
      <c r="U51" s="7"/>
      <c r="V51" s="7"/>
      <c r="W51" s="7"/>
      <c r="X51" s="7"/>
      <c r="Y51" s="7"/>
      <c r="Z51" s="7"/>
      <c r="AA51" s="7"/>
      <c r="AB51" s="7"/>
      <c r="AC51" s="7"/>
      <c r="AD51" s="7"/>
      <c r="AE51" s="7"/>
      <c r="AF51" s="7"/>
      <c r="AG51" s="7"/>
      <c r="AH51" s="7">
        <v>7</v>
      </c>
      <c r="AI51" s="7">
        <v>1710</v>
      </c>
      <c r="AJ51" s="7">
        <v>5</v>
      </c>
      <c r="AK51" s="7">
        <v>1358</v>
      </c>
      <c r="AL51" s="7"/>
      <c r="AM51" s="7"/>
      <c r="AN51" s="7"/>
      <c r="AO51" s="7"/>
      <c r="AP51" s="7"/>
      <c r="AQ51" s="7"/>
      <c r="AR51" s="7"/>
      <c r="AS51" s="7"/>
      <c r="AT51" s="7"/>
      <c r="AU51" s="7"/>
      <c r="AV51" s="7"/>
      <c r="AW51" s="7"/>
      <c r="AX51" s="7"/>
      <c r="AY51" s="7"/>
      <c r="AZ51" s="7"/>
      <c r="BA51" s="7"/>
      <c r="BB51" s="7"/>
      <c r="BC51" s="7"/>
      <c r="BD51" s="7">
        <v>1</v>
      </c>
      <c r="BE51" s="7">
        <v>156</v>
      </c>
      <c r="BF51" s="7"/>
      <c r="BG51" s="7"/>
      <c r="BH51" s="7"/>
      <c r="BI51" s="7"/>
      <c r="BJ51" s="7"/>
      <c r="BK51" s="7"/>
      <c r="BL51" s="7"/>
      <c r="BM51" s="7"/>
      <c r="BN51" s="7"/>
      <c r="BO51" s="7"/>
      <c r="BP51" s="7"/>
      <c r="BQ51" s="7"/>
      <c r="BR51" s="7">
        <v>4</v>
      </c>
      <c r="BS51" s="7">
        <v>114</v>
      </c>
      <c r="BT51" s="7">
        <v>2</v>
      </c>
      <c r="BU51" s="7">
        <v>42</v>
      </c>
      <c r="BV51" s="7"/>
      <c r="BW51" s="7"/>
      <c r="BX51" s="7"/>
      <c r="BY51" s="7"/>
      <c r="BZ51" s="7"/>
      <c r="CA51" s="7"/>
      <c r="CB51" s="7">
        <v>1</v>
      </c>
      <c r="CC51" s="7">
        <v>54</v>
      </c>
      <c r="CD51" s="7"/>
      <c r="CE51" s="7"/>
      <c r="CF51" s="7"/>
      <c r="CG51" s="7"/>
      <c r="CH51" s="7"/>
      <c r="CI51" s="7"/>
      <c r="CJ51" s="8"/>
      <c r="CK51" s="8"/>
      <c r="CL51" s="19">
        <v>39</v>
      </c>
      <c r="CM51" s="8">
        <v>3935</v>
      </c>
      <c r="CN51" s="9"/>
      <c r="CO51" s="9"/>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row>
    <row r="52" spans="1:210">
      <c r="A52" s="5" t="s">
        <v>91</v>
      </c>
      <c r="B52" s="6"/>
      <c r="C52" s="6"/>
      <c r="D52" s="7"/>
      <c r="E52" s="7"/>
      <c r="F52" s="7"/>
      <c r="G52" s="7"/>
      <c r="H52" s="7"/>
      <c r="I52" s="7"/>
      <c r="J52" s="7"/>
      <c r="K52" s="7"/>
      <c r="L52" s="7"/>
      <c r="M52" s="7"/>
      <c r="N52" s="7">
        <v>3</v>
      </c>
      <c r="O52" s="7">
        <v>34</v>
      </c>
      <c r="P52" s="7"/>
      <c r="Q52" s="7"/>
      <c r="R52" s="7"/>
      <c r="S52" s="7"/>
      <c r="T52" s="7"/>
      <c r="U52" s="7"/>
      <c r="V52" s="7"/>
      <c r="W52" s="7"/>
      <c r="X52" s="7"/>
      <c r="Y52" s="7"/>
      <c r="Z52" s="7"/>
      <c r="AA52" s="7"/>
      <c r="AB52" s="7"/>
      <c r="AC52" s="7"/>
      <c r="AD52" s="7"/>
      <c r="AE52" s="7"/>
      <c r="AF52" s="7"/>
      <c r="AG52" s="7"/>
      <c r="AH52" s="7">
        <v>1</v>
      </c>
      <c r="AI52" s="7">
        <v>12</v>
      </c>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8"/>
      <c r="CK52" s="8"/>
      <c r="CL52" s="19">
        <v>4</v>
      </c>
      <c r="CM52" s="8">
        <v>46</v>
      </c>
      <c r="CN52" s="9"/>
      <c r="CO52" s="9"/>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row>
    <row r="53" spans="1:210">
      <c r="A53" s="5" t="s">
        <v>92</v>
      </c>
      <c r="B53" s="6">
        <v>2</v>
      </c>
      <c r="C53" s="6">
        <v>18</v>
      </c>
      <c r="D53" s="7"/>
      <c r="E53" s="7"/>
      <c r="F53" s="7">
        <v>1</v>
      </c>
      <c r="G53" s="7">
        <v>82</v>
      </c>
      <c r="H53" s="7"/>
      <c r="I53" s="7"/>
      <c r="J53" s="7">
        <v>1</v>
      </c>
      <c r="K53" s="7">
        <v>16</v>
      </c>
      <c r="L53" s="7">
        <v>7</v>
      </c>
      <c r="M53" s="7">
        <v>93</v>
      </c>
      <c r="N53" s="7">
        <v>3</v>
      </c>
      <c r="O53" s="7">
        <v>38</v>
      </c>
      <c r="P53" s="7"/>
      <c r="Q53" s="7"/>
      <c r="R53" s="7"/>
      <c r="S53" s="7"/>
      <c r="T53" s="7"/>
      <c r="U53" s="7"/>
      <c r="V53" s="7"/>
      <c r="W53" s="7"/>
      <c r="X53" s="7"/>
      <c r="Y53" s="7"/>
      <c r="Z53" s="7"/>
      <c r="AA53" s="7"/>
      <c r="AB53" s="7"/>
      <c r="AC53" s="7"/>
      <c r="AD53" s="7">
        <v>1</v>
      </c>
      <c r="AE53" s="7">
        <v>63</v>
      </c>
      <c r="AF53" s="7">
        <v>6</v>
      </c>
      <c r="AG53" s="7">
        <v>809</v>
      </c>
      <c r="AH53" s="7">
        <v>4</v>
      </c>
      <c r="AI53" s="7">
        <v>1005</v>
      </c>
      <c r="AJ53" s="7">
        <v>2</v>
      </c>
      <c r="AK53" s="7">
        <v>134</v>
      </c>
      <c r="AL53" s="7">
        <v>1</v>
      </c>
      <c r="AM53" s="7">
        <v>74</v>
      </c>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v>4</v>
      </c>
      <c r="BS53" s="7">
        <v>216</v>
      </c>
      <c r="BT53" s="7"/>
      <c r="BU53" s="7"/>
      <c r="BV53" s="7"/>
      <c r="BW53" s="7"/>
      <c r="BX53" s="7"/>
      <c r="BY53" s="7"/>
      <c r="BZ53" s="7">
        <v>2</v>
      </c>
      <c r="CA53" s="7">
        <v>87</v>
      </c>
      <c r="CB53" s="7"/>
      <c r="CC53" s="7"/>
      <c r="CD53" s="7"/>
      <c r="CE53" s="7"/>
      <c r="CF53" s="7">
        <v>1</v>
      </c>
      <c r="CG53" s="7">
        <v>15</v>
      </c>
      <c r="CH53" s="7"/>
      <c r="CI53" s="7"/>
      <c r="CJ53" s="8"/>
      <c r="CK53" s="8"/>
      <c r="CL53" s="19">
        <v>35</v>
      </c>
      <c r="CM53" s="8">
        <v>2650</v>
      </c>
      <c r="CN53" s="9"/>
      <c r="CO53" s="9"/>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row>
    <row r="54" spans="1:210">
      <c r="A54" s="5" t="s">
        <v>93</v>
      </c>
      <c r="B54" s="6">
        <v>23</v>
      </c>
      <c r="C54" s="6">
        <v>1502</v>
      </c>
      <c r="D54" s="6">
        <v>7</v>
      </c>
      <c r="E54" s="6">
        <v>1026</v>
      </c>
      <c r="F54" s="6">
        <v>5</v>
      </c>
      <c r="G54" s="6">
        <v>609</v>
      </c>
      <c r="H54" s="6"/>
      <c r="I54" s="6"/>
      <c r="J54" s="6"/>
      <c r="K54" s="6"/>
      <c r="L54" s="6">
        <v>2</v>
      </c>
      <c r="M54" s="6">
        <v>40</v>
      </c>
      <c r="N54" s="6">
        <v>1</v>
      </c>
      <c r="O54" s="6">
        <v>10</v>
      </c>
      <c r="P54" s="6"/>
      <c r="Q54" s="6"/>
      <c r="R54" s="6"/>
      <c r="S54" s="6"/>
      <c r="T54" s="6"/>
      <c r="U54" s="6"/>
      <c r="V54" s="6"/>
      <c r="W54" s="6"/>
      <c r="X54" s="6"/>
      <c r="Y54" s="6"/>
      <c r="Z54" s="6"/>
      <c r="AA54" s="6"/>
      <c r="AB54" s="6"/>
      <c r="AC54" s="6"/>
      <c r="AD54" s="6">
        <v>3</v>
      </c>
      <c r="AE54" s="6">
        <v>474</v>
      </c>
      <c r="AF54" s="6">
        <v>4</v>
      </c>
      <c r="AG54" s="6">
        <v>660</v>
      </c>
      <c r="AH54" s="6">
        <v>12</v>
      </c>
      <c r="AI54" s="6">
        <v>2157</v>
      </c>
      <c r="AJ54" s="6">
        <v>3</v>
      </c>
      <c r="AK54" s="6">
        <v>985</v>
      </c>
      <c r="AL54" s="6"/>
      <c r="AM54" s="6"/>
      <c r="AN54" s="6"/>
      <c r="AO54" s="6"/>
      <c r="AP54" s="6"/>
      <c r="AQ54" s="6"/>
      <c r="AR54" s="6"/>
      <c r="AS54" s="6"/>
      <c r="AT54" s="6"/>
      <c r="AU54" s="6"/>
      <c r="AV54" s="6"/>
      <c r="AW54" s="6"/>
      <c r="AX54" s="6"/>
      <c r="AY54" s="6"/>
      <c r="AZ54" s="6">
        <v>1</v>
      </c>
      <c r="BA54" s="6">
        <v>478</v>
      </c>
      <c r="BB54" s="6">
        <v>4</v>
      </c>
      <c r="BC54" s="6">
        <v>1369</v>
      </c>
      <c r="BD54" s="6">
        <v>7</v>
      </c>
      <c r="BE54" s="6">
        <v>2008</v>
      </c>
      <c r="BF54" s="6"/>
      <c r="BG54" s="6"/>
      <c r="BH54" s="6"/>
      <c r="BI54" s="6"/>
      <c r="BJ54" s="6"/>
      <c r="BK54" s="6"/>
      <c r="BL54" s="6"/>
      <c r="BM54" s="6"/>
      <c r="BN54" s="6"/>
      <c r="BO54" s="6"/>
      <c r="BP54" s="6"/>
      <c r="BQ54" s="6"/>
      <c r="BR54" s="6">
        <v>1</v>
      </c>
      <c r="BS54" s="6">
        <v>49</v>
      </c>
      <c r="BT54" s="6">
        <v>2</v>
      </c>
      <c r="BU54" s="6">
        <v>164</v>
      </c>
      <c r="BV54" s="6"/>
      <c r="BW54" s="6"/>
      <c r="BX54" s="6">
        <v>5</v>
      </c>
      <c r="BY54" s="6">
        <v>193</v>
      </c>
      <c r="BZ54" s="6">
        <v>2</v>
      </c>
      <c r="CA54" s="6">
        <v>114</v>
      </c>
      <c r="CB54" s="6"/>
      <c r="CC54" s="6"/>
      <c r="CD54" s="6"/>
      <c r="CE54" s="6"/>
      <c r="CF54" s="6">
        <v>2</v>
      </c>
      <c r="CG54" s="6">
        <v>40</v>
      </c>
      <c r="CH54" s="6">
        <v>1</v>
      </c>
      <c r="CI54" s="6">
        <v>18</v>
      </c>
      <c r="CJ54" s="8"/>
      <c r="CK54" s="8"/>
      <c r="CL54" s="19">
        <v>85</v>
      </c>
      <c r="CM54" s="8">
        <v>11896</v>
      </c>
      <c r="CN54" s="9"/>
      <c r="CO54" s="9"/>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row>
    <row r="55" spans="1:210">
      <c r="A55" s="5" t="s">
        <v>94</v>
      </c>
      <c r="B55" s="6"/>
      <c r="C55" s="6"/>
      <c r="D55" s="6"/>
      <c r="E55" s="6"/>
      <c r="F55" s="6"/>
      <c r="G55" s="6"/>
      <c r="H55" s="6"/>
      <c r="I55" s="6"/>
      <c r="J55" s="6">
        <v>1</v>
      </c>
      <c r="K55" s="6">
        <v>32</v>
      </c>
      <c r="L55" s="6">
        <v>3</v>
      </c>
      <c r="M55" s="6">
        <v>59</v>
      </c>
      <c r="N55" s="6">
        <v>1</v>
      </c>
      <c r="O55" s="6">
        <v>16</v>
      </c>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v>1</v>
      </c>
      <c r="BS55" s="6">
        <v>16</v>
      </c>
      <c r="BT55" s="6"/>
      <c r="BU55" s="6"/>
      <c r="BV55" s="6"/>
      <c r="BW55" s="6"/>
      <c r="BX55" s="6"/>
      <c r="BY55" s="6"/>
      <c r="BZ55" s="6"/>
      <c r="CA55" s="6"/>
      <c r="CB55" s="6"/>
      <c r="CC55" s="6"/>
      <c r="CD55" s="6"/>
      <c r="CE55" s="6"/>
      <c r="CF55" s="6"/>
      <c r="CG55" s="6"/>
      <c r="CH55" s="6"/>
      <c r="CI55" s="6"/>
      <c r="CJ55" s="8"/>
      <c r="CK55" s="8"/>
      <c r="CL55" s="19">
        <v>6</v>
      </c>
      <c r="CM55" s="8">
        <v>123</v>
      </c>
      <c r="CN55" s="9"/>
      <c r="CO55" s="9"/>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row>
    <row r="56" spans="1:210">
      <c r="A56" s="5" t="s">
        <v>95</v>
      </c>
      <c r="B56" s="6"/>
      <c r="C56" s="6"/>
      <c r="D56" s="6"/>
      <c r="E56" s="6"/>
      <c r="F56" s="6"/>
      <c r="G56" s="6"/>
      <c r="H56" s="6"/>
      <c r="I56" s="6"/>
      <c r="J56" s="6"/>
      <c r="K56" s="6"/>
      <c r="L56" s="6">
        <v>1</v>
      </c>
      <c r="M56" s="6">
        <v>20</v>
      </c>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v>1</v>
      </c>
      <c r="BA56" s="6">
        <v>110</v>
      </c>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8"/>
      <c r="CK56" s="8"/>
      <c r="CL56" s="19">
        <v>2</v>
      </c>
      <c r="CM56" s="8">
        <v>130</v>
      </c>
      <c r="CN56" s="9"/>
      <c r="CO56" s="9"/>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row>
    <row r="57" spans="1:210">
      <c r="A57" s="11" t="s">
        <v>96</v>
      </c>
      <c r="B57" s="12">
        <v>144</v>
      </c>
      <c r="C57" s="12">
        <v>8705</v>
      </c>
      <c r="D57" s="12">
        <v>151</v>
      </c>
      <c r="E57" s="12">
        <v>19144</v>
      </c>
      <c r="F57" s="12">
        <v>117</v>
      </c>
      <c r="G57" s="12">
        <v>21895</v>
      </c>
      <c r="H57" s="12">
        <v>5</v>
      </c>
      <c r="I57" s="12">
        <v>951</v>
      </c>
      <c r="J57" s="12">
        <v>23</v>
      </c>
      <c r="K57" s="12">
        <v>807</v>
      </c>
      <c r="L57" s="12">
        <v>131</v>
      </c>
      <c r="M57" s="12">
        <v>1743</v>
      </c>
      <c r="N57" s="12">
        <v>42</v>
      </c>
      <c r="O57" s="12">
        <v>514</v>
      </c>
      <c r="P57" s="12">
        <v>1</v>
      </c>
      <c r="Q57" s="12">
        <v>500</v>
      </c>
      <c r="R57" s="12">
        <v>1</v>
      </c>
      <c r="S57" s="12">
        <v>500</v>
      </c>
      <c r="T57" s="12">
        <v>0</v>
      </c>
      <c r="U57" s="12">
        <v>0</v>
      </c>
      <c r="V57" s="12">
        <v>0</v>
      </c>
      <c r="W57" s="12">
        <v>0</v>
      </c>
      <c r="X57" s="12">
        <v>0</v>
      </c>
      <c r="Y57" s="12">
        <v>0</v>
      </c>
      <c r="Z57" s="12">
        <v>1</v>
      </c>
      <c r="AA57" s="12">
        <v>660</v>
      </c>
      <c r="AB57" s="12">
        <v>2</v>
      </c>
      <c r="AC57" s="12">
        <v>1958</v>
      </c>
      <c r="AD57" s="12">
        <v>36</v>
      </c>
      <c r="AE57" s="12">
        <v>3591</v>
      </c>
      <c r="AF57" s="12">
        <v>70</v>
      </c>
      <c r="AG57" s="12">
        <v>12187</v>
      </c>
      <c r="AH57" s="12">
        <v>299</v>
      </c>
      <c r="AI57" s="12">
        <v>89913</v>
      </c>
      <c r="AJ57" s="12">
        <v>131</v>
      </c>
      <c r="AK57" s="12">
        <v>39764</v>
      </c>
      <c r="AL57" s="12">
        <v>21</v>
      </c>
      <c r="AM57" s="12">
        <v>4505</v>
      </c>
      <c r="AN57" s="12">
        <v>4</v>
      </c>
      <c r="AO57" s="12">
        <v>190</v>
      </c>
      <c r="AP57" s="12">
        <v>3</v>
      </c>
      <c r="AQ57" s="12">
        <v>228</v>
      </c>
      <c r="AR57" s="12">
        <v>3</v>
      </c>
      <c r="AS57" s="12">
        <v>251</v>
      </c>
      <c r="AT57" s="12">
        <v>1</v>
      </c>
      <c r="AU57" s="12">
        <v>33</v>
      </c>
      <c r="AV57" s="12">
        <v>0</v>
      </c>
      <c r="AW57" s="12">
        <v>0</v>
      </c>
      <c r="AX57" s="12">
        <v>2</v>
      </c>
      <c r="AY57" s="12">
        <v>106</v>
      </c>
      <c r="AZ57" s="12">
        <v>11</v>
      </c>
      <c r="BA57" s="12">
        <v>2024</v>
      </c>
      <c r="BB57" s="12">
        <v>89</v>
      </c>
      <c r="BC57" s="12">
        <v>39284</v>
      </c>
      <c r="BD57" s="12">
        <v>62</v>
      </c>
      <c r="BE57" s="12">
        <v>25416</v>
      </c>
      <c r="BF57" s="12">
        <v>1</v>
      </c>
      <c r="BG57" s="12">
        <v>218</v>
      </c>
      <c r="BH57" s="12">
        <v>0</v>
      </c>
      <c r="BI57" s="12">
        <v>0</v>
      </c>
      <c r="BJ57" s="12">
        <v>0</v>
      </c>
      <c r="BK57" s="12">
        <v>0</v>
      </c>
      <c r="BL57" s="12">
        <v>0</v>
      </c>
      <c r="BM57" s="12">
        <v>0</v>
      </c>
      <c r="BN57" s="12">
        <v>0</v>
      </c>
      <c r="BO57" s="12">
        <v>0</v>
      </c>
      <c r="BP57" s="12">
        <v>0</v>
      </c>
      <c r="BQ57" s="12">
        <v>0</v>
      </c>
      <c r="BR57" s="12">
        <v>58</v>
      </c>
      <c r="BS57" s="12">
        <v>3238</v>
      </c>
      <c r="BT57" s="12">
        <v>40</v>
      </c>
      <c r="BU57" s="12">
        <v>2364</v>
      </c>
      <c r="BV57" s="12">
        <v>6</v>
      </c>
      <c r="BW57" s="12">
        <v>410</v>
      </c>
      <c r="BX57" s="12">
        <v>69</v>
      </c>
      <c r="BY57" s="12">
        <v>2743</v>
      </c>
      <c r="BZ57" s="12">
        <v>38</v>
      </c>
      <c r="CA57" s="12">
        <v>1554</v>
      </c>
      <c r="CB57" s="12">
        <v>3</v>
      </c>
      <c r="CC57" s="12">
        <v>140</v>
      </c>
      <c r="CD57" s="12">
        <v>0</v>
      </c>
      <c r="CE57" s="12">
        <v>0</v>
      </c>
      <c r="CF57" s="12">
        <v>21</v>
      </c>
      <c r="CG57" s="12">
        <v>601</v>
      </c>
      <c r="CH57" s="12">
        <v>9</v>
      </c>
      <c r="CI57" s="12">
        <v>248</v>
      </c>
      <c r="CJ57" s="12">
        <v>1</v>
      </c>
      <c r="CK57" s="12">
        <v>23</v>
      </c>
      <c r="CL57" s="12">
        <v>1596</v>
      </c>
      <c r="CM57" s="12">
        <v>286408</v>
      </c>
      <c r="CN57" s="9"/>
      <c r="CO57" s="9"/>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row>
  </sheetData>
  <sheetProtection password="C668" sheet="1"/>
  <mergeCells count="46">
    <mergeCell ref="V6:W6"/>
    <mergeCell ref="A6:A8"/>
    <mergeCell ref="B6:C6"/>
    <mergeCell ref="D6:E6"/>
    <mergeCell ref="F6:G6"/>
    <mergeCell ref="H6:I6"/>
    <mergeCell ref="J6:K6"/>
    <mergeCell ref="L6:M6"/>
    <mergeCell ref="N6:O6"/>
    <mergeCell ref="P6:Q6"/>
    <mergeCell ref="R6:S6"/>
    <mergeCell ref="T6:U6"/>
    <mergeCell ref="AT6:AU6"/>
    <mergeCell ref="X6:Y6"/>
    <mergeCell ref="Z6:AA6"/>
    <mergeCell ref="AB6:AC6"/>
    <mergeCell ref="AD6:AE6"/>
    <mergeCell ref="AF6:AG6"/>
    <mergeCell ref="AH6:AI6"/>
    <mergeCell ref="AJ6:AK6"/>
    <mergeCell ref="AL6:AM6"/>
    <mergeCell ref="AN6:AO6"/>
    <mergeCell ref="AP6:AQ6"/>
    <mergeCell ref="AR6:AS6"/>
    <mergeCell ref="BR6:BS6"/>
    <mergeCell ref="AV6:AW6"/>
    <mergeCell ref="AX6:AY6"/>
    <mergeCell ref="AZ6:BA6"/>
    <mergeCell ref="BB6:BC6"/>
    <mergeCell ref="BD6:BE6"/>
    <mergeCell ref="BF6:BG6"/>
    <mergeCell ref="BH6:BI6"/>
    <mergeCell ref="BJ6:BK6"/>
    <mergeCell ref="BL6:BM6"/>
    <mergeCell ref="BN6:BO6"/>
    <mergeCell ref="BP6:BQ6"/>
    <mergeCell ref="CF6:CG6"/>
    <mergeCell ref="CH6:CI6"/>
    <mergeCell ref="CJ6:CK6"/>
    <mergeCell ref="CL6:CM6"/>
    <mergeCell ref="BT6:BU6"/>
    <mergeCell ref="BV6:BW6"/>
    <mergeCell ref="BX6:BY6"/>
    <mergeCell ref="BZ6:CA6"/>
    <mergeCell ref="CB6:CC6"/>
    <mergeCell ref="CD6:CE6"/>
  </mergeCells>
  <conditionalFormatting sqref="A9:CM56">
    <cfRule type="expression" dxfId="1" priority="1" stopIfTrue="1">
      <formula>MOD(ROW(),2)=0</formula>
    </cfRule>
  </conditionalFormatting>
  <pageMargins left="0" right="0" top="0" bottom="0" header="0.31496062992125984" footer="0.31496062992125984"/>
  <pageSetup paperSize="8" scale="70" orientation="landscape" r:id="rId1"/>
  <colBreaks count="4" manualBreakCount="4">
    <brk id="19" max="1048575" man="1"/>
    <brk id="37" max="1048575" man="1"/>
    <brk id="55" max="1048575" man="1"/>
    <brk id="73" max="1048575" man="1"/>
  </col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3:M44"/>
  <sheetViews>
    <sheetView showGridLines="0" workbookViewId="0"/>
  </sheetViews>
  <sheetFormatPr baseColWidth="10" defaultRowHeight="15"/>
  <cols>
    <col min="1" max="1" width="16.42578125" customWidth="1"/>
    <col min="3" max="3" width="17" bestFit="1" customWidth="1"/>
    <col min="4" max="4" width="15.140625" bestFit="1" customWidth="1"/>
    <col min="5" max="5" width="14" bestFit="1" customWidth="1"/>
    <col min="8" max="8" width="15.42578125" customWidth="1"/>
    <col min="10" max="10" width="17" bestFit="1" customWidth="1"/>
    <col min="11" max="11" width="15.140625" bestFit="1" customWidth="1"/>
    <col min="12" max="12" width="14" bestFit="1" customWidth="1"/>
  </cols>
  <sheetData>
    <row r="3" spans="1:13" ht="16.5">
      <c r="A3" s="13" t="s">
        <v>98</v>
      </c>
      <c r="B3" s="14"/>
      <c r="C3" s="15"/>
      <c r="D3" s="15"/>
      <c r="E3" s="15"/>
      <c r="F3" s="15"/>
    </row>
    <row r="4" spans="1:13" ht="16.5">
      <c r="A4" s="16" t="s">
        <v>100</v>
      </c>
      <c r="B4" s="17"/>
      <c r="C4" s="18"/>
      <c r="D4" s="18"/>
      <c r="E4" s="18"/>
      <c r="F4" s="18"/>
    </row>
    <row r="5" spans="1:13" ht="16.5">
      <c r="A5" s="16" t="s">
        <v>102</v>
      </c>
      <c r="B5" s="17"/>
      <c r="C5" s="18"/>
      <c r="D5" s="18"/>
      <c r="E5" s="18"/>
      <c r="F5" s="18"/>
    </row>
    <row r="7" spans="1:13" s="109" customFormat="1" ht="12.75">
      <c r="A7" s="143" t="s">
        <v>104</v>
      </c>
      <c r="B7" s="143"/>
      <c r="C7" s="107" t="s">
        <v>105</v>
      </c>
      <c r="D7" s="107" t="s">
        <v>106</v>
      </c>
      <c r="E7" s="107" t="s">
        <v>107</v>
      </c>
      <c r="F7" s="107" t="s">
        <v>108</v>
      </c>
      <c r="H7" s="143" t="s">
        <v>104</v>
      </c>
      <c r="I7" s="143"/>
      <c r="J7" s="107" t="s">
        <v>105</v>
      </c>
      <c r="K7" s="107" t="s">
        <v>106</v>
      </c>
      <c r="L7" s="107" t="s">
        <v>107</v>
      </c>
      <c r="M7" s="107" t="s">
        <v>108</v>
      </c>
    </row>
    <row r="8" spans="1:13" s="109" customFormat="1" ht="12.75">
      <c r="A8" s="144" t="s">
        <v>109</v>
      </c>
      <c r="B8" s="144"/>
      <c r="C8" s="108" t="s">
        <v>110</v>
      </c>
      <c r="D8" s="108" t="s">
        <v>111</v>
      </c>
      <c r="E8" s="108" t="s">
        <v>112</v>
      </c>
      <c r="F8" s="108" t="s">
        <v>113</v>
      </c>
      <c r="H8" s="144" t="s">
        <v>109</v>
      </c>
      <c r="I8" s="144"/>
      <c r="J8" s="108" t="s">
        <v>110</v>
      </c>
      <c r="K8" s="108" t="s">
        <v>111</v>
      </c>
      <c r="L8" s="108" t="s">
        <v>112</v>
      </c>
      <c r="M8" s="108" t="s">
        <v>113</v>
      </c>
    </row>
    <row r="9" spans="1:13" s="109" customFormat="1" ht="12.75">
      <c r="A9" s="144" t="s">
        <v>114</v>
      </c>
      <c r="B9" s="144"/>
      <c r="C9" s="108" t="s">
        <v>115</v>
      </c>
      <c r="D9" s="108" t="s">
        <v>116</v>
      </c>
      <c r="E9" s="108" t="s">
        <v>117</v>
      </c>
      <c r="F9" s="108" t="s">
        <v>118</v>
      </c>
      <c r="H9" s="144" t="s">
        <v>114</v>
      </c>
      <c r="I9" s="144"/>
      <c r="J9" s="108" t="s">
        <v>115</v>
      </c>
      <c r="K9" s="108" t="s">
        <v>116</v>
      </c>
      <c r="L9" s="108" t="s">
        <v>117</v>
      </c>
      <c r="M9" s="108" t="s">
        <v>118</v>
      </c>
    </row>
    <row r="10" spans="1:13">
      <c r="A10" s="139" t="s">
        <v>119</v>
      </c>
      <c r="B10" s="139"/>
      <c r="C10" s="6">
        <v>146</v>
      </c>
      <c r="D10" s="6">
        <v>3097</v>
      </c>
      <c r="E10" s="6">
        <v>8999</v>
      </c>
      <c r="F10" s="20">
        <v>0.17522440952547852</v>
      </c>
      <c r="H10" s="139" t="s">
        <v>25</v>
      </c>
      <c r="I10" s="139"/>
      <c r="J10" s="6">
        <v>2</v>
      </c>
      <c r="K10" s="6">
        <v>33</v>
      </c>
      <c r="L10" s="6">
        <v>106</v>
      </c>
      <c r="M10" s="20">
        <v>1.6224324241589372E-3</v>
      </c>
    </row>
    <row r="11" spans="1:13">
      <c r="A11" s="139" t="s">
        <v>120</v>
      </c>
      <c r="B11" s="139"/>
      <c r="C11" s="6">
        <v>152</v>
      </c>
      <c r="D11" s="6">
        <v>7279</v>
      </c>
      <c r="E11" s="6">
        <v>19169</v>
      </c>
      <c r="F11" s="20">
        <v>0.37324999513211443</v>
      </c>
      <c r="H11" s="139" t="s">
        <v>26</v>
      </c>
      <c r="I11" s="139"/>
      <c r="J11" s="6">
        <v>10</v>
      </c>
      <c r="K11" s="6">
        <v>746</v>
      </c>
      <c r="L11" s="6">
        <v>1955</v>
      </c>
      <c r="M11" s="20">
        <v>2.9923164049346435E-2</v>
      </c>
    </row>
    <row r="12" spans="1:13">
      <c r="A12" s="139" t="s">
        <v>121</v>
      </c>
      <c r="B12" s="139"/>
      <c r="C12" s="6">
        <v>119</v>
      </c>
      <c r="D12" s="6">
        <v>8547</v>
      </c>
      <c r="E12" s="6">
        <v>22238</v>
      </c>
      <c r="F12" s="20">
        <v>0.43300815857624081</v>
      </c>
      <c r="H12" s="139" t="s">
        <v>27</v>
      </c>
      <c r="I12" s="139"/>
      <c r="J12" s="6">
        <v>89</v>
      </c>
      <c r="K12" s="6">
        <v>17170</v>
      </c>
      <c r="L12" s="6">
        <v>39804</v>
      </c>
      <c r="M12" s="20">
        <v>0.60923868123794656</v>
      </c>
    </row>
    <row r="13" spans="1:13">
      <c r="A13" s="139" t="s">
        <v>122</v>
      </c>
      <c r="B13" s="139"/>
      <c r="C13" s="6">
        <v>5</v>
      </c>
      <c r="D13" s="6">
        <v>329</v>
      </c>
      <c r="E13" s="6">
        <v>951</v>
      </c>
      <c r="F13" s="20">
        <v>1.8517436766166247E-2</v>
      </c>
      <c r="H13" s="139" t="s">
        <v>28</v>
      </c>
      <c r="I13" s="139"/>
      <c r="J13" s="6">
        <v>56</v>
      </c>
      <c r="K13" s="6">
        <v>10716</v>
      </c>
      <c r="L13" s="6">
        <v>23251</v>
      </c>
      <c r="M13" s="20">
        <v>0.3558790216426363</v>
      </c>
    </row>
    <row r="14" spans="1:13">
      <c r="A14" s="140" t="s">
        <v>123</v>
      </c>
      <c r="B14" s="140"/>
      <c r="C14" s="21">
        <v>422</v>
      </c>
      <c r="D14" s="21">
        <v>19252</v>
      </c>
      <c r="E14" s="21">
        <v>51357</v>
      </c>
      <c r="F14" s="22">
        <v>1</v>
      </c>
      <c r="H14" s="139" t="s">
        <v>29</v>
      </c>
      <c r="I14" s="139"/>
      <c r="J14" s="6">
        <v>1</v>
      </c>
      <c r="K14" s="6">
        <v>109</v>
      </c>
      <c r="L14" s="6">
        <v>218</v>
      </c>
      <c r="M14" s="20">
        <v>3.3367006459117765E-3</v>
      </c>
    </row>
    <row r="15" spans="1:13">
      <c r="A15" s="139"/>
      <c r="B15" s="139"/>
      <c r="C15" s="6"/>
      <c r="D15" s="6"/>
      <c r="E15" s="6"/>
      <c r="F15" s="20"/>
      <c r="H15" s="140" t="s">
        <v>124</v>
      </c>
      <c r="I15" s="140"/>
      <c r="J15" s="21">
        <v>158</v>
      </c>
      <c r="K15" s="21">
        <v>28774</v>
      </c>
      <c r="L15" s="21">
        <v>65334</v>
      </c>
      <c r="M15" s="22">
        <v>1</v>
      </c>
    </row>
    <row r="16" spans="1:13">
      <c r="A16" s="140" t="s">
        <v>7</v>
      </c>
      <c r="B16" s="140"/>
      <c r="C16" s="21">
        <v>21</v>
      </c>
      <c r="D16" s="21">
        <v>395</v>
      </c>
      <c r="E16" s="21">
        <v>769</v>
      </c>
      <c r="F16" s="22">
        <v>1</v>
      </c>
      <c r="H16" s="139"/>
      <c r="I16" s="139"/>
      <c r="J16" s="6"/>
      <c r="K16" s="6"/>
      <c r="L16" s="6"/>
      <c r="M16" s="20"/>
    </row>
    <row r="17" spans="1:13">
      <c r="A17" s="140" t="s">
        <v>167</v>
      </c>
      <c r="B17" s="140"/>
      <c r="C17" s="21">
        <v>122</v>
      </c>
      <c r="D17" s="21">
        <v>778</v>
      </c>
      <c r="E17" s="21">
        <v>1623</v>
      </c>
      <c r="F17" s="22">
        <v>1</v>
      </c>
      <c r="H17" s="139" t="s">
        <v>30</v>
      </c>
      <c r="I17" s="139"/>
      <c r="J17" s="6">
        <v>1</v>
      </c>
      <c r="K17" s="6">
        <v>108</v>
      </c>
      <c r="L17" s="6">
        <v>216</v>
      </c>
      <c r="M17" s="25">
        <f>L17/L22</f>
        <v>1</v>
      </c>
    </row>
    <row r="18" spans="1:13">
      <c r="A18" s="140" t="s">
        <v>8</v>
      </c>
      <c r="B18" s="140"/>
      <c r="C18" s="21">
        <v>37</v>
      </c>
      <c r="D18" s="21">
        <v>231</v>
      </c>
      <c r="E18" s="21">
        <v>454</v>
      </c>
      <c r="F18" s="22">
        <v>1</v>
      </c>
      <c r="H18" s="139" t="s">
        <v>31</v>
      </c>
      <c r="I18" s="139"/>
      <c r="J18" s="6"/>
      <c r="K18" s="6"/>
      <c r="L18" s="6"/>
      <c r="M18" s="6"/>
    </row>
    <row r="19" spans="1:13">
      <c r="A19" s="141"/>
      <c r="B19" s="141"/>
      <c r="C19" s="6"/>
      <c r="D19" s="6"/>
      <c r="E19" s="6"/>
      <c r="F19" s="20"/>
      <c r="H19" s="139" t="s">
        <v>32</v>
      </c>
      <c r="I19" s="139"/>
      <c r="J19" s="6"/>
      <c r="K19" s="6"/>
      <c r="L19" s="6"/>
      <c r="M19" s="6"/>
    </row>
    <row r="20" spans="1:13">
      <c r="A20" s="139" t="s">
        <v>11</v>
      </c>
      <c r="B20" s="139"/>
      <c r="C20" s="6"/>
      <c r="D20" s="23"/>
      <c r="E20" s="6"/>
      <c r="F20" s="20"/>
      <c r="H20" s="139" t="s">
        <v>33</v>
      </c>
      <c r="I20" s="139"/>
      <c r="J20" s="6"/>
      <c r="K20" s="6"/>
      <c r="L20" s="6"/>
      <c r="M20" s="6"/>
    </row>
    <row r="21" spans="1:13">
      <c r="A21" s="139" t="s">
        <v>10</v>
      </c>
      <c r="B21" s="139"/>
      <c r="C21" s="6"/>
      <c r="D21" s="23"/>
      <c r="E21" s="6"/>
      <c r="F21" s="20"/>
      <c r="H21" s="139" t="s">
        <v>34</v>
      </c>
      <c r="I21" s="139"/>
      <c r="J21" s="6"/>
      <c r="K21" s="6"/>
      <c r="L21" s="6"/>
      <c r="M21" s="6"/>
    </row>
    <row r="22" spans="1:13">
      <c r="A22" s="139" t="s">
        <v>9</v>
      </c>
      <c r="B22" s="139"/>
      <c r="C22" s="6">
        <v>1</v>
      </c>
      <c r="D22" s="6"/>
      <c r="E22" s="6">
        <v>500</v>
      </c>
      <c r="F22" s="25">
        <v>1</v>
      </c>
      <c r="H22" s="140" t="s">
        <v>125</v>
      </c>
      <c r="I22" s="140"/>
      <c r="J22" s="21">
        <v>1</v>
      </c>
      <c r="K22" s="21">
        <v>108</v>
      </c>
      <c r="L22" s="21">
        <v>216</v>
      </c>
      <c r="M22" s="22">
        <v>1</v>
      </c>
    </row>
    <row r="23" spans="1:13">
      <c r="A23" s="139" t="s">
        <v>126</v>
      </c>
      <c r="B23" s="139"/>
      <c r="C23" s="6"/>
      <c r="D23" s="6"/>
      <c r="E23" s="6"/>
      <c r="F23" s="25"/>
      <c r="H23" s="139"/>
      <c r="I23" s="139"/>
      <c r="J23" s="6"/>
      <c r="K23" s="6"/>
      <c r="L23" s="6"/>
      <c r="M23" s="20"/>
    </row>
    <row r="24" spans="1:13">
      <c r="A24" s="140" t="s">
        <v>127</v>
      </c>
      <c r="B24" s="140"/>
      <c r="C24" s="21">
        <v>1</v>
      </c>
      <c r="D24" s="21"/>
      <c r="E24" s="21">
        <v>500</v>
      </c>
      <c r="F24" s="22">
        <v>1</v>
      </c>
      <c r="H24" s="139" t="s">
        <v>35</v>
      </c>
      <c r="I24" s="139"/>
      <c r="J24" s="6">
        <v>60</v>
      </c>
      <c r="K24" s="6">
        <v>1759</v>
      </c>
      <c r="L24" s="6">
        <v>3394</v>
      </c>
      <c r="M24" s="20">
        <v>0.54592247064500565</v>
      </c>
    </row>
    <row r="25" spans="1:13">
      <c r="A25" s="139"/>
      <c r="B25" s="139"/>
      <c r="C25" s="6"/>
      <c r="D25" s="6"/>
      <c r="E25" s="6"/>
      <c r="F25" s="20"/>
      <c r="H25" s="139" t="s">
        <v>36</v>
      </c>
      <c r="I25" s="139"/>
      <c r="J25" s="6">
        <v>39</v>
      </c>
      <c r="K25" s="6">
        <v>1214</v>
      </c>
      <c r="L25" s="6">
        <v>2289</v>
      </c>
      <c r="M25" s="20">
        <v>0.36818401158114844</v>
      </c>
    </row>
    <row r="26" spans="1:13">
      <c r="A26" s="139" t="s">
        <v>12</v>
      </c>
      <c r="B26" s="139"/>
      <c r="C26" s="6"/>
      <c r="D26" s="6"/>
      <c r="E26" s="6"/>
      <c r="F26" s="20"/>
      <c r="H26" s="139" t="s">
        <v>37</v>
      </c>
      <c r="I26" s="139"/>
      <c r="J26" s="6">
        <v>7</v>
      </c>
      <c r="K26" s="6">
        <v>299</v>
      </c>
      <c r="L26" s="6">
        <v>534</v>
      </c>
      <c r="M26" s="20">
        <v>8.5893517773845907E-2</v>
      </c>
    </row>
    <row r="27" spans="1:13">
      <c r="A27" s="139" t="s">
        <v>13</v>
      </c>
      <c r="B27" s="139"/>
      <c r="C27" s="6">
        <v>1</v>
      </c>
      <c r="D27" s="6">
        <v>324</v>
      </c>
      <c r="E27" s="6">
        <v>660</v>
      </c>
      <c r="F27" s="20">
        <v>0.22727272727272727</v>
      </c>
      <c r="H27" s="140" t="s">
        <v>128</v>
      </c>
      <c r="I27" s="140"/>
      <c r="J27" s="21">
        <v>106</v>
      </c>
      <c r="K27" s="21">
        <v>3272</v>
      </c>
      <c r="L27" s="21">
        <v>6217</v>
      </c>
      <c r="M27" s="22">
        <v>1</v>
      </c>
    </row>
    <row r="28" spans="1:13">
      <c r="A28" s="139" t="s">
        <v>14</v>
      </c>
      <c r="B28" s="139"/>
      <c r="C28" s="6">
        <v>3</v>
      </c>
      <c r="D28" s="6">
        <v>913</v>
      </c>
      <c r="E28" s="6">
        <v>2244</v>
      </c>
      <c r="F28" s="20">
        <v>0.77272727272727271</v>
      </c>
      <c r="H28" s="139"/>
      <c r="I28" s="139"/>
      <c r="J28" s="6"/>
      <c r="K28" s="6"/>
      <c r="L28" s="6"/>
      <c r="M28" s="20"/>
    </row>
    <row r="29" spans="1:13">
      <c r="A29" s="140" t="s">
        <v>129</v>
      </c>
      <c r="B29" s="140"/>
      <c r="C29" s="21">
        <v>4</v>
      </c>
      <c r="D29" s="21">
        <v>1237</v>
      </c>
      <c r="E29" s="21">
        <v>2904</v>
      </c>
      <c r="F29" s="22">
        <v>1</v>
      </c>
      <c r="H29" s="139" t="s">
        <v>38</v>
      </c>
      <c r="I29" s="139"/>
      <c r="J29" s="6">
        <v>72</v>
      </c>
      <c r="K29" s="6">
        <v>1541</v>
      </c>
      <c r="L29" s="6">
        <v>2871</v>
      </c>
      <c r="M29" s="20">
        <v>0.61702127659574468</v>
      </c>
    </row>
    <row r="30" spans="1:13">
      <c r="A30" s="139"/>
      <c r="B30" s="139"/>
      <c r="C30" s="6"/>
      <c r="D30" s="6"/>
      <c r="E30" s="6"/>
      <c r="F30" s="20"/>
      <c r="H30" s="139" t="s">
        <v>39</v>
      </c>
      <c r="I30" s="139"/>
      <c r="J30" s="6">
        <v>39</v>
      </c>
      <c r="K30" s="6">
        <v>876</v>
      </c>
      <c r="L30" s="6">
        <v>1642</v>
      </c>
      <c r="M30" s="20">
        <v>0.35289060820975715</v>
      </c>
    </row>
    <row r="31" spans="1:13">
      <c r="A31" s="139" t="s">
        <v>15</v>
      </c>
      <c r="B31" s="139"/>
      <c r="C31" s="6">
        <v>37</v>
      </c>
      <c r="D31" s="6">
        <v>2174</v>
      </c>
      <c r="E31" s="6">
        <v>4053</v>
      </c>
      <c r="F31" s="20">
        <v>2.7027207255268072E-2</v>
      </c>
      <c r="H31" s="139" t="s">
        <v>40</v>
      </c>
      <c r="I31" s="139"/>
      <c r="J31" s="6">
        <v>3</v>
      </c>
      <c r="K31" s="6">
        <v>74</v>
      </c>
      <c r="L31" s="6">
        <v>140</v>
      </c>
      <c r="M31" s="20">
        <v>3.0088115194498173E-2</v>
      </c>
    </row>
    <row r="32" spans="1:13">
      <c r="A32" s="139" t="s">
        <v>16</v>
      </c>
      <c r="B32" s="139"/>
      <c r="C32" s="6">
        <v>76</v>
      </c>
      <c r="D32" s="6">
        <v>7406</v>
      </c>
      <c r="E32" s="6">
        <v>13776</v>
      </c>
      <c r="F32" s="20">
        <v>9.1864497199253131E-2</v>
      </c>
      <c r="H32" s="140" t="s">
        <v>130</v>
      </c>
      <c r="I32" s="140"/>
      <c r="J32" s="21">
        <v>114</v>
      </c>
      <c r="K32" s="21">
        <v>2491</v>
      </c>
      <c r="L32" s="21">
        <v>4653</v>
      </c>
      <c r="M32" s="22">
        <v>1</v>
      </c>
    </row>
    <row r="33" spans="1:13">
      <c r="A33" s="139" t="s">
        <v>17</v>
      </c>
      <c r="B33" s="139"/>
      <c r="C33" s="6">
        <v>294</v>
      </c>
      <c r="D33" s="6">
        <v>46944</v>
      </c>
      <c r="E33" s="6">
        <v>88277</v>
      </c>
      <c r="F33" s="20">
        <v>0.58867031208322218</v>
      </c>
      <c r="H33" s="139"/>
      <c r="I33" s="139"/>
      <c r="J33" s="15"/>
      <c r="K33" s="15"/>
      <c r="L33" s="15"/>
      <c r="M33" s="15"/>
    </row>
    <row r="34" spans="1:13">
      <c r="A34" s="139" t="s">
        <v>168</v>
      </c>
      <c r="B34" s="139"/>
      <c r="C34" s="6">
        <v>128</v>
      </c>
      <c r="D34" s="6">
        <v>20753</v>
      </c>
      <c r="E34" s="6">
        <v>39349</v>
      </c>
      <c r="F34" s="20">
        <v>0.26239663910376099</v>
      </c>
      <c r="H34" s="140" t="s">
        <v>42</v>
      </c>
      <c r="I34" s="140"/>
      <c r="J34" s="21">
        <v>21</v>
      </c>
      <c r="K34" s="21">
        <v>320</v>
      </c>
      <c r="L34" s="21">
        <v>601</v>
      </c>
      <c r="M34" s="22">
        <v>1</v>
      </c>
    </row>
    <row r="35" spans="1:13">
      <c r="A35" s="139" t="s">
        <v>19</v>
      </c>
      <c r="B35" s="139"/>
      <c r="C35" s="6">
        <v>21</v>
      </c>
      <c r="D35" s="6">
        <v>2312</v>
      </c>
      <c r="E35" s="6">
        <v>4505</v>
      </c>
      <c r="F35" s="20">
        <v>3.0041344358495599E-2</v>
      </c>
      <c r="H35" s="140" t="s">
        <v>43</v>
      </c>
      <c r="I35" s="140"/>
      <c r="J35" s="21">
        <v>9</v>
      </c>
      <c r="K35" s="21">
        <v>134</v>
      </c>
      <c r="L35" s="21">
        <v>244</v>
      </c>
      <c r="M35" s="22">
        <v>1</v>
      </c>
    </row>
    <row r="36" spans="1:13">
      <c r="A36" s="139"/>
      <c r="B36" s="142"/>
      <c r="C36" s="6"/>
      <c r="D36" s="6"/>
      <c r="E36" s="6"/>
      <c r="F36" s="20"/>
      <c r="H36" s="140" t="s">
        <v>44</v>
      </c>
      <c r="I36" s="140"/>
      <c r="J36" s="21">
        <v>1</v>
      </c>
      <c r="K36" s="21">
        <v>12</v>
      </c>
      <c r="L36" s="21">
        <v>23</v>
      </c>
      <c r="M36" s="22">
        <v>1</v>
      </c>
    </row>
    <row r="37" spans="1:13">
      <c r="A37" s="140" t="s">
        <v>131</v>
      </c>
      <c r="B37" s="140"/>
      <c r="C37" s="21">
        <v>556</v>
      </c>
      <c r="D37" s="21">
        <v>79589</v>
      </c>
      <c r="E37" s="21">
        <v>149960</v>
      </c>
      <c r="F37" s="22">
        <v>1</v>
      </c>
      <c r="H37" s="139"/>
      <c r="I37" s="139"/>
      <c r="J37" s="6"/>
      <c r="K37" s="6"/>
      <c r="L37" s="6"/>
      <c r="M37" s="6"/>
    </row>
    <row r="38" spans="1:13">
      <c r="A38" s="139"/>
      <c r="B38" s="139"/>
      <c r="C38" s="6"/>
      <c r="D38" s="6"/>
      <c r="E38" s="6"/>
      <c r="F38" s="20"/>
      <c r="H38" s="139"/>
      <c r="I38" s="139"/>
      <c r="J38" s="6"/>
      <c r="K38" s="6"/>
      <c r="L38" s="6"/>
      <c r="M38" s="6"/>
    </row>
    <row r="39" spans="1:13">
      <c r="A39" s="139" t="s">
        <v>20</v>
      </c>
      <c r="B39" s="139"/>
      <c r="C39" s="6">
        <v>5</v>
      </c>
      <c r="D39" s="6">
        <v>122</v>
      </c>
      <c r="E39" s="6">
        <v>229</v>
      </c>
      <c r="F39" s="20">
        <v>0.26535341830822712</v>
      </c>
      <c r="H39" s="141"/>
      <c r="I39" s="141"/>
      <c r="J39" s="6"/>
      <c r="K39" s="6"/>
      <c r="L39" s="6"/>
      <c r="M39" s="6"/>
    </row>
    <row r="40" spans="1:13">
      <c r="A40" s="139" t="s">
        <v>21</v>
      </c>
      <c r="B40" s="139"/>
      <c r="C40" s="6">
        <v>3</v>
      </c>
      <c r="D40" s="6">
        <v>122</v>
      </c>
      <c r="E40" s="6">
        <v>228</v>
      </c>
      <c r="F40" s="20">
        <v>0.26419466975666278</v>
      </c>
      <c r="H40" s="19"/>
      <c r="I40" s="19"/>
      <c r="J40" s="6"/>
      <c r="K40" s="6"/>
      <c r="L40" s="6"/>
      <c r="M40" s="26"/>
    </row>
    <row r="41" spans="1:13">
      <c r="A41" s="139" t="s">
        <v>22</v>
      </c>
      <c r="B41" s="139"/>
      <c r="C41" s="6">
        <v>4</v>
      </c>
      <c r="D41" s="6">
        <v>202</v>
      </c>
      <c r="E41" s="6">
        <v>373</v>
      </c>
      <c r="F41" s="20">
        <v>0.43221320973348781</v>
      </c>
      <c r="H41" s="140" t="s">
        <v>45</v>
      </c>
      <c r="I41" s="140"/>
      <c r="J41" s="21">
        <v>1586</v>
      </c>
      <c r="K41" s="21">
        <v>137057</v>
      </c>
      <c r="L41" s="21">
        <v>285718</v>
      </c>
      <c r="M41" s="6"/>
    </row>
    <row r="42" spans="1:13">
      <c r="A42" s="139" t="s">
        <v>172</v>
      </c>
      <c r="B42" s="139"/>
      <c r="C42" s="6">
        <v>1</v>
      </c>
      <c r="D42" s="6">
        <v>18</v>
      </c>
      <c r="E42" s="6">
        <v>33</v>
      </c>
      <c r="F42" s="20">
        <v>3.8238702201622246E-2</v>
      </c>
    </row>
    <row r="43" spans="1:13">
      <c r="A43" s="139" t="s">
        <v>24</v>
      </c>
      <c r="B43" s="139"/>
      <c r="C43" s="6"/>
      <c r="D43" s="6"/>
      <c r="E43" s="6"/>
      <c r="F43" s="20"/>
    </row>
    <row r="44" spans="1:13">
      <c r="A44" s="140" t="s">
        <v>132</v>
      </c>
      <c r="B44" s="140"/>
      <c r="C44" s="21">
        <v>13</v>
      </c>
      <c r="D44" s="21">
        <v>464</v>
      </c>
      <c r="E44" s="21">
        <v>863</v>
      </c>
      <c r="F44" s="22">
        <v>1</v>
      </c>
    </row>
  </sheetData>
  <sheetProtection algorithmName="SHA-512" hashValue="SwVIE+Io5wtavCEdlzYqLabJXFnL1Ab0AnfvV5AfIS5wnKcBL4+Pv9HQ768sLWxPkRB9KcXCGaZZOi8pjscuQw==" saltValue="76ADoGUsspQSOhV7439M5A==" spinCount="100000" sheet="1" objects="1" scenarios="1"/>
  <mergeCells count="72">
    <mergeCell ref="A7:B7"/>
    <mergeCell ref="H7:I7"/>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 ref="A21:B21"/>
    <mergeCell ref="H21:I21"/>
    <mergeCell ref="A22:B22"/>
    <mergeCell ref="H22:I22"/>
    <mergeCell ref="A23:B23"/>
    <mergeCell ref="H23:I23"/>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44:B44"/>
    <mergeCell ref="A37:B37"/>
    <mergeCell ref="H37:I37"/>
    <mergeCell ref="A38:B38"/>
    <mergeCell ref="H38:I38"/>
    <mergeCell ref="A39:B39"/>
    <mergeCell ref="H39:I39"/>
    <mergeCell ref="A40:B40"/>
    <mergeCell ref="A41:B41"/>
    <mergeCell ref="H41:I41"/>
    <mergeCell ref="A42:B42"/>
    <mergeCell ref="A43:B43"/>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2:HB57"/>
  <sheetViews>
    <sheetView showGridLines="0" zoomScaleNormal="100" workbookViewId="0"/>
  </sheetViews>
  <sheetFormatPr baseColWidth="10" defaultRowHeight="15"/>
  <cols>
    <col min="1" max="1" width="79.85546875" customWidth="1"/>
  </cols>
  <sheetData>
    <row r="2" spans="1:210" ht="16.5">
      <c r="A2" s="1" t="s">
        <v>0</v>
      </c>
      <c r="B2" s="2"/>
      <c r="C2" s="2"/>
    </row>
    <row r="3" spans="1:210" ht="16.5">
      <c r="A3" s="3" t="s">
        <v>1</v>
      </c>
      <c r="B3" s="2"/>
      <c r="C3" s="2"/>
    </row>
    <row r="4" spans="1:210" ht="16.5">
      <c r="A4" s="3" t="s">
        <v>2</v>
      </c>
      <c r="B4" s="2"/>
      <c r="C4" s="2"/>
    </row>
    <row r="6" spans="1:210" ht="15" customHeight="1">
      <c r="A6" s="138" t="s">
        <v>97</v>
      </c>
      <c r="B6" s="137" t="s">
        <v>3</v>
      </c>
      <c r="C6" s="137"/>
      <c r="D6" s="137" t="s">
        <v>4</v>
      </c>
      <c r="E6" s="137"/>
      <c r="F6" s="137" t="s">
        <v>5</v>
      </c>
      <c r="G6" s="137"/>
      <c r="H6" s="137" t="s">
        <v>6</v>
      </c>
      <c r="I6" s="137"/>
      <c r="J6" s="137" t="s">
        <v>7</v>
      </c>
      <c r="K6" s="137"/>
      <c r="L6" s="137" t="s">
        <v>167</v>
      </c>
      <c r="M6" s="137"/>
      <c r="N6" s="137" t="s">
        <v>8</v>
      </c>
      <c r="O6" s="137"/>
      <c r="P6" s="137" t="s">
        <v>9</v>
      </c>
      <c r="Q6" s="137"/>
      <c r="R6" s="137" t="s">
        <v>10</v>
      </c>
      <c r="S6" s="137"/>
      <c r="T6" s="137" t="s">
        <v>11</v>
      </c>
      <c r="U6" s="137"/>
      <c r="V6" s="137" t="s">
        <v>12</v>
      </c>
      <c r="W6" s="137"/>
      <c r="X6" s="137" t="s">
        <v>13</v>
      </c>
      <c r="Y6" s="137"/>
      <c r="Z6" s="137" t="s">
        <v>14</v>
      </c>
      <c r="AA6" s="137"/>
      <c r="AB6" s="137" t="s">
        <v>15</v>
      </c>
      <c r="AC6" s="137"/>
      <c r="AD6" s="137" t="s">
        <v>16</v>
      </c>
      <c r="AE6" s="137"/>
      <c r="AF6" s="137" t="s">
        <v>17</v>
      </c>
      <c r="AG6" s="137"/>
      <c r="AH6" s="137" t="s">
        <v>18</v>
      </c>
      <c r="AI6" s="137"/>
      <c r="AJ6" s="137" t="s">
        <v>19</v>
      </c>
      <c r="AK6" s="137"/>
      <c r="AL6" s="137" t="s">
        <v>20</v>
      </c>
      <c r="AM6" s="137"/>
      <c r="AN6" s="137" t="s">
        <v>21</v>
      </c>
      <c r="AO6" s="137"/>
      <c r="AP6" s="137" t="s">
        <v>22</v>
      </c>
      <c r="AQ6" s="137"/>
      <c r="AR6" s="137" t="s">
        <v>23</v>
      </c>
      <c r="AS6" s="137"/>
      <c r="AT6" s="137" t="s">
        <v>24</v>
      </c>
      <c r="AU6" s="137"/>
      <c r="AV6" s="137" t="s">
        <v>25</v>
      </c>
      <c r="AW6" s="137"/>
      <c r="AX6" s="137" t="s">
        <v>26</v>
      </c>
      <c r="AY6" s="137"/>
      <c r="AZ6" s="137" t="s">
        <v>27</v>
      </c>
      <c r="BA6" s="137"/>
      <c r="BB6" s="137" t="s">
        <v>28</v>
      </c>
      <c r="BC6" s="137"/>
      <c r="BD6" s="137" t="s">
        <v>29</v>
      </c>
      <c r="BE6" s="137"/>
      <c r="BF6" s="137" t="s">
        <v>30</v>
      </c>
      <c r="BG6" s="137"/>
      <c r="BH6" s="137" t="s">
        <v>31</v>
      </c>
      <c r="BI6" s="137"/>
      <c r="BJ6" s="137" t="s">
        <v>32</v>
      </c>
      <c r="BK6" s="137"/>
      <c r="BL6" s="137" t="s">
        <v>33</v>
      </c>
      <c r="BM6" s="137"/>
      <c r="BN6" s="137" t="s">
        <v>34</v>
      </c>
      <c r="BO6" s="137"/>
      <c r="BP6" s="137" t="s">
        <v>35</v>
      </c>
      <c r="BQ6" s="137"/>
      <c r="BR6" s="137" t="s">
        <v>36</v>
      </c>
      <c r="BS6" s="137"/>
      <c r="BT6" s="137" t="s">
        <v>37</v>
      </c>
      <c r="BU6" s="137"/>
      <c r="BV6" s="137" t="s">
        <v>38</v>
      </c>
      <c r="BW6" s="137"/>
      <c r="BX6" s="137" t="s">
        <v>39</v>
      </c>
      <c r="BY6" s="137"/>
      <c r="BZ6" s="137" t="s">
        <v>40</v>
      </c>
      <c r="CA6" s="137"/>
      <c r="CB6" s="137" t="s">
        <v>41</v>
      </c>
      <c r="CC6" s="137"/>
      <c r="CD6" s="137" t="s">
        <v>42</v>
      </c>
      <c r="CE6" s="137"/>
      <c r="CF6" s="137" t="s">
        <v>43</v>
      </c>
      <c r="CG6" s="137"/>
      <c r="CH6" s="137" t="s">
        <v>44</v>
      </c>
      <c r="CI6" s="137"/>
      <c r="CJ6" s="137" t="s">
        <v>45</v>
      </c>
      <c r="CK6" s="137"/>
    </row>
    <row r="7" spans="1:210">
      <c r="A7" s="138"/>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row>
    <row r="8" spans="1:210">
      <c r="A8" s="138"/>
      <c r="B8" s="4" t="s">
        <v>46</v>
      </c>
      <c r="C8" s="4" t="s">
        <v>47</v>
      </c>
      <c r="D8" s="4" t="s">
        <v>46</v>
      </c>
      <c r="E8" s="4" t="s">
        <v>47</v>
      </c>
      <c r="F8" s="4" t="s">
        <v>46</v>
      </c>
      <c r="G8" s="4" t="s">
        <v>47</v>
      </c>
      <c r="H8" s="4" t="s">
        <v>46</v>
      </c>
      <c r="I8" s="4" t="s">
        <v>47</v>
      </c>
      <c r="J8" s="4" t="s">
        <v>46</v>
      </c>
      <c r="K8" s="4" t="s">
        <v>47</v>
      </c>
      <c r="L8" s="4" t="s">
        <v>46</v>
      </c>
      <c r="M8" s="4" t="s">
        <v>47</v>
      </c>
      <c r="N8" s="4" t="s">
        <v>46</v>
      </c>
      <c r="O8" s="4" t="s">
        <v>47</v>
      </c>
      <c r="P8" s="4" t="s">
        <v>46</v>
      </c>
      <c r="Q8" s="4" t="s">
        <v>47</v>
      </c>
      <c r="R8" s="4" t="s">
        <v>46</v>
      </c>
      <c r="S8" s="4" t="s">
        <v>47</v>
      </c>
      <c r="T8" s="4" t="s">
        <v>46</v>
      </c>
      <c r="U8" s="4" t="s">
        <v>47</v>
      </c>
      <c r="V8" s="4" t="s">
        <v>46</v>
      </c>
      <c r="W8" s="4" t="s">
        <v>47</v>
      </c>
      <c r="X8" s="4" t="s">
        <v>46</v>
      </c>
      <c r="Y8" s="4" t="s">
        <v>47</v>
      </c>
      <c r="Z8" s="4" t="s">
        <v>46</v>
      </c>
      <c r="AA8" s="4" t="s">
        <v>47</v>
      </c>
      <c r="AB8" s="4" t="s">
        <v>46</v>
      </c>
      <c r="AC8" s="4" t="s">
        <v>47</v>
      </c>
      <c r="AD8" s="4" t="s">
        <v>46</v>
      </c>
      <c r="AE8" s="4" t="s">
        <v>47</v>
      </c>
      <c r="AF8" s="4" t="s">
        <v>46</v>
      </c>
      <c r="AG8" s="4" t="s">
        <v>47</v>
      </c>
      <c r="AH8" s="4" t="s">
        <v>46</v>
      </c>
      <c r="AI8" s="4" t="s">
        <v>47</v>
      </c>
      <c r="AJ8" s="4" t="s">
        <v>46</v>
      </c>
      <c r="AK8" s="4" t="s">
        <v>47</v>
      </c>
      <c r="AL8" s="4" t="s">
        <v>46</v>
      </c>
      <c r="AM8" s="4" t="s">
        <v>47</v>
      </c>
      <c r="AN8" s="4" t="s">
        <v>46</v>
      </c>
      <c r="AO8" s="4" t="s">
        <v>47</v>
      </c>
      <c r="AP8" s="4" t="s">
        <v>46</v>
      </c>
      <c r="AQ8" s="4" t="s">
        <v>47</v>
      </c>
      <c r="AR8" s="4" t="s">
        <v>46</v>
      </c>
      <c r="AS8" s="4" t="s">
        <v>47</v>
      </c>
      <c r="AT8" s="4" t="s">
        <v>46</v>
      </c>
      <c r="AU8" s="4" t="s">
        <v>47</v>
      </c>
      <c r="AV8" s="4" t="s">
        <v>46</v>
      </c>
      <c r="AW8" s="4" t="s">
        <v>47</v>
      </c>
      <c r="AX8" s="4" t="s">
        <v>46</v>
      </c>
      <c r="AY8" s="4" t="s">
        <v>47</v>
      </c>
      <c r="AZ8" s="4" t="s">
        <v>46</v>
      </c>
      <c r="BA8" s="4" t="s">
        <v>47</v>
      </c>
      <c r="BB8" s="4" t="s">
        <v>46</v>
      </c>
      <c r="BC8" s="4" t="s">
        <v>47</v>
      </c>
      <c r="BD8" s="4" t="s">
        <v>46</v>
      </c>
      <c r="BE8" s="4" t="s">
        <v>47</v>
      </c>
      <c r="BF8" s="4" t="s">
        <v>46</v>
      </c>
      <c r="BG8" s="4" t="s">
        <v>47</v>
      </c>
      <c r="BH8" s="4" t="s">
        <v>46</v>
      </c>
      <c r="BI8" s="4" t="s">
        <v>47</v>
      </c>
      <c r="BJ8" s="4" t="s">
        <v>46</v>
      </c>
      <c r="BK8" s="4" t="s">
        <v>47</v>
      </c>
      <c r="BL8" s="4" t="s">
        <v>46</v>
      </c>
      <c r="BM8" s="4" t="s">
        <v>47</v>
      </c>
      <c r="BN8" s="4" t="s">
        <v>46</v>
      </c>
      <c r="BO8" s="4" t="s">
        <v>47</v>
      </c>
      <c r="BP8" s="4" t="s">
        <v>46</v>
      </c>
      <c r="BQ8" s="4" t="s">
        <v>47</v>
      </c>
      <c r="BR8" s="4" t="s">
        <v>46</v>
      </c>
      <c r="BS8" s="4" t="s">
        <v>47</v>
      </c>
      <c r="BT8" s="4" t="s">
        <v>46</v>
      </c>
      <c r="BU8" s="4" t="s">
        <v>47</v>
      </c>
      <c r="BV8" s="4" t="s">
        <v>46</v>
      </c>
      <c r="BW8" s="4" t="s">
        <v>47</v>
      </c>
      <c r="BX8" s="4" t="s">
        <v>46</v>
      </c>
      <c r="BY8" s="4" t="s">
        <v>47</v>
      </c>
      <c r="BZ8" s="4" t="s">
        <v>46</v>
      </c>
      <c r="CA8" s="4" t="s">
        <v>47</v>
      </c>
      <c r="CB8" s="4" t="s">
        <v>46</v>
      </c>
      <c r="CC8" s="4" t="s">
        <v>47</v>
      </c>
      <c r="CD8" s="4" t="s">
        <v>46</v>
      </c>
      <c r="CE8" s="4" t="s">
        <v>47</v>
      </c>
      <c r="CF8" s="4" t="s">
        <v>46</v>
      </c>
      <c r="CG8" s="4" t="s">
        <v>47</v>
      </c>
      <c r="CH8" s="4" t="s">
        <v>46</v>
      </c>
      <c r="CI8" s="4" t="s">
        <v>47</v>
      </c>
      <c r="CJ8" s="4" t="s">
        <v>46</v>
      </c>
      <c r="CK8" s="4" t="s">
        <v>47</v>
      </c>
    </row>
    <row r="9" spans="1:210">
      <c r="A9" s="5" t="s">
        <v>48</v>
      </c>
      <c r="B9" s="6"/>
      <c r="C9" s="6"/>
      <c r="D9" s="7"/>
      <c r="E9" s="7"/>
      <c r="F9" s="7"/>
      <c r="G9" s="7"/>
      <c r="H9" s="7"/>
      <c r="I9" s="7"/>
      <c r="J9" s="7">
        <v>1</v>
      </c>
      <c r="K9" s="7">
        <v>50</v>
      </c>
      <c r="L9" s="7">
        <v>1</v>
      </c>
      <c r="M9" s="7">
        <v>12</v>
      </c>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v>1</v>
      </c>
      <c r="BY9" s="7">
        <v>21</v>
      </c>
      <c r="BZ9" s="7"/>
      <c r="CA9" s="7"/>
      <c r="CB9" s="7"/>
      <c r="CC9" s="7"/>
      <c r="CD9" s="7"/>
      <c r="CE9" s="7"/>
      <c r="CF9" s="7"/>
      <c r="CG9" s="7"/>
      <c r="CH9" s="7"/>
      <c r="CI9" s="7"/>
      <c r="CJ9" s="8">
        <v>3</v>
      </c>
      <c r="CK9" s="8">
        <v>83</v>
      </c>
      <c r="CN9" s="9"/>
      <c r="CO9" s="9"/>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row>
    <row r="10" spans="1:210">
      <c r="A10" s="10" t="s">
        <v>49</v>
      </c>
      <c r="B10" s="6">
        <v>8</v>
      </c>
      <c r="C10" s="6">
        <v>510</v>
      </c>
      <c r="D10" s="6">
        <v>20</v>
      </c>
      <c r="E10" s="7">
        <v>3529</v>
      </c>
      <c r="F10" s="7">
        <v>7</v>
      </c>
      <c r="G10" s="7">
        <v>4980</v>
      </c>
      <c r="H10" s="7"/>
      <c r="I10" s="7"/>
      <c r="J10" s="7"/>
      <c r="K10" s="7"/>
      <c r="L10" s="7">
        <v>3</v>
      </c>
      <c r="M10" s="7">
        <v>34</v>
      </c>
      <c r="N10" s="7">
        <v>3</v>
      </c>
      <c r="O10" s="7">
        <v>28</v>
      </c>
      <c r="P10" s="7"/>
      <c r="Q10" s="7"/>
      <c r="R10" s="7"/>
      <c r="S10" s="7"/>
      <c r="T10" s="7"/>
      <c r="U10" s="7"/>
      <c r="V10" s="7"/>
      <c r="W10" s="7"/>
      <c r="X10" s="7"/>
      <c r="Y10" s="7"/>
      <c r="Z10" s="7"/>
      <c r="AA10" s="7"/>
      <c r="AB10" s="7"/>
      <c r="AC10" s="7"/>
      <c r="AD10" s="7">
        <v>3</v>
      </c>
      <c r="AE10" s="7">
        <v>873</v>
      </c>
      <c r="AF10" s="7">
        <v>17</v>
      </c>
      <c r="AG10" s="7">
        <v>8419</v>
      </c>
      <c r="AH10" s="7">
        <v>2</v>
      </c>
      <c r="AI10" s="7">
        <v>1049</v>
      </c>
      <c r="AJ10" s="7"/>
      <c r="AK10" s="7"/>
      <c r="AL10" s="7"/>
      <c r="AM10" s="7"/>
      <c r="AN10" s="7"/>
      <c r="AO10" s="7"/>
      <c r="AP10" s="7"/>
      <c r="AQ10" s="7"/>
      <c r="AR10" s="7"/>
      <c r="AS10" s="7"/>
      <c r="AT10" s="7"/>
      <c r="AU10" s="7"/>
      <c r="AV10" s="7"/>
      <c r="AW10" s="7"/>
      <c r="AX10" s="7">
        <v>1</v>
      </c>
      <c r="AY10" s="7">
        <v>615</v>
      </c>
      <c r="AZ10" s="7">
        <v>9</v>
      </c>
      <c r="BA10" s="7">
        <v>4020</v>
      </c>
      <c r="BB10" s="7">
        <v>7</v>
      </c>
      <c r="BC10" s="7">
        <v>2119</v>
      </c>
      <c r="BD10" s="7"/>
      <c r="BE10" s="7"/>
      <c r="BF10" s="7"/>
      <c r="BG10" s="7"/>
      <c r="BH10" s="7"/>
      <c r="BI10" s="7"/>
      <c r="BJ10" s="7"/>
      <c r="BK10" s="7"/>
      <c r="BL10" s="7"/>
      <c r="BM10" s="7"/>
      <c r="BN10" s="7"/>
      <c r="BO10" s="7"/>
      <c r="BP10" s="7">
        <v>4</v>
      </c>
      <c r="BQ10" s="7">
        <v>207</v>
      </c>
      <c r="BR10" s="7"/>
      <c r="BS10" s="7"/>
      <c r="BT10" s="7"/>
      <c r="BU10" s="7"/>
      <c r="BV10" s="7">
        <v>1</v>
      </c>
      <c r="BW10" s="7">
        <v>55</v>
      </c>
      <c r="BX10" s="7">
        <v>1</v>
      </c>
      <c r="BY10" s="7">
        <v>39</v>
      </c>
      <c r="BZ10" s="7"/>
      <c r="CA10" s="7"/>
      <c r="CB10" s="7"/>
      <c r="CC10" s="7"/>
      <c r="CD10" s="7"/>
      <c r="CE10" s="7"/>
      <c r="CF10" s="7">
        <v>1</v>
      </c>
      <c r="CG10" s="7">
        <v>32</v>
      </c>
      <c r="CH10" s="7"/>
      <c r="CI10" s="7"/>
      <c r="CJ10" s="8">
        <v>87</v>
      </c>
      <c r="CK10" s="8">
        <v>26509</v>
      </c>
      <c r="CL10" s="9"/>
      <c r="CM10" s="9"/>
      <c r="CN10" s="9"/>
      <c r="CO10" s="9"/>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row>
    <row r="11" spans="1:210">
      <c r="A11" s="5" t="s">
        <v>50</v>
      </c>
      <c r="B11" s="6"/>
      <c r="C11" s="6"/>
      <c r="D11" s="7"/>
      <c r="E11" s="7"/>
      <c r="F11" s="7"/>
      <c r="G11" s="7"/>
      <c r="H11" s="7"/>
      <c r="I11" s="7"/>
      <c r="J11" s="7">
        <v>1</v>
      </c>
      <c r="K11" s="7">
        <v>31</v>
      </c>
      <c r="L11" s="7">
        <v>1</v>
      </c>
      <c r="M11" s="7">
        <v>20</v>
      </c>
      <c r="N11" s="7">
        <v>1</v>
      </c>
      <c r="O11" s="7">
        <v>10</v>
      </c>
      <c r="P11" s="7"/>
      <c r="Q11" s="7"/>
      <c r="R11" s="7"/>
      <c r="S11" s="7"/>
      <c r="T11" s="7"/>
      <c r="U11" s="7"/>
      <c r="V11" s="7"/>
      <c r="W11" s="7"/>
      <c r="X11" s="7"/>
      <c r="Y11" s="7"/>
      <c r="Z11" s="7"/>
      <c r="AA11" s="7"/>
      <c r="AB11" s="7"/>
      <c r="AC11" s="7"/>
      <c r="AD11" s="7"/>
      <c r="AE11" s="7"/>
      <c r="AF11" s="7">
        <v>1</v>
      </c>
      <c r="AG11" s="7">
        <v>28</v>
      </c>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8">
        <v>4</v>
      </c>
      <c r="CK11" s="8">
        <v>89</v>
      </c>
      <c r="CL11" s="9"/>
      <c r="CM11" s="9"/>
      <c r="CN11" s="9"/>
      <c r="CO11" s="9"/>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row>
    <row r="12" spans="1:210">
      <c r="A12" s="5" t="s">
        <v>51</v>
      </c>
      <c r="B12" s="6">
        <v>1</v>
      </c>
      <c r="C12" s="6">
        <v>54</v>
      </c>
      <c r="D12" s="7"/>
      <c r="E12" s="7"/>
      <c r="F12" s="7">
        <v>2</v>
      </c>
      <c r="G12" s="7">
        <v>446</v>
      </c>
      <c r="H12" s="7"/>
      <c r="I12" s="7"/>
      <c r="J12" s="7"/>
      <c r="K12" s="7"/>
      <c r="L12" s="7">
        <v>1</v>
      </c>
      <c r="M12" s="7">
        <v>14</v>
      </c>
      <c r="N12" s="7">
        <v>1</v>
      </c>
      <c r="O12" s="7">
        <v>8</v>
      </c>
      <c r="P12" s="7"/>
      <c r="Q12" s="7"/>
      <c r="R12" s="7"/>
      <c r="S12" s="7"/>
      <c r="T12" s="7"/>
      <c r="U12" s="7"/>
      <c r="V12" s="7"/>
      <c r="W12" s="7"/>
      <c r="X12" s="7"/>
      <c r="Y12" s="7"/>
      <c r="Z12" s="7"/>
      <c r="AA12" s="7"/>
      <c r="AB12" s="7"/>
      <c r="AC12" s="7"/>
      <c r="AD12" s="7">
        <v>1</v>
      </c>
      <c r="AE12" s="7">
        <v>200</v>
      </c>
      <c r="AF12" s="7">
        <v>2</v>
      </c>
      <c r="AG12" s="7">
        <v>207</v>
      </c>
      <c r="AH12" s="7">
        <v>4</v>
      </c>
      <c r="AI12" s="7">
        <v>1703</v>
      </c>
      <c r="AJ12" s="7">
        <v>1</v>
      </c>
      <c r="AK12" s="7">
        <v>330</v>
      </c>
      <c r="AL12" s="7"/>
      <c r="AM12" s="7"/>
      <c r="AN12" s="7"/>
      <c r="AO12" s="7"/>
      <c r="AP12" s="7"/>
      <c r="AQ12" s="7"/>
      <c r="AR12" s="7"/>
      <c r="AS12" s="7"/>
      <c r="AT12" s="7"/>
      <c r="AU12" s="7"/>
      <c r="AV12" s="7"/>
      <c r="AW12" s="7"/>
      <c r="AX12" s="7"/>
      <c r="AY12" s="7"/>
      <c r="AZ12" s="7">
        <v>2</v>
      </c>
      <c r="BA12" s="7">
        <v>324</v>
      </c>
      <c r="BB12" s="7">
        <v>1</v>
      </c>
      <c r="BC12" s="7">
        <v>222</v>
      </c>
      <c r="BD12" s="7"/>
      <c r="BE12" s="7"/>
      <c r="BF12" s="7"/>
      <c r="BG12" s="7"/>
      <c r="BH12" s="7"/>
      <c r="BI12" s="7"/>
      <c r="BJ12" s="7"/>
      <c r="BK12" s="7"/>
      <c r="BL12" s="7"/>
      <c r="BM12" s="7"/>
      <c r="BN12" s="7"/>
      <c r="BO12" s="7"/>
      <c r="BP12" s="7">
        <v>1</v>
      </c>
      <c r="BQ12" s="7">
        <v>40</v>
      </c>
      <c r="BR12" s="7">
        <v>1</v>
      </c>
      <c r="BS12" s="7">
        <v>30</v>
      </c>
      <c r="BT12" s="7"/>
      <c r="BU12" s="7"/>
      <c r="BV12" s="7"/>
      <c r="BW12" s="7"/>
      <c r="BX12" s="7">
        <v>1</v>
      </c>
      <c r="BY12" s="7">
        <v>28</v>
      </c>
      <c r="BZ12" s="7"/>
      <c r="CA12" s="7"/>
      <c r="CB12" s="7"/>
      <c r="CC12" s="7"/>
      <c r="CD12" s="7"/>
      <c r="CE12" s="7"/>
      <c r="CF12" s="7"/>
      <c r="CG12" s="7"/>
      <c r="CH12" s="7"/>
      <c r="CI12" s="7"/>
      <c r="CJ12" s="8">
        <v>19</v>
      </c>
      <c r="CK12" s="8">
        <v>3606</v>
      </c>
      <c r="CL12" s="9"/>
      <c r="CM12" s="9"/>
      <c r="CN12" s="9"/>
      <c r="CO12" s="9"/>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row>
    <row r="13" spans="1:210">
      <c r="A13" s="5" t="s">
        <v>52</v>
      </c>
      <c r="B13" s="6">
        <v>1</v>
      </c>
      <c r="C13" s="6">
        <v>38</v>
      </c>
      <c r="D13" s="7"/>
      <c r="E13" s="7"/>
      <c r="F13" s="7"/>
      <c r="G13" s="7"/>
      <c r="H13" s="7"/>
      <c r="I13" s="7"/>
      <c r="J13" s="7">
        <v>1</v>
      </c>
      <c r="K13" s="7">
        <v>50</v>
      </c>
      <c r="L13" s="7">
        <v>1</v>
      </c>
      <c r="M13" s="7">
        <v>8</v>
      </c>
      <c r="N13" s="7">
        <v>3</v>
      </c>
      <c r="O13" s="7">
        <v>40</v>
      </c>
      <c r="P13" s="7">
        <v>1</v>
      </c>
      <c r="Q13" s="7">
        <v>500</v>
      </c>
      <c r="R13" s="7"/>
      <c r="S13" s="7"/>
      <c r="T13" s="7"/>
      <c r="U13" s="7"/>
      <c r="V13" s="7"/>
      <c r="W13" s="7"/>
      <c r="X13" s="7"/>
      <c r="Y13" s="7"/>
      <c r="Z13" s="7"/>
      <c r="AA13" s="7"/>
      <c r="AB13" s="7"/>
      <c r="AC13" s="7"/>
      <c r="AD13" s="7"/>
      <c r="AE13" s="7"/>
      <c r="AF13" s="7"/>
      <c r="AG13" s="7"/>
      <c r="AH13" s="7">
        <v>1</v>
      </c>
      <c r="AI13" s="7">
        <v>16</v>
      </c>
      <c r="AJ13" s="7"/>
      <c r="AK13" s="7"/>
      <c r="AL13" s="7"/>
      <c r="AM13" s="7"/>
      <c r="AN13" s="7"/>
      <c r="AO13" s="7"/>
      <c r="AP13" s="7"/>
      <c r="AQ13" s="7"/>
      <c r="AR13" s="7"/>
      <c r="AS13" s="7"/>
      <c r="AT13" s="7"/>
      <c r="AU13" s="7"/>
      <c r="AV13" s="7"/>
      <c r="AW13" s="7"/>
      <c r="AX13" s="7"/>
      <c r="AY13" s="7"/>
      <c r="AZ13" s="7"/>
      <c r="BA13" s="7"/>
      <c r="BB13" s="7">
        <v>1</v>
      </c>
      <c r="BC13" s="7">
        <v>89</v>
      </c>
      <c r="BD13" s="7"/>
      <c r="BE13" s="7"/>
      <c r="BF13" s="7"/>
      <c r="BG13" s="7"/>
      <c r="BH13" s="7"/>
      <c r="BI13" s="7"/>
      <c r="BJ13" s="7"/>
      <c r="BK13" s="7"/>
      <c r="BL13" s="7"/>
      <c r="BM13" s="7"/>
      <c r="BN13" s="7"/>
      <c r="BO13" s="7"/>
      <c r="BP13" s="7">
        <v>1</v>
      </c>
      <c r="BQ13" s="7">
        <v>15</v>
      </c>
      <c r="BR13" s="7">
        <v>1</v>
      </c>
      <c r="BS13" s="7">
        <v>12</v>
      </c>
      <c r="BT13" s="7"/>
      <c r="BU13" s="7"/>
      <c r="BV13" s="7"/>
      <c r="BW13" s="7"/>
      <c r="BX13" s="7"/>
      <c r="BY13" s="7"/>
      <c r="BZ13" s="7"/>
      <c r="CA13" s="7"/>
      <c r="CB13" s="7"/>
      <c r="CC13" s="7"/>
      <c r="CD13" s="7"/>
      <c r="CE13" s="7"/>
      <c r="CF13" s="7"/>
      <c r="CG13" s="7"/>
      <c r="CH13" s="7"/>
      <c r="CI13" s="7"/>
      <c r="CJ13" s="8">
        <v>11</v>
      </c>
      <c r="CK13" s="8">
        <v>768</v>
      </c>
      <c r="CL13" s="9"/>
      <c r="CM13" s="9"/>
      <c r="CN13" s="9"/>
      <c r="CO13" s="9"/>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row>
    <row r="14" spans="1:210">
      <c r="A14" s="5" t="s">
        <v>53</v>
      </c>
      <c r="B14" s="6"/>
      <c r="C14" s="6"/>
      <c r="D14" s="7"/>
      <c r="E14" s="7"/>
      <c r="F14" s="7"/>
      <c r="G14" s="7"/>
      <c r="H14" s="7"/>
      <c r="I14" s="7"/>
      <c r="J14" s="7"/>
      <c r="K14" s="7"/>
      <c r="L14" s="7"/>
      <c r="M14" s="7"/>
      <c r="N14" s="7">
        <v>2</v>
      </c>
      <c r="O14" s="7">
        <v>27</v>
      </c>
      <c r="P14" s="7"/>
      <c r="Q14" s="7"/>
      <c r="R14" s="7"/>
      <c r="S14" s="7"/>
      <c r="T14" s="7"/>
      <c r="U14" s="7"/>
      <c r="V14" s="7"/>
      <c r="W14" s="7"/>
      <c r="X14" s="7"/>
      <c r="Y14" s="7"/>
      <c r="Z14" s="7"/>
      <c r="AA14" s="7"/>
      <c r="AB14" s="7"/>
      <c r="AC14" s="7"/>
      <c r="AD14" s="7"/>
      <c r="AE14" s="7"/>
      <c r="AF14" s="7">
        <v>2</v>
      </c>
      <c r="AG14" s="7">
        <v>121</v>
      </c>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v>1</v>
      </c>
      <c r="BS14" s="7">
        <v>75</v>
      </c>
      <c r="BT14" s="7"/>
      <c r="BU14" s="7"/>
      <c r="BV14" s="7"/>
      <c r="BW14" s="7"/>
      <c r="BX14" s="7"/>
      <c r="BY14" s="7"/>
      <c r="BZ14" s="7"/>
      <c r="CA14" s="7"/>
      <c r="CB14" s="7"/>
      <c r="CC14" s="7"/>
      <c r="CD14" s="7"/>
      <c r="CE14" s="7"/>
      <c r="CF14" s="7"/>
      <c r="CG14" s="7"/>
      <c r="CH14" s="7"/>
      <c r="CI14" s="7"/>
      <c r="CJ14" s="8">
        <v>5</v>
      </c>
      <c r="CK14" s="8">
        <v>223</v>
      </c>
      <c r="CL14" s="9"/>
      <c r="CM14" s="9"/>
      <c r="CN14" s="9"/>
      <c r="CO14" s="9"/>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row>
    <row r="15" spans="1:210">
      <c r="A15" s="5" t="s">
        <v>54</v>
      </c>
      <c r="B15" s="6"/>
      <c r="C15" s="6"/>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v>1</v>
      </c>
      <c r="AS15" s="7">
        <v>33</v>
      </c>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8">
        <v>1</v>
      </c>
      <c r="CK15" s="8">
        <v>33</v>
      </c>
      <c r="CL15" s="9"/>
      <c r="CM15" s="9"/>
      <c r="CN15" s="9"/>
      <c r="CO15" s="9"/>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row>
    <row r="16" spans="1:210">
      <c r="A16" s="5" t="s">
        <v>55</v>
      </c>
      <c r="B16" s="6"/>
      <c r="C16" s="6"/>
      <c r="D16" s="7"/>
      <c r="E16" s="7"/>
      <c r="F16" s="7"/>
      <c r="G16" s="7"/>
      <c r="H16" s="7"/>
      <c r="I16" s="7"/>
      <c r="J16" s="7"/>
      <c r="K16" s="7"/>
      <c r="L16" s="7">
        <v>1</v>
      </c>
      <c r="M16" s="7">
        <v>12</v>
      </c>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8">
        <v>1</v>
      </c>
      <c r="CK16" s="8">
        <v>12</v>
      </c>
      <c r="CL16" s="9"/>
      <c r="CM16" s="9"/>
      <c r="CN16" s="9"/>
      <c r="CO16" s="9"/>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row>
    <row r="17" spans="1:210">
      <c r="A17" s="5" t="s">
        <v>56</v>
      </c>
      <c r="B17" s="6"/>
      <c r="C17" s="6"/>
      <c r="D17" s="7"/>
      <c r="E17" s="7"/>
      <c r="F17" s="7"/>
      <c r="G17" s="7"/>
      <c r="H17" s="7"/>
      <c r="I17" s="7"/>
      <c r="J17" s="7"/>
      <c r="K17" s="7"/>
      <c r="L17" s="7">
        <v>10</v>
      </c>
      <c r="M17" s="7">
        <v>105</v>
      </c>
      <c r="N17" s="7"/>
      <c r="O17" s="7"/>
      <c r="P17" s="7"/>
      <c r="Q17" s="7"/>
      <c r="R17" s="7"/>
      <c r="S17" s="7"/>
      <c r="T17" s="7"/>
      <c r="U17" s="7"/>
      <c r="V17" s="7"/>
      <c r="W17" s="7"/>
      <c r="X17" s="7"/>
      <c r="Y17" s="7"/>
      <c r="Z17" s="7"/>
      <c r="AA17" s="7"/>
      <c r="AB17" s="7"/>
      <c r="AC17" s="7"/>
      <c r="AD17" s="7"/>
      <c r="AE17" s="7"/>
      <c r="AF17" s="7"/>
      <c r="AG17" s="7"/>
      <c r="AH17" s="7">
        <v>1</v>
      </c>
      <c r="AI17" s="7">
        <v>38</v>
      </c>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v>1</v>
      </c>
      <c r="BY17" s="7">
        <v>30</v>
      </c>
      <c r="BZ17" s="7"/>
      <c r="CA17" s="7"/>
      <c r="CB17" s="7"/>
      <c r="CC17" s="7"/>
      <c r="CD17" s="7"/>
      <c r="CE17" s="7"/>
      <c r="CF17" s="7"/>
      <c r="CG17" s="7"/>
      <c r="CH17" s="7"/>
      <c r="CI17" s="7"/>
      <c r="CJ17" s="8">
        <v>12</v>
      </c>
      <c r="CK17" s="8">
        <v>173</v>
      </c>
      <c r="CL17" s="9"/>
      <c r="CM17" s="9"/>
      <c r="CN17" s="9"/>
      <c r="CO17" s="9"/>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row>
    <row r="18" spans="1:210">
      <c r="A18" s="5" t="s">
        <v>57</v>
      </c>
      <c r="B18" s="6">
        <v>21</v>
      </c>
      <c r="C18" s="6">
        <v>1527</v>
      </c>
      <c r="D18" s="7">
        <v>32</v>
      </c>
      <c r="E18" s="7">
        <v>4999</v>
      </c>
      <c r="F18" s="7">
        <v>30</v>
      </c>
      <c r="G18" s="7">
        <v>5469</v>
      </c>
      <c r="H18" s="7">
        <v>4</v>
      </c>
      <c r="I18" s="7">
        <v>767</v>
      </c>
      <c r="J18" s="7"/>
      <c r="K18" s="7"/>
      <c r="L18" s="7">
        <v>4</v>
      </c>
      <c r="M18" s="7">
        <v>52</v>
      </c>
      <c r="N18" s="7"/>
      <c r="O18" s="7"/>
      <c r="P18" s="7"/>
      <c r="Q18" s="7"/>
      <c r="R18" s="7"/>
      <c r="S18" s="7"/>
      <c r="T18" s="7"/>
      <c r="U18" s="7"/>
      <c r="V18" s="7"/>
      <c r="W18" s="7"/>
      <c r="X18" s="7"/>
      <c r="Y18" s="7"/>
      <c r="Z18" s="7">
        <v>1</v>
      </c>
      <c r="AA18" s="7">
        <v>1118</v>
      </c>
      <c r="AB18" s="7">
        <v>3</v>
      </c>
      <c r="AC18" s="7">
        <v>203</v>
      </c>
      <c r="AD18" s="7">
        <v>16</v>
      </c>
      <c r="AE18" s="7">
        <v>2978</v>
      </c>
      <c r="AF18" s="7">
        <v>60</v>
      </c>
      <c r="AG18" s="7">
        <v>20076</v>
      </c>
      <c r="AH18" s="7">
        <v>35</v>
      </c>
      <c r="AI18" s="7">
        <v>10064</v>
      </c>
      <c r="AJ18" s="7">
        <v>4</v>
      </c>
      <c r="AK18" s="7">
        <v>738</v>
      </c>
      <c r="AL18" s="7">
        <v>1</v>
      </c>
      <c r="AM18" s="7">
        <v>27</v>
      </c>
      <c r="AN18" s="7"/>
      <c r="AO18" s="7"/>
      <c r="AP18" s="7"/>
      <c r="AQ18" s="7"/>
      <c r="AR18" s="7"/>
      <c r="AS18" s="7"/>
      <c r="AT18" s="7"/>
      <c r="AU18" s="7"/>
      <c r="AV18" s="7"/>
      <c r="AW18" s="7"/>
      <c r="AX18" s="7">
        <v>2</v>
      </c>
      <c r="AY18" s="7">
        <v>159</v>
      </c>
      <c r="AZ18" s="7">
        <v>19</v>
      </c>
      <c r="BA18" s="7">
        <v>9323</v>
      </c>
      <c r="BB18" s="7">
        <v>2</v>
      </c>
      <c r="BC18" s="7">
        <v>581</v>
      </c>
      <c r="BD18" s="7"/>
      <c r="BE18" s="7"/>
      <c r="BF18" s="7"/>
      <c r="BG18" s="7"/>
      <c r="BH18" s="7"/>
      <c r="BI18" s="7"/>
      <c r="BJ18" s="7"/>
      <c r="BK18" s="7"/>
      <c r="BL18" s="7"/>
      <c r="BM18" s="7"/>
      <c r="BN18" s="7"/>
      <c r="BO18" s="7"/>
      <c r="BP18" s="7">
        <v>4</v>
      </c>
      <c r="BQ18" s="7">
        <v>189</v>
      </c>
      <c r="BR18" s="7">
        <v>7</v>
      </c>
      <c r="BS18" s="7">
        <v>446</v>
      </c>
      <c r="BT18" s="7">
        <v>3</v>
      </c>
      <c r="BU18" s="7">
        <v>128</v>
      </c>
      <c r="BV18" s="7">
        <v>9</v>
      </c>
      <c r="BW18" s="7">
        <v>345</v>
      </c>
      <c r="BX18" s="7">
        <v>4</v>
      </c>
      <c r="BY18" s="7">
        <v>180</v>
      </c>
      <c r="BZ18" s="7">
        <v>2</v>
      </c>
      <c r="CA18" s="7">
        <v>86</v>
      </c>
      <c r="CB18" s="7"/>
      <c r="CC18" s="7"/>
      <c r="CD18" s="7">
        <v>2</v>
      </c>
      <c r="CE18" s="7">
        <v>32</v>
      </c>
      <c r="CF18" s="7"/>
      <c r="CG18" s="7"/>
      <c r="CH18" s="7"/>
      <c r="CI18" s="7"/>
      <c r="CJ18" s="8">
        <v>265</v>
      </c>
      <c r="CK18" s="8">
        <v>59487</v>
      </c>
      <c r="CL18" s="9"/>
      <c r="CM18" s="9"/>
      <c r="CN18" s="9"/>
      <c r="CO18" s="9"/>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row>
    <row r="19" spans="1:210">
      <c r="A19" s="5" t="s">
        <v>58</v>
      </c>
      <c r="B19" s="6"/>
      <c r="C19" s="6"/>
      <c r="D19" s="7"/>
      <c r="E19" s="7"/>
      <c r="F19" s="7"/>
      <c r="G19" s="7"/>
      <c r="H19" s="7"/>
      <c r="I19" s="7"/>
      <c r="J19" s="7">
        <v>1</v>
      </c>
      <c r="K19" s="7">
        <v>50</v>
      </c>
      <c r="L19" s="7">
        <v>2</v>
      </c>
      <c r="M19" s="7">
        <v>33</v>
      </c>
      <c r="N19" s="7">
        <v>1</v>
      </c>
      <c r="O19" s="7">
        <v>12</v>
      </c>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8">
        <v>4</v>
      </c>
      <c r="CK19" s="8">
        <v>95</v>
      </c>
      <c r="CL19" s="9"/>
      <c r="CM19" s="9"/>
      <c r="CN19" s="9"/>
      <c r="CO19" s="9"/>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row>
    <row r="20" spans="1:210">
      <c r="A20" s="5" t="s">
        <v>59</v>
      </c>
      <c r="B20" s="6"/>
      <c r="C20" s="6"/>
      <c r="D20" s="7"/>
      <c r="E20" s="7"/>
      <c r="F20" s="7"/>
      <c r="G20" s="7"/>
      <c r="H20" s="7"/>
      <c r="I20" s="7"/>
      <c r="J20" s="7"/>
      <c r="K20" s="7"/>
      <c r="L20" s="7">
        <v>12</v>
      </c>
      <c r="M20" s="7">
        <v>151</v>
      </c>
      <c r="N20" s="7"/>
      <c r="O20" s="7"/>
      <c r="P20" s="7"/>
      <c r="Q20" s="7"/>
      <c r="R20" s="7"/>
      <c r="S20" s="7"/>
      <c r="T20" s="7"/>
      <c r="U20" s="7"/>
      <c r="V20" s="7"/>
      <c r="W20" s="7"/>
      <c r="X20" s="7"/>
      <c r="Y20" s="7"/>
      <c r="Z20" s="7"/>
      <c r="AA20" s="7"/>
      <c r="AB20" s="7"/>
      <c r="AC20" s="7"/>
      <c r="AD20" s="7">
        <v>1</v>
      </c>
      <c r="AE20" s="7">
        <v>37</v>
      </c>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v>1</v>
      </c>
      <c r="BW20" s="7">
        <v>41</v>
      </c>
      <c r="BX20" s="7"/>
      <c r="BY20" s="7"/>
      <c r="BZ20" s="7"/>
      <c r="CA20" s="7"/>
      <c r="CB20" s="7"/>
      <c r="CC20" s="7"/>
      <c r="CD20" s="7"/>
      <c r="CE20" s="7"/>
      <c r="CF20" s="7"/>
      <c r="CG20" s="7"/>
      <c r="CH20" s="7"/>
      <c r="CI20" s="7"/>
      <c r="CJ20" s="8">
        <v>14</v>
      </c>
      <c r="CK20" s="8">
        <v>229</v>
      </c>
      <c r="CL20" s="9"/>
      <c r="CM20" s="9"/>
      <c r="CN20" s="9"/>
      <c r="CO20" s="9"/>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row>
    <row r="21" spans="1:210">
      <c r="A21" s="5" t="s">
        <v>60</v>
      </c>
      <c r="B21" s="6">
        <v>15</v>
      </c>
      <c r="C21" s="6">
        <v>1092</v>
      </c>
      <c r="D21" s="7">
        <v>14</v>
      </c>
      <c r="E21" s="7">
        <v>861</v>
      </c>
      <c r="F21" s="7">
        <v>7</v>
      </c>
      <c r="G21" s="7">
        <v>1121</v>
      </c>
      <c r="H21" s="7"/>
      <c r="I21" s="7"/>
      <c r="J21" s="7"/>
      <c r="K21" s="7"/>
      <c r="L21" s="7">
        <v>2</v>
      </c>
      <c r="M21" s="7">
        <v>32</v>
      </c>
      <c r="N21" s="7"/>
      <c r="O21" s="7"/>
      <c r="P21" s="7"/>
      <c r="Q21" s="7"/>
      <c r="R21" s="7"/>
      <c r="S21" s="7"/>
      <c r="T21" s="7"/>
      <c r="U21" s="7"/>
      <c r="V21" s="7"/>
      <c r="W21" s="7"/>
      <c r="X21" s="7"/>
      <c r="Y21" s="7"/>
      <c r="Z21" s="7">
        <v>1</v>
      </c>
      <c r="AA21" s="7">
        <v>840</v>
      </c>
      <c r="AB21" s="7">
        <v>7</v>
      </c>
      <c r="AC21" s="7">
        <v>373</v>
      </c>
      <c r="AD21" s="7">
        <v>4</v>
      </c>
      <c r="AE21" s="7">
        <v>745</v>
      </c>
      <c r="AF21" s="7">
        <v>18</v>
      </c>
      <c r="AG21" s="7">
        <v>4291</v>
      </c>
      <c r="AH21" s="7">
        <v>8</v>
      </c>
      <c r="AI21" s="7">
        <v>2157</v>
      </c>
      <c r="AJ21" s="7">
        <v>2</v>
      </c>
      <c r="AK21" s="7">
        <v>437</v>
      </c>
      <c r="AL21" s="7"/>
      <c r="AM21" s="7"/>
      <c r="AN21" s="7"/>
      <c r="AO21" s="7"/>
      <c r="AP21" s="7"/>
      <c r="AQ21" s="7"/>
      <c r="AR21" s="7"/>
      <c r="AS21" s="7"/>
      <c r="AT21" s="7"/>
      <c r="AU21" s="7"/>
      <c r="AV21" s="7">
        <v>2</v>
      </c>
      <c r="AW21" s="7">
        <v>106</v>
      </c>
      <c r="AX21" s="7">
        <v>2</v>
      </c>
      <c r="AY21" s="7">
        <v>226</v>
      </c>
      <c r="AZ21" s="7">
        <v>6</v>
      </c>
      <c r="BA21" s="7">
        <v>1893</v>
      </c>
      <c r="BB21" s="7">
        <v>5</v>
      </c>
      <c r="BC21" s="7">
        <v>2533</v>
      </c>
      <c r="BD21" s="7"/>
      <c r="BE21" s="7"/>
      <c r="BF21" s="7"/>
      <c r="BG21" s="7"/>
      <c r="BH21" s="7"/>
      <c r="BI21" s="7"/>
      <c r="BJ21" s="7"/>
      <c r="BK21" s="7"/>
      <c r="BL21" s="7"/>
      <c r="BM21" s="7"/>
      <c r="BN21" s="7"/>
      <c r="BO21" s="7"/>
      <c r="BP21" s="7">
        <v>11</v>
      </c>
      <c r="BQ21" s="7">
        <v>1262</v>
      </c>
      <c r="BR21" s="7">
        <v>6</v>
      </c>
      <c r="BS21" s="7">
        <v>345</v>
      </c>
      <c r="BT21" s="7">
        <v>2</v>
      </c>
      <c r="BU21" s="7">
        <v>146</v>
      </c>
      <c r="BV21" s="7">
        <v>8</v>
      </c>
      <c r="BW21" s="7">
        <v>264</v>
      </c>
      <c r="BX21" s="7">
        <v>2</v>
      </c>
      <c r="BY21" s="7">
        <v>83</v>
      </c>
      <c r="BZ21" s="7"/>
      <c r="CA21" s="7"/>
      <c r="CB21" s="7"/>
      <c r="CC21" s="7"/>
      <c r="CD21" s="7"/>
      <c r="CE21" s="7"/>
      <c r="CF21" s="7">
        <v>1</v>
      </c>
      <c r="CG21" s="7">
        <v>64</v>
      </c>
      <c r="CH21" s="7"/>
      <c r="CI21" s="7"/>
      <c r="CJ21" s="8">
        <v>123</v>
      </c>
      <c r="CK21" s="8">
        <v>18871</v>
      </c>
      <c r="CL21" s="9"/>
      <c r="CM21" s="9"/>
      <c r="CN21" s="9"/>
      <c r="CO21" s="9"/>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row>
    <row r="22" spans="1:210">
      <c r="A22" s="5" t="s">
        <v>61</v>
      </c>
      <c r="B22" s="6"/>
      <c r="C22" s="6"/>
      <c r="D22" s="7"/>
      <c r="E22" s="7"/>
      <c r="F22" s="7"/>
      <c r="G22" s="7"/>
      <c r="H22" s="7"/>
      <c r="I22" s="7"/>
      <c r="J22" s="7"/>
      <c r="K22" s="7"/>
      <c r="L22" s="7"/>
      <c r="M22" s="7"/>
      <c r="N22" s="7">
        <v>1</v>
      </c>
      <c r="O22" s="7">
        <v>16</v>
      </c>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8">
        <v>1</v>
      </c>
      <c r="CK22" s="8">
        <v>16</v>
      </c>
      <c r="CL22" s="9"/>
      <c r="CM22" s="9"/>
      <c r="CN22" s="9"/>
      <c r="CO22" s="9"/>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row>
    <row r="23" spans="1:210">
      <c r="A23" s="5" t="s">
        <v>62</v>
      </c>
      <c r="B23" s="6"/>
      <c r="C23" s="6"/>
      <c r="D23" s="7"/>
      <c r="E23" s="7"/>
      <c r="F23" s="7"/>
      <c r="G23" s="7"/>
      <c r="H23" s="7"/>
      <c r="I23" s="7"/>
      <c r="J23" s="7"/>
      <c r="K23" s="7"/>
      <c r="L23" s="7">
        <v>1</v>
      </c>
      <c r="M23" s="7">
        <v>16</v>
      </c>
      <c r="N23" s="7">
        <v>1</v>
      </c>
      <c r="O23" s="7">
        <v>16</v>
      </c>
      <c r="P23" s="7"/>
      <c r="Q23" s="7"/>
      <c r="R23" s="7"/>
      <c r="S23" s="7"/>
      <c r="T23" s="7"/>
      <c r="U23" s="7"/>
      <c r="V23" s="7"/>
      <c r="W23" s="7"/>
      <c r="X23" s="7"/>
      <c r="Y23" s="7"/>
      <c r="Z23" s="7"/>
      <c r="AA23" s="7"/>
      <c r="AB23" s="7">
        <v>1</v>
      </c>
      <c r="AC23" s="7">
        <v>79</v>
      </c>
      <c r="AD23" s="7"/>
      <c r="AE23" s="7"/>
      <c r="AF23" s="7"/>
      <c r="AG23" s="7"/>
      <c r="AH23" s="7">
        <v>2</v>
      </c>
      <c r="AI23" s="7">
        <v>288</v>
      </c>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v>1</v>
      </c>
      <c r="BQ23" s="7">
        <v>14</v>
      </c>
      <c r="BR23" s="7"/>
      <c r="BS23" s="7"/>
      <c r="BT23" s="7"/>
      <c r="BU23" s="7"/>
      <c r="BV23" s="7"/>
      <c r="BW23" s="7"/>
      <c r="BX23" s="7"/>
      <c r="BY23" s="7"/>
      <c r="BZ23" s="7"/>
      <c r="CA23" s="7"/>
      <c r="CB23" s="7"/>
      <c r="CC23" s="7"/>
      <c r="CD23" s="7"/>
      <c r="CE23" s="7"/>
      <c r="CF23" s="7">
        <v>1</v>
      </c>
      <c r="CG23" s="7">
        <v>17</v>
      </c>
      <c r="CH23" s="7"/>
      <c r="CI23" s="7"/>
      <c r="CJ23" s="8">
        <v>7</v>
      </c>
      <c r="CK23" s="8">
        <v>430</v>
      </c>
      <c r="CL23" s="9"/>
      <c r="CM23" s="9"/>
      <c r="CN23" s="9"/>
      <c r="CO23" s="9"/>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row>
    <row r="24" spans="1:210">
      <c r="A24" s="5" t="s">
        <v>63</v>
      </c>
      <c r="B24" s="6"/>
      <c r="C24" s="6"/>
      <c r="D24" s="7"/>
      <c r="E24" s="7"/>
      <c r="F24" s="7"/>
      <c r="G24" s="7"/>
      <c r="H24" s="7"/>
      <c r="I24" s="7"/>
      <c r="J24" s="7"/>
      <c r="K24" s="7"/>
      <c r="L24" s="7">
        <v>2</v>
      </c>
      <c r="M24" s="7">
        <v>26</v>
      </c>
      <c r="N24" s="7"/>
      <c r="O24" s="7"/>
      <c r="P24" s="7"/>
      <c r="Q24" s="7"/>
      <c r="R24" s="7"/>
      <c r="S24" s="7"/>
      <c r="T24" s="7"/>
      <c r="U24" s="7"/>
      <c r="V24" s="7"/>
      <c r="W24" s="7"/>
      <c r="X24" s="7"/>
      <c r="Y24" s="7"/>
      <c r="Z24" s="7"/>
      <c r="AA24" s="7"/>
      <c r="AB24" s="7"/>
      <c r="AC24" s="7"/>
      <c r="AD24" s="7"/>
      <c r="AE24" s="7"/>
      <c r="AF24" s="7"/>
      <c r="AG24" s="7"/>
      <c r="AH24" s="7">
        <v>1</v>
      </c>
      <c r="AI24" s="7">
        <v>37</v>
      </c>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v>1</v>
      </c>
      <c r="BQ24" s="7">
        <v>16</v>
      </c>
      <c r="BR24" s="7"/>
      <c r="BS24" s="7"/>
      <c r="BT24" s="7"/>
      <c r="BU24" s="7"/>
      <c r="BV24" s="7"/>
      <c r="BW24" s="7"/>
      <c r="BX24" s="7"/>
      <c r="BY24" s="7"/>
      <c r="BZ24" s="7"/>
      <c r="CA24" s="7"/>
      <c r="CB24" s="7"/>
      <c r="CC24" s="7"/>
      <c r="CD24" s="7"/>
      <c r="CE24" s="7"/>
      <c r="CF24" s="7"/>
      <c r="CG24" s="7"/>
      <c r="CH24" s="7"/>
      <c r="CI24" s="7"/>
      <c r="CJ24" s="8">
        <v>4</v>
      </c>
      <c r="CK24" s="8">
        <v>79</v>
      </c>
      <c r="CL24" s="9"/>
      <c r="CM24" s="9"/>
      <c r="CN24" s="9"/>
      <c r="CO24" s="9"/>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row>
    <row r="25" spans="1:210">
      <c r="A25" s="5" t="s">
        <v>64</v>
      </c>
      <c r="B25" s="6"/>
      <c r="C25" s="6"/>
      <c r="D25" s="7"/>
      <c r="E25" s="7"/>
      <c r="F25" s="7"/>
      <c r="G25" s="7"/>
      <c r="H25" s="7"/>
      <c r="I25" s="7"/>
      <c r="J25" s="7"/>
      <c r="K25" s="7"/>
      <c r="L25" s="7"/>
      <c r="M25" s="7"/>
      <c r="N25" s="7">
        <v>2</v>
      </c>
      <c r="O25" s="7">
        <v>26</v>
      </c>
      <c r="P25" s="7"/>
      <c r="Q25" s="7"/>
      <c r="R25" s="7"/>
      <c r="S25" s="7"/>
      <c r="T25" s="7"/>
      <c r="U25" s="7"/>
      <c r="V25" s="7"/>
      <c r="W25" s="7"/>
      <c r="X25" s="7"/>
      <c r="Y25" s="7"/>
      <c r="Z25" s="7"/>
      <c r="AA25" s="7"/>
      <c r="AB25" s="7"/>
      <c r="AC25" s="7"/>
      <c r="AD25" s="7">
        <v>1</v>
      </c>
      <c r="AE25" s="7">
        <v>101</v>
      </c>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8">
        <v>3</v>
      </c>
      <c r="CK25" s="8">
        <v>127</v>
      </c>
      <c r="CL25" s="9"/>
      <c r="CM25" s="9"/>
      <c r="CN25" s="9"/>
      <c r="CO25" s="9"/>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row>
    <row r="26" spans="1:210">
      <c r="A26" s="5" t="s">
        <v>65</v>
      </c>
      <c r="B26" s="6">
        <v>14</v>
      </c>
      <c r="C26" s="6">
        <v>407</v>
      </c>
      <c r="D26" s="7">
        <v>11</v>
      </c>
      <c r="E26" s="7">
        <v>1829</v>
      </c>
      <c r="F26" s="7">
        <v>2</v>
      </c>
      <c r="G26" s="7">
        <v>405</v>
      </c>
      <c r="H26" s="7"/>
      <c r="I26" s="7"/>
      <c r="J26" s="7">
        <v>2</v>
      </c>
      <c r="K26" s="7">
        <v>56</v>
      </c>
      <c r="L26" s="7">
        <v>5</v>
      </c>
      <c r="M26" s="7">
        <v>64</v>
      </c>
      <c r="N26" s="7"/>
      <c r="O26" s="7"/>
      <c r="P26" s="7"/>
      <c r="Q26" s="7"/>
      <c r="R26" s="7"/>
      <c r="S26" s="7"/>
      <c r="T26" s="7"/>
      <c r="U26" s="7"/>
      <c r="V26" s="7"/>
      <c r="W26" s="7"/>
      <c r="X26" s="7"/>
      <c r="Y26" s="7"/>
      <c r="Z26" s="7"/>
      <c r="AA26" s="7"/>
      <c r="AB26" s="7">
        <v>2</v>
      </c>
      <c r="AC26" s="7">
        <v>158</v>
      </c>
      <c r="AD26" s="7">
        <v>1</v>
      </c>
      <c r="AE26" s="7">
        <v>42</v>
      </c>
      <c r="AF26" s="7">
        <v>6</v>
      </c>
      <c r="AG26" s="7">
        <v>2242</v>
      </c>
      <c r="AH26" s="7">
        <v>2</v>
      </c>
      <c r="AI26" s="7">
        <v>822</v>
      </c>
      <c r="AJ26" s="7">
        <v>1</v>
      </c>
      <c r="AK26" s="7">
        <v>20</v>
      </c>
      <c r="AL26" s="7"/>
      <c r="AM26" s="7"/>
      <c r="AN26" s="7"/>
      <c r="AO26" s="7"/>
      <c r="AP26" s="7"/>
      <c r="AQ26" s="7"/>
      <c r="AR26" s="7"/>
      <c r="AS26" s="7"/>
      <c r="AT26" s="7"/>
      <c r="AU26" s="7"/>
      <c r="AV26" s="7"/>
      <c r="AW26" s="7"/>
      <c r="AX26" s="7"/>
      <c r="AY26" s="7"/>
      <c r="AZ26" s="7"/>
      <c r="BA26" s="7"/>
      <c r="BB26" s="7"/>
      <c r="BC26" s="7"/>
      <c r="BD26" s="7"/>
      <c r="BE26" s="7"/>
      <c r="BF26" s="7">
        <v>1</v>
      </c>
      <c r="BG26" s="7">
        <v>216</v>
      </c>
      <c r="BH26" s="7"/>
      <c r="BI26" s="7"/>
      <c r="BJ26" s="7"/>
      <c r="BK26" s="7"/>
      <c r="BL26" s="7"/>
      <c r="BM26" s="7"/>
      <c r="BN26" s="7"/>
      <c r="BO26" s="7"/>
      <c r="BP26" s="7">
        <v>1</v>
      </c>
      <c r="BQ26" s="7">
        <v>35</v>
      </c>
      <c r="BR26" s="7"/>
      <c r="BS26" s="7"/>
      <c r="BT26" s="7"/>
      <c r="BU26" s="7"/>
      <c r="BV26" s="7">
        <v>3</v>
      </c>
      <c r="BW26" s="7">
        <v>130</v>
      </c>
      <c r="BX26" s="7"/>
      <c r="BY26" s="7"/>
      <c r="BZ26" s="7"/>
      <c r="CA26" s="7"/>
      <c r="CB26" s="7"/>
      <c r="CC26" s="7"/>
      <c r="CD26" s="7"/>
      <c r="CE26" s="7"/>
      <c r="CF26" s="7"/>
      <c r="CG26" s="7"/>
      <c r="CH26" s="7"/>
      <c r="CI26" s="7"/>
      <c r="CJ26" s="8">
        <v>51</v>
      </c>
      <c r="CK26" s="8">
        <v>6426</v>
      </c>
      <c r="CL26" s="9"/>
      <c r="CM26" s="9"/>
      <c r="CN26" s="9"/>
      <c r="CO26" s="9"/>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row>
    <row r="27" spans="1:210">
      <c r="A27" s="5" t="s">
        <v>66</v>
      </c>
      <c r="B27" s="6"/>
      <c r="C27" s="6"/>
      <c r="D27" s="7"/>
      <c r="E27" s="7"/>
      <c r="F27" s="7"/>
      <c r="G27" s="7"/>
      <c r="H27" s="7"/>
      <c r="I27" s="7"/>
      <c r="J27" s="7"/>
      <c r="K27" s="7"/>
      <c r="L27" s="7">
        <v>2</v>
      </c>
      <c r="M27" s="7">
        <v>25</v>
      </c>
      <c r="N27" s="7">
        <v>2</v>
      </c>
      <c r="O27" s="7">
        <v>25</v>
      </c>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v>1</v>
      </c>
      <c r="BC27" s="7">
        <v>40</v>
      </c>
      <c r="BD27" s="7"/>
      <c r="BE27" s="7"/>
      <c r="BF27" s="7"/>
      <c r="BG27" s="7"/>
      <c r="BH27" s="7"/>
      <c r="BI27" s="7"/>
      <c r="BJ27" s="7"/>
      <c r="BK27" s="7"/>
      <c r="BL27" s="7"/>
      <c r="BM27" s="7"/>
      <c r="BN27" s="7"/>
      <c r="BO27" s="7"/>
      <c r="BP27" s="7">
        <v>1</v>
      </c>
      <c r="BQ27" s="7">
        <v>10</v>
      </c>
      <c r="BR27" s="7"/>
      <c r="BS27" s="7"/>
      <c r="BT27" s="7"/>
      <c r="BU27" s="7"/>
      <c r="BV27" s="7"/>
      <c r="BW27" s="7"/>
      <c r="BX27" s="7"/>
      <c r="BY27" s="7"/>
      <c r="BZ27" s="7"/>
      <c r="CA27" s="7"/>
      <c r="CB27" s="7"/>
      <c r="CC27" s="7"/>
      <c r="CD27" s="7"/>
      <c r="CE27" s="7"/>
      <c r="CF27" s="7"/>
      <c r="CG27" s="7"/>
      <c r="CH27" s="7"/>
      <c r="CI27" s="7"/>
      <c r="CJ27" s="8">
        <v>6</v>
      </c>
      <c r="CK27" s="8">
        <v>100</v>
      </c>
      <c r="CL27" s="9"/>
      <c r="CM27" s="9"/>
      <c r="CN27" s="9"/>
      <c r="CO27" s="9"/>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row>
    <row r="28" spans="1:210">
      <c r="A28" s="5" t="s">
        <v>67</v>
      </c>
      <c r="B28" s="6"/>
      <c r="C28" s="6"/>
      <c r="D28" s="7"/>
      <c r="E28" s="7"/>
      <c r="F28" s="7"/>
      <c r="G28" s="7"/>
      <c r="H28" s="7"/>
      <c r="I28" s="7"/>
      <c r="J28" s="7">
        <v>1</v>
      </c>
      <c r="K28" s="7">
        <v>30</v>
      </c>
      <c r="L28" s="7">
        <v>1</v>
      </c>
      <c r="M28" s="7">
        <v>6</v>
      </c>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8">
        <v>2</v>
      </c>
      <c r="CK28" s="8">
        <v>36</v>
      </c>
      <c r="CL28" s="9"/>
      <c r="CM28" s="9"/>
      <c r="CN28" s="9"/>
      <c r="CO28" s="9"/>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row>
    <row r="29" spans="1:210">
      <c r="A29" s="5" t="s">
        <v>68</v>
      </c>
      <c r="B29" s="6"/>
      <c r="C29" s="6"/>
      <c r="D29" s="7"/>
      <c r="E29" s="7"/>
      <c r="F29" s="7"/>
      <c r="G29" s="7"/>
      <c r="H29" s="7"/>
      <c r="I29" s="7"/>
      <c r="J29" s="7"/>
      <c r="K29" s="7"/>
      <c r="L29" s="7">
        <v>1</v>
      </c>
      <c r="M29" s="7">
        <v>22</v>
      </c>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8">
        <v>1</v>
      </c>
      <c r="CK29" s="8">
        <v>22</v>
      </c>
      <c r="CL29" s="9"/>
      <c r="CM29" s="9"/>
      <c r="CN29" s="9"/>
      <c r="CO29" s="9"/>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row>
    <row r="30" spans="1:210">
      <c r="A30" s="5" t="s">
        <v>69</v>
      </c>
      <c r="B30" s="6"/>
      <c r="C30" s="6"/>
      <c r="D30" s="7"/>
      <c r="E30" s="7"/>
      <c r="F30" s="7"/>
      <c r="G30" s="7"/>
      <c r="H30" s="7"/>
      <c r="I30" s="7"/>
      <c r="J30" s="7"/>
      <c r="K30" s="7"/>
      <c r="L30" s="7"/>
      <c r="M30" s="7"/>
      <c r="N30" s="7">
        <v>1</v>
      </c>
      <c r="O30" s="7">
        <v>16</v>
      </c>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8">
        <v>1</v>
      </c>
      <c r="CK30" s="8">
        <v>16</v>
      </c>
      <c r="CL30" s="9"/>
      <c r="CM30" s="9"/>
      <c r="CN30" s="9"/>
      <c r="CO30" s="9"/>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row>
    <row r="31" spans="1:210">
      <c r="A31" s="5" t="s">
        <v>70</v>
      </c>
      <c r="B31" s="6"/>
      <c r="C31" s="6"/>
      <c r="D31" s="7"/>
      <c r="E31" s="7"/>
      <c r="F31" s="7"/>
      <c r="G31" s="7"/>
      <c r="H31" s="7"/>
      <c r="I31" s="7"/>
      <c r="J31" s="7"/>
      <c r="K31" s="7"/>
      <c r="L31" s="7">
        <v>1</v>
      </c>
      <c r="M31" s="7">
        <v>20</v>
      </c>
      <c r="N31" s="7">
        <v>1</v>
      </c>
      <c r="O31" s="7">
        <v>6</v>
      </c>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8">
        <v>2</v>
      </c>
      <c r="CK31" s="8">
        <v>26</v>
      </c>
      <c r="CL31" s="9"/>
      <c r="CM31" s="9"/>
      <c r="CN31" s="9"/>
      <c r="CO31" s="9"/>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row>
    <row r="32" spans="1:210">
      <c r="A32" s="5" t="s">
        <v>71</v>
      </c>
      <c r="B32" s="6">
        <v>1</v>
      </c>
      <c r="C32" s="6">
        <v>120</v>
      </c>
      <c r="D32" s="7"/>
      <c r="E32" s="7"/>
      <c r="F32" s="7"/>
      <c r="G32" s="7"/>
      <c r="H32" s="7"/>
      <c r="I32" s="7"/>
      <c r="J32" s="7"/>
      <c r="K32" s="7"/>
      <c r="L32" s="7">
        <v>12</v>
      </c>
      <c r="M32" s="7">
        <v>153</v>
      </c>
      <c r="N32" s="7"/>
      <c r="O32" s="7"/>
      <c r="P32" s="7"/>
      <c r="Q32" s="7"/>
      <c r="R32" s="7"/>
      <c r="S32" s="7"/>
      <c r="T32" s="7"/>
      <c r="U32" s="7"/>
      <c r="V32" s="7"/>
      <c r="W32" s="7"/>
      <c r="X32" s="7">
        <v>1</v>
      </c>
      <c r="Y32" s="7">
        <v>660</v>
      </c>
      <c r="Z32" s="7"/>
      <c r="AA32" s="7"/>
      <c r="AB32" s="7">
        <v>1</v>
      </c>
      <c r="AC32" s="7">
        <v>297</v>
      </c>
      <c r="AD32" s="7">
        <v>12</v>
      </c>
      <c r="AE32" s="7">
        <v>2731</v>
      </c>
      <c r="AF32" s="7">
        <v>17</v>
      </c>
      <c r="AG32" s="7">
        <v>5499</v>
      </c>
      <c r="AH32" s="7">
        <v>2</v>
      </c>
      <c r="AI32" s="7">
        <v>1004</v>
      </c>
      <c r="AJ32" s="7">
        <v>1</v>
      </c>
      <c r="AK32" s="7">
        <v>300</v>
      </c>
      <c r="AL32" s="7"/>
      <c r="AM32" s="7"/>
      <c r="AN32" s="7"/>
      <c r="AO32" s="7"/>
      <c r="AP32" s="7"/>
      <c r="AQ32" s="7"/>
      <c r="AR32" s="7"/>
      <c r="AS32" s="7"/>
      <c r="AT32" s="7"/>
      <c r="AU32" s="7"/>
      <c r="AV32" s="7"/>
      <c r="AW32" s="7"/>
      <c r="AX32" s="7"/>
      <c r="AY32" s="7"/>
      <c r="AZ32" s="7">
        <v>1</v>
      </c>
      <c r="BA32" s="7">
        <v>346</v>
      </c>
      <c r="BB32" s="7"/>
      <c r="BC32" s="7"/>
      <c r="BD32" s="7"/>
      <c r="BE32" s="7"/>
      <c r="BF32" s="7"/>
      <c r="BG32" s="7"/>
      <c r="BH32" s="7"/>
      <c r="BI32" s="7"/>
      <c r="BJ32" s="7"/>
      <c r="BK32" s="7"/>
      <c r="BL32" s="7"/>
      <c r="BM32" s="7"/>
      <c r="BN32" s="7"/>
      <c r="BO32" s="7"/>
      <c r="BP32" s="7">
        <v>3</v>
      </c>
      <c r="BQ32" s="7">
        <v>161</v>
      </c>
      <c r="BR32" s="7"/>
      <c r="BS32" s="7"/>
      <c r="BT32" s="7"/>
      <c r="BU32" s="7"/>
      <c r="BV32" s="7">
        <v>3</v>
      </c>
      <c r="BW32" s="7">
        <v>153</v>
      </c>
      <c r="BX32" s="7">
        <v>2</v>
      </c>
      <c r="BY32" s="7">
        <v>80</v>
      </c>
      <c r="BZ32" s="7"/>
      <c r="CA32" s="7"/>
      <c r="CB32" s="7"/>
      <c r="CC32" s="7"/>
      <c r="CD32" s="7"/>
      <c r="CE32" s="7"/>
      <c r="CF32" s="7">
        <v>1</v>
      </c>
      <c r="CG32" s="7">
        <v>20</v>
      </c>
      <c r="CH32" s="7"/>
      <c r="CI32" s="7"/>
      <c r="CJ32" s="8">
        <v>57</v>
      </c>
      <c r="CK32" s="8">
        <v>11524</v>
      </c>
      <c r="CL32" s="9"/>
      <c r="CM32" s="9"/>
      <c r="CN32" s="9"/>
      <c r="CO32" s="9"/>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row>
    <row r="33" spans="1:210">
      <c r="A33" s="5" t="s">
        <v>72</v>
      </c>
      <c r="B33" s="6">
        <v>9</v>
      </c>
      <c r="C33" s="6">
        <v>1597</v>
      </c>
      <c r="D33" s="7">
        <v>7</v>
      </c>
      <c r="E33" s="7">
        <v>797</v>
      </c>
      <c r="F33" s="7">
        <v>3</v>
      </c>
      <c r="G33" s="7">
        <v>123</v>
      </c>
      <c r="H33" s="7"/>
      <c r="I33" s="7"/>
      <c r="J33" s="7">
        <v>3</v>
      </c>
      <c r="K33" s="7">
        <v>98</v>
      </c>
      <c r="L33" s="7">
        <v>13</v>
      </c>
      <c r="M33" s="7">
        <v>168</v>
      </c>
      <c r="N33" s="7"/>
      <c r="O33" s="7"/>
      <c r="P33" s="7"/>
      <c r="Q33" s="7"/>
      <c r="R33" s="7"/>
      <c r="S33" s="7"/>
      <c r="T33" s="7"/>
      <c r="U33" s="7"/>
      <c r="V33" s="7"/>
      <c r="W33" s="7"/>
      <c r="X33" s="7"/>
      <c r="Y33" s="7"/>
      <c r="Z33" s="7"/>
      <c r="AA33" s="7"/>
      <c r="AB33" s="7">
        <v>3</v>
      </c>
      <c r="AC33" s="7">
        <v>699</v>
      </c>
      <c r="AD33" s="7">
        <v>2</v>
      </c>
      <c r="AE33" s="7">
        <v>400</v>
      </c>
      <c r="AF33" s="7">
        <v>15</v>
      </c>
      <c r="AG33" s="7">
        <v>5871</v>
      </c>
      <c r="AH33" s="7">
        <v>1</v>
      </c>
      <c r="AI33" s="7">
        <v>411</v>
      </c>
      <c r="AJ33" s="7"/>
      <c r="AK33" s="7"/>
      <c r="AL33" s="7"/>
      <c r="AM33" s="7"/>
      <c r="AN33" s="7"/>
      <c r="AO33" s="7"/>
      <c r="AP33" s="7"/>
      <c r="AQ33" s="7"/>
      <c r="AR33" s="7"/>
      <c r="AS33" s="7"/>
      <c r="AT33" s="7"/>
      <c r="AU33" s="7"/>
      <c r="AV33" s="7"/>
      <c r="AW33" s="7"/>
      <c r="AX33" s="7"/>
      <c r="AY33" s="7"/>
      <c r="AZ33" s="7">
        <v>3</v>
      </c>
      <c r="BA33" s="7">
        <v>2810</v>
      </c>
      <c r="BB33" s="7">
        <v>1</v>
      </c>
      <c r="BC33" s="7">
        <v>1214</v>
      </c>
      <c r="BD33" s="7"/>
      <c r="BE33" s="7"/>
      <c r="BF33" s="7"/>
      <c r="BG33" s="7"/>
      <c r="BH33" s="7"/>
      <c r="BI33" s="7"/>
      <c r="BJ33" s="7"/>
      <c r="BK33" s="7"/>
      <c r="BL33" s="7"/>
      <c r="BM33" s="7"/>
      <c r="BN33" s="7"/>
      <c r="BO33" s="7"/>
      <c r="BP33" s="7">
        <v>1</v>
      </c>
      <c r="BQ33" s="7">
        <v>111</v>
      </c>
      <c r="BR33" s="7">
        <v>1</v>
      </c>
      <c r="BS33" s="7">
        <v>46</v>
      </c>
      <c r="BT33" s="7"/>
      <c r="BU33" s="7"/>
      <c r="BV33" s="7">
        <v>2</v>
      </c>
      <c r="BW33" s="7">
        <v>122</v>
      </c>
      <c r="BX33" s="7"/>
      <c r="BY33" s="7"/>
      <c r="BZ33" s="7"/>
      <c r="CA33" s="7"/>
      <c r="CB33" s="7"/>
      <c r="CC33" s="7"/>
      <c r="CD33" s="7">
        <v>3</v>
      </c>
      <c r="CE33" s="7">
        <v>94</v>
      </c>
      <c r="CF33" s="7"/>
      <c r="CG33" s="7"/>
      <c r="CH33" s="7"/>
      <c r="CI33" s="7"/>
      <c r="CJ33" s="8">
        <v>67</v>
      </c>
      <c r="CK33" s="8">
        <v>14561</v>
      </c>
      <c r="CL33" s="9"/>
      <c r="CM33" s="9"/>
      <c r="CN33" s="9"/>
      <c r="CO33" s="9"/>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row>
    <row r="34" spans="1:210">
      <c r="A34" s="5" t="s">
        <v>73</v>
      </c>
      <c r="B34" s="6"/>
      <c r="C34" s="6"/>
      <c r="D34" s="7"/>
      <c r="E34" s="7"/>
      <c r="F34" s="7"/>
      <c r="G34" s="7"/>
      <c r="H34" s="7"/>
      <c r="I34" s="7"/>
      <c r="J34" s="7"/>
      <c r="K34" s="7"/>
      <c r="L34" s="7">
        <v>1</v>
      </c>
      <c r="M34" s="7">
        <v>6</v>
      </c>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8">
        <v>1</v>
      </c>
      <c r="CK34" s="8">
        <v>6</v>
      </c>
      <c r="CL34" s="9"/>
      <c r="CM34" s="9"/>
      <c r="CN34" s="9"/>
      <c r="CO34" s="9"/>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row>
    <row r="35" spans="1:210">
      <c r="A35" s="5" t="s">
        <v>74</v>
      </c>
      <c r="B35" s="6"/>
      <c r="C35" s="6"/>
      <c r="D35" s="7"/>
      <c r="E35" s="7"/>
      <c r="F35" s="7"/>
      <c r="G35" s="7"/>
      <c r="H35" s="7"/>
      <c r="I35" s="7"/>
      <c r="J35" s="7"/>
      <c r="K35" s="7"/>
      <c r="L35" s="7">
        <v>1</v>
      </c>
      <c r="M35" s="7">
        <v>8</v>
      </c>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8">
        <v>1</v>
      </c>
      <c r="CK35" s="8">
        <v>8</v>
      </c>
      <c r="CL35" s="9"/>
      <c r="CM35" s="9"/>
      <c r="CN35" s="9"/>
      <c r="CO35" s="9"/>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row>
    <row r="36" spans="1:210">
      <c r="A36" s="5" t="s">
        <v>75</v>
      </c>
      <c r="B36" s="6"/>
      <c r="C36" s="6"/>
      <c r="D36" s="7"/>
      <c r="E36" s="7"/>
      <c r="F36" s="7"/>
      <c r="G36" s="7"/>
      <c r="H36" s="7"/>
      <c r="I36" s="7"/>
      <c r="J36" s="7">
        <v>1</v>
      </c>
      <c r="K36" s="7">
        <v>50</v>
      </c>
      <c r="L36" s="7">
        <v>2</v>
      </c>
      <c r="M36" s="7">
        <v>18</v>
      </c>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8">
        <v>3</v>
      </c>
      <c r="CK36" s="8">
        <v>68</v>
      </c>
      <c r="CN36" s="9"/>
      <c r="CO36" s="9"/>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row>
    <row r="37" spans="1:210">
      <c r="A37" s="5" t="s">
        <v>76</v>
      </c>
      <c r="B37" s="6"/>
      <c r="C37" s="6"/>
      <c r="D37" s="7">
        <v>2</v>
      </c>
      <c r="E37" s="7">
        <v>426</v>
      </c>
      <c r="F37" s="7">
        <v>9</v>
      </c>
      <c r="G37" s="7">
        <v>1694</v>
      </c>
      <c r="H37" s="7"/>
      <c r="I37" s="7"/>
      <c r="J37" s="7">
        <v>1</v>
      </c>
      <c r="K37" s="7">
        <v>30</v>
      </c>
      <c r="L37" s="7"/>
      <c r="M37" s="7"/>
      <c r="N37" s="7"/>
      <c r="O37" s="7"/>
      <c r="P37" s="7"/>
      <c r="Q37" s="7"/>
      <c r="R37" s="7"/>
      <c r="S37" s="7"/>
      <c r="T37" s="7"/>
      <c r="U37" s="7"/>
      <c r="V37" s="7"/>
      <c r="W37" s="7"/>
      <c r="X37" s="7"/>
      <c r="Y37" s="7"/>
      <c r="Z37" s="7">
        <v>1</v>
      </c>
      <c r="AA37" s="7">
        <v>286</v>
      </c>
      <c r="AB37" s="7"/>
      <c r="AC37" s="7"/>
      <c r="AD37" s="7"/>
      <c r="AE37" s="7"/>
      <c r="AF37" s="7">
        <v>4</v>
      </c>
      <c r="AG37" s="7">
        <v>1528</v>
      </c>
      <c r="AH37" s="7">
        <v>5</v>
      </c>
      <c r="AI37" s="7">
        <v>2946</v>
      </c>
      <c r="AJ37" s="7">
        <v>1</v>
      </c>
      <c r="AK37" s="7">
        <v>268</v>
      </c>
      <c r="AL37" s="7"/>
      <c r="AM37" s="7"/>
      <c r="AN37" s="7"/>
      <c r="AO37" s="7"/>
      <c r="AP37" s="7"/>
      <c r="AQ37" s="7"/>
      <c r="AR37" s="7"/>
      <c r="AS37" s="7"/>
      <c r="AT37" s="7"/>
      <c r="AU37" s="7"/>
      <c r="AV37" s="7"/>
      <c r="AW37" s="7"/>
      <c r="AX37" s="7"/>
      <c r="AY37" s="7"/>
      <c r="AZ37" s="7">
        <v>7</v>
      </c>
      <c r="BA37" s="7">
        <v>4141</v>
      </c>
      <c r="BB37" s="7">
        <v>8</v>
      </c>
      <c r="BC37" s="7">
        <v>4536</v>
      </c>
      <c r="BD37" s="7">
        <v>1</v>
      </c>
      <c r="BE37" s="7">
        <v>218</v>
      </c>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8">
        <v>39</v>
      </c>
      <c r="CK37" s="8">
        <v>16073</v>
      </c>
      <c r="CN37" s="9"/>
      <c r="CO37" s="9"/>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row>
    <row r="38" spans="1:210">
      <c r="A38" s="5" t="s">
        <v>77</v>
      </c>
      <c r="B38" s="6">
        <v>6</v>
      </c>
      <c r="C38" s="6">
        <v>378</v>
      </c>
      <c r="D38" s="7">
        <v>7</v>
      </c>
      <c r="E38" s="7">
        <v>942</v>
      </c>
      <c r="F38" s="7">
        <v>7</v>
      </c>
      <c r="G38" s="7">
        <v>848</v>
      </c>
      <c r="H38" s="7"/>
      <c r="I38" s="7"/>
      <c r="J38" s="7">
        <v>1</v>
      </c>
      <c r="K38" s="7">
        <v>25</v>
      </c>
      <c r="L38" s="7"/>
      <c r="M38" s="7"/>
      <c r="N38" s="7">
        <v>1</v>
      </c>
      <c r="O38" s="7">
        <v>16</v>
      </c>
      <c r="P38" s="7"/>
      <c r="Q38" s="7"/>
      <c r="R38" s="7"/>
      <c r="S38" s="7"/>
      <c r="T38" s="7"/>
      <c r="U38" s="7"/>
      <c r="V38" s="7"/>
      <c r="W38" s="7"/>
      <c r="X38" s="7"/>
      <c r="Y38" s="7"/>
      <c r="Z38" s="7"/>
      <c r="AA38" s="7"/>
      <c r="AB38" s="7">
        <v>11</v>
      </c>
      <c r="AC38" s="7">
        <v>974</v>
      </c>
      <c r="AD38" s="7">
        <v>15</v>
      </c>
      <c r="AE38" s="7">
        <v>2202</v>
      </c>
      <c r="AF38" s="7">
        <v>77</v>
      </c>
      <c r="AG38" s="7">
        <v>21918</v>
      </c>
      <c r="AH38" s="7">
        <v>33</v>
      </c>
      <c r="AI38" s="7">
        <v>8853</v>
      </c>
      <c r="AJ38" s="7">
        <v>6</v>
      </c>
      <c r="AK38" s="7">
        <v>1447</v>
      </c>
      <c r="AL38" s="7">
        <v>2</v>
      </c>
      <c r="AM38" s="7">
        <v>118</v>
      </c>
      <c r="AN38" s="7">
        <v>1</v>
      </c>
      <c r="AO38" s="7">
        <v>51</v>
      </c>
      <c r="AP38" s="7">
        <v>2</v>
      </c>
      <c r="AQ38" s="7">
        <v>239</v>
      </c>
      <c r="AR38" s="7"/>
      <c r="AS38" s="7"/>
      <c r="AT38" s="7"/>
      <c r="AU38" s="7"/>
      <c r="AV38" s="7"/>
      <c r="AW38" s="7"/>
      <c r="AX38" s="7">
        <v>3</v>
      </c>
      <c r="AY38" s="7">
        <v>355</v>
      </c>
      <c r="AZ38" s="7">
        <v>7</v>
      </c>
      <c r="BA38" s="7">
        <v>2738</v>
      </c>
      <c r="BB38" s="7">
        <v>2</v>
      </c>
      <c r="BC38" s="7">
        <v>1157</v>
      </c>
      <c r="BD38" s="7"/>
      <c r="BE38" s="7"/>
      <c r="BF38" s="7"/>
      <c r="BG38" s="7"/>
      <c r="BH38" s="7"/>
      <c r="BI38" s="7"/>
      <c r="BJ38" s="7"/>
      <c r="BK38" s="7"/>
      <c r="BL38" s="7"/>
      <c r="BM38" s="7"/>
      <c r="BN38" s="7"/>
      <c r="BO38" s="7"/>
      <c r="BP38" s="7">
        <v>6</v>
      </c>
      <c r="BQ38" s="7">
        <v>201</v>
      </c>
      <c r="BR38" s="7">
        <v>4</v>
      </c>
      <c r="BS38" s="7">
        <v>355</v>
      </c>
      <c r="BT38" s="7">
        <v>1</v>
      </c>
      <c r="BU38" s="7">
        <v>118</v>
      </c>
      <c r="BV38" s="7">
        <v>24</v>
      </c>
      <c r="BW38" s="7">
        <v>938</v>
      </c>
      <c r="BX38" s="7">
        <v>9</v>
      </c>
      <c r="BY38" s="7">
        <v>427</v>
      </c>
      <c r="BZ38" s="7"/>
      <c r="CA38" s="7"/>
      <c r="CB38" s="7"/>
      <c r="CC38" s="7"/>
      <c r="CD38" s="7">
        <v>8</v>
      </c>
      <c r="CE38" s="7">
        <v>244</v>
      </c>
      <c r="CF38" s="7">
        <v>1</v>
      </c>
      <c r="CG38" s="7">
        <v>12</v>
      </c>
      <c r="CH38" s="7"/>
      <c r="CI38" s="7"/>
      <c r="CJ38" s="8">
        <v>234</v>
      </c>
      <c r="CK38" s="8">
        <v>44556</v>
      </c>
      <c r="CL38" s="9"/>
      <c r="CM38" s="9"/>
      <c r="CN38" s="9"/>
      <c r="CO38" s="9"/>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row>
    <row r="39" spans="1:210">
      <c r="A39" s="5" t="s">
        <v>78</v>
      </c>
      <c r="B39" s="6"/>
      <c r="C39" s="6"/>
      <c r="D39" s="7"/>
      <c r="E39" s="7"/>
      <c r="F39" s="7"/>
      <c r="G39" s="7"/>
      <c r="H39" s="7"/>
      <c r="I39" s="7"/>
      <c r="J39" s="7"/>
      <c r="K39" s="7"/>
      <c r="L39" s="7">
        <v>1</v>
      </c>
      <c r="M39" s="7">
        <v>4</v>
      </c>
      <c r="N39" s="7">
        <v>1</v>
      </c>
      <c r="O39" s="7">
        <v>6</v>
      </c>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8">
        <v>2</v>
      </c>
      <c r="CK39" s="8">
        <v>10</v>
      </c>
      <c r="CL39" s="9"/>
      <c r="CM39" s="9"/>
      <c r="CN39" s="9"/>
      <c r="CO39" s="9"/>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row>
    <row r="40" spans="1:210">
      <c r="A40" s="5" t="s">
        <v>79</v>
      </c>
      <c r="B40" s="6">
        <v>8</v>
      </c>
      <c r="C40" s="6">
        <v>355</v>
      </c>
      <c r="D40" s="7">
        <v>11</v>
      </c>
      <c r="E40" s="7">
        <v>671</v>
      </c>
      <c r="F40" s="7">
        <v>13</v>
      </c>
      <c r="G40" s="7">
        <v>1310</v>
      </c>
      <c r="H40" s="7"/>
      <c r="I40" s="7"/>
      <c r="J40" s="7">
        <v>1</v>
      </c>
      <c r="K40" s="7">
        <v>46</v>
      </c>
      <c r="L40" s="7">
        <v>4</v>
      </c>
      <c r="M40" s="7">
        <v>58</v>
      </c>
      <c r="N40" s="7">
        <v>4</v>
      </c>
      <c r="O40" s="7">
        <v>56</v>
      </c>
      <c r="P40" s="7"/>
      <c r="Q40" s="7"/>
      <c r="R40" s="7"/>
      <c r="S40" s="7"/>
      <c r="T40" s="7"/>
      <c r="U40" s="7"/>
      <c r="V40" s="7"/>
      <c r="W40" s="7"/>
      <c r="X40" s="7"/>
      <c r="Y40" s="7"/>
      <c r="Z40" s="7"/>
      <c r="AA40" s="7"/>
      <c r="AB40" s="7"/>
      <c r="AC40" s="7"/>
      <c r="AD40" s="7">
        <v>2</v>
      </c>
      <c r="AE40" s="7">
        <v>190</v>
      </c>
      <c r="AF40" s="7">
        <v>9</v>
      </c>
      <c r="AG40" s="7">
        <v>1698</v>
      </c>
      <c r="AH40" s="7">
        <v>3</v>
      </c>
      <c r="AI40" s="7">
        <v>470</v>
      </c>
      <c r="AJ40" s="7">
        <v>2</v>
      </c>
      <c r="AK40" s="7">
        <v>283</v>
      </c>
      <c r="AL40" s="7">
        <v>1</v>
      </c>
      <c r="AM40" s="7">
        <v>39</v>
      </c>
      <c r="AN40" s="7"/>
      <c r="AO40" s="7"/>
      <c r="AP40" s="7">
        <v>1</v>
      </c>
      <c r="AQ40" s="7">
        <v>12</v>
      </c>
      <c r="AR40" s="7"/>
      <c r="AS40" s="7"/>
      <c r="AT40" s="7"/>
      <c r="AU40" s="7"/>
      <c r="AV40" s="7"/>
      <c r="AW40" s="7"/>
      <c r="AX40" s="7"/>
      <c r="AY40" s="7"/>
      <c r="AZ40" s="7">
        <v>3</v>
      </c>
      <c r="BA40" s="7">
        <v>721</v>
      </c>
      <c r="BB40" s="7">
        <v>3</v>
      </c>
      <c r="BC40" s="7">
        <v>604</v>
      </c>
      <c r="BD40" s="7"/>
      <c r="BE40" s="7"/>
      <c r="BF40" s="7"/>
      <c r="BG40" s="7"/>
      <c r="BH40" s="7"/>
      <c r="BI40" s="7"/>
      <c r="BJ40" s="7"/>
      <c r="BK40" s="7"/>
      <c r="BL40" s="7"/>
      <c r="BM40" s="7"/>
      <c r="BN40" s="7"/>
      <c r="BO40" s="7"/>
      <c r="BP40" s="7">
        <v>1</v>
      </c>
      <c r="BQ40" s="7">
        <v>60</v>
      </c>
      <c r="BR40" s="7">
        <v>4</v>
      </c>
      <c r="BS40" s="7">
        <v>202</v>
      </c>
      <c r="BT40" s="7"/>
      <c r="BU40" s="7"/>
      <c r="BV40" s="7">
        <v>2</v>
      </c>
      <c r="BW40" s="7">
        <v>80</v>
      </c>
      <c r="BX40" s="7">
        <v>4</v>
      </c>
      <c r="BY40" s="7">
        <v>195</v>
      </c>
      <c r="BZ40" s="7"/>
      <c r="CA40" s="7"/>
      <c r="CB40" s="7"/>
      <c r="CC40" s="7"/>
      <c r="CD40" s="7"/>
      <c r="CE40" s="7"/>
      <c r="CF40" s="7"/>
      <c r="CG40" s="7"/>
      <c r="CH40" s="7">
        <v>1</v>
      </c>
      <c r="CI40" s="7">
        <v>23</v>
      </c>
      <c r="CJ40" s="8">
        <v>77</v>
      </c>
      <c r="CK40" s="8">
        <v>7073</v>
      </c>
      <c r="CL40" s="9"/>
      <c r="CM40" s="9"/>
      <c r="CN40" s="9"/>
      <c r="CO40" s="9"/>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row>
    <row r="41" spans="1:210">
      <c r="A41" s="5" t="s">
        <v>80</v>
      </c>
      <c r="B41" s="6"/>
      <c r="C41" s="6"/>
      <c r="D41" s="7"/>
      <c r="E41" s="7"/>
      <c r="F41" s="7"/>
      <c r="G41" s="7"/>
      <c r="H41" s="7"/>
      <c r="I41" s="7"/>
      <c r="J41" s="7">
        <v>1</v>
      </c>
      <c r="K41" s="7">
        <v>49</v>
      </c>
      <c r="L41" s="7">
        <v>2</v>
      </c>
      <c r="M41" s="7">
        <v>33</v>
      </c>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8">
        <v>3</v>
      </c>
      <c r="CK41" s="8">
        <v>82</v>
      </c>
      <c r="CL41" s="9"/>
      <c r="CM41" s="9"/>
      <c r="CN41" s="9"/>
      <c r="CO41" s="9"/>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row>
    <row r="42" spans="1:210">
      <c r="A42" s="5" t="s">
        <v>81</v>
      </c>
      <c r="B42" s="6"/>
      <c r="C42" s="6"/>
      <c r="D42" s="7"/>
      <c r="E42" s="7"/>
      <c r="F42" s="7">
        <v>1</v>
      </c>
      <c r="G42" s="7">
        <v>25</v>
      </c>
      <c r="H42" s="7"/>
      <c r="I42" s="7"/>
      <c r="J42" s="7">
        <v>1</v>
      </c>
      <c r="K42" s="7">
        <v>47</v>
      </c>
      <c r="L42" s="7">
        <v>4</v>
      </c>
      <c r="M42" s="7">
        <v>34</v>
      </c>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8">
        <v>6</v>
      </c>
      <c r="CK42" s="8">
        <v>106</v>
      </c>
      <c r="CL42" s="9"/>
      <c r="CM42" s="9"/>
      <c r="CN42" s="9"/>
      <c r="CO42" s="9"/>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row>
    <row r="43" spans="1:210">
      <c r="A43" s="5" t="s">
        <v>82</v>
      </c>
      <c r="B43" s="6"/>
      <c r="C43" s="6"/>
      <c r="D43" s="7"/>
      <c r="E43" s="7"/>
      <c r="F43" s="7"/>
      <c r="G43" s="7"/>
      <c r="H43" s="7"/>
      <c r="I43" s="7"/>
      <c r="J43" s="7"/>
      <c r="K43" s="7"/>
      <c r="L43" s="7">
        <v>1</v>
      </c>
      <c r="M43" s="7">
        <v>20</v>
      </c>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v>1</v>
      </c>
      <c r="CG43" s="7">
        <v>11</v>
      </c>
      <c r="CH43" s="7"/>
      <c r="CI43" s="7"/>
      <c r="CJ43" s="8">
        <v>2</v>
      </c>
      <c r="CK43" s="8">
        <v>31</v>
      </c>
      <c r="CL43" s="9"/>
      <c r="CM43" s="9"/>
      <c r="CN43" s="9"/>
      <c r="CO43" s="9"/>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row>
    <row r="44" spans="1:210">
      <c r="A44" s="5" t="s">
        <v>83</v>
      </c>
      <c r="B44" s="6">
        <v>9</v>
      </c>
      <c r="C44" s="6">
        <v>527</v>
      </c>
      <c r="D44" s="7">
        <v>8</v>
      </c>
      <c r="E44" s="7">
        <v>636</v>
      </c>
      <c r="F44" s="7">
        <v>13</v>
      </c>
      <c r="G44" s="7">
        <v>2415</v>
      </c>
      <c r="H44" s="7">
        <v>1</v>
      </c>
      <c r="I44" s="7">
        <v>184</v>
      </c>
      <c r="J44" s="7"/>
      <c r="K44" s="7"/>
      <c r="L44" s="7">
        <v>2</v>
      </c>
      <c r="M44" s="7">
        <v>30</v>
      </c>
      <c r="N44" s="7"/>
      <c r="O44" s="7"/>
      <c r="P44" s="7"/>
      <c r="Q44" s="7"/>
      <c r="R44" s="7"/>
      <c r="S44" s="7"/>
      <c r="T44" s="7"/>
      <c r="U44" s="7"/>
      <c r="V44" s="7"/>
      <c r="W44" s="7"/>
      <c r="X44" s="7"/>
      <c r="Y44" s="7"/>
      <c r="Z44" s="7"/>
      <c r="AA44" s="7"/>
      <c r="AB44" s="7">
        <v>1</v>
      </c>
      <c r="AC44" s="7">
        <v>175</v>
      </c>
      <c r="AD44" s="7">
        <v>3</v>
      </c>
      <c r="AE44" s="7">
        <v>747</v>
      </c>
      <c r="AF44" s="7">
        <v>13</v>
      </c>
      <c r="AG44" s="7">
        <v>2775</v>
      </c>
      <c r="AH44" s="7">
        <v>14</v>
      </c>
      <c r="AI44" s="7">
        <v>5817</v>
      </c>
      <c r="AJ44" s="7">
        <v>2</v>
      </c>
      <c r="AK44" s="7">
        <v>608</v>
      </c>
      <c r="AL44" s="7">
        <v>1</v>
      </c>
      <c r="AM44" s="7">
        <v>45</v>
      </c>
      <c r="AN44" s="7">
        <v>2</v>
      </c>
      <c r="AO44" s="7">
        <v>177</v>
      </c>
      <c r="AP44" s="7"/>
      <c r="AQ44" s="7"/>
      <c r="AR44" s="7"/>
      <c r="AS44" s="7"/>
      <c r="AT44" s="7"/>
      <c r="AU44" s="7"/>
      <c r="AV44" s="7"/>
      <c r="AW44" s="7"/>
      <c r="AX44" s="7"/>
      <c r="AY44" s="7"/>
      <c r="AZ44" s="7">
        <v>15</v>
      </c>
      <c r="BA44" s="7">
        <v>6817</v>
      </c>
      <c r="BB44" s="7">
        <v>7</v>
      </c>
      <c r="BC44" s="7">
        <v>4261</v>
      </c>
      <c r="BD44" s="7"/>
      <c r="BE44" s="7"/>
      <c r="BF44" s="7"/>
      <c r="BG44" s="7"/>
      <c r="BH44" s="7"/>
      <c r="BI44" s="7"/>
      <c r="BJ44" s="7"/>
      <c r="BK44" s="7"/>
      <c r="BL44" s="7"/>
      <c r="BM44" s="7"/>
      <c r="BN44" s="7"/>
      <c r="BO44" s="7"/>
      <c r="BP44" s="7"/>
      <c r="BQ44" s="7"/>
      <c r="BR44" s="7">
        <v>2</v>
      </c>
      <c r="BS44" s="7">
        <v>94</v>
      </c>
      <c r="BT44" s="7"/>
      <c r="BU44" s="7"/>
      <c r="BV44" s="7">
        <v>2</v>
      </c>
      <c r="BW44" s="7">
        <v>81</v>
      </c>
      <c r="BX44" s="7">
        <v>2</v>
      </c>
      <c r="BY44" s="7">
        <v>71</v>
      </c>
      <c r="BZ44" s="7"/>
      <c r="CA44" s="7"/>
      <c r="CB44" s="7"/>
      <c r="CC44" s="7"/>
      <c r="CD44" s="7">
        <v>2</v>
      </c>
      <c r="CE44" s="7">
        <v>96</v>
      </c>
      <c r="CF44" s="7"/>
      <c r="CG44" s="7"/>
      <c r="CH44" s="7"/>
      <c r="CI44" s="7"/>
      <c r="CJ44" s="8">
        <v>99</v>
      </c>
      <c r="CK44" s="8">
        <v>25556</v>
      </c>
      <c r="CL44" s="9"/>
      <c r="CM44" s="9"/>
      <c r="CN44" s="9"/>
      <c r="CO44" s="9"/>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row>
    <row r="45" spans="1:210">
      <c r="A45" s="5" t="s">
        <v>84</v>
      </c>
      <c r="B45" s="6"/>
      <c r="C45" s="6"/>
      <c r="D45" s="7"/>
      <c r="E45" s="7"/>
      <c r="F45" s="7"/>
      <c r="G45" s="7"/>
      <c r="H45" s="7"/>
      <c r="I45" s="7"/>
      <c r="J45" s="7"/>
      <c r="K45" s="7"/>
      <c r="L45" s="7">
        <v>1</v>
      </c>
      <c r="M45" s="7">
        <v>10</v>
      </c>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8">
        <v>1</v>
      </c>
      <c r="CK45" s="8">
        <v>10</v>
      </c>
      <c r="CL45" s="9"/>
      <c r="CM45" s="9"/>
      <c r="CN45" s="9"/>
      <c r="CO45" s="9"/>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row>
    <row r="46" spans="1:210">
      <c r="A46" s="5" t="s">
        <v>85</v>
      </c>
      <c r="B46" s="6">
        <v>6</v>
      </c>
      <c r="C46" s="6">
        <v>282</v>
      </c>
      <c r="D46" s="7">
        <v>9</v>
      </c>
      <c r="E46" s="7">
        <v>379</v>
      </c>
      <c r="F46" s="7"/>
      <c r="G46" s="7"/>
      <c r="H46" s="7"/>
      <c r="I46" s="7"/>
      <c r="J46" s="7">
        <v>1</v>
      </c>
      <c r="K46" s="7">
        <v>50</v>
      </c>
      <c r="L46" s="7">
        <v>3</v>
      </c>
      <c r="M46" s="7">
        <v>54</v>
      </c>
      <c r="N46" s="7"/>
      <c r="O46" s="7"/>
      <c r="P46" s="7"/>
      <c r="Q46" s="7"/>
      <c r="R46" s="7"/>
      <c r="S46" s="7"/>
      <c r="T46" s="7"/>
      <c r="U46" s="7"/>
      <c r="V46" s="7"/>
      <c r="W46" s="7"/>
      <c r="X46" s="7"/>
      <c r="Y46" s="7"/>
      <c r="Z46" s="7"/>
      <c r="AA46" s="7"/>
      <c r="AB46" s="7">
        <v>2</v>
      </c>
      <c r="AC46" s="7">
        <v>276</v>
      </c>
      <c r="AD46" s="7">
        <v>1</v>
      </c>
      <c r="AE46" s="7">
        <v>154</v>
      </c>
      <c r="AF46" s="7">
        <v>19</v>
      </c>
      <c r="AG46" s="7">
        <v>6161</v>
      </c>
      <c r="AH46" s="7">
        <v>1</v>
      </c>
      <c r="AI46" s="7">
        <v>542</v>
      </c>
      <c r="AJ46" s="7"/>
      <c r="AK46" s="7"/>
      <c r="AL46" s="7"/>
      <c r="AM46" s="7"/>
      <c r="AN46" s="7"/>
      <c r="AO46" s="7"/>
      <c r="AP46" s="7"/>
      <c r="AQ46" s="7"/>
      <c r="AR46" s="7"/>
      <c r="AS46" s="7"/>
      <c r="AT46" s="7"/>
      <c r="AU46" s="7"/>
      <c r="AV46" s="7"/>
      <c r="AW46" s="7"/>
      <c r="AX46" s="7"/>
      <c r="AY46" s="7"/>
      <c r="AZ46" s="7">
        <v>6</v>
      </c>
      <c r="BA46" s="7">
        <v>1097</v>
      </c>
      <c r="BB46" s="7">
        <v>7</v>
      </c>
      <c r="BC46" s="7">
        <v>3104</v>
      </c>
      <c r="BD46" s="7"/>
      <c r="BE46" s="7"/>
      <c r="BF46" s="7"/>
      <c r="BG46" s="7"/>
      <c r="BH46" s="7"/>
      <c r="BI46" s="7"/>
      <c r="BJ46" s="7"/>
      <c r="BK46" s="7"/>
      <c r="BL46" s="7"/>
      <c r="BM46" s="7"/>
      <c r="BN46" s="7"/>
      <c r="BO46" s="7"/>
      <c r="BP46" s="7">
        <v>2</v>
      </c>
      <c r="BQ46" s="7">
        <v>141</v>
      </c>
      <c r="BR46" s="7">
        <v>1</v>
      </c>
      <c r="BS46" s="7">
        <v>68</v>
      </c>
      <c r="BT46" s="7">
        <v>1</v>
      </c>
      <c r="BU46" s="7">
        <v>142</v>
      </c>
      <c r="BV46" s="7">
        <v>2</v>
      </c>
      <c r="BW46" s="7">
        <v>64</v>
      </c>
      <c r="BX46" s="7"/>
      <c r="BY46" s="7"/>
      <c r="BZ46" s="7"/>
      <c r="CA46" s="7"/>
      <c r="CB46" s="7"/>
      <c r="CC46" s="7"/>
      <c r="CD46" s="7"/>
      <c r="CE46" s="7"/>
      <c r="CF46" s="7"/>
      <c r="CG46" s="7"/>
      <c r="CH46" s="7"/>
      <c r="CI46" s="7"/>
      <c r="CJ46" s="8">
        <v>61</v>
      </c>
      <c r="CK46" s="8">
        <v>12514</v>
      </c>
      <c r="CL46" s="9"/>
      <c r="CM46" s="9"/>
      <c r="CN46" s="9"/>
      <c r="CO46" s="9"/>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row>
    <row r="47" spans="1:210">
      <c r="A47" s="5" t="s">
        <v>86</v>
      </c>
      <c r="B47" s="6"/>
      <c r="C47" s="6"/>
      <c r="D47" s="7"/>
      <c r="E47" s="7"/>
      <c r="F47" s="7"/>
      <c r="G47" s="7"/>
      <c r="H47" s="7"/>
      <c r="I47" s="7"/>
      <c r="J47" s="7">
        <v>1</v>
      </c>
      <c r="K47" s="7">
        <v>41</v>
      </c>
      <c r="L47" s="7">
        <v>1</v>
      </c>
      <c r="M47" s="7">
        <v>14</v>
      </c>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8">
        <v>2</v>
      </c>
      <c r="CK47" s="8">
        <v>55</v>
      </c>
      <c r="CL47" s="9"/>
      <c r="CM47" s="9"/>
      <c r="CN47" s="9"/>
      <c r="CO47" s="9"/>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row>
    <row r="48" spans="1:210">
      <c r="A48" s="5" t="s">
        <v>87</v>
      </c>
      <c r="B48" s="6">
        <v>13</v>
      </c>
      <c r="C48" s="6">
        <v>314</v>
      </c>
      <c r="D48" s="7">
        <v>22</v>
      </c>
      <c r="E48" s="7">
        <v>3002</v>
      </c>
      <c r="F48" s="7">
        <v>12</v>
      </c>
      <c r="G48" s="7">
        <v>2243</v>
      </c>
      <c r="H48" s="7"/>
      <c r="I48" s="7"/>
      <c r="J48" s="7"/>
      <c r="K48" s="7"/>
      <c r="L48" s="7">
        <v>1</v>
      </c>
      <c r="M48" s="7">
        <v>14</v>
      </c>
      <c r="N48" s="7">
        <v>1</v>
      </c>
      <c r="O48" s="7">
        <v>16</v>
      </c>
      <c r="P48" s="7"/>
      <c r="Q48" s="7"/>
      <c r="R48" s="7"/>
      <c r="S48" s="7"/>
      <c r="T48" s="7"/>
      <c r="U48" s="7"/>
      <c r="V48" s="7"/>
      <c r="W48" s="7"/>
      <c r="X48" s="7"/>
      <c r="Y48" s="7"/>
      <c r="Z48" s="7"/>
      <c r="AA48" s="7"/>
      <c r="AB48" s="7">
        <v>1</v>
      </c>
      <c r="AC48" s="7">
        <v>76</v>
      </c>
      <c r="AD48" s="7">
        <v>3</v>
      </c>
      <c r="AE48" s="7">
        <v>732</v>
      </c>
      <c r="AF48" s="7">
        <v>12</v>
      </c>
      <c r="AG48" s="7">
        <v>2940</v>
      </c>
      <c r="AH48" s="7">
        <v>4</v>
      </c>
      <c r="AI48" s="7">
        <v>766</v>
      </c>
      <c r="AJ48" s="7"/>
      <c r="AK48" s="7"/>
      <c r="AL48" s="7"/>
      <c r="AM48" s="7"/>
      <c r="AN48" s="7"/>
      <c r="AO48" s="7"/>
      <c r="AP48" s="7"/>
      <c r="AQ48" s="7"/>
      <c r="AR48" s="7"/>
      <c r="AS48" s="7"/>
      <c r="AT48" s="7"/>
      <c r="AU48" s="7"/>
      <c r="AV48" s="7"/>
      <c r="AW48" s="7"/>
      <c r="AX48" s="7"/>
      <c r="AY48" s="7"/>
      <c r="AZ48" s="7">
        <v>8</v>
      </c>
      <c r="BA48" s="7">
        <v>4639</v>
      </c>
      <c r="BB48" s="7">
        <v>3</v>
      </c>
      <c r="BC48" s="7">
        <v>627</v>
      </c>
      <c r="BD48" s="7"/>
      <c r="BE48" s="7"/>
      <c r="BF48" s="7"/>
      <c r="BG48" s="7"/>
      <c r="BH48" s="7"/>
      <c r="BI48" s="7"/>
      <c r="BJ48" s="7"/>
      <c r="BK48" s="7"/>
      <c r="BL48" s="7"/>
      <c r="BM48" s="7"/>
      <c r="BN48" s="7"/>
      <c r="BO48" s="7"/>
      <c r="BP48" s="7">
        <v>12</v>
      </c>
      <c r="BQ48" s="7">
        <v>537</v>
      </c>
      <c r="BR48" s="7">
        <v>7</v>
      </c>
      <c r="BS48" s="7">
        <v>410</v>
      </c>
      <c r="BT48" s="7"/>
      <c r="BU48" s="7"/>
      <c r="BV48" s="7">
        <v>10</v>
      </c>
      <c r="BW48" s="7">
        <v>405</v>
      </c>
      <c r="BX48" s="7">
        <v>7</v>
      </c>
      <c r="BY48" s="7">
        <v>199</v>
      </c>
      <c r="BZ48" s="7"/>
      <c r="CA48" s="7"/>
      <c r="CB48" s="7"/>
      <c r="CC48" s="7"/>
      <c r="CD48" s="7">
        <v>3</v>
      </c>
      <c r="CE48" s="7">
        <v>80</v>
      </c>
      <c r="CF48" s="7">
        <v>2</v>
      </c>
      <c r="CG48" s="7">
        <v>70</v>
      </c>
      <c r="CH48" s="7"/>
      <c r="CI48" s="7"/>
      <c r="CJ48" s="8">
        <v>121</v>
      </c>
      <c r="CK48" s="8">
        <v>17070</v>
      </c>
      <c r="CL48" s="9"/>
      <c r="CM48" s="9"/>
      <c r="CN48" s="9"/>
      <c r="CO48" s="9"/>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row>
    <row r="49" spans="1:210">
      <c r="A49" s="5" t="s">
        <v>88</v>
      </c>
      <c r="B49" s="6"/>
      <c r="C49" s="6"/>
      <c r="D49" s="7"/>
      <c r="E49" s="7"/>
      <c r="F49" s="7"/>
      <c r="G49" s="7"/>
      <c r="H49" s="7"/>
      <c r="I49" s="7"/>
      <c r="J49" s="7"/>
      <c r="K49" s="7"/>
      <c r="L49" s="7">
        <v>4</v>
      </c>
      <c r="M49" s="7">
        <v>80</v>
      </c>
      <c r="N49" s="7">
        <v>3</v>
      </c>
      <c r="O49" s="7">
        <v>38</v>
      </c>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8">
        <v>7</v>
      </c>
      <c r="CK49" s="8">
        <v>118</v>
      </c>
      <c r="CL49" s="9"/>
      <c r="CM49" s="9"/>
      <c r="CN49" s="9"/>
      <c r="CO49" s="9"/>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row>
    <row r="50" spans="1:210">
      <c r="A50" s="5" t="s">
        <v>89</v>
      </c>
      <c r="B50" s="6"/>
      <c r="C50" s="6"/>
      <c r="D50" s="7"/>
      <c r="E50" s="7"/>
      <c r="F50" s="7"/>
      <c r="G50" s="7"/>
      <c r="H50" s="7"/>
      <c r="I50" s="7"/>
      <c r="J50" s="7"/>
      <c r="K50" s="7"/>
      <c r="L50" s="7">
        <v>2</v>
      </c>
      <c r="M50" s="7">
        <v>26</v>
      </c>
      <c r="N50" s="7">
        <v>1</v>
      </c>
      <c r="O50" s="7">
        <v>4</v>
      </c>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8">
        <v>3</v>
      </c>
      <c r="CK50" s="8">
        <v>30</v>
      </c>
      <c r="CL50" s="9"/>
      <c r="CM50" s="9"/>
      <c r="CN50" s="9"/>
      <c r="CO50" s="9"/>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row>
    <row r="51" spans="1:210">
      <c r="A51" s="5" t="s">
        <v>90</v>
      </c>
      <c r="B51" s="6">
        <v>8</v>
      </c>
      <c r="C51" s="6">
        <v>254</v>
      </c>
      <c r="D51" s="7">
        <v>2</v>
      </c>
      <c r="E51" s="7">
        <v>72</v>
      </c>
      <c r="F51" s="7">
        <v>4</v>
      </c>
      <c r="G51" s="7">
        <v>116</v>
      </c>
      <c r="H51" s="7"/>
      <c r="I51" s="7"/>
      <c r="J51" s="7">
        <v>1</v>
      </c>
      <c r="K51" s="7">
        <v>18</v>
      </c>
      <c r="L51" s="7">
        <v>4</v>
      </c>
      <c r="M51" s="7">
        <v>41</v>
      </c>
      <c r="N51" s="7"/>
      <c r="O51" s="7"/>
      <c r="P51" s="7"/>
      <c r="Q51" s="7"/>
      <c r="R51" s="7"/>
      <c r="S51" s="7"/>
      <c r="T51" s="7"/>
      <c r="U51" s="7"/>
      <c r="V51" s="7"/>
      <c r="W51" s="7"/>
      <c r="X51" s="7"/>
      <c r="Y51" s="7"/>
      <c r="Z51" s="7"/>
      <c r="AA51" s="7"/>
      <c r="AB51" s="7"/>
      <c r="AC51" s="7"/>
      <c r="AD51" s="7">
        <v>1</v>
      </c>
      <c r="AE51" s="7">
        <v>175</v>
      </c>
      <c r="AF51" s="7">
        <v>6</v>
      </c>
      <c r="AG51" s="7">
        <v>1535</v>
      </c>
      <c r="AH51" s="7">
        <v>5</v>
      </c>
      <c r="AI51" s="7">
        <v>1332</v>
      </c>
      <c r="AJ51" s="7"/>
      <c r="AK51" s="7"/>
      <c r="AL51" s="7"/>
      <c r="AM51" s="7"/>
      <c r="AN51" s="7"/>
      <c r="AO51" s="7"/>
      <c r="AP51" s="7"/>
      <c r="AQ51" s="7"/>
      <c r="AR51" s="7"/>
      <c r="AS51" s="7"/>
      <c r="AT51" s="7"/>
      <c r="AU51" s="7"/>
      <c r="AV51" s="7"/>
      <c r="AW51" s="7"/>
      <c r="AX51" s="7"/>
      <c r="AY51" s="7"/>
      <c r="AZ51" s="7"/>
      <c r="BA51" s="7"/>
      <c r="BB51" s="7">
        <v>1</v>
      </c>
      <c r="BC51" s="7">
        <v>156</v>
      </c>
      <c r="BD51" s="7"/>
      <c r="BE51" s="7"/>
      <c r="BF51" s="7"/>
      <c r="BG51" s="7"/>
      <c r="BH51" s="7"/>
      <c r="BI51" s="7"/>
      <c r="BJ51" s="7"/>
      <c r="BK51" s="7"/>
      <c r="BL51" s="7"/>
      <c r="BM51" s="7"/>
      <c r="BN51" s="7"/>
      <c r="BO51" s="7"/>
      <c r="BP51" s="7">
        <v>4</v>
      </c>
      <c r="BQ51" s="7">
        <v>114</v>
      </c>
      <c r="BR51" s="7">
        <v>2</v>
      </c>
      <c r="BS51" s="7">
        <v>42</v>
      </c>
      <c r="BT51" s="7"/>
      <c r="BU51" s="7"/>
      <c r="BV51" s="7"/>
      <c r="BW51" s="7"/>
      <c r="BX51" s="7"/>
      <c r="BY51" s="7"/>
      <c r="BZ51" s="7">
        <v>1</v>
      </c>
      <c r="CA51" s="7">
        <v>54</v>
      </c>
      <c r="CB51" s="7"/>
      <c r="CC51" s="7"/>
      <c r="CD51" s="7"/>
      <c r="CE51" s="7"/>
      <c r="CF51" s="7"/>
      <c r="CG51" s="7"/>
      <c r="CH51" s="7"/>
      <c r="CI51" s="7"/>
      <c r="CJ51" s="8">
        <v>39</v>
      </c>
      <c r="CK51" s="8">
        <v>3909</v>
      </c>
      <c r="CL51" s="9"/>
      <c r="CM51" s="9"/>
      <c r="CN51" s="9"/>
      <c r="CO51" s="9"/>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row>
    <row r="52" spans="1:210">
      <c r="A52" s="5" t="s">
        <v>91</v>
      </c>
      <c r="B52" s="6"/>
      <c r="C52" s="6"/>
      <c r="D52" s="7"/>
      <c r="E52" s="7"/>
      <c r="F52" s="7"/>
      <c r="G52" s="7"/>
      <c r="H52" s="7"/>
      <c r="I52" s="7"/>
      <c r="J52" s="7"/>
      <c r="K52" s="7"/>
      <c r="L52" s="7"/>
      <c r="M52" s="7"/>
      <c r="N52" s="7">
        <v>3</v>
      </c>
      <c r="O52" s="7">
        <v>34</v>
      </c>
      <c r="P52" s="7"/>
      <c r="Q52" s="7"/>
      <c r="R52" s="7"/>
      <c r="S52" s="7"/>
      <c r="T52" s="7"/>
      <c r="U52" s="7"/>
      <c r="V52" s="7"/>
      <c r="W52" s="7"/>
      <c r="X52" s="7"/>
      <c r="Y52" s="7"/>
      <c r="Z52" s="7"/>
      <c r="AA52" s="7"/>
      <c r="AB52" s="7"/>
      <c r="AC52" s="7"/>
      <c r="AD52" s="7"/>
      <c r="AE52" s="7"/>
      <c r="AF52" s="7">
        <v>1</v>
      </c>
      <c r="AG52" s="7">
        <v>12</v>
      </c>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8">
        <v>4</v>
      </c>
      <c r="CK52" s="8">
        <v>46</v>
      </c>
      <c r="CL52" s="9"/>
      <c r="CM52" s="9"/>
      <c r="CN52" s="9"/>
      <c r="CO52" s="9"/>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row>
    <row r="53" spans="1:210">
      <c r="A53" s="5" t="s">
        <v>92</v>
      </c>
      <c r="B53" s="6">
        <v>2</v>
      </c>
      <c r="C53" s="6">
        <v>18</v>
      </c>
      <c r="D53" s="7"/>
      <c r="E53" s="7"/>
      <c r="F53" s="7"/>
      <c r="G53" s="7"/>
      <c r="H53" s="7"/>
      <c r="I53" s="7"/>
      <c r="J53" s="7">
        <v>1</v>
      </c>
      <c r="K53" s="7">
        <v>16</v>
      </c>
      <c r="L53" s="7">
        <v>6</v>
      </c>
      <c r="M53" s="7">
        <v>81</v>
      </c>
      <c r="N53" s="7">
        <v>3</v>
      </c>
      <c r="O53" s="7">
        <v>38</v>
      </c>
      <c r="P53" s="7"/>
      <c r="Q53" s="7"/>
      <c r="R53" s="7"/>
      <c r="S53" s="7"/>
      <c r="T53" s="7"/>
      <c r="U53" s="7"/>
      <c r="V53" s="7"/>
      <c r="W53" s="7"/>
      <c r="X53" s="7"/>
      <c r="Y53" s="7"/>
      <c r="Z53" s="7"/>
      <c r="AA53" s="7"/>
      <c r="AB53" s="7">
        <v>1</v>
      </c>
      <c r="AC53" s="7">
        <v>63</v>
      </c>
      <c r="AD53" s="7">
        <v>6</v>
      </c>
      <c r="AE53" s="7">
        <v>809</v>
      </c>
      <c r="AF53" s="7">
        <v>4</v>
      </c>
      <c r="AG53" s="7">
        <v>1005</v>
      </c>
      <c r="AH53" s="7">
        <v>1</v>
      </c>
      <c r="AI53" s="7">
        <v>49</v>
      </c>
      <c r="AJ53" s="7">
        <v>1</v>
      </c>
      <c r="AK53" s="7">
        <v>74</v>
      </c>
      <c r="AL53" s="7"/>
      <c r="AM53" s="7"/>
      <c r="AN53" s="7"/>
      <c r="AO53" s="7"/>
      <c r="AP53" s="7">
        <v>1</v>
      </c>
      <c r="AQ53" s="7">
        <v>122</v>
      </c>
      <c r="AR53" s="7"/>
      <c r="AS53" s="7"/>
      <c r="AT53" s="7"/>
      <c r="AU53" s="7"/>
      <c r="AV53" s="7"/>
      <c r="AW53" s="7"/>
      <c r="AX53" s="7"/>
      <c r="AY53" s="7"/>
      <c r="AZ53" s="7"/>
      <c r="BA53" s="7"/>
      <c r="BB53" s="7"/>
      <c r="BC53" s="7"/>
      <c r="BD53" s="7"/>
      <c r="BE53" s="7"/>
      <c r="BF53" s="7"/>
      <c r="BG53" s="7"/>
      <c r="BH53" s="7"/>
      <c r="BI53" s="7"/>
      <c r="BJ53" s="7"/>
      <c r="BK53" s="7"/>
      <c r="BL53" s="7"/>
      <c r="BM53" s="7"/>
      <c r="BN53" s="7"/>
      <c r="BO53" s="7"/>
      <c r="BP53" s="7">
        <v>4</v>
      </c>
      <c r="BQ53" s="7">
        <v>216</v>
      </c>
      <c r="BR53" s="7"/>
      <c r="BS53" s="7"/>
      <c r="BT53" s="7"/>
      <c r="BU53" s="7"/>
      <c r="BV53" s="7"/>
      <c r="BW53" s="7"/>
      <c r="BX53" s="7">
        <v>3</v>
      </c>
      <c r="BY53" s="7">
        <v>175</v>
      </c>
      <c r="BZ53" s="7"/>
      <c r="CA53" s="7"/>
      <c r="CB53" s="7"/>
      <c r="CC53" s="7"/>
      <c r="CD53" s="7">
        <v>1</v>
      </c>
      <c r="CE53" s="7">
        <v>15</v>
      </c>
      <c r="CF53" s="7"/>
      <c r="CG53" s="7"/>
      <c r="CH53" s="7"/>
      <c r="CI53" s="7"/>
      <c r="CJ53" s="8">
        <v>34</v>
      </c>
      <c r="CK53" s="8">
        <v>2681</v>
      </c>
      <c r="CL53" s="9"/>
      <c r="CM53" s="9"/>
      <c r="CN53" s="9"/>
      <c r="CO53" s="9"/>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row>
    <row r="54" spans="1:210">
      <c r="A54" s="5" t="s">
        <v>93</v>
      </c>
      <c r="B54" s="6">
        <v>24</v>
      </c>
      <c r="C54" s="6">
        <v>1526</v>
      </c>
      <c r="D54" s="6">
        <v>7</v>
      </c>
      <c r="E54" s="6">
        <v>1026</v>
      </c>
      <c r="F54" s="6">
        <v>9</v>
      </c>
      <c r="G54" s="6">
        <v>1043</v>
      </c>
      <c r="H54" s="6"/>
      <c r="I54" s="6"/>
      <c r="J54" s="6"/>
      <c r="K54" s="6"/>
      <c r="L54" s="6">
        <v>2</v>
      </c>
      <c r="M54" s="6">
        <v>40</v>
      </c>
      <c r="N54" s="6"/>
      <c r="O54" s="6"/>
      <c r="P54" s="6"/>
      <c r="Q54" s="6"/>
      <c r="R54" s="6"/>
      <c r="S54" s="6"/>
      <c r="T54" s="6"/>
      <c r="U54" s="6"/>
      <c r="V54" s="6"/>
      <c r="W54" s="6"/>
      <c r="X54" s="6"/>
      <c r="Y54" s="6"/>
      <c r="Z54" s="6"/>
      <c r="AA54" s="6"/>
      <c r="AB54" s="6">
        <v>4</v>
      </c>
      <c r="AC54" s="6">
        <v>680</v>
      </c>
      <c r="AD54" s="6">
        <v>4</v>
      </c>
      <c r="AE54" s="6">
        <v>660</v>
      </c>
      <c r="AF54" s="6">
        <v>11</v>
      </c>
      <c r="AG54" s="6">
        <v>1951</v>
      </c>
      <c r="AH54" s="6">
        <v>3</v>
      </c>
      <c r="AI54" s="6">
        <v>985</v>
      </c>
      <c r="AJ54" s="6"/>
      <c r="AK54" s="6"/>
      <c r="AL54" s="6"/>
      <c r="AM54" s="6"/>
      <c r="AN54" s="6"/>
      <c r="AO54" s="6"/>
      <c r="AP54" s="6"/>
      <c r="AQ54" s="6"/>
      <c r="AR54" s="6"/>
      <c r="AS54" s="6"/>
      <c r="AT54" s="6"/>
      <c r="AU54" s="6"/>
      <c r="AV54" s="6"/>
      <c r="AW54" s="6"/>
      <c r="AX54" s="6">
        <v>1</v>
      </c>
      <c r="AY54" s="6">
        <v>490</v>
      </c>
      <c r="AZ54" s="6">
        <v>3</v>
      </c>
      <c r="BA54" s="6">
        <v>935</v>
      </c>
      <c r="BB54" s="6">
        <v>7</v>
      </c>
      <c r="BC54" s="6">
        <v>2008</v>
      </c>
      <c r="BD54" s="6"/>
      <c r="BE54" s="6"/>
      <c r="BF54" s="6"/>
      <c r="BG54" s="6"/>
      <c r="BH54" s="6"/>
      <c r="BI54" s="6"/>
      <c r="BJ54" s="6"/>
      <c r="BK54" s="6"/>
      <c r="BL54" s="6"/>
      <c r="BM54" s="6"/>
      <c r="BN54" s="6"/>
      <c r="BO54" s="6"/>
      <c r="BP54" s="6">
        <v>1</v>
      </c>
      <c r="BQ54" s="6">
        <v>49</v>
      </c>
      <c r="BR54" s="6">
        <v>2</v>
      </c>
      <c r="BS54" s="6">
        <v>164</v>
      </c>
      <c r="BT54" s="6"/>
      <c r="BU54" s="6"/>
      <c r="BV54" s="6">
        <v>5</v>
      </c>
      <c r="BW54" s="6">
        <v>193</v>
      </c>
      <c r="BX54" s="6">
        <v>2</v>
      </c>
      <c r="BY54" s="6">
        <v>114</v>
      </c>
      <c r="BZ54" s="6"/>
      <c r="CA54" s="6"/>
      <c r="CB54" s="6"/>
      <c r="CC54" s="6"/>
      <c r="CD54" s="6">
        <v>2</v>
      </c>
      <c r="CE54" s="6">
        <v>40</v>
      </c>
      <c r="CF54" s="6">
        <v>1</v>
      </c>
      <c r="CG54" s="6">
        <v>18</v>
      </c>
      <c r="CH54" s="6"/>
      <c r="CI54" s="6"/>
      <c r="CJ54" s="8">
        <v>88</v>
      </c>
      <c r="CK54" s="8">
        <v>11922</v>
      </c>
      <c r="CL54" s="9"/>
      <c r="CM54" s="9"/>
      <c r="CN54" s="9"/>
      <c r="CO54" s="9"/>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row>
    <row r="55" spans="1:210">
      <c r="A55" s="5" t="s">
        <v>94</v>
      </c>
      <c r="B55" s="6"/>
      <c r="C55" s="6"/>
      <c r="D55" s="6"/>
      <c r="E55" s="6"/>
      <c r="F55" s="6"/>
      <c r="G55" s="6"/>
      <c r="H55" s="6"/>
      <c r="I55" s="6"/>
      <c r="J55" s="6">
        <v>1</v>
      </c>
      <c r="K55" s="6">
        <v>32</v>
      </c>
      <c r="L55" s="6">
        <v>3</v>
      </c>
      <c r="M55" s="6">
        <v>59</v>
      </c>
      <c r="N55" s="6">
        <v>1</v>
      </c>
      <c r="O55" s="6">
        <v>16</v>
      </c>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v>1</v>
      </c>
      <c r="AY55" s="6">
        <v>110</v>
      </c>
      <c r="AZ55" s="6"/>
      <c r="BA55" s="6"/>
      <c r="BB55" s="6"/>
      <c r="BC55" s="6"/>
      <c r="BD55" s="6"/>
      <c r="BE55" s="6"/>
      <c r="BF55" s="6"/>
      <c r="BG55" s="6"/>
      <c r="BH55" s="6"/>
      <c r="BI55" s="6"/>
      <c r="BJ55" s="6"/>
      <c r="BK55" s="6"/>
      <c r="BL55" s="6"/>
      <c r="BM55" s="6"/>
      <c r="BN55" s="6"/>
      <c r="BO55" s="6"/>
      <c r="BP55" s="6">
        <v>1</v>
      </c>
      <c r="BQ55" s="6">
        <v>16</v>
      </c>
      <c r="BR55" s="6"/>
      <c r="BS55" s="6"/>
      <c r="BT55" s="6"/>
      <c r="BU55" s="6"/>
      <c r="BV55" s="6"/>
      <c r="BW55" s="6"/>
      <c r="BX55" s="6"/>
      <c r="BY55" s="6"/>
      <c r="BZ55" s="6"/>
      <c r="CA55" s="6"/>
      <c r="CB55" s="6"/>
      <c r="CC55" s="6"/>
      <c r="CD55" s="6"/>
      <c r="CE55" s="6"/>
      <c r="CF55" s="6"/>
      <c r="CG55" s="6"/>
      <c r="CH55" s="6"/>
      <c r="CI55" s="6"/>
      <c r="CJ55" s="8">
        <v>7</v>
      </c>
      <c r="CK55" s="8">
        <v>233</v>
      </c>
      <c r="CL55" s="9"/>
      <c r="CM55" s="9"/>
      <c r="CN55" s="9"/>
      <c r="CO55" s="9"/>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row>
    <row r="56" spans="1:210">
      <c r="A56" s="5" t="s">
        <v>95</v>
      </c>
      <c r="B56" s="6"/>
      <c r="C56" s="6"/>
      <c r="D56" s="6"/>
      <c r="E56" s="6"/>
      <c r="F56" s="6"/>
      <c r="G56" s="6"/>
      <c r="H56" s="6"/>
      <c r="I56" s="6"/>
      <c r="J56" s="6"/>
      <c r="K56" s="6"/>
      <c r="L56" s="6">
        <v>1</v>
      </c>
      <c r="M56" s="6">
        <v>20</v>
      </c>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8">
        <v>1</v>
      </c>
      <c r="CK56" s="8">
        <v>20</v>
      </c>
      <c r="CL56" s="9"/>
      <c r="CM56" s="9"/>
      <c r="CN56" s="9"/>
      <c r="CO56" s="9"/>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row>
    <row r="57" spans="1:210">
      <c r="A57" s="11" t="s">
        <v>96</v>
      </c>
      <c r="B57" s="12">
        <v>146</v>
      </c>
      <c r="C57" s="12">
        <v>8999</v>
      </c>
      <c r="D57" s="12">
        <v>152</v>
      </c>
      <c r="E57" s="12">
        <v>19169</v>
      </c>
      <c r="F57" s="12">
        <v>119</v>
      </c>
      <c r="G57" s="12">
        <v>22238</v>
      </c>
      <c r="H57" s="12">
        <v>5</v>
      </c>
      <c r="I57" s="12">
        <v>951</v>
      </c>
      <c r="J57" s="12">
        <v>21</v>
      </c>
      <c r="K57" s="12">
        <v>769</v>
      </c>
      <c r="L57" s="12">
        <v>122</v>
      </c>
      <c r="M57" s="12">
        <v>1623</v>
      </c>
      <c r="N57" s="12">
        <v>37</v>
      </c>
      <c r="O57" s="12">
        <v>454</v>
      </c>
      <c r="P57" s="12">
        <v>1</v>
      </c>
      <c r="Q57" s="12">
        <v>500</v>
      </c>
      <c r="R57" s="12"/>
      <c r="S57" s="12"/>
      <c r="T57" s="12"/>
      <c r="U57" s="12"/>
      <c r="V57" s="12"/>
      <c r="W57" s="12"/>
      <c r="X57" s="12">
        <v>1</v>
      </c>
      <c r="Y57" s="12">
        <v>660</v>
      </c>
      <c r="Z57" s="12">
        <v>3</v>
      </c>
      <c r="AA57" s="12">
        <v>2244</v>
      </c>
      <c r="AB57" s="12">
        <v>37</v>
      </c>
      <c r="AC57" s="12">
        <v>4053</v>
      </c>
      <c r="AD57" s="12">
        <v>76</v>
      </c>
      <c r="AE57" s="12">
        <v>13776</v>
      </c>
      <c r="AF57" s="12">
        <v>294</v>
      </c>
      <c r="AG57" s="12">
        <v>88277</v>
      </c>
      <c r="AH57" s="12">
        <v>128</v>
      </c>
      <c r="AI57" s="12">
        <v>39349</v>
      </c>
      <c r="AJ57" s="12">
        <v>21</v>
      </c>
      <c r="AK57" s="12">
        <v>4505</v>
      </c>
      <c r="AL57" s="12">
        <v>5</v>
      </c>
      <c r="AM57" s="12">
        <v>229</v>
      </c>
      <c r="AN57" s="12">
        <v>3</v>
      </c>
      <c r="AO57" s="12">
        <v>228</v>
      </c>
      <c r="AP57" s="12">
        <v>4</v>
      </c>
      <c r="AQ57" s="12">
        <v>373</v>
      </c>
      <c r="AR57" s="12">
        <v>1</v>
      </c>
      <c r="AS57" s="12">
        <v>33</v>
      </c>
      <c r="AT57" s="12"/>
      <c r="AU57" s="12"/>
      <c r="AV57" s="12">
        <v>2</v>
      </c>
      <c r="AW57" s="12">
        <v>106</v>
      </c>
      <c r="AX57" s="12">
        <v>10</v>
      </c>
      <c r="AY57" s="12">
        <v>1955</v>
      </c>
      <c r="AZ57" s="12">
        <v>89</v>
      </c>
      <c r="BA57" s="12">
        <v>39804</v>
      </c>
      <c r="BB57" s="12">
        <v>56</v>
      </c>
      <c r="BC57" s="12">
        <v>23251</v>
      </c>
      <c r="BD57" s="12">
        <v>1</v>
      </c>
      <c r="BE57" s="12">
        <v>218</v>
      </c>
      <c r="BF57" s="12">
        <v>1</v>
      </c>
      <c r="BG57" s="12">
        <v>216</v>
      </c>
      <c r="BH57" s="12"/>
      <c r="BI57" s="12"/>
      <c r="BJ57" s="12"/>
      <c r="BK57" s="12"/>
      <c r="BL57" s="12"/>
      <c r="BM57" s="12"/>
      <c r="BN57" s="12"/>
      <c r="BO57" s="12"/>
      <c r="BP57" s="12">
        <v>60</v>
      </c>
      <c r="BQ57" s="12">
        <v>3394</v>
      </c>
      <c r="BR57" s="12">
        <v>39</v>
      </c>
      <c r="BS57" s="12">
        <v>2289</v>
      </c>
      <c r="BT57" s="12">
        <v>7</v>
      </c>
      <c r="BU57" s="12">
        <v>534</v>
      </c>
      <c r="BV57" s="12">
        <v>72</v>
      </c>
      <c r="BW57" s="12">
        <v>2871</v>
      </c>
      <c r="BX57" s="12">
        <v>39</v>
      </c>
      <c r="BY57" s="12">
        <v>1642</v>
      </c>
      <c r="BZ57" s="12">
        <v>3</v>
      </c>
      <c r="CA57" s="12">
        <v>140</v>
      </c>
      <c r="CB57" s="12"/>
      <c r="CC57" s="12"/>
      <c r="CD57" s="12">
        <v>21</v>
      </c>
      <c r="CE57" s="12">
        <v>601</v>
      </c>
      <c r="CF57" s="12">
        <v>9</v>
      </c>
      <c r="CG57" s="12">
        <v>244</v>
      </c>
      <c r="CH57" s="12">
        <v>1</v>
      </c>
      <c r="CI57" s="12">
        <v>23</v>
      </c>
      <c r="CJ57" s="12">
        <v>1586</v>
      </c>
      <c r="CK57" s="12">
        <v>285718</v>
      </c>
      <c r="CL57" s="9"/>
      <c r="CM57" s="9"/>
      <c r="CN57" s="9"/>
      <c r="CO57" s="9"/>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row>
  </sheetData>
  <sheetProtection password="C668" sheet="1"/>
  <mergeCells count="45">
    <mergeCell ref="V6:W6"/>
    <mergeCell ref="A6:A8"/>
    <mergeCell ref="B6:C6"/>
    <mergeCell ref="D6:E6"/>
    <mergeCell ref="F6:G6"/>
    <mergeCell ref="H6:I6"/>
    <mergeCell ref="J6:K6"/>
    <mergeCell ref="L6:M6"/>
    <mergeCell ref="N6:O6"/>
    <mergeCell ref="P6:Q6"/>
    <mergeCell ref="R6:S6"/>
    <mergeCell ref="T6:U6"/>
    <mergeCell ref="AT6:AU6"/>
    <mergeCell ref="X6:Y6"/>
    <mergeCell ref="Z6:AA6"/>
    <mergeCell ref="AB6:AC6"/>
    <mergeCell ref="AD6:AE6"/>
    <mergeCell ref="AF6:AG6"/>
    <mergeCell ref="AH6:AI6"/>
    <mergeCell ref="AJ6:AK6"/>
    <mergeCell ref="AL6:AM6"/>
    <mergeCell ref="AN6:AO6"/>
    <mergeCell ref="AP6:AQ6"/>
    <mergeCell ref="AR6:AS6"/>
    <mergeCell ref="BR6:BS6"/>
    <mergeCell ref="AV6:AW6"/>
    <mergeCell ref="AX6:AY6"/>
    <mergeCell ref="AZ6:BA6"/>
    <mergeCell ref="BB6:BC6"/>
    <mergeCell ref="BD6:BE6"/>
    <mergeCell ref="BF6:BG6"/>
    <mergeCell ref="BH6:BI6"/>
    <mergeCell ref="BJ6:BK6"/>
    <mergeCell ref="BL6:BM6"/>
    <mergeCell ref="BN6:BO6"/>
    <mergeCell ref="BP6:BQ6"/>
    <mergeCell ref="CF6:CG6"/>
    <mergeCell ref="CH6:CI6"/>
    <mergeCell ref="CJ6:CK6"/>
    <mergeCell ref="BT6:BU6"/>
    <mergeCell ref="BV6:BW6"/>
    <mergeCell ref="BX6:BY6"/>
    <mergeCell ref="BZ6:CA6"/>
    <mergeCell ref="CB6:CC6"/>
    <mergeCell ref="CD6:CE6"/>
  </mergeCells>
  <conditionalFormatting sqref="A9:CK56">
    <cfRule type="expression" dxfId="0" priority="1" stopIfTrue="1">
      <formula>MOD(ROW(),2)=0</formula>
    </cfRule>
  </conditionalFormatting>
  <pageMargins left="0" right="0" top="0" bottom="0" header="0.31496062992125984" footer="0.31496062992125984"/>
  <pageSetup paperSize="8" scale="70" orientation="landscape" r:id="rId1"/>
  <colBreaks count="4" manualBreakCount="4">
    <brk id="19" max="1048575" man="1"/>
    <brk id="37" max="1048575" man="1"/>
    <brk id="55" max="1048575" man="1"/>
    <brk id="73"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6982DB4E2771447817F3727A6E2AB53" ma:contentTypeVersion="0" ma:contentTypeDescription="Crear nuevo documento." ma:contentTypeScope="" ma:versionID="d6cac393eb1ec33e1b29e9776c4e451b">
  <xsd:schema xmlns:xsd="http://www.w3.org/2001/XMLSchema" xmlns:xs="http://www.w3.org/2001/XMLSchema" xmlns:p="http://schemas.microsoft.com/office/2006/metadata/properties" targetNamespace="http://schemas.microsoft.com/office/2006/metadata/properties" ma:root="true" ma:fieldsID="3f6edc329ff236629c56e3b879b320d0">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544318-61A2-45CD-909D-27517F003B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206BB9C0-9D61-48F4-A49A-5653B06A79D3}">
  <ds:schemaRefs>
    <ds:schemaRef ds:uri="http://schemas.microsoft.com/office/infopath/2007/PartnerControls"/>
    <ds:schemaRef ds:uri="http://schemas.openxmlformats.org/package/2006/metadata/core-properties"/>
    <ds:schemaRef ds:uri="http://www.w3.org/XML/1998/namespace"/>
    <ds:schemaRef ds:uri="http://schemas.microsoft.com/office/2006/documentManagement/types"/>
    <ds:schemaRef ds:uri="http://schemas.microsoft.com/office/2006/metadata/properties"/>
    <ds:schemaRef ds:uri="http://purl.org/dc/elements/1.1/"/>
    <ds:schemaRef ds:uri="http://purl.org/dc/dcmitype/"/>
    <ds:schemaRef ds:uri="http://purl.org/dc/terms/"/>
  </ds:schemaRefs>
</ds:datastoreItem>
</file>

<file path=customXml/itemProps3.xml><?xml version="1.0" encoding="utf-8"?>
<ds:datastoreItem xmlns:ds="http://schemas.openxmlformats.org/officeDocument/2006/customXml" ds:itemID="{844A77AE-8D05-47F9-B8AA-CDACAAEC265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43</vt:i4>
      </vt:variant>
      <vt:variant>
        <vt:lpstr>Rangos con nombre</vt:lpstr>
      </vt:variant>
      <vt:variant>
        <vt:i4>25</vt:i4>
      </vt:variant>
    </vt:vector>
  </HeadingPairs>
  <TitlesOfParts>
    <vt:vector size="68" baseType="lpstr">
      <vt:lpstr>Índex (1)</vt:lpstr>
      <vt:lpstr>Índice (2)</vt:lpstr>
      <vt:lpstr>Table of contents (3)</vt:lpstr>
      <vt:lpstr>TotalAllotj_23 (4)</vt:lpstr>
      <vt:lpstr>Allotj.municipi_23 (5)</vt:lpstr>
      <vt:lpstr>TotalAllotj_22 (6)</vt:lpstr>
      <vt:lpstr>Allotj.municipi_22 (7)</vt:lpstr>
      <vt:lpstr>TotalAllotj_21 (8)</vt:lpstr>
      <vt:lpstr>Allotj.municipi_21 (9)</vt:lpstr>
      <vt:lpstr>TotalAllotj_20 (10)</vt:lpstr>
      <vt:lpstr>Allotj.municipi_20 (11)</vt:lpstr>
      <vt:lpstr>TotalAllotj_19 (12)</vt:lpstr>
      <vt:lpstr>Allotj.municipi_19 (13)</vt:lpstr>
      <vt:lpstr>TotalAllotj_18 (14)</vt:lpstr>
      <vt:lpstr>Allotj.municipi_18 (15)</vt:lpstr>
      <vt:lpstr>TotalAllotj_17 (16)</vt:lpstr>
      <vt:lpstr>Allotj.municipi_17 (17)</vt:lpstr>
      <vt:lpstr>TotalAllotj_16 (18)</vt:lpstr>
      <vt:lpstr>Allotj.municipi_16 (19)</vt:lpstr>
      <vt:lpstr>TotalAllotj_15 (20)</vt:lpstr>
      <vt:lpstr>Allotj.municipi_15 (21)</vt:lpstr>
      <vt:lpstr>TotalAllotj_14 (22)</vt:lpstr>
      <vt:lpstr>Allotj.municipi_14 (23)</vt:lpstr>
      <vt:lpstr>TotalAllotj_13 (24)</vt:lpstr>
      <vt:lpstr>Allotj.municipi_13 (25)</vt:lpstr>
      <vt:lpstr>TotalAllotj_12 (26)</vt:lpstr>
      <vt:lpstr>Allotj.municipi_12 (27)</vt:lpstr>
      <vt:lpstr>TotalAllotj_11 (28)</vt:lpstr>
      <vt:lpstr>Allotj.municipi_11 (29)</vt:lpstr>
      <vt:lpstr>TotalAllotj_10 (30)</vt:lpstr>
      <vt:lpstr>Allotj.municipi_10 (31)</vt:lpstr>
      <vt:lpstr>TotalAllotj_09 (32)</vt:lpstr>
      <vt:lpstr>Allotj.municipi_09 (33)</vt:lpstr>
      <vt:lpstr>TotalAllotj_08 (34)</vt:lpstr>
      <vt:lpstr>Allotj.municipi_08 (35)</vt:lpstr>
      <vt:lpstr>TotalAllotj_07 (36)</vt:lpstr>
      <vt:lpstr>Allotj.municipi_07 (37)</vt:lpstr>
      <vt:lpstr>TotalAllotj_06 (38)</vt:lpstr>
      <vt:lpstr>Allotj.municipi_06 (39)</vt:lpstr>
      <vt:lpstr>TotalAllotj_05 (40)</vt:lpstr>
      <vt:lpstr>Allotj.municipi_05 (41)</vt:lpstr>
      <vt:lpstr>TotalAllotj_04 (42)</vt:lpstr>
      <vt:lpstr>Allotj.municipi_04 (43)</vt:lpstr>
      <vt:lpstr>'Allotj.municipi_09 (33)'!Área_de_impresión</vt:lpstr>
      <vt:lpstr>'Allotj.municipi_16 (19)'!Área_de_impresión</vt:lpstr>
      <vt:lpstr>'Índex (1)'!Área_de_impresión</vt:lpstr>
      <vt:lpstr>'Índice (2)'!Área_de_impresión</vt:lpstr>
      <vt:lpstr>'Table of contents (3)'!Área_de_impresión</vt:lpstr>
      <vt:lpstr>'Allotj.municipi_04 (43)'!Títulos_a_imprimir</vt:lpstr>
      <vt:lpstr>'Allotj.municipi_05 (41)'!Títulos_a_imprimir</vt:lpstr>
      <vt:lpstr>'Allotj.municipi_06 (39)'!Títulos_a_imprimir</vt:lpstr>
      <vt:lpstr>'Allotj.municipi_07 (37)'!Títulos_a_imprimir</vt:lpstr>
      <vt:lpstr>'Allotj.municipi_08 (35)'!Títulos_a_imprimir</vt:lpstr>
      <vt:lpstr>'Allotj.municipi_09 (33)'!Títulos_a_imprimir</vt:lpstr>
      <vt:lpstr>'Allotj.municipi_10 (31)'!Títulos_a_imprimir</vt:lpstr>
      <vt:lpstr>'Allotj.municipi_11 (29)'!Títulos_a_imprimir</vt:lpstr>
      <vt:lpstr>'Allotj.municipi_12 (27)'!Títulos_a_imprimir</vt:lpstr>
      <vt:lpstr>'Allotj.municipi_13 (25)'!Títulos_a_imprimir</vt:lpstr>
      <vt:lpstr>'Allotj.municipi_14 (23)'!Títulos_a_imprimir</vt:lpstr>
      <vt:lpstr>'Allotj.municipi_15 (21)'!Títulos_a_imprimir</vt:lpstr>
      <vt:lpstr>'Allotj.municipi_16 (19)'!Títulos_a_imprimir</vt:lpstr>
      <vt:lpstr>'Allotj.municipi_17 (17)'!Títulos_a_imprimir</vt:lpstr>
      <vt:lpstr>'Allotj.municipi_18 (15)'!Títulos_a_imprimir</vt:lpstr>
      <vt:lpstr>'Allotj.municipi_19 (13)'!Títulos_a_imprimir</vt:lpstr>
      <vt:lpstr>'Allotj.municipi_20 (11)'!Títulos_a_imprimir</vt:lpstr>
      <vt:lpstr>'Allotj.municipi_21 (9)'!Títulos_a_imprimir</vt:lpstr>
      <vt:lpstr>'Allotj.municipi_22 (7)'!Títulos_a_imprimir</vt:lpstr>
      <vt:lpstr>'Allotj.municipi_23 (5)'!Títulos_a_imprimir</vt:lpstr>
    </vt:vector>
  </TitlesOfParts>
  <Company>Govern de les Illes Balears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u81559</dc:creator>
  <cp:lastModifiedBy>aetib\alicia.cau</cp:lastModifiedBy>
  <cp:lastPrinted>2022-07-27T11:44:54Z</cp:lastPrinted>
  <dcterms:created xsi:type="dcterms:W3CDTF">2014-02-25T09:52:49Z</dcterms:created>
  <dcterms:modified xsi:type="dcterms:W3CDTF">2024-07-04T07:55:28Z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0x01010046982DB4E2771447817F3727A6E2AB53</vt:lpwstr>
  </property>
</Properties>
</file>