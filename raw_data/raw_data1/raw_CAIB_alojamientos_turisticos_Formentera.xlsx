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idinet.illesbalears.travel/Idinet/Estadistica/ESTADISTICA/Allotj i restaur/2023/"/>
    </mc:Choice>
  </mc:AlternateContent>
  <xr:revisionPtr revIDLastSave="0" documentId="13_ncr:1_{F8A195FD-8C7E-43A2-AE4A-31E812219FED}" xr6:coauthVersionLast="47" xr6:coauthVersionMax="47" xr10:uidLastSave="{00000000-0000-0000-0000-000000000000}"/>
  <workbookProtection workbookAlgorithmName="SHA-512" workbookHashValue="FtK+gxa44SOuv+hMdLzfiLJfTAh4c8bV/Wd5oX4qQRyEO3xtl8GaztlQwiIe6Izb6miFvYyvPDy7X3rj47oOIQ==" workbookSaltValue="dWRT4nK4+lqUhAhGGP4uhQ==" workbookSpinCount="100000" lockStructure="1"/>
  <bookViews>
    <workbookView xWindow="-120" yWindow="-120" windowWidth="29040" windowHeight="15720" xr2:uid="{00000000-000D-0000-FFFF-FFFF00000000}"/>
  </bookViews>
  <sheets>
    <sheet name="Índex (1)" sheetId="1" r:id="rId1"/>
    <sheet name="Índice (2)" sheetId="2" r:id="rId2"/>
    <sheet name="Table of contents (3)" sheetId="3" r:id="rId3"/>
    <sheet name="TotalAllotj_23 (4)" sheetId="24" r:id="rId4"/>
    <sheet name="TotalAllotj_22 (5)" sheetId="23" r:id="rId5"/>
    <sheet name="TotalAllotj_21 (6)" sheetId="22" r:id="rId6"/>
    <sheet name="TotalAllotj_20 (7)" sheetId="21" r:id="rId7"/>
    <sheet name="TotalAllotj_19 (8)" sheetId="19" r:id="rId8"/>
    <sheet name="TotalAllotj_18 (9)" sheetId="4" r:id="rId9"/>
    <sheet name="TotalAllotj_17 (10)" sheetId="5" r:id="rId10"/>
    <sheet name="TotalAllotj_16 (11)" sheetId="6" r:id="rId11"/>
    <sheet name="TotalAllotj_15 (12)" sheetId="7" r:id="rId12"/>
    <sheet name="TotalAllotj_14 (13)" sheetId="8" r:id="rId13"/>
    <sheet name="TotalAllotj_13 (14)" sheetId="9" r:id="rId14"/>
    <sheet name="TotalAllotj_12 (15)" sheetId="10" r:id="rId15"/>
    <sheet name="TotalAllotj_11 (16)" sheetId="11" r:id="rId16"/>
    <sheet name="TotalAllotj_10 (17)" sheetId="12" r:id="rId17"/>
    <sheet name="TotalAllotj_09 (18)" sheetId="13" r:id="rId18"/>
    <sheet name="TotalAllotj_08 (19)" sheetId="14" r:id="rId19"/>
    <sheet name="TotalAllotj_07 (20)" sheetId="15" r:id="rId20"/>
    <sheet name="TotalAllotj_06 (21)" sheetId="16" r:id="rId21"/>
    <sheet name="TotalAllotj_05 (22)" sheetId="17" r:id="rId22"/>
    <sheet name="TotalAllotj_04 (23)" sheetId="18" r:id="rId23"/>
  </sheets>
  <definedNames>
    <definedName name="_xlnm.Print_Area" localSheetId="2">'Table of contents (3)'!$A$1:$K$97</definedName>
    <definedName name="_xlnm.Print_Area" localSheetId="16">'TotalAllotj_10 (17)'!$A$1:$M$44</definedName>
    <definedName name="_xlnm.Print_Area" localSheetId="15">'TotalAllotj_11 (16)'!$A$2:$M$45</definedName>
    <definedName name="_xlnm.Print_Area" localSheetId="12">'TotalAllotj_14 (13)'!$A$2:$M$48</definedName>
    <definedName name="_xlnm.Print_Area" localSheetId="11">'TotalAllotj_15 (12)'!$A$2:$M$48</definedName>
    <definedName name="_xlnm.Print_Area" localSheetId="10">'TotalAllotj_16 (11)'!$A$2:$M$48</definedName>
    <definedName name="_xlnm.Print_Area" localSheetId="9">'TotalAllotj_17 (10)'!$A$2:$M$48</definedName>
    <definedName name="_xlnm.Print_Area" localSheetId="8">'TotalAllotj_18 (9)'!$A$2:$M$48</definedName>
    <definedName name="_xlnm.Print_Area" localSheetId="7">'TotalAllotj_19 (8)'!$A$2:$M$48</definedName>
    <definedName name="_xlnm.Print_Area" localSheetId="6">'TotalAllotj_20 (7)'!$A$2:$M$48</definedName>
    <definedName name="_xlnm.Print_Area" localSheetId="5">'TotalAllotj_21 (6)'!$A$2:$M$48</definedName>
    <definedName name="_xlnm.Print_Area" localSheetId="4">'TotalAllotj_22 (5)'!$A$2:$M$48</definedName>
    <definedName name="_xlnm.Print_Area" localSheetId="3">'TotalAllotj_23 (4)'!$A$2:$M$48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24" l="1"/>
  <c r="F34" i="24"/>
  <c r="M33" i="24"/>
  <c r="F33" i="24"/>
  <c r="M32" i="24"/>
  <c r="F32" i="24"/>
  <c r="F31" i="24"/>
  <c r="F30" i="24"/>
  <c r="M29" i="24"/>
  <c r="F29" i="24"/>
  <c r="M28" i="24"/>
  <c r="M27" i="24"/>
  <c r="L42" i="24"/>
  <c r="K42" i="24"/>
  <c r="J42" i="24"/>
  <c r="F16" i="24"/>
  <c r="F15" i="24"/>
  <c r="F14" i="24"/>
  <c r="F13" i="24"/>
  <c r="F12" i="24"/>
  <c r="F14" i="23"/>
  <c r="E37" i="23"/>
  <c r="F33" i="23" s="1"/>
  <c r="D37" i="23"/>
  <c r="C37" i="23"/>
  <c r="L35" i="23"/>
  <c r="M32" i="23" s="1"/>
  <c r="K35" i="23"/>
  <c r="J35" i="23"/>
  <c r="M33" i="23"/>
  <c r="L30" i="23"/>
  <c r="M28" i="23" s="1"/>
  <c r="K30" i="23"/>
  <c r="J30" i="23"/>
  <c r="M29" i="23"/>
  <c r="E17" i="23"/>
  <c r="D17" i="23"/>
  <c r="C17" i="23"/>
  <c r="F15" i="23"/>
  <c r="M27" i="23" l="1"/>
  <c r="F11" i="24"/>
  <c r="K42" i="23"/>
  <c r="J42" i="23"/>
  <c r="L42" i="23"/>
  <c r="F30" i="23"/>
  <c r="F31" i="23"/>
  <c r="F11" i="23"/>
  <c r="F16" i="23"/>
  <c r="F12" i="23"/>
  <c r="F13" i="23"/>
  <c r="F32" i="23"/>
  <c r="F34" i="23"/>
  <c r="F29" i="23"/>
  <c r="F35" i="23"/>
  <c r="E37" i="22" l="1"/>
  <c r="F33" i="22" s="1"/>
  <c r="D37" i="22"/>
  <c r="C37" i="22"/>
  <c r="L35" i="22"/>
  <c r="M32" i="22" s="1"/>
  <c r="K35" i="22"/>
  <c r="J35" i="22"/>
  <c r="F31" i="22"/>
  <c r="L30" i="22"/>
  <c r="M28" i="22" s="1"/>
  <c r="K30" i="22"/>
  <c r="J30" i="22"/>
  <c r="F30" i="22"/>
  <c r="M29" i="22"/>
  <c r="M27" i="22"/>
  <c r="E17" i="22"/>
  <c r="L42" i="22" s="1"/>
  <c r="D17" i="22"/>
  <c r="K42" i="22" s="1"/>
  <c r="C17" i="22"/>
  <c r="E37" i="21"/>
  <c r="F34" i="21" s="1"/>
  <c r="D37" i="21"/>
  <c r="C37" i="21"/>
  <c r="L35" i="21"/>
  <c r="M32" i="21" s="1"/>
  <c r="K35" i="21"/>
  <c r="J35" i="21"/>
  <c r="M33" i="21"/>
  <c r="F31" i="21"/>
  <c r="L30" i="21"/>
  <c r="M27" i="21" s="1"/>
  <c r="K30" i="21"/>
  <c r="J30" i="21"/>
  <c r="F30" i="21"/>
  <c r="M29" i="21"/>
  <c r="E17" i="21"/>
  <c r="F16" i="21" s="1"/>
  <c r="D17" i="21"/>
  <c r="K42" i="21" s="1"/>
  <c r="C17" i="21"/>
  <c r="F29" i="21" l="1"/>
  <c r="F11" i="22"/>
  <c r="J42" i="22"/>
  <c r="F15" i="22"/>
  <c r="F33" i="21"/>
  <c r="F16" i="22"/>
  <c r="M33" i="22"/>
  <c r="J42" i="21"/>
  <c r="F35" i="21"/>
  <c r="F12" i="22"/>
  <c r="F32" i="22"/>
  <c r="F13" i="22"/>
  <c r="F29" i="22"/>
  <c r="F35" i="22"/>
  <c r="F34" i="22"/>
  <c r="F15" i="21"/>
  <c r="L42" i="21"/>
  <c r="F13" i="21"/>
  <c r="F12" i="21"/>
  <c r="M28" i="21"/>
  <c r="F32" i="21"/>
  <c r="F11" i="21"/>
  <c r="L32" i="18" l="1"/>
  <c r="M30" i="18" s="1"/>
  <c r="K32" i="18"/>
  <c r="J32" i="18"/>
  <c r="L27" i="18"/>
  <c r="M25" i="18" s="1"/>
  <c r="K27" i="18"/>
  <c r="J27" i="18"/>
  <c r="E37" i="18"/>
  <c r="F33" i="18" s="1"/>
  <c r="D37" i="18"/>
  <c r="C37" i="18"/>
  <c r="E14" i="18"/>
  <c r="F11" i="18" s="1"/>
  <c r="D14" i="18"/>
  <c r="C14" i="18"/>
  <c r="J41" i="18" s="1"/>
  <c r="L32" i="17"/>
  <c r="M31" i="17" s="1"/>
  <c r="K32" i="17"/>
  <c r="J32" i="17"/>
  <c r="L27" i="17"/>
  <c r="M26" i="17" s="1"/>
  <c r="K27" i="17"/>
  <c r="J27" i="17"/>
  <c r="E37" i="17"/>
  <c r="F31" i="17" s="1"/>
  <c r="D37" i="17"/>
  <c r="C37" i="17"/>
  <c r="E14" i="17"/>
  <c r="F10" i="17" s="1"/>
  <c r="D14" i="17"/>
  <c r="C14" i="17"/>
  <c r="L32" i="16"/>
  <c r="M29" i="16" s="1"/>
  <c r="K32" i="16"/>
  <c r="J32" i="16"/>
  <c r="L27" i="16"/>
  <c r="M26" i="16" s="1"/>
  <c r="K27" i="16"/>
  <c r="J27" i="16"/>
  <c r="E37" i="16"/>
  <c r="F33" i="16" s="1"/>
  <c r="D37" i="16"/>
  <c r="C37" i="16"/>
  <c r="E14" i="16"/>
  <c r="F11" i="16" s="1"/>
  <c r="D14" i="16"/>
  <c r="C14" i="16"/>
  <c r="K32" i="15"/>
  <c r="L32" i="15"/>
  <c r="M29" i="15" s="1"/>
  <c r="J32" i="15"/>
  <c r="L27" i="15"/>
  <c r="M26" i="15" s="1"/>
  <c r="K27" i="15"/>
  <c r="J27" i="15"/>
  <c r="E37" i="15"/>
  <c r="F34" i="15" s="1"/>
  <c r="D37" i="15"/>
  <c r="C37" i="15"/>
  <c r="E14" i="15"/>
  <c r="F10" i="15" s="1"/>
  <c r="D14" i="15"/>
  <c r="C14" i="15"/>
  <c r="J41" i="15" s="1"/>
  <c r="L32" i="14"/>
  <c r="M31" i="14" s="1"/>
  <c r="K32" i="14"/>
  <c r="J32" i="14"/>
  <c r="K27" i="14"/>
  <c r="L27" i="14"/>
  <c r="M26" i="14" s="1"/>
  <c r="J27" i="14"/>
  <c r="E37" i="14"/>
  <c r="F33" i="14" s="1"/>
  <c r="D37" i="14"/>
  <c r="C37" i="14"/>
  <c r="D14" i="14"/>
  <c r="E14" i="14"/>
  <c r="F11" i="14" s="1"/>
  <c r="C14" i="14"/>
  <c r="K33" i="13"/>
  <c r="L33" i="13"/>
  <c r="M29" i="13" s="1"/>
  <c r="J33" i="13"/>
  <c r="L27" i="13"/>
  <c r="M24" i="13" s="1"/>
  <c r="K27" i="13"/>
  <c r="J27" i="13"/>
  <c r="E36" i="13"/>
  <c r="F34" i="13" s="1"/>
  <c r="D36" i="13"/>
  <c r="C36" i="13"/>
  <c r="D14" i="13"/>
  <c r="E14" i="13"/>
  <c r="F10" i="13" s="1"/>
  <c r="C14" i="13"/>
  <c r="L32" i="12"/>
  <c r="M31" i="12" s="1"/>
  <c r="K32" i="12"/>
  <c r="J32" i="12"/>
  <c r="K27" i="12"/>
  <c r="L27" i="12"/>
  <c r="M26" i="12" s="1"/>
  <c r="J27" i="12"/>
  <c r="E37" i="12"/>
  <c r="F33" i="12" s="1"/>
  <c r="D37" i="12"/>
  <c r="C37" i="12"/>
  <c r="E14" i="12"/>
  <c r="F11" i="12" s="1"/>
  <c r="D14" i="12"/>
  <c r="C14" i="12"/>
  <c r="L32" i="11"/>
  <c r="M29" i="11" s="1"/>
  <c r="K32" i="11"/>
  <c r="J32" i="11"/>
  <c r="L27" i="11"/>
  <c r="M26" i="11" s="1"/>
  <c r="K27" i="11"/>
  <c r="J27" i="11"/>
  <c r="E38" i="11"/>
  <c r="F32" i="11" s="1"/>
  <c r="D38" i="11"/>
  <c r="C38" i="11"/>
  <c r="E15" i="11"/>
  <c r="F12" i="11" s="1"/>
  <c r="D15" i="11"/>
  <c r="C15" i="11"/>
  <c r="L34" i="10"/>
  <c r="M31" i="10" s="1"/>
  <c r="K34" i="10"/>
  <c r="J34" i="10"/>
  <c r="L29" i="10"/>
  <c r="M26" i="10" s="1"/>
  <c r="K29" i="10"/>
  <c r="J29" i="10"/>
  <c r="E34" i="10"/>
  <c r="F27" i="10" s="1"/>
  <c r="D34" i="10"/>
  <c r="C34" i="10"/>
  <c r="E14" i="10"/>
  <c r="F11" i="10" s="1"/>
  <c r="D14" i="10"/>
  <c r="C14" i="10"/>
  <c r="L35" i="9"/>
  <c r="M32" i="9" s="1"/>
  <c r="K35" i="9"/>
  <c r="J35" i="9"/>
  <c r="K30" i="9"/>
  <c r="L30" i="9"/>
  <c r="M29" i="9" s="1"/>
  <c r="J30" i="9"/>
  <c r="E35" i="9"/>
  <c r="F28" i="9" s="1"/>
  <c r="D35" i="9"/>
  <c r="C35" i="9"/>
  <c r="E15" i="9"/>
  <c r="F13" i="9" s="1"/>
  <c r="D15" i="9"/>
  <c r="C15" i="9"/>
  <c r="K35" i="8"/>
  <c r="L35" i="8"/>
  <c r="M33" i="8" s="1"/>
  <c r="J35" i="8"/>
  <c r="L30" i="8"/>
  <c r="M29" i="8" s="1"/>
  <c r="K30" i="8"/>
  <c r="J30" i="8"/>
  <c r="E35" i="8"/>
  <c r="F29" i="8" s="1"/>
  <c r="D35" i="8"/>
  <c r="C35" i="8"/>
  <c r="D15" i="8"/>
  <c r="E15" i="8"/>
  <c r="F12" i="8" s="1"/>
  <c r="K35" i="7"/>
  <c r="L35" i="7"/>
  <c r="M33" i="7" s="1"/>
  <c r="K30" i="7"/>
  <c r="L30" i="7"/>
  <c r="M28" i="7" s="1"/>
  <c r="D35" i="7"/>
  <c r="E35" i="7"/>
  <c r="F32" i="7" s="1"/>
  <c r="E15" i="7"/>
  <c r="F13" i="7" s="1"/>
  <c r="D15" i="7"/>
  <c r="K35" i="6"/>
  <c r="L35" i="6"/>
  <c r="M32" i="6" s="1"/>
  <c r="D37" i="6"/>
  <c r="E37" i="6"/>
  <c r="F31" i="6" s="1"/>
  <c r="D17" i="6"/>
  <c r="E17" i="6"/>
  <c r="F12" i="6" s="1"/>
  <c r="K35" i="4"/>
  <c r="L35" i="4"/>
  <c r="K30" i="4"/>
  <c r="L30" i="4"/>
  <c r="D37" i="4"/>
  <c r="E37" i="4"/>
  <c r="C37" i="4"/>
  <c r="D17" i="4"/>
  <c r="E17" i="4"/>
  <c r="L35" i="19"/>
  <c r="K35" i="19"/>
  <c r="J35" i="19"/>
  <c r="K30" i="19"/>
  <c r="L30" i="19"/>
  <c r="D37" i="19"/>
  <c r="E37" i="19"/>
  <c r="D17" i="19"/>
  <c r="E17" i="19"/>
  <c r="M31" i="18"/>
  <c r="F12" i="18"/>
  <c r="F10" i="18"/>
  <c r="M30" i="16"/>
  <c r="M31" i="16"/>
  <c r="F12" i="16"/>
  <c r="M31" i="15"/>
  <c r="F32" i="15"/>
  <c r="F33" i="15"/>
  <c r="M29" i="14"/>
  <c r="M30" i="13"/>
  <c r="F32" i="13"/>
  <c r="F33" i="13"/>
  <c r="M29" i="12"/>
  <c r="F13" i="11"/>
  <c r="F30" i="10"/>
  <c r="M27" i="9"/>
  <c r="M32" i="8"/>
  <c r="M32" i="7"/>
  <c r="F29" i="7"/>
  <c r="M28" i="6"/>
  <c r="M29" i="6"/>
  <c r="M27" i="6"/>
  <c r="F11" i="6"/>
  <c r="C15" i="8"/>
  <c r="J35" i="7"/>
  <c r="J30" i="7"/>
  <c r="C35" i="7"/>
  <c r="C15" i="7"/>
  <c r="D17" i="5"/>
  <c r="E17" i="5"/>
  <c r="F11" i="5" s="1"/>
  <c r="C17" i="5"/>
  <c r="J35" i="6"/>
  <c r="C37" i="6"/>
  <c r="C17" i="6"/>
  <c r="E37" i="5"/>
  <c r="F31" i="5" s="1"/>
  <c r="D37" i="5"/>
  <c r="C37" i="5"/>
  <c r="L30" i="5"/>
  <c r="M27" i="5" s="1"/>
  <c r="K30" i="5"/>
  <c r="J30" i="5"/>
  <c r="L35" i="5"/>
  <c r="M33" i="5" s="1"/>
  <c r="K35" i="5"/>
  <c r="J35" i="5"/>
  <c r="J30" i="19"/>
  <c r="C17" i="19"/>
  <c r="F12" i="9" l="1"/>
  <c r="F31" i="12"/>
  <c r="F34" i="12"/>
  <c r="M30" i="17"/>
  <c r="M24" i="12"/>
  <c r="J42" i="13"/>
  <c r="J41" i="17"/>
  <c r="F12" i="5"/>
  <c r="F31" i="18"/>
  <c r="F34" i="18"/>
  <c r="J41" i="12"/>
  <c r="K42" i="13"/>
  <c r="J41" i="16"/>
  <c r="F12" i="14"/>
  <c r="F11" i="13"/>
  <c r="K41" i="18"/>
  <c r="K42" i="6"/>
  <c r="K41" i="14"/>
  <c r="K42" i="7"/>
  <c r="K41" i="17"/>
  <c r="F13" i="8"/>
  <c r="F33" i="11"/>
  <c r="F32" i="12"/>
  <c r="F31" i="13"/>
  <c r="F31" i="15"/>
  <c r="M24" i="15"/>
  <c r="M24" i="16"/>
  <c r="M24" i="17"/>
  <c r="L42" i="13"/>
  <c r="L41" i="18"/>
  <c r="M28" i="5"/>
  <c r="M27" i="8"/>
  <c r="F26" i="10"/>
  <c r="F12" i="12"/>
  <c r="F10" i="14"/>
  <c r="M25" i="15"/>
  <c r="M25" i="17"/>
  <c r="M26" i="18"/>
  <c r="J41" i="14"/>
  <c r="L41" i="14"/>
  <c r="K41" i="15"/>
  <c r="K41" i="12"/>
  <c r="K41" i="16"/>
  <c r="F34" i="11"/>
  <c r="F35" i="11"/>
  <c r="J41" i="11"/>
  <c r="M24" i="11"/>
  <c r="F12" i="10"/>
  <c r="K41" i="10"/>
  <c r="F10" i="10"/>
  <c r="F28" i="10"/>
  <c r="L41" i="10"/>
  <c r="J42" i="9"/>
  <c r="M33" i="9"/>
  <c r="K42" i="9"/>
  <c r="L42" i="9"/>
  <c r="F11" i="9"/>
  <c r="F29" i="9"/>
  <c r="K42" i="8"/>
  <c r="L42" i="8"/>
  <c r="M28" i="8"/>
  <c r="L42" i="7"/>
  <c r="M29" i="7"/>
  <c r="M27" i="7"/>
  <c r="L42" i="6"/>
  <c r="F33" i="6"/>
  <c r="F13" i="6"/>
  <c r="F33" i="5"/>
  <c r="F30" i="5"/>
  <c r="F29" i="5"/>
  <c r="F34" i="5"/>
  <c r="M32" i="5"/>
  <c r="F13" i="5"/>
  <c r="M29" i="5"/>
  <c r="L42" i="19"/>
  <c r="K42" i="19"/>
  <c r="L41" i="17"/>
  <c r="L41" i="16"/>
  <c r="L41" i="15"/>
  <c r="F34" i="14"/>
  <c r="L41" i="12"/>
  <c r="M31" i="11"/>
  <c r="M30" i="11"/>
  <c r="F16" i="19"/>
  <c r="M29" i="18"/>
  <c r="M24" i="18"/>
  <c r="M29" i="17"/>
  <c r="F34" i="17"/>
  <c r="F33" i="17"/>
  <c r="F12" i="17"/>
  <c r="F11" i="17"/>
  <c r="M25" i="16"/>
  <c r="F34" i="16"/>
  <c r="F31" i="16"/>
  <c r="F32" i="16"/>
  <c r="F10" i="16"/>
  <c r="M30" i="15"/>
  <c r="F11" i="15"/>
  <c r="F12" i="15"/>
  <c r="M30" i="14"/>
  <c r="M25" i="14"/>
  <c r="M24" i="14"/>
  <c r="F31" i="14"/>
  <c r="F32" i="14"/>
  <c r="M31" i="13"/>
  <c r="M25" i="13"/>
  <c r="M26" i="13"/>
  <c r="F12" i="13"/>
  <c r="M30" i="12"/>
  <c r="M25" i="12"/>
  <c r="F10" i="12"/>
  <c r="K41" i="11"/>
  <c r="M25" i="11"/>
  <c r="F11" i="11"/>
  <c r="L41" i="11"/>
  <c r="M32" i="10"/>
  <c r="M33" i="10"/>
  <c r="J41" i="10"/>
  <c r="M27" i="10"/>
  <c r="M28" i="10"/>
  <c r="M28" i="9"/>
  <c r="F31" i="9"/>
  <c r="F32" i="9"/>
  <c r="F27" i="9"/>
  <c r="F31" i="8"/>
  <c r="F32" i="8"/>
  <c r="F27" i="8"/>
  <c r="F28" i="8"/>
  <c r="J42" i="8"/>
  <c r="F11" i="8"/>
  <c r="F31" i="7"/>
  <c r="F27" i="7"/>
  <c r="F28" i="7"/>
  <c r="F12" i="7"/>
  <c r="F11" i="7"/>
  <c r="M33" i="6"/>
  <c r="F29" i="6"/>
  <c r="F34" i="6"/>
  <c r="F30" i="6"/>
  <c r="L42" i="4"/>
  <c r="J42" i="7"/>
  <c r="L42" i="5"/>
  <c r="J42" i="6"/>
  <c r="J42" i="5"/>
  <c r="K42" i="5"/>
  <c r="M33" i="19"/>
  <c r="M32" i="19"/>
  <c r="M28" i="19"/>
  <c r="M29" i="19"/>
  <c r="M27" i="19"/>
  <c r="F31" i="19" l="1"/>
  <c r="C37" i="19"/>
  <c r="J42" i="19" s="1"/>
  <c r="F29" i="19"/>
  <c r="F12" i="19"/>
  <c r="F13" i="19"/>
  <c r="F15" i="19"/>
  <c r="F11" i="19"/>
  <c r="F34" i="19" l="1"/>
  <c r="F32" i="19"/>
  <c r="F35" i="19"/>
  <c r="F33" i="19"/>
  <c r="F30" i="19"/>
  <c r="M33" i="4"/>
  <c r="M32" i="4"/>
  <c r="J35" i="4"/>
  <c r="M28" i="4"/>
  <c r="M29" i="4"/>
  <c r="M27" i="4"/>
  <c r="J30" i="4"/>
  <c r="K42" i="4"/>
  <c r="F30" i="4"/>
  <c r="F31" i="4"/>
  <c r="F32" i="4"/>
  <c r="F33" i="4"/>
  <c r="F34" i="4"/>
  <c r="F29" i="4"/>
  <c r="F12" i="4"/>
  <c r="F13" i="4"/>
  <c r="F15" i="4"/>
  <c r="F11" i="4"/>
  <c r="C17" i="4"/>
  <c r="J42" i="4" l="1"/>
</calcChain>
</file>

<file path=xl/sharedStrings.xml><?xml version="1.0" encoding="utf-8"?>
<sst xmlns="http://schemas.openxmlformats.org/spreadsheetml/2006/main" count="1920" uniqueCount="298">
  <si>
    <t xml:space="preserve"> ALLOTJAMENT. FORMENTERA</t>
  </si>
  <si>
    <t>Definicions</t>
  </si>
  <si>
    <t>a) Per als apartaments turístics, dues places per estudi projectat i tres places per apartament d’un dormitori, a més de dues places més per cada dormitori que es projecti.</t>
  </si>
  <si>
    <t>b) Per als hotels i hotels-apartament, dues places per habitació, podent-se computar fins al 10% del total de les habitacions de què es disposi com a individuals.</t>
  </si>
  <si>
    <t>Les unitats d’allotjament amb sala d’estar s’hauran de computar com dues places per cada bany de què disposin.</t>
  </si>
  <si>
    <t>No computen a efectes d’aquest article i a efectes del còmput global de qualsevol establiment els llits supletoris destinats a infants menors de dotze anys.</t>
  </si>
  <si>
    <t>En el cas de nous hotels de ciutat poden computar-se com a individuals fins al 90% del total de les habitacions.</t>
  </si>
  <si>
    <t xml:space="preserve"> ALOJAMIENTO. FORMENTERA</t>
  </si>
  <si>
    <t xml:space="preserve">Definiciones </t>
  </si>
  <si>
    <t>a) Para los apartamentos turísticos, dos plazas por estudio proyectado y tres plazas por apartamento de un dormitorio, además de dos plazas más por cada dormitorio que se proyecte.</t>
  </si>
  <si>
    <t>Las unidades de alojamiento con sala de estar se tendrán que computar como dos plazas por cada baño de que dispongan.</t>
  </si>
  <si>
    <t>No computarán a efectos del cómputo global de cualquier establecimiento las camas supletorias destinadas a niños menores de doce años.</t>
  </si>
  <si>
    <t>En el caso de nuevos hoteles de ciudad podrán computarse como individuales hasta el 90% del total de las habitaciones.</t>
  </si>
  <si>
    <t xml:space="preserve">a) Habitaciones. Su superficie será, al menos, de 10 metros cuadrados para las habitaciones dobles y de 6 metros cuadrados para las individuales. La altura del suelo al techo no podrá ser inferior a 2,50 metros. </t>
  </si>
  <si>
    <t xml:space="preserve">b) Servicios sanitarios. El establecimiento dispondrá de, al menos, un lavabo, provisto de ducha, fregadero o WC. </t>
  </si>
  <si>
    <t xml:space="preserve">c) Comedor. Su superficie mínima será de 1 metro cuadrado por habitación. </t>
  </si>
  <si>
    <t xml:space="preserve"> ACCOMODATION. FORMENTERA</t>
  </si>
  <si>
    <t xml:space="preserve"> </t>
  </si>
  <si>
    <t>Capacitat d'allotjament per tipus d'establiment i categoria a Formentera (2018)</t>
  </si>
  <si>
    <t>Capacidad de alojamiento por tipo de establecimiento y categoría en Formentera (2018)</t>
  </si>
  <si>
    <t>Accommodation capacity by type of establishment and category in Formentera (2018)</t>
  </si>
  <si>
    <t>TIPUS D'ESTABLIMENT</t>
  </si>
  <si>
    <t>NRE. D'ESTABL.</t>
  </si>
  <si>
    <t>NRE. UNITATS</t>
  </si>
  <si>
    <t>NRE. PLACES</t>
  </si>
  <si>
    <t>% PLACES</t>
  </si>
  <si>
    <t>TIPO DE ESTABLECIMIENTO</t>
  </si>
  <si>
    <t>Nº ESTABL.</t>
  </si>
  <si>
    <t>Nº UNIDADES</t>
  </si>
  <si>
    <t>Nº PLAZAS</t>
  </si>
  <si>
    <t>% PLAZAS</t>
  </si>
  <si>
    <t>ESTABLISHMENT TYPE</t>
  </si>
  <si>
    <t>NO. ESTABL.</t>
  </si>
  <si>
    <t>NO. UNITS</t>
  </si>
  <si>
    <t>NO. BEDS</t>
  </si>
  <si>
    <t>% BEDS</t>
  </si>
  <si>
    <t>A 1 Ll</t>
  </si>
  <si>
    <t>HA 1*</t>
  </si>
  <si>
    <t>A 2 Ll</t>
  </si>
  <si>
    <t>HA 2*</t>
  </si>
  <si>
    <t>A 3 Ll</t>
  </si>
  <si>
    <t>HA 3*</t>
  </si>
  <si>
    <t>A 3 Ll SUP</t>
  </si>
  <si>
    <t>HA 3* SUP.</t>
  </si>
  <si>
    <t>A 4 Ll</t>
  </si>
  <si>
    <t>HA 4*</t>
  </si>
  <si>
    <t>A 4 Ll SUP</t>
  </si>
  <si>
    <t>HA 4* SUP.</t>
  </si>
  <si>
    <t>Total A</t>
  </si>
  <si>
    <t>HA 5*</t>
  </si>
  <si>
    <t>HA 5* G.L.</t>
  </si>
  <si>
    <t>HR</t>
  </si>
  <si>
    <t>Total HA</t>
  </si>
  <si>
    <t>AG</t>
  </si>
  <si>
    <t>TI</t>
  </si>
  <si>
    <t>RA 1*</t>
  </si>
  <si>
    <t>CT</t>
  </si>
  <si>
    <t>RA 2*</t>
  </si>
  <si>
    <t>RA 3*</t>
  </si>
  <si>
    <t>CV 1*</t>
  </si>
  <si>
    <t>RA 4*</t>
  </si>
  <si>
    <t>CV 2*</t>
  </si>
  <si>
    <t>RA 5*</t>
  </si>
  <si>
    <t>CV 3*</t>
  </si>
  <si>
    <t>Total RA</t>
  </si>
  <si>
    <t>Total CV</t>
  </si>
  <si>
    <t>HS 1*</t>
  </si>
  <si>
    <t>H 1*</t>
  </si>
  <si>
    <t>HS 2*</t>
  </si>
  <si>
    <t>H 2*</t>
  </si>
  <si>
    <t>HS 3*</t>
  </si>
  <si>
    <t>H 3*</t>
  </si>
  <si>
    <t xml:space="preserve">Total HS </t>
  </si>
  <si>
    <t>H 3* SUP.</t>
  </si>
  <si>
    <t>HSR 1*</t>
  </si>
  <si>
    <t>H 4* SUP.</t>
  </si>
  <si>
    <t>HSR 2*</t>
  </si>
  <si>
    <t>H 5*</t>
  </si>
  <si>
    <t>HSR 3*</t>
  </si>
  <si>
    <t>H 5* G.L.</t>
  </si>
  <si>
    <t>Total HSR</t>
  </si>
  <si>
    <t>Total H</t>
  </si>
  <si>
    <t>CH</t>
  </si>
  <si>
    <t>HR 1*</t>
  </si>
  <si>
    <t>F</t>
  </si>
  <si>
    <t>HR 2*</t>
  </si>
  <si>
    <t>PENS 2*</t>
  </si>
  <si>
    <t>HR 3*</t>
  </si>
  <si>
    <t>HR 5*</t>
  </si>
  <si>
    <t>Total HR*</t>
  </si>
  <si>
    <t>TOTAL</t>
  </si>
  <si>
    <t>Capacitat d'allotjament per tipus d'establiment i categoria a Formentera (2017)</t>
  </si>
  <si>
    <t>Capacidad de alojamiento por tipo de establecimiento y categoría en Formentera (2017)</t>
  </si>
  <si>
    <t>Accommodation capacity by type of establishment and category in Formentera (2017)</t>
  </si>
  <si>
    <t>Capacitat d'allotjament per tipus d'establiment i categoria a Formentera (2016)</t>
  </si>
  <si>
    <t>Capacidad de alojamiento por tipo de establecimiento y categoría en Formentera (2016)</t>
  </si>
  <si>
    <t>Accommodation capacity by type of establishment and category in Formentera (2016)</t>
  </si>
  <si>
    <t>Capacitat d'allotjament per tipus d'establiment i categoria a Formentera (2015)</t>
  </si>
  <si>
    <t>Capacidad de alojamiento por tipo de establecimiento y categoría en Formentera (2015)</t>
  </si>
  <si>
    <t>Accommodation capacity by type of establishment and category in Formentera (2015)</t>
  </si>
  <si>
    <t>Capacitat d'allotjament per tipus d'establiment i categoria a Formentera (2014)</t>
  </si>
  <si>
    <t>Capacidad de alojamiento por tipo de establecimiento y categoría en Formentera (2014)</t>
  </si>
  <si>
    <t>Accommodation capacity by type of establishment and category in Formentera (2014)</t>
  </si>
  <si>
    <t>Capacitat d'allotjament per tipus d'establiment i categoria a Formentera (2013)</t>
  </si>
  <si>
    <t>Capacidad de alojamiento por tipo de establecimiento y categoría en Formentera (2013)</t>
  </si>
  <si>
    <t>Accommodation capacity by type of establishment and category in Formentera (2013)</t>
  </si>
  <si>
    <t>Capacitat d'allotjament per tipus d'establiment i categoria a Formentera (2012)</t>
  </si>
  <si>
    <t>Capacidad de alojamiento por tipo de establecimiento y categoría en Formentera (2012)</t>
  </si>
  <si>
    <t>Accommodation capacity by type of establishment and category in Formentera (2012)</t>
  </si>
  <si>
    <t>Capacitat d'allotjament per tipus d'establiment i categoria a Formentera (2011)</t>
  </si>
  <si>
    <t>Capacidad de alojamiento por tipo de establecimiento y categoría en Formentera (2011)</t>
  </si>
  <si>
    <t>Accommodation capacity by type of establishment and category in Formentera (2011)</t>
  </si>
  <si>
    <t>CT T</t>
  </si>
  <si>
    <t>CT S</t>
  </si>
  <si>
    <t>CT P</t>
  </si>
  <si>
    <t>CT LUXE</t>
  </si>
  <si>
    <t>Total CT</t>
  </si>
  <si>
    <t>Capacitat d'allotjament per tipus d'establiment i categoria a Formentera (2010)</t>
  </si>
  <si>
    <t>Capacidad de alojamiento por tipo de establecimiento y categoría en Formentera (2010)</t>
  </si>
  <si>
    <t>Accommodation capacity by type of establishment and category in Formentera (2010)</t>
  </si>
  <si>
    <t>Capacitat d'allotjament per tipus d'establiment i categoria a Formentera (2009)</t>
  </si>
  <si>
    <t>Capacidad de alojamiento por tipo de establecimiento y categoría en Formentera (2009)</t>
  </si>
  <si>
    <t>Accommodation capacity by type of establishment and category in Formentera (2009)</t>
  </si>
  <si>
    <t>Capacitat d'allotjament per tipus d'establiment i categoria a Formentera (2008)</t>
  </si>
  <si>
    <t>Capacidad de alojamiento por tipo de establecimiento y categoría en Formentera (2008)</t>
  </si>
  <si>
    <t>Accommodation capacity by type of establishment and category in Formentera (2008)</t>
  </si>
  <si>
    <t>Capacitat d'allotjament per tipus d'establiment i categoria a Formentera (2007)</t>
  </si>
  <si>
    <t>Capacidad de alojamiento por tipo de establecimiento y categoría en Formentera (2007)</t>
  </si>
  <si>
    <t>Accommodation capacity by type of establishment and category in Formentera (2007)</t>
  </si>
  <si>
    <t>Capacitat d'allotjament per tipus d'establiment i categoria a Formentera (2006)</t>
  </si>
  <si>
    <t>Capacidad de alojamiento por tipo de establecimiento y categoría en Formentera (2006)</t>
  </si>
  <si>
    <t>Accommodation capacity by type of establishment and category in Formentera (2006)</t>
  </si>
  <si>
    <t>Capacitat d'allotjament per tipus d'establiment i categoria a Formentera (2005)</t>
  </si>
  <si>
    <t>Capacidad de alojamiento por tipo de establecimiento y categoría en Formentera (2005)</t>
  </si>
  <si>
    <t>Accommodation capacity by type of establishment and category in Formentera (2005)</t>
  </si>
  <si>
    <t>Capacitat d'allotjament per tipus d'establiment i categoria a Formentera (2004)</t>
  </si>
  <si>
    <t>Capacidad de alojamiento por tipo de establecimiento y categoría en Formentera (2004)</t>
  </si>
  <si>
    <t>Accommodation capacity by type of establishment and category in Formentera (2004)</t>
  </si>
  <si>
    <t>Capacitat d'allotjament per tipus d'establiment i categoria a Formentera (2019)</t>
  </si>
  <si>
    <t>Capacidad de alojamiento por tipo de establecimiento y categoría en Formentera (2019)</t>
  </si>
  <si>
    <t>Accommodation capacity by type of establishment and category in Formentera (2019)</t>
  </si>
  <si>
    <t>HO</t>
  </si>
  <si>
    <t>Capacitat d'allotjament per tipus d'establiment i categoria a Formentera (2020)</t>
  </si>
  <si>
    <t>Capacidad de alojamiento por tipo de establecimiento y categoría en Formentera (2020)</t>
  </si>
  <si>
    <t>Accommodation capacity by type of establishment and category in Formentera (2020)</t>
  </si>
  <si>
    <t>Capacitat d'allotjament per tipus d'establiment i categoria a Formentera (2021)</t>
  </si>
  <si>
    <t>Capacidad de alojamiento por tipo de establecimiento y categoría en Formentera (2021)</t>
  </si>
  <si>
    <t>Accommodation capacity by type of establishment and category in Formentera (2021)</t>
  </si>
  <si>
    <r>
      <t xml:space="preserve">- </t>
    </r>
    <r>
      <rPr>
        <b/>
        <sz val="11"/>
        <color rgb="FF1F497D"/>
        <rFont val="Calibri"/>
        <family val="2"/>
        <scheme val="minor"/>
      </rPr>
      <t>Unitat</t>
    </r>
    <r>
      <rPr>
        <sz val="11"/>
        <color rgb="FF1F497D"/>
        <rFont val="Calibri"/>
        <family val="2"/>
        <scheme val="minor"/>
      </rPr>
      <t xml:space="preserve">: equival  a una habitació amb bany inclòs, excepte en els apartaments, que es considera la unitat l’apartament sencer. </t>
    </r>
  </si>
  <si>
    <r>
      <t xml:space="preserve">- </t>
    </r>
    <r>
      <rPr>
        <b/>
        <sz val="11"/>
        <color rgb="FF1F497D"/>
        <rFont val="Calibri"/>
        <family val="2"/>
        <scheme val="minor"/>
      </rPr>
      <t>Plaça</t>
    </r>
    <r>
      <rPr>
        <sz val="11"/>
        <color rgb="FF1F497D"/>
        <rFont val="Calibri"/>
        <family val="2"/>
        <scheme val="minor"/>
      </rPr>
      <t>: per al còmput de places, es considera una persona per llit fix de l'establiment. Els llits de matrimoni equivalen a dues places. El còmput de places per a nous establiments d’allotjament i per a les ampliacions dels ja existents es fa de la següent manera:</t>
    </r>
  </si>
  <si>
    <r>
      <t xml:space="preserve">- </t>
    </r>
    <r>
      <rPr>
        <b/>
        <sz val="11"/>
        <color rgb="FF1F497D"/>
        <rFont val="Calibri"/>
        <family val="2"/>
        <scheme val="minor"/>
      </rPr>
      <t>Empreses turístiques d’allotjament</t>
    </r>
    <r>
      <rPr>
        <sz val="11"/>
        <color rgb="FF1F497D"/>
        <rFont val="Calibri"/>
        <family val="2"/>
        <scheme val="minor"/>
      </rPr>
      <t xml:space="preserve"> : aquelles que desenvolupin una activitat consistent en la prestació d’un servei d’allotjament al públic mitjançant preu, de forma professional i habitual, tant si és de manera permanent com temporal, i amb la prestació de serveis complementaris o sense.</t>
    </r>
  </si>
  <si>
    <r>
      <t xml:space="preserve">- </t>
    </r>
    <r>
      <rPr>
        <b/>
        <sz val="11"/>
        <color rgb="FF1F497D"/>
        <rFont val="Calibri"/>
        <family val="2"/>
        <scheme val="minor"/>
      </rPr>
      <t>G.L.</t>
    </r>
    <r>
      <rPr>
        <sz val="11"/>
        <color rgb="FF1F497D"/>
        <rFont val="Calibri"/>
        <family val="2"/>
        <scheme val="minor"/>
      </rPr>
      <t>: gran luxe</t>
    </r>
  </si>
  <si>
    <r>
      <t xml:space="preserve">- </t>
    </r>
    <r>
      <rPr>
        <b/>
        <sz val="11"/>
        <color rgb="FF1F497D"/>
        <rFont val="Calibri"/>
        <family val="2"/>
        <scheme val="minor"/>
      </rPr>
      <t>(A) Apartament turístic</t>
    </r>
    <r>
      <rPr>
        <sz val="11"/>
        <color rgb="FF1F497D"/>
        <rFont val="Calibri"/>
        <family val="2"/>
        <scheme val="minor"/>
      </rPr>
      <t xml:space="preserve">: establiment destinat a prestar un servei d’allotjament turístic, que s’anunciï com a tal, compost per un conjunt d’unitats d’allotjament que disposen de mobiliari, instal·lacions, serveis i equip adequats per a la conservació, l’elaboració i el consum d’aliments i begudes, i en condicions que en permetin l’ocupació immediata, complint les exigències establertes reglamentàriament. Classificació: apartaments turístics d’1, 2, 3, 3 superior, 4 claus, 4 superior (Ll).
</t>
    </r>
  </si>
  <si>
    <r>
      <t xml:space="preserve">- </t>
    </r>
    <r>
      <rPr>
        <b/>
        <sz val="11"/>
        <color rgb="FF1F497D"/>
        <rFont val="Calibri"/>
        <family val="2"/>
        <scheme val="minor"/>
      </rPr>
      <t>(AG) Agroturisme</t>
    </r>
    <r>
      <rPr>
        <sz val="11"/>
        <color rgb="FF1F497D"/>
        <rFont val="Calibri"/>
        <family val="2"/>
        <scheme val="minor"/>
      </rPr>
      <t>: són els establiments que presten el servei d’allotjament turístic ubicats en edificacions construïdes abans de l’1 de gener de 1960, situades en sòl rústic i en una finca o finques que tinguin una superfície mínima de 21.000 m2 i que constitueixin una explotació agrària, ramadera o forestal.</t>
    </r>
  </si>
  <si>
    <r>
      <t xml:space="preserve">- </t>
    </r>
    <r>
      <rPr>
        <b/>
        <sz val="11"/>
        <color rgb="FF1F497D"/>
        <rFont val="Calibri"/>
        <family val="2"/>
        <scheme val="minor"/>
      </rPr>
      <t>(CH) Casa d’hostes</t>
    </r>
    <r>
      <rPr>
        <sz val="11"/>
        <color rgb="FF1F497D"/>
        <rFont val="Calibri"/>
        <family val="2"/>
        <scheme val="minor"/>
      </rPr>
      <t>: fonda que pot facilitar el servei d’esmorzar, així com els propis de cafeteria; en aquest darrer cas, aquests serveis han de ser facultats amb independència als d’allotjament.</t>
    </r>
  </si>
  <si>
    <r>
      <t xml:space="preserve">- </t>
    </r>
    <r>
      <rPr>
        <b/>
        <sz val="11"/>
        <color rgb="FF1F497D"/>
        <rFont val="Calibri"/>
        <family val="2"/>
        <scheme val="minor"/>
      </rPr>
      <t>(CT) Càmping turístic</t>
    </r>
    <r>
      <rPr>
        <sz val="11"/>
        <color rgb="FF1F497D"/>
        <rFont val="Calibri"/>
        <family val="2"/>
        <scheme val="minor"/>
      </rPr>
      <t xml:space="preserve">: espai delimitat, dotat i condicionat perquè sigui ocupat temporalment, amb capacitat per a més de 10 persones que pretenguin fer vida a l'aire lliure, i que utilitzin com a allotjament albergs mòbils, tendes de campanya, caravanes o altres elements similars. </t>
    </r>
  </si>
  <si>
    <r>
      <t xml:space="preserve">- </t>
    </r>
    <r>
      <rPr>
        <b/>
        <sz val="11"/>
        <color rgb="FF1F497D"/>
        <rFont val="Calibri"/>
        <family val="2"/>
        <scheme val="minor"/>
      </rPr>
      <t>(CV) Ciutat de vacances</t>
    </r>
    <r>
      <rPr>
        <sz val="11"/>
        <color rgb="FF1F497D"/>
        <rFont val="Calibri"/>
        <family val="2"/>
        <scheme val="minor"/>
      </rPr>
      <t xml:space="preserve">: establiment, situació, instal·lacions i serveis del qual permeten als clients, amb fórmules prèviament determinades, el gaudiment de les seves vacances en contacte directe amb la natura, facilitant per un preu fet allotjament en règim de pensió completa, juntament amb la possibilitat de practicar esport i participar en activitats d’esbarjo col·lectiu. Queden excloses les ciutats de vacances instal·lades per corporacions o organismes públics amb finalitat d'assistència social i sense ànim de lucre. Classificació: ciutat de vacances d’1, 2, 3 estrelles (*). </t>
    </r>
  </si>
  <si>
    <r>
      <t xml:space="preserve">- </t>
    </r>
    <r>
      <rPr>
        <b/>
        <sz val="11"/>
        <color rgb="FF1F497D"/>
        <rFont val="Calibri"/>
        <family val="2"/>
        <scheme val="minor"/>
      </rPr>
      <t>(F) Fonda</t>
    </r>
    <r>
      <rPr>
        <sz val="11"/>
        <color rgb="FF1F497D"/>
        <rFont val="Calibri"/>
        <family val="2"/>
        <scheme val="minor"/>
      </rPr>
      <t xml:space="preserve">: establiment hoteler que, sense poder ser classificat com hotel, hostal o hotel apartament, reuneix, com a mínim, les condicions següents: </t>
    </r>
  </si>
  <si>
    <t>a) Habitacions. La seva superfície serà, almenys, de 10 metres quadrats per a les habitacions dobles i de 6 metres quadrats per a les individuals. L’alçada del terra al sostre no podrà ser inferior a 2,50 metres.</t>
  </si>
  <si>
    <t>b) Serveis sanitaris. L'establiment disposarà de, almenys, un lavabo, proveït de dutxa, pica o WC.</t>
  </si>
  <si>
    <t>c) Menjador. La seva superfície mínima serà d'1 metre quadrat per habitació.</t>
  </si>
  <si>
    <r>
      <t xml:space="preserve">- </t>
    </r>
    <r>
      <rPr>
        <b/>
        <sz val="11"/>
        <color rgb="FF1F497D"/>
        <rFont val="Calibri"/>
        <family val="2"/>
        <scheme val="minor"/>
      </rPr>
      <t>(H) Hotel</t>
    </r>
    <r>
      <rPr>
        <sz val="11"/>
        <color rgb="FF1F497D"/>
        <rFont val="Calibri"/>
        <family val="2"/>
        <scheme val="minor"/>
      </rPr>
      <t xml:space="preserve">: establiment destinat a la prestació d’un servei d’allotjament turístic amb serveis complementaris o sense que ocupen la totalitat o una part independent d’un edifici o conjunt d’edificis les dependències dels quals constitueixen un tot homogeni amb entrades pròpies i independents, i que compleix, a més, la resta de requisits establerts reglamentàriament. Els ascensors i les escales de què disposin els hotels han de ser d’ús exclusiu. Classificació: hotels d' 1, 2, 3, 3 superior,  4, 4 superior, 5 estrelles, 5 gran luxe (*). </t>
    </r>
  </si>
  <si>
    <r>
      <t xml:space="preserve">- </t>
    </r>
    <r>
      <rPr>
        <b/>
        <sz val="11"/>
        <color rgb="FF1F497D"/>
        <rFont val="Calibri"/>
        <family val="2"/>
        <scheme val="minor"/>
      </rPr>
      <t>(HA) Hotel apartament</t>
    </r>
    <r>
      <rPr>
        <sz val="11"/>
        <color rgb="FF1F497D"/>
        <rFont val="Calibri"/>
        <family val="2"/>
        <scheme val="minor"/>
      </rPr>
      <t xml:space="preserve">: establiment que, a més de complir els requisits establerts per als hotels, disposa de les instal·lacions necessàries per a la conservació, l’elaboració i el consum d’aliments i begudes a l’interior d’alguna unitat d’allotjament, i s’ajusta als requisits establerts reglamentàriament. Classificació: hotels apartaments d' 1, 2, 3, 3 superior, 4, 4 superior, 5 estrelles, 5 gran luxe (*).  </t>
    </r>
  </si>
  <si>
    <r>
      <t xml:space="preserve">- </t>
    </r>
    <r>
      <rPr>
        <b/>
        <sz val="11"/>
        <color rgb="FF1F497D"/>
        <rFont val="Calibri"/>
        <family val="2"/>
        <scheme val="minor"/>
      </rPr>
      <t>(HO) Hostatgeria</t>
    </r>
    <r>
      <rPr>
        <sz val="11"/>
        <color rgb="FF1F497D"/>
        <rFont val="Calibri"/>
        <family val="2"/>
        <scheme val="minor"/>
      </rPr>
      <t>: establiment que formant part d'una església, capella o santuari destina algunes de les seves dependències al servei d'allotjament al públic en general.</t>
    </r>
  </si>
  <si>
    <r>
      <t xml:space="preserve">- </t>
    </r>
    <r>
      <rPr>
        <b/>
        <sz val="11"/>
        <color rgb="FF1F497D"/>
        <rFont val="Calibri"/>
        <family val="2"/>
        <scheme val="minor"/>
      </rPr>
      <t>(HR*) Hotel residència</t>
    </r>
    <r>
      <rPr>
        <sz val="11"/>
        <color rgb="FF1F497D"/>
        <rFont val="Calibri"/>
        <family val="2"/>
        <scheme val="minor"/>
      </rPr>
      <t>: hotel sense servei de menjador. Pot facilitar el servei d’esmorzar, així com els propis de cafeteria, però en aquest darrer cas, aquests serveis han de ser facultats amb independència als d’allotjament. Classificació: hotel residència d' 1, 2, 3, 4, 5 estrelles (*).</t>
    </r>
  </si>
  <si>
    <r>
      <t>-</t>
    </r>
    <r>
      <rPr>
        <b/>
        <sz val="11"/>
        <color rgb="FF1F497D"/>
        <rFont val="Calibri"/>
        <family val="2"/>
        <scheme val="minor"/>
      </rPr>
      <t xml:space="preserve"> (HR) Hotel rural</t>
    </r>
    <r>
      <rPr>
        <sz val="11"/>
        <color rgb="FF1F497D"/>
        <rFont val="Calibri"/>
        <family val="2"/>
        <scheme val="minor"/>
      </rPr>
      <t>: establiment que presta el servei d’allotjament turístic i està ubicat en edificacions construïdes abans de l’1 de gener de 1940, situades en sòl rústic i que disposen d’una superfície mínima de terreny de 49.000 m2, que ha de quedar vinculada a l’activitat.</t>
    </r>
  </si>
  <si>
    <r>
      <t xml:space="preserve">- </t>
    </r>
    <r>
      <rPr>
        <b/>
        <sz val="11"/>
        <color rgb="FF1F497D"/>
        <rFont val="Calibri"/>
        <family val="2"/>
        <scheme val="minor"/>
      </rPr>
      <t>(HS) Hostal</t>
    </r>
    <r>
      <rPr>
        <sz val="11"/>
        <color rgb="FF1F497D"/>
        <rFont val="Calibri"/>
        <family val="2"/>
        <scheme val="minor"/>
      </rPr>
      <t>: establiment que facilita al públic tant el servei d’allotjament com de restaurant, amb subjecció o no al règim de pensió completa, a elecció del client, i amb excepció dels hostals residències. Classificació: hostals d' 1, 2, 3 estrelles (*).</t>
    </r>
  </si>
  <si>
    <r>
      <t xml:space="preserve">- </t>
    </r>
    <r>
      <rPr>
        <b/>
        <sz val="11"/>
        <color rgb="FF1F497D"/>
        <rFont val="Calibri"/>
        <family val="2"/>
        <scheme val="minor"/>
      </rPr>
      <t>(HSR) Hostal residència</t>
    </r>
    <r>
      <rPr>
        <sz val="11"/>
        <color rgb="FF1F497D"/>
        <rFont val="Calibri"/>
        <family val="2"/>
        <scheme val="minor"/>
      </rPr>
      <t>: hostal que podrà facilitar el servei d’esmorzar, així com els propis de cafeteria; però en aquest darrer cas, aquests serveis hauran de ser facultats amb independència als d’allotjament. Classificació: hostal residència d’ 1, 2, 3, 4 estrelles (*).</t>
    </r>
  </si>
  <si>
    <r>
      <t xml:space="preserve">- </t>
    </r>
    <r>
      <rPr>
        <b/>
        <sz val="11"/>
        <color rgb="FF1F497D"/>
        <rFont val="Calibri"/>
        <family val="2"/>
        <scheme val="minor"/>
      </rPr>
      <t>(PENS) Pensió</t>
    </r>
    <r>
      <rPr>
        <sz val="11"/>
        <color rgb="FF1F497D"/>
        <rFont val="Calibri"/>
        <family val="2"/>
        <scheme val="minor"/>
      </rPr>
      <t>: establiment que no disposa de més de 12 habitacions i que habitualment facilita l’hostatge en règim de pensió completa. Classificació: pensió d’1, 2, 3 estrelles (*).</t>
    </r>
  </si>
  <si>
    <r>
      <t xml:space="preserve">- </t>
    </r>
    <r>
      <rPr>
        <b/>
        <sz val="11"/>
        <color rgb="FF1F497D"/>
        <rFont val="Calibri"/>
        <family val="2"/>
        <scheme val="minor"/>
      </rPr>
      <t>(RA) Residència apartament</t>
    </r>
    <r>
      <rPr>
        <sz val="11"/>
        <color rgb="FF1F497D"/>
        <rFont val="Calibri"/>
        <family val="2"/>
        <scheme val="minor"/>
      </rPr>
      <t>: hotel apartament que pot facilitar el servei d’esmorzar, així com els propis de cafeteria; però en aquest darrer cas, aquests serveis hauran de ser facultats amb independència als d’allotjament. Classificació: residència apartament d’1, 2, 3, 4, 5 estrelles  (*).</t>
    </r>
  </si>
  <si>
    <r>
      <t xml:space="preserve">- </t>
    </r>
    <r>
      <rPr>
        <b/>
        <sz val="11"/>
        <color rgb="FF1F497D"/>
        <rFont val="Calibri"/>
        <family val="2"/>
        <scheme val="minor"/>
      </rPr>
      <t>(TI) Turisme d’interior</t>
    </r>
    <r>
      <rPr>
        <sz val="11"/>
        <color rgb="FF1F497D"/>
        <rFont val="Calibri"/>
        <family val="2"/>
        <scheme val="minor"/>
      </rPr>
      <t>: establiment en què es presta el servei d’allotjament turístic en un edifici situat en el casc antic, en edificis catalogats o en edificis construïts abans de l’1 de gener de 1940.</t>
    </r>
  </si>
  <si>
    <r>
      <t xml:space="preserve">- </t>
    </r>
    <r>
      <rPr>
        <b/>
        <sz val="11"/>
        <color rgb="FF1F497D"/>
        <rFont val="Calibri"/>
        <family val="2"/>
        <scheme val="minor"/>
      </rPr>
      <t>Oferta extrahotelera</t>
    </r>
    <r>
      <rPr>
        <sz val="11"/>
        <color rgb="FF1F497D"/>
        <rFont val="Calibri"/>
        <family val="2"/>
        <scheme val="minor"/>
      </rPr>
      <t>: A, HR, AG i CT.</t>
    </r>
  </si>
  <si>
    <t>Notes metodològiques</t>
  </si>
  <si>
    <r>
      <t xml:space="preserve">- </t>
    </r>
    <r>
      <rPr>
        <b/>
        <i/>
        <sz val="11"/>
        <color rgb="FF1F497D"/>
        <rFont val="Calibri"/>
        <family val="2"/>
        <scheme val="minor"/>
      </rPr>
      <t>Unidad</t>
    </r>
    <r>
      <rPr>
        <i/>
        <sz val="11"/>
        <color rgb="FF1F497D"/>
        <rFont val="Calibri"/>
        <family val="2"/>
        <scheme val="minor"/>
      </rPr>
      <t xml:space="preserve">: equivale a una habitación con baño incluido, excepto en los apartamentos, que se considera la unidad del apartamento entero. </t>
    </r>
  </si>
  <si>
    <r>
      <t xml:space="preserve">- </t>
    </r>
    <r>
      <rPr>
        <b/>
        <i/>
        <sz val="11"/>
        <color rgb="FF1F497D"/>
        <rFont val="Calibri"/>
        <family val="2"/>
        <scheme val="minor"/>
      </rPr>
      <t>Plaza</t>
    </r>
    <r>
      <rPr>
        <i/>
        <sz val="11"/>
        <color rgb="FF1F497D"/>
        <rFont val="Calibri"/>
        <family val="2"/>
        <scheme val="minor"/>
      </rPr>
      <t>: para el cómputo de plazas, se considera una persona por cama fija del establecimiento. Las camas de matrimonio equivalen a dos plazas. El cómputo del número de plazas para nuevos establecimientos de alojamiento y para las ampliaciones de los ya existentes se tendrá que hacer de la manera siguiente:</t>
    </r>
  </si>
  <si>
    <t xml:space="preserve">b) Para los hoteles y hoteles-apartamento, dos plazas por habitación, pudiéndose computar hasta el 10% del total de las habitaciones de que se disponga como individuales. </t>
  </si>
  <si>
    <r>
      <t xml:space="preserve">- </t>
    </r>
    <r>
      <rPr>
        <b/>
        <i/>
        <sz val="11"/>
        <color rgb="FF1F497D"/>
        <rFont val="Calibri"/>
        <family val="2"/>
        <scheme val="minor"/>
      </rPr>
      <t>Empresas turísticas de alojamiento</t>
    </r>
    <r>
      <rPr>
        <i/>
        <sz val="11"/>
        <color rgb="FF1F497D"/>
        <rFont val="Calibri"/>
        <family val="2"/>
        <scheme val="minor"/>
      </rPr>
      <t>: aquellas que desarrollen una actividad consistente en la prestación de un servicio de alojamiento al público mediante precio, de forma profesional y habitual, bien sea de modo permanente como temporal, y con o sin la prestación de servicios complementarios.</t>
    </r>
  </si>
  <si>
    <r>
      <t xml:space="preserve">- </t>
    </r>
    <r>
      <rPr>
        <b/>
        <i/>
        <sz val="11"/>
        <color rgb="FF1F497D"/>
        <rFont val="Calibri"/>
        <family val="2"/>
        <scheme val="minor"/>
      </rPr>
      <t>G.L.</t>
    </r>
    <r>
      <rPr>
        <i/>
        <sz val="11"/>
        <color rgb="FF1F497D"/>
        <rFont val="Calibri"/>
        <family val="2"/>
        <scheme val="minor"/>
      </rPr>
      <t>: gran lujo</t>
    </r>
  </si>
  <si>
    <r>
      <t xml:space="preserve">- </t>
    </r>
    <r>
      <rPr>
        <b/>
        <i/>
        <sz val="11"/>
        <color rgb="FF1F497D"/>
        <rFont val="Calibri"/>
        <family val="2"/>
        <scheme val="minor"/>
      </rPr>
      <t>(A) Apartamento turístico</t>
    </r>
    <r>
      <rPr>
        <i/>
        <sz val="11"/>
        <color rgb="FF1F497D"/>
        <rFont val="Calibri"/>
        <family val="2"/>
        <scheme val="minor"/>
      </rPr>
      <t>: establecimiento destinado a prestar un servicio de alojamiento turístico, que se anuncie como tal, compuesto por un conjunto de unidades de alojamiento que disponen de mobiliario, instalaciones, servicios y equipo adecuados para la conservación, la elaboración y el consumo de alimentos y bebidas, y en condiciones que permitan la ocupación inmediata, cumpliendo las exigencias establecidas reglamentariamente. Clasificación: apartamentos turísticos de 1, 2, 3, 3 superior, 4 llaves, 4 superior (Ll).</t>
    </r>
  </si>
  <si>
    <r>
      <t xml:space="preserve">- </t>
    </r>
    <r>
      <rPr>
        <b/>
        <i/>
        <sz val="11"/>
        <color rgb="FF1F497D"/>
        <rFont val="Calibri"/>
        <family val="2"/>
        <scheme val="minor"/>
      </rPr>
      <t>(CH) Casa de huéspedes</t>
    </r>
    <r>
      <rPr>
        <i/>
        <sz val="11"/>
        <color rgb="FF1F497D"/>
        <rFont val="Calibri"/>
        <family val="2"/>
        <scheme val="minor"/>
      </rPr>
      <t xml:space="preserve">: fonda que puede facilitar el servicio de desayuno, así como los propios de cafetería; en este último caso, estos servicios deberán ser facultados con independencia a los de alojamiento. </t>
    </r>
  </si>
  <si>
    <r>
      <t>-</t>
    </r>
    <r>
      <rPr>
        <b/>
        <i/>
        <sz val="11"/>
        <color rgb="FF1F497D"/>
        <rFont val="Calibri"/>
        <family val="2"/>
        <scheme val="minor"/>
      </rPr>
      <t xml:space="preserve"> (CT) Camping turístico</t>
    </r>
    <r>
      <rPr>
        <i/>
        <sz val="11"/>
        <color rgb="FF1F497D"/>
        <rFont val="Calibri"/>
        <family val="2"/>
        <scheme val="minor"/>
      </rPr>
      <t xml:space="preserve">: espacio delimitado, dotado y acondicionado para que sea ocupado temporalmente, con capacidad para más de 10 personas que pretendan hacer vida al aire libre, y que utilicen como alojamiento albergues móviles, tiendas de campaña , caravanas u otros elementos similares. </t>
    </r>
  </si>
  <si>
    <r>
      <t xml:space="preserve">- </t>
    </r>
    <r>
      <rPr>
        <b/>
        <i/>
        <sz val="11"/>
        <color rgb="FF1F497D"/>
        <rFont val="Calibri"/>
        <family val="2"/>
        <scheme val="minor"/>
      </rPr>
      <t>(CV) Ciudad de vacaciones</t>
    </r>
    <r>
      <rPr>
        <i/>
        <sz val="11"/>
        <color rgb="FF1F497D"/>
        <rFont val="Calibri"/>
        <family val="2"/>
        <scheme val="minor"/>
      </rPr>
      <t xml:space="preserve">: establecimiento, cuya situación, instalaciones y servicios permiten a los clientes, con fórmulas previamente determinadas, el disfrute de sus vacaciones en contacto directo con la naturaleza, facilitando, por un tanto alzado, hospedaje en régimen de pensión completa, junto con la posibilidad de practicar deporte y participar en actividades de ocio colectivo. Quedan excluidas las ciudades de vacaciones instaladas por corporaciones u organismos públicos con fines de asistencia social y sin ánimo de lucro. Clasificación: ciudad de vacaciones de 1, 2, 3 estrellas (*). </t>
    </r>
  </si>
  <si>
    <r>
      <t xml:space="preserve">- </t>
    </r>
    <r>
      <rPr>
        <b/>
        <i/>
        <sz val="11"/>
        <color rgb="FF1F497D"/>
        <rFont val="Calibri"/>
        <family val="2"/>
        <scheme val="minor"/>
      </rPr>
      <t>(F) Fonda</t>
    </r>
    <r>
      <rPr>
        <i/>
        <sz val="11"/>
        <color rgb="FF1F497D"/>
        <rFont val="Calibri"/>
        <family val="2"/>
        <scheme val="minor"/>
      </rPr>
      <t xml:space="preserve">: establecimiento hotelero que, sin poder ser clasificado como hotel, hostal u hotel apartamento, reúne, como mínimo, las siguientes condiciones: </t>
    </r>
  </si>
  <si>
    <r>
      <t xml:space="preserve">- </t>
    </r>
    <r>
      <rPr>
        <b/>
        <i/>
        <sz val="11"/>
        <color rgb="FF1F497D"/>
        <rFont val="Calibri"/>
        <family val="2"/>
        <scheme val="minor"/>
      </rPr>
      <t>(H) Hotel</t>
    </r>
    <r>
      <rPr>
        <i/>
        <sz val="11"/>
        <color rgb="FF1F497D"/>
        <rFont val="Calibri"/>
        <family val="2"/>
        <scheme val="minor"/>
      </rPr>
      <t xml:space="preserve">: establecimiento destinado a la prestación de un servicio de alojamiento turístico con servicios complementarios o sin que ocupan la totalidad o una parte independiente de un edificio o conjunto de edificios las dependencias de los cuales constituyen un todo homogéneo con entradas propias e independientes, y que cumplen, además, el resto de requisitos establecidos reglamentariamente. Los ascensores y las escaleras de que dispongan los hoteles han de ser de uso exclusivo. Clasificación: hoteles de 1, 2, 3, 3 superior,  4, 4 superior, 5 estrellas, 5 gran lujo (*). </t>
    </r>
  </si>
  <si>
    <r>
      <t xml:space="preserve">- </t>
    </r>
    <r>
      <rPr>
        <b/>
        <i/>
        <sz val="11"/>
        <color rgb="FF1F497D"/>
        <rFont val="Calibri"/>
        <family val="2"/>
        <scheme val="minor"/>
      </rPr>
      <t>(HA) Hotel apartamento</t>
    </r>
    <r>
      <rPr>
        <i/>
        <sz val="11"/>
        <color rgb="FF1F497D"/>
        <rFont val="Calibri"/>
        <family val="2"/>
        <scheme val="minor"/>
      </rPr>
      <t xml:space="preserve">: establecimiento que, además de cumplir los requisitos establecidos para los hoteles, dispone de las instalaciones necesarias para la conservación, la elaboración y el consumo de alimentos y bebidas en el interior de alguna unidad de alojamiento, y se ajusta a los requisitos establecidos reglamentariamente. Clasificación: hoteles apartamentos de 1, 2, 3, 3 superior, 4, 4 superior, 5 estrellas, 5 gran lujo (*).  </t>
    </r>
  </si>
  <si>
    <r>
      <t xml:space="preserve">- </t>
    </r>
    <r>
      <rPr>
        <b/>
        <i/>
        <sz val="11"/>
        <color rgb="FF1F497D"/>
        <rFont val="Calibri"/>
        <family val="2"/>
        <scheme val="minor"/>
      </rPr>
      <t>(HO) Hospedería</t>
    </r>
    <r>
      <rPr>
        <i/>
        <sz val="11"/>
        <color rgb="FF1F497D"/>
        <rFont val="Calibri"/>
        <family val="2"/>
        <scheme val="minor"/>
      </rPr>
      <t xml:space="preserve">: establecimiento que formando parte de una iglesia, capilla o santuario destina algunas de sus dependencias al servicio de alojamiento al público en general. </t>
    </r>
  </si>
  <si>
    <r>
      <t>-</t>
    </r>
    <r>
      <rPr>
        <b/>
        <i/>
        <sz val="11"/>
        <color rgb="FF1F497D"/>
        <rFont val="Calibri"/>
        <family val="2"/>
        <scheme val="minor"/>
      </rPr>
      <t xml:space="preserve"> (HR*) Hotel residencia</t>
    </r>
    <r>
      <rPr>
        <i/>
        <sz val="11"/>
        <color rgb="FF1F497D"/>
        <rFont val="Calibri"/>
        <family val="2"/>
        <scheme val="minor"/>
      </rPr>
      <t xml:space="preserve">: hotel sin servicio de comedor. Puede facilitar el servicio de desayuno, así como los propios de cafetería, pero en este último caso, estos servicios deben ser facultados con independencia a los de alojamiento. Clasificación: hotel residencia de 1, 2, 3, 4, 5 estrellas (*). </t>
    </r>
  </si>
  <si>
    <r>
      <t xml:space="preserve">- </t>
    </r>
    <r>
      <rPr>
        <b/>
        <i/>
        <sz val="11"/>
        <color rgb="FF1F497D"/>
        <rFont val="Calibri"/>
        <family val="2"/>
        <scheme val="minor"/>
      </rPr>
      <t>(HR) Hotel rural</t>
    </r>
    <r>
      <rPr>
        <i/>
        <sz val="11"/>
        <color rgb="FF1F497D"/>
        <rFont val="Calibri"/>
        <family val="2"/>
        <scheme val="minor"/>
      </rPr>
      <t>: establecimiento que presta el servicio de alojamiento turístico y está ubicado en edificaciones construidas antes del 1 de enero de 1940, situadas en suelo rústico y que disponen de una superficie mínima de terreno de 49.000 m2, que ha de quedar vinculada a la actividad.</t>
    </r>
  </si>
  <si>
    <r>
      <t xml:space="preserve">- </t>
    </r>
    <r>
      <rPr>
        <b/>
        <i/>
        <sz val="11"/>
        <color rgb="FF1F497D"/>
        <rFont val="Calibri"/>
        <family val="2"/>
        <scheme val="minor"/>
      </rPr>
      <t>(HS) Hostal</t>
    </r>
    <r>
      <rPr>
        <i/>
        <sz val="11"/>
        <color rgb="FF1F497D"/>
        <rFont val="Calibri"/>
        <family val="2"/>
        <scheme val="minor"/>
      </rPr>
      <t xml:space="preserve">: establecimiento que facilita al público tanto el servicio de alojamiento como de restaurante, con sujeción o no al régimen de pensión completa, a elección del cliente, y con excepción de los hostales residencias. Clasificación: hostales de 1, 2, 3 estrellas (*). </t>
    </r>
  </si>
  <si>
    <r>
      <t xml:space="preserve">- </t>
    </r>
    <r>
      <rPr>
        <b/>
        <i/>
        <sz val="11"/>
        <color rgb="FF1F497D"/>
        <rFont val="Calibri"/>
        <family val="2"/>
        <scheme val="minor"/>
      </rPr>
      <t>(HSR) Hostal residencia</t>
    </r>
    <r>
      <rPr>
        <i/>
        <sz val="11"/>
        <color rgb="FF1F497D"/>
        <rFont val="Calibri"/>
        <family val="2"/>
        <scheme val="minor"/>
      </rPr>
      <t xml:space="preserve">: hostal que podrá facilitar el servicio de desayuno, así como los propios de cafetería, pero en este último caso, estos servicios deberán ser facultados con independencia a los de alojamiento. Clasificación: hostal residencia de 1, 2, 3, 4 estrellas (*). </t>
    </r>
  </si>
  <si>
    <r>
      <t xml:space="preserve">- </t>
    </r>
    <r>
      <rPr>
        <b/>
        <i/>
        <sz val="11"/>
        <color rgb="FF1F497D"/>
        <rFont val="Calibri"/>
        <family val="2"/>
        <scheme val="minor"/>
      </rPr>
      <t>(PENS) Pensión</t>
    </r>
    <r>
      <rPr>
        <i/>
        <sz val="11"/>
        <color rgb="FF1F497D"/>
        <rFont val="Calibri"/>
        <family val="2"/>
        <scheme val="minor"/>
      </rPr>
      <t>: establecimiento que no dispone de más de 12 habitaciones y que habitualmente facilita el hospedaje en régimen de pensión completa. Clasificación: pensión de 1, 2, 3 estrellas (*).</t>
    </r>
  </si>
  <si>
    <r>
      <t xml:space="preserve">- </t>
    </r>
    <r>
      <rPr>
        <b/>
        <i/>
        <sz val="11"/>
        <color rgb="FF1F497D"/>
        <rFont val="Calibri"/>
        <family val="2"/>
        <scheme val="minor"/>
      </rPr>
      <t>(RA) Residencia apartamento</t>
    </r>
    <r>
      <rPr>
        <i/>
        <sz val="11"/>
        <color rgb="FF1F497D"/>
        <rFont val="Calibri"/>
        <family val="2"/>
        <scheme val="minor"/>
      </rPr>
      <t>: hotel apartamento que puede facilitar el servicio de desayuno, así como los propios de cafetería, pero en este último caso, estos servicios deberán ser facultados con independencia a los de alojamiento. Clasificación: residencia apartamento de 1, 2, 3, 4, 5 estrellas (*).</t>
    </r>
  </si>
  <si>
    <r>
      <t xml:space="preserve">- </t>
    </r>
    <r>
      <rPr>
        <b/>
        <i/>
        <sz val="11"/>
        <color rgb="FF1F497D"/>
        <rFont val="Calibri"/>
        <family val="2"/>
        <scheme val="minor"/>
      </rPr>
      <t>(TI) Turismo de interior</t>
    </r>
    <r>
      <rPr>
        <i/>
        <sz val="11"/>
        <color rgb="FF1F497D"/>
        <rFont val="Calibri"/>
        <family val="2"/>
        <scheme val="minor"/>
      </rPr>
      <t>: establecimiento en que se presta el servicio de alojamiento turístico en un edificio situado en el casco antiguo, en edificios catalogados o en edificios construidos antes del 1 de enero de 1940.</t>
    </r>
  </si>
  <si>
    <r>
      <t xml:space="preserve">- </t>
    </r>
    <r>
      <rPr>
        <b/>
        <i/>
        <sz val="11"/>
        <color rgb="FF1F497D"/>
        <rFont val="Calibri"/>
        <family val="2"/>
        <scheme val="minor"/>
      </rPr>
      <t>Oferta extrahotelera</t>
    </r>
    <r>
      <rPr>
        <i/>
        <sz val="11"/>
        <color rgb="FF1F497D"/>
        <rFont val="Calibri"/>
        <family val="2"/>
        <scheme val="minor"/>
      </rPr>
      <t>: A, HR, AG y CT.</t>
    </r>
  </si>
  <si>
    <t>Notas metodológicas</t>
  </si>
  <si>
    <r>
      <rPr>
        <b/>
        <i/>
        <sz val="11"/>
        <color rgb="FF1F497D"/>
        <rFont val="Calibri"/>
        <family val="2"/>
        <scheme val="minor"/>
      </rPr>
      <t>Definitions</t>
    </r>
  </si>
  <si>
    <t> </t>
  </si>
  <si>
    <r>
      <t xml:space="preserve">- </t>
    </r>
    <r>
      <rPr>
        <b/>
        <i/>
        <sz val="11"/>
        <color rgb="FF1F497D"/>
        <rFont val="Calibri"/>
        <family val="2"/>
        <scheme val="minor"/>
      </rPr>
      <t>Single unit</t>
    </r>
    <r>
      <rPr>
        <i/>
        <sz val="11"/>
        <color rgb="FF1F497D"/>
        <rFont val="Calibri"/>
        <family val="2"/>
        <scheme val="minor"/>
      </rPr>
      <t>: equivalent to one room with bathroom included, except in apartments, where the whole apartment is considered a single unit.</t>
    </r>
  </si>
  <si>
    <r>
      <t xml:space="preserve">- </t>
    </r>
    <r>
      <rPr>
        <b/>
        <i/>
        <sz val="11"/>
        <color rgb="FF1F497D"/>
        <rFont val="Calibri"/>
        <family val="2"/>
        <scheme val="minor"/>
      </rPr>
      <t>Bed place</t>
    </r>
    <r>
      <rPr>
        <i/>
        <sz val="11"/>
        <color rgb="FF1F497D"/>
        <rFont val="Calibri"/>
        <family val="2"/>
        <scheme val="minor"/>
      </rPr>
      <t>: bed places are calculated as one person per fixed bed in the establishment. Double beds equate to two bed places. The number of bed places for new accommodation establishments and for enlargements of existing ones should be calculated as follows:</t>
    </r>
  </si>
  <si>
    <t>a) For tourist apartments, two bed places per study as designed and three bed places per one-bedroom apartment, as well as two bed places more for each additional bedroom planned.</t>
  </si>
  <si>
    <t>b) For hotels and apartment hotels, two bed places per room, with up to 10% of the total number of rooms calculable as single rooms. Accommodation units with lounge should be calculated as two bed places for every bathroom.</t>
  </si>
  <si>
    <t>Extra beds used for children under the age of 12 should not be included in the calculations for any establishment.</t>
  </si>
  <si>
    <t>In new city hotels, up to 90% of the rooms may be calculated as single rooms.</t>
  </si>
  <si>
    <r>
      <t xml:space="preserve">- </t>
    </r>
    <r>
      <rPr>
        <b/>
        <i/>
        <sz val="11"/>
        <color rgb="FF1F497D"/>
        <rFont val="Calibri"/>
        <family val="2"/>
        <scheme val="minor"/>
      </rPr>
      <t>Tourist accommodation companies</t>
    </r>
    <r>
      <rPr>
        <i/>
        <sz val="11"/>
        <color rgb="FF1F497D"/>
        <rFont val="Calibri"/>
        <family val="2"/>
        <scheme val="minor"/>
      </rPr>
      <t>: companies providing a professional, regular paid-for accommodation service to the public, on a permanent or temporary basis, with or without any complementary services.</t>
    </r>
  </si>
  <si>
    <r>
      <t xml:space="preserve">- </t>
    </r>
    <r>
      <rPr>
        <b/>
        <i/>
        <sz val="11"/>
        <color rgb="FF1F497D"/>
        <rFont val="Calibri"/>
        <family val="2"/>
        <scheme val="minor"/>
      </rPr>
      <t xml:space="preserve">G.L. </t>
    </r>
    <r>
      <rPr>
        <i/>
        <sz val="11"/>
        <color rgb="FF1F497D"/>
        <rFont val="Calibri"/>
        <family val="2"/>
        <scheme val="minor"/>
      </rPr>
      <t>: Great luxury</t>
    </r>
  </si>
  <si>
    <r>
      <t xml:space="preserve">- </t>
    </r>
    <r>
      <rPr>
        <b/>
        <i/>
        <sz val="11"/>
        <color rgb="FF1F497D"/>
        <rFont val="Calibri"/>
        <family val="2"/>
        <scheme val="minor"/>
      </rPr>
      <t>(A) Tourist apartment</t>
    </r>
    <r>
      <rPr>
        <i/>
        <sz val="11"/>
        <color rgb="FF1F497D"/>
        <rFont val="Calibri"/>
        <family val="2"/>
        <scheme val="minor"/>
      </rPr>
      <t>: establishments providing tourist accommodation and advertised as such, comprising a series of accommodation units with furnishings, facilities, services and fittings suitable for storing, preparing and consuming food and drinks, in conditions allowing for immediate occupation, and meeting all mandatory requirements. Classification: tourist apartment of 1, 2, 3, 3 superior, 4 keys, 4 superior (Ll).</t>
    </r>
  </si>
  <si>
    <r>
      <t xml:space="preserve">- </t>
    </r>
    <r>
      <rPr>
        <b/>
        <i/>
        <sz val="11"/>
        <color rgb="FF1F497D"/>
        <rFont val="Calibri"/>
        <family val="2"/>
        <scheme val="minor"/>
      </rPr>
      <t>(AG) Agro-tourism</t>
    </r>
    <r>
      <rPr>
        <i/>
        <sz val="11"/>
        <color rgb="FF1F497D"/>
        <rFont val="Calibri"/>
        <family val="2"/>
        <scheme val="minor"/>
      </rPr>
      <t>: establishments providing tourist accommodation in properties built before 1 January 1960, located on rural land covering at least 21,000 square metres and used for farming, livestock or forestry activities.</t>
    </r>
  </si>
  <si>
    <r>
      <t xml:space="preserve">-  </t>
    </r>
    <r>
      <rPr>
        <b/>
        <i/>
        <sz val="11"/>
        <color rgb="FF1F497D"/>
        <rFont val="Calibri"/>
        <family val="2"/>
        <scheme val="minor"/>
      </rPr>
      <t>(CH) Guest house</t>
    </r>
    <r>
      <rPr>
        <i/>
        <sz val="11"/>
        <color rgb="FF1F497D"/>
        <rFont val="Calibri"/>
        <family val="2"/>
        <scheme val="minor"/>
      </rPr>
      <t>: establishment where breakfast may be provided, in addition to cafeteria services, however, in the case of the latter, such services should be subject to the appropriate authorisation, independently from the accommodation.</t>
    </r>
  </si>
  <si>
    <r>
      <t xml:space="preserve">-  </t>
    </r>
    <r>
      <rPr>
        <b/>
        <i/>
        <sz val="11"/>
        <color rgb="FF1F497D"/>
        <rFont val="Calibri"/>
        <family val="2"/>
        <scheme val="minor"/>
      </rPr>
      <t>(CT) Tourist campsite</t>
    </r>
    <r>
      <rPr>
        <i/>
        <sz val="11"/>
        <color rgb="FF1F497D"/>
        <rFont val="Calibri"/>
        <family val="2"/>
        <scheme val="minor"/>
      </rPr>
      <t xml:space="preserve">: an area defined, equipped and conditioned for temporary occupation, with capacity for more than 10 persons who intend to live in the open-air, using mobile homes, tents, caravans or other similar elements as accommodation. </t>
    </r>
  </si>
  <si>
    <r>
      <t xml:space="preserve">-  </t>
    </r>
    <r>
      <rPr>
        <b/>
        <i/>
        <sz val="11"/>
        <color rgb="FF1F497D"/>
        <rFont val="Calibri"/>
        <family val="2"/>
        <scheme val="minor"/>
      </rPr>
      <t>(CV) Holiday villages</t>
    </r>
    <r>
      <rPr>
        <i/>
        <sz val="11"/>
        <color rgb="FF1F497D"/>
        <rFont val="Calibri"/>
        <family val="2"/>
        <scheme val="minor"/>
      </rPr>
      <t>: establishments whose location, installations and services allow clients, under predetermined schemes, to enjoy their holidays in direct contact with nature, providing them, for a fixed price, accommodation with fullboard, with the possibility of practising sport and participating in group leisure activities. However, excluded from the definition, are holiday villages built with a social aid orientation and on a non-profit making basis by public corporations or bodies. Classification: holiday village of 1, 2, 3 stars (*).</t>
    </r>
  </si>
  <si>
    <r>
      <t xml:space="preserve">-  </t>
    </r>
    <r>
      <rPr>
        <b/>
        <i/>
        <sz val="11"/>
        <color rgb="FF1F497D"/>
        <rFont val="Calibri"/>
        <family val="2"/>
        <scheme val="minor"/>
      </rPr>
      <t>(F) Fonda</t>
    </r>
    <r>
      <rPr>
        <i/>
        <sz val="11"/>
        <color rgb="FF1F497D"/>
        <rFont val="Calibri"/>
        <family val="2"/>
        <scheme val="minor"/>
      </rPr>
      <t>: hotel establishment which cannot be classified as a hotel, hostel or hotel apartment, which must comply, as a minimum, with the following conditions:</t>
    </r>
  </si>
  <si>
    <t>a) Rooms. Surface area should be, at least, 10 square metres for double rooms and 6 square metres for single rooms. The height from floor to ceiling must not be less than 2.50 metres.</t>
  </si>
  <si>
    <t xml:space="preserve">b) Sanitation. The establishment should provide, at least, one bathroom, equipped with a shower, washbasin and WC. </t>
  </si>
  <si>
    <t>c) Dining room. With a minimum surface area of 1 square metre per room.</t>
  </si>
  <si>
    <r>
      <t xml:space="preserve">- </t>
    </r>
    <r>
      <rPr>
        <b/>
        <i/>
        <sz val="11"/>
        <color rgb="FF1F497D"/>
        <rFont val="Calibri"/>
        <family val="2"/>
        <scheme val="minor"/>
      </rPr>
      <t>(H) Hotel</t>
    </r>
    <r>
      <rPr>
        <i/>
        <sz val="11"/>
        <color rgb="FF1F497D"/>
        <rFont val="Calibri"/>
        <family val="2"/>
        <scheme val="minor"/>
      </rPr>
      <t>: establishments providing tourist accommodation with or without complementary services and occupying all or an independent part of a building or set of buildings, the rooms of which form a homogenous whole, with its own separate entrances, and meeting all mandatory requirements. Hotel elevators and stairs must be for hotel use only. Classification: hotels rated as 1, 2, 3, 3 superior, 4, 4 superior, 5 stars, 5 grand luxe (*).</t>
    </r>
  </si>
  <si>
    <r>
      <t xml:space="preserve">- </t>
    </r>
    <r>
      <rPr>
        <b/>
        <i/>
        <sz val="11"/>
        <color rgb="FF1F497D"/>
        <rFont val="Calibri"/>
        <family val="2"/>
        <scheme val="minor"/>
      </rPr>
      <t>(HA) Apartment hotel</t>
    </r>
    <r>
      <rPr>
        <i/>
        <sz val="11"/>
        <color rgb="FF1F497D"/>
        <rFont val="Calibri"/>
        <family val="2"/>
        <scheme val="minor"/>
      </rPr>
      <t xml:space="preserve">: establishments meeting the requirements for hotels but with the facilities needed to store, prepare and consume food and drinks in some of the single units, and meeting all mandatory requirements. Classification: hotel apartments rated as 1, 2, 3, 3 superior, 4, 4 superior, 5 stars, 5 grand luxe (*). </t>
    </r>
  </si>
  <si>
    <r>
      <t xml:space="preserve">- </t>
    </r>
    <r>
      <rPr>
        <b/>
        <i/>
        <sz val="11"/>
        <color rgb="FF1F497D"/>
        <rFont val="Calibri"/>
        <family val="2"/>
        <scheme val="minor"/>
      </rPr>
      <t>(HO) Hostelry</t>
    </r>
    <r>
      <rPr>
        <i/>
        <sz val="11"/>
        <color rgb="FF1F497D"/>
        <rFont val="Calibri"/>
        <family val="2"/>
        <scheme val="minor"/>
      </rPr>
      <t xml:space="preserve">: an establishment that forms part of a church, chapel or shrine and uses some of its rooms to provide accommodation for the general public. </t>
    </r>
  </si>
  <si>
    <r>
      <t xml:space="preserve">- </t>
    </r>
    <r>
      <rPr>
        <b/>
        <i/>
        <sz val="11"/>
        <color rgb="FF1F497D"/>
        <rFont val="Calibri"/>
        <family val="2"/>
        <scheme val="minor"/>
      </rPr>
      <t>(HR*) Hotel residence</t>
    </r>
    <r>
      <rPr>
        <i/>
        <sz val="11"/>
        <color rgb="FF1F497D"/>
        <rFont val="Calibri"/>
        <family val="2"/>
        <scheme val="minor"/>
      </rPr>
      <t>: hotel without dining room. Breakfast may be provided, in addition to cafeteria services, however, in the case of the latter, such services should be subject to the appropriate authorisation, independently from the accommodation. Classification: hotel residence of 1, 2, 3, 4, 5 stars (*).</t>
    </r>
  </si>
  <si>
    <r>
      <t xml:space="preserve">- </t>
    </r>
    <r>
      <rPr>
        <b/>
        <i/>
        <sz val="11"/>
        <color rgb="FF1F497D"/>
        <rFont val="Calibri"/>
        <family val="2"/>
        <scheme val="minor"/>
      </rPr>
      <t>(HR) Rural hotel</t>
    </r>
    <r>
      <rPr>
        <i/>
        <sz val="11"/>
        <color rgb="FF1F497D"/>
        <rFont val="Calibri"/>
        <family val="2"/>
        <scheme val="minor"/>
      </rPr>
      <t>: establishments providing tourist accommodation in properties built before 1 January 1940, located on rural land covering at least 49,000 square metres and having retained links to the original activity.</t>
    </r>
  </si>
  <si>
    <r>
      <t xml:space="preserve">- </t>
    </r>
    <r>
      <rPr>
        <b/>
        <i/>
        <sz val="11"/>
        <color rgb="FF1F497D"/>
        <rFont val="Calibri"/>
        <family val="2"/>
        <scheme val="minor"/>
      </rPr>
      <t>(HS) Hostel</t>
    </r>
    <r>
      <rPr>
        <i/>
        <sz val="11"/>
        <color rgb="FF1F497D"/>
        <rFont val="Calibri"/>
        <family val="2"/>
        <scheme val="minor"/>
      </rPr>
      <t>: establishment that offers the public both accommodation and meals, conforming or not to full board at the choice of the client and excluding hostelresidencies. Classification: hostels of 1, 2, 3 stars (*).</t>
    </r>
  </si>
  <si>
    <r>
      <t xml:space="preserve">- </t>
    </r>
    <r>
      <rPr>
        <b/>
        <i/>
        <sz val="11"/>
        <color rgb="FF1F497D"/>
        <rFont val="Calibri"/>
        <family val="2"/>
        <scheme val="minor"/>
      </rPr>
      <t>(HSR) Hostel Residence</t>
    </r>
    <r>
      <rPr>
        <i/>
        <sz val="11"/>
        <color rgb="FF1F497D"/>
        <rFont val="Calibri"/>
        <family val="2"/>
        <scheme val="minor"/>
      </rPr>
      <t>: hostel where breakfast may be provided, in addition to cafeteria services, however, in the case of the latter, such services should be subject to the appropriate authorisation, independently from the accommodation. Classification: hostel residence of 1, 2, 3, 4 stars (*).</t>
    </r>
  </si>
  <si>
    <r>
      <t xml:space="preserve">-  </t>
    </r>
    <r>
      <rPr>
        <b/>
        <i/>
        <sz val="11"/>
        <color rgb="FF1F497D"/>
        <rFont val="Calibri"/>
        <family val="2"/>
        <scheme val="minor"/>
      </rPr>
      <t>(PENS) Boarding House</t>
    </r>
    <r>
      <rPr>
        <i/>
        <sz val="11"/>
        <color rgb="FF1F497D"/>
        <rFont val="Calibri"/>
        <family val="2"/>
        <scheme val="minor"/>
      </rPr>
      <t>: establishment with no more than 12 rooms, habitually offering accommodation with full-board. Classification: 1, 2, 3 star boarding house (*).</t>
    </r>
  </si>
  <si>
    <r>
      <t xml:space="preserve">- </t>
    </r>
    <r>
      <rPr>
        <b/>
        <i/>
        <sz val="11"/>
        <color rgb="FF1F497D"/>
        <rFont val="Calibri"/>
        <family val="2"/>
        <scheme val="minor"/>
      </rPr>
      <t>(RA) Apartment residence</t>
    </r>
    <r>
      <rPr>
        <i/>
        <sz val="11"/>
        <color rgb="FF1F497D"/>
        <rFont val="Calibri"/>
        <family val="2"/>
        <scheme val="minor"/>
      </rPr>
      <t>: hotel apartment where breakfast may be provided, in addition to cafeteria services, however, in the case of the latter, such services should be subject to the appropriate authorisation, independently from the accommodation. Classification: apartment residence of 1, 2, 3, 4, 5 stars (*).</t>
    </r>
  </si>
  <si>
    <r>
      <t xml:space="preserve">- </t>
    </r>
    <r>
      <rPr>
        <b/>
        <i/>
        <sz val="11"/>
        <color rgb="FF1F497D"/>
        <rFont val="Calibri"/>
        <family val="2"/>
        <scheme val="minor"/>
      </rPr>
      <t>(TI) Inland tourism</t>
    </r>
    <r>
      <rPr>
        <i/>
        <sz val="11"/>
        <color rgb="FF1F497D"/>
        <rFont val="Calibri"/>
        <family val="2"/>
        <scheme val="minor"/>
      </rPr>
      <t>: establishments where tourist accommodation is provided in the historic part of a town or village in catalogued buildings or properties built before 1 January 1940.</t>
    </r>
  </si>
  <si>
    <r>
      <t xml:space="preserve">-  </t>
    </r>
    <r>
      <rPr>
        <b/>
        <i/>
        <sz val="11"/>
        <color rgb="FF1F497D"/>
        <rFont val="Calibri"/>
        <family val="2"/>
        <scheme val="minor"/>
      </rPr>
      <t>Non-hotel offer</t>
    </r>
    <r>
      <rPr>
        <i/>
        <sz val="11"/>
        <color rgb="FF1F497D"/>
        <rFont val="Calibri"/>
        <family val="2"/>
        <scheme val="minor"/>
      </rPr>
      <t>: A, HR, TI, AG and CT.</t>
    </r>
  </si>
  <si>
    <r>
      <t>Methodological notes</t>
    </r>
    <r>
      <rPr>
        <i/>
        <sz val="11"/>
        <color rgb="FF1F497D"/>
        <rFont val="Calibri"/>
        <family val="2"/>
        <scheme val="minor"/>
      </rPr>
      <t xml:space="preserve"> </t>
    </r>
  </si>
  <si>
    <t>H 4*</t>
  </si>
  <si>
    <t>HR 4*</t>
  </si>
  <si>
    <t>Capacitat d'allotjament per tipus d'establiment i categoria a Formentera (2022)</t>
  </si>
  <si>
    <t>Capacidad de alojamiento por tipo de establecimiento y categoría en Formentera (2022)</t>
  </si>
  <si>
    <t>Accommodation capacity by type of establishment and category in Formentera (2022)</t>
  </si>
  <si>
    <r>
      <t xml:space="preserve">- </t>
    </r>
    <r>
      <rPr>
        <b/>
        <i/>
        <sz val="11"/>
        <color rgb="FF1F497D"/>
        <rFont val="Calibri"/>
        <family val="2"/>
        <scheme val="minor"/>
      </rPr>
      <t>(AG) Agroturismo</t>
    </r>
    <r>
      <rPr>
        <i/>
        <sz val="11"/>
        <color rgb="FF1F497D"/>
        <rFont val="Calibri"/>
        <family val="2"/>
        <scheme val="minor"/>
      </rPr>
      <t>: son los establecimientos que prestan el servicio de alojamiento turístico ubicados en edificaciones construidas antes del 1 de enero de 1960, situadas en suelo rústico y en una finca o fincas que tengan una superficie mínima de 21.000 m2 y que constituyan una explotación agraria, ganadera o forestal.</t>
    </r>
  </si>
  <si>
    <t>Capacitat d'allotjament per tipus d'establiment i categoria a Formentera (2023)</t>
  </si>
  <si>
    <t>Capacidad de alojamiento por tipo de establecimiento y categoría en Formentera (2023)</t>
  </si>
  <si>
    <t>Accommodation capacity by type of establishment and category in Formentera (2023)</t>
  </si>
  <si>
    <t>Capacitat d'allotjament per tipus d'establiment i categoria a Formentera (2023)……………………….......................……………..….....................…………………………...pàg 4</t>
  </si>
  <si>
    <t>Capacitat d'allotjament per tipus d'establiment i categoria a Formentera (2022)……………………….......................……………..….....................…………………………...pàg 5</t>
  </si>
  <si>
    <t>Capacitat d'allotjament per tipus d'establiment i categoria a Formentera (2021)……………………….........................……………….....................…………………………...pàg 6</t>
  </si>
  <si>
    <t>Capacitat d'allotjament per tipus d'establiment i categoria a Formentera (2020)………………………………………..............................................…………………………...pàg 7</t>
  </si>
  <si>
    <t>Capacitat d'allotjament per tipus d'establiment i categoria a Formentera (2019)……………………………………….......................…….……......................………………...pàg 8</t>
  </si>
  <si>
    <t>Capacitat d'allotjament per tipus d'establiment i categoria a Formentera (2018)………………………………………......................…………………......................…………...pàg 9</t>
  </si>
  <si>
    <t>Capacitat d'allotjament per tipus d'establiment i categoria a Formentera (2017)………………………………….......................……………….....................…………………...pàg 10</t>
  </si>
  <si>
    <t>Capacitat d'allotjament per tipus d'establiment i categoria a Formentera (2016)…………………………………….......................………………….....................……………...pàg 11</t>
  </si>
  <si>
    <t>Capacitat d'allotjament per tipus d'establiment i categoria a Formentera (2015)………………………………..............................................…………………………………...pàg 12</t>
  </si>
  <si>
    <t>Capacitat d'allotjament per tipus d'establiment i categoria a Formentera (2014)……………………………………….......................……………….....................……………...pàg 13</t>
  </si>
  <si>
    <t>Capacitat d'allotjament per tipus d'establiment i categoria a Formentera (2013)…………………………….......................…………………………………….....................…...pàg 14</t>
  </si>
  <si>
    <t>Capacitat d'allotjament per tipus d'establiment i categoria a Formentera (2012)…………………….......................…………………….....................…………………………...pàg 15</t>
  </si>
  <si>
    <t>Capacitat d'allotjament per tipus d'establiment i categoria a Formentera (2011)……………………….......................…………………………….....................………………...pàg 16</t>
  </si>
  <si>
    <t>Capacitat d'allotjament per tipus d'establiment i categoria a Formentera (2010)………………………………….......................……………………………….....................…...pàg 17</t>
  </si>
  <si>
    <t>Capacitat d'allotjament per tipus d'establiment i categoria a Formentera (2009)…………............………………………….................................................……………...pàg 18</t>
  </si>
  <si>
    <t>Capacitat d'allotjament per tipus d'establiment i categoria a Formentera (2008)……………………………………………..............................................……………………...pàg 19</t>
  </si>
  <si>
    <t>Capacitat d'allotjament per tipus d'establiment i categoria a Formentera (2007)………………………………………….......................……….....................…………………...pàg 20</t>
  </si>
  <si>
    <t>Capacitat d'allotjament per tipus d'establiment i categoria a Formentera (2006)………………….......................………………………………….....................………………...pàg 21</t>
  </si>
  <si>
    <t>Capacitat d'allotjament per tipus d'establiment i categoria a Formentera (2005)………………………………………….......................…………………….....................……...pàg 22</t>
  </si>
  <si>
    <t>Capacitat d'allotjament per tipus d'establiment i categoria a Formentera (2004)……………………………………………….......................…….....................………………...pàg 23</t>
  </si>
  <si>
    <t xml:space="preserve">La informació publicada de 2023 té caràcter provisional durant un any. </t>
  </si>
  <si>
    <t xml:space="preserve">La información publicada de 2023 tiene carácter provisional durante un año. </t>
  </si>
  <si>
    <t>Capacidad de alojamiento por tipo de establecimiento y categoría en Formentera (2023)…………...................……………………....................……………………………...pág 4</t>
  </si>
  <si>
    <t>Capacidad de alojamiento por tipo de establecimiento y categoría en Formentera (2022)…………...................……………………....................……………………………...pág 5</t>
  </si>
  <si>
    <t>Capacidad de alojamiento por tipo de establecimiento y categoría en Formentera (2021)…………...................……………………………………....................……………...pág 6</t>
  </si>
  <si>
    <t>Capacidad de alojamiento por tipo de establecimiento y categoría en Formentera (2020)………………………...................………....................……………………………...pág 7</t>
  </si>
  <si>
    <t>Capacidad de alojamiento por tipo de establecimiento y categoría en Formentera (2019)…………..……………..........................................………………………………...pág 8</t>
  </si>
  <si>
    <t>Capacidad de alojamiento por tipo de establecimiento y categoría en Formentera (2018)………………………...…….....................…………....................………………...pág 9</t>
  </si>
  <si>
    <t>Capacidad de alojamiento por tipo de establecimiento y categoría en Formentera (2017)………………………………….........................................………………………...pág 10</t>
  </si>
  <si>
    <t>Capacidad de alojamiento por tipo de establecimiento y categoría en Formentera (2016)……………………...................………………………………...................………...pág 11</t>
  </si>
  <si>
    <t>Capacidad de alojamiento por tipo de establecimiento y categoría en Formentera (2015)……………………....................……....................………………………………...pág 12</t>
  </si>
  <si>
    <t>Capacidad de alojamiento por tipo de establecimiento y categoría en Formentera (2014)……………....................…………....................…………………………………...pág 13</t>
  </si>
  <si>
    <t>Capacidad de alojamiento por tipo de establecimiento y categoría en Formentera (2013)………………………....................…………………………....................………...pág 14</t>
  </si>
  <si>
    <t>Capacidad de alojamiento por tipo de establecimiento y categoría en Formentera (2012)……………………...............................................……………………………...pág 15</t>
  </si>
  <si>
    <t>Capacidad de alojamiento por tipo de establecimiento y categoría en Formentera (2011)………………………………....................……………....................……………...pág 16</t>
  </si>
  <si>
    <t>Capacidad de alojamiento por tipo de establecimiento y categoría en Formentera (2010)…………………………………..........................................……………………...pág 17</t>
  </si>
  <si>
    <t>Capacidad de alojamiento por tipo de establecimiento y categoría en Formentera (2009)……………………………………..........................................…………………...pág 18</t>
  </si>
  <si>
    <t>Capacidad de alojamiento por tipo de establecimiento y categoría en Formentera (2008)…………………………………..........................................……………………...pág 19</t>
  </si>
  <si>
    <t>Capacidad de alojamiento por tipo de establecimiento y categoría en Formentera (2007)…………………………………………………..........................................……...pág 20</t>
  </si>
  <si>
    <t>Capacidad de alojamiento por tipo de establecimiento y categoría en Formentera (2006)…………………………………………………….......................................……...pág 21</t>
  </si>
  <si>
    <t>Capacidad de alojamiento por tipo de establecimiento y categoría en Formentera (2005)……………………………...................……………....................………………...pág 22</t>
  </si>
  <si>
    <t>Capacidad de alojamiento por tipo de establecimiento y categoría en Formentera (2004)……………...................……………………....................………………………...pág 23</t>
  </si>
  <si>
    <t>Accommodation capacity by type of establishment and category in Formentera (2023)………………………………………….....................................………………………...pg 4</t>
  </si>
  <si>
    <t>Accommodation capacity by type of establishment and category in Formentera (2022)………………………………………….....................................………………………...pg 5</t>
  </si>
  <si>
    <t>Accommodation capacity by type of establishment and category in Formentera (2021)………………………………………...................………..................…………………...pg 6</t>
  </si>
  <si>
    <t>Accommodation capacity by type of establishment and category in Formentera (2020)…………………………………...................……..................…………………………...pg 7</t>
  </si>
  <si>
    <t>Accommodation capacity by type of establishment and category in Formentera (2019)………………………………………….....................................………………………...pg 8</t>
  </si>
  <si>
    <t>Accommodation capacity by type of establishment and category in Formentera (2018)…………………………………...................………………………..................………...pg 9</t>
  </si>
  <si>
    <t>Accommodation capacity by type of establishment and category in Formentera (2017)……………………………...................……..................………………………………...pg 10</t>
  </si>
  <si>
    <t>Accommodation capacity by type of establishment and category in Formentera (2016)……………………………...................…………………………………….....................pg 11</t>
  </si>
  <si>
    <t>Accommodation capacity by type of establishment and category in Formentera (2015)……………………………………..........................................………………………...pg 12</t>
  </si>
  <si>
    <t>Accommodation capacity by type of establishment and category in Formentera (2014)……………………………………………....................…………………......................pg 13</t>
  </si>
  <si>
    <t>Accommodation capacity by type of establishment and category in Formentera (2013)………………………………....................…………………...................……………...pg 14</t>
  </si>
  <si>
    <t>Accommodation capacity by type of establishment and category in Formentera (2012)…………………....................……………………………………...................………...pg 15</t>
  </si>
  <si>
    <t>Accommodation capacity by type of establishment and category in Formentera (2011)……………………………....................…………...................………………………...pg 16</t>
  </si>
  <si>
    <t>Accommodation capacity by type of establishment and category in Formentera (2010)……………………………………....................……...................……………………...pg 17</t>
  </si>
  <si>
    <t>Accommodation capacity by type of establishment and category in Formentera (2009)………………………....................……………………...................…………………...pg 18</t>
  </si>
  <si>
    <t>Accommodation capacity by type of establishment and category in Formentera (2008)…………………………………....................………………………...................……...pg 19</t>
  </si>
  <si>
    <t>Accommodation capacity by type of establishment and category in Formentera (2007)………………………………....................………………………...................………...pg 20</t>
  </si>
  <si>
    <t>Accommodation capacity by type of establishment and category in Formentera (2006)…………………………………....................…………...................…………………...pg 21</t>
  </si>
  <si>
    <t>Accommodation capacity by type of establishment and category in Formentera (2005)…………………………………....................……………...................………………...pg 22</t>
  </si>
  <si>
    <t>Accommodation capacity by type of establishment and category in Formentera (2004)…………....................……………………………………...................………………...pg 23</t>
  </si>
  <si>
    <t>The published information for 2023 will be of a provisional nature for one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</si>
</sst>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_-* #,##0\ _P_t_s_-;\-* #,##0\ _P_t_s_-;_-* &quot;-&quot;\ _P_t_s_-;_-@_-"/>
    <numFmt numFmtId="167" formatCode="0.0%"/>
  </numFmts>
  <fonts count="37">
    <font>
      <sz val="11"/>
      <color theme="1"/>
      <name val="Calibri"/>
      <family val="2"/>
      <scheme val="minor"/>
    </font>
    <font>
      <sz val="11"/>
      <color theme="1"/>
      <name val="Calibri"/>
      <family val="2"/>
      <scheme val="minor"/>
    </font>
    <font>
      <sz val="10"/>
      <name val="Arial"/>
      <family val="2"/>
    </font>
    <font>
      <sz val="11"/>
      <color indexed="60"/>
      <name val="Calibri"/>
      <family val="2"/>
    </font>
    <font>
      <b/>
      <sz val="11"/>
      <color indexed="8"/>
      <name val="Calibri"/>
      <family val="2"/>
    </font>
    <font>
      <b/>
      <sz val="13"/>
      <name val="LegacySanITCBoo"/>
      <family val="2"/>
    </font>
    <font>
      <b/>
      <sz val="11"/>
      <name val="LegacySanITCBoo"/>
      <family val="2"/>
    </font>
    <font>
      <sz val="11"/>
      <name val="LegacySanITCBoo"/>
      <family val="2"/>
    </font>
    <font>
      <sz val="10"/>
      <name val="LegacySanITCBoo"/>
      <family val="2"/>
    </font>
    <font>
      <i/>
      <sz val="11"/>
      <name val="LegacySanITCBoo"/>
      <family val="2"/>
    </font>
    <font>
      <b/>
      <i/>
      <sz val="11"/>
      <name val="LegacySanITCBoo"/>
      <family val="2"/>
    </font>
    <font>
      <b/>
      <sz val="10"/>
      <name val="Arial"/>
      <family val="2"/>
    </font>
    <font>
      <b/>
      <i/>
      <sz val="13"/>
      <name val="LegacySanITCBoo"/>
      <family val="2"/>
    </font>
    <font>
      <i/>
      <sz val="10"/>
      <name val="LegacySanITCBoo"/>
      <family val="2"/>
    </font>
    <font>
      <b/>
      <sz val="10"/>
      <name val="LegacySanITCBoo"/>
      <family val="2"/>
    </font>
    <font>
      <b/>
      <i/>
      <sz val="10"/>
      <name val="LegacySanITCBoo"/>
      <family val="2"/>
    </font>
    <font>
      <u/>
      <sz val="11"/>
      <color theme="10"/>
      <name val="Calibri"/>
      <family val="2"/>
    </font>
    <font>
      <b/>
      <i/>
      <sz val="11"/>
      <color rgb="FFFF0000"/>
      <name val="LegacySanITCBoo"/>
      <family val="2"/>
    </font>
    <font>
      <b/>
      <sz val="11"/>
      <color theme="0"/>
      <name val="LegacySanITCBoo"/>
      <family val="2"/>
    </font>
    <font>
      <b/>
      <i/>
      <sz val="11"/>
      <color theme="0"/>
      <name val="LegacySanITCBoo"/>
      <family val="2"/>
    </font>
    <font>
      <b/>
      <sz val="11"/>
      <color theme="4" tint="-0.249977111117893"/>
      <name val="LegacySanITCBoo"/>
      <family val="2"/>
    </font>
    <font>
      <sz val="11"/>
      <color theme="3"/>
      <name val="LegacySanITCBoo"/>
      <family val="2"/>
    </font>
    <font>
      <b/>
      <i/>
      <sz val="11"/>
      <color theme="4" tint="-0.249977111117893"/>
      <name val="LegacySanITCBoo"/>
      <family val="2"/>
    </font>
    <font>
      <i/>
      <sz val="11"/>
      <color theme="1"/>
      <name val="Calibri"/>
      <family val="2"/>
      <scheme val="minor"/>
    </font>
    <font>
      <i/>
      <sz val="11"/>
      <color theme="3"/>
      <name val="LegacySanITCBoo"/>
      <family val="2"/>
    </font>
    <font>
      <i/>
      <sz val="11"/>
      <color theme="10"/>
      <name val="Calibri"/>
      <family val="2"/>
    </font>
    <font>
      <sz val="11"/>
      <color rgb="FFFF0000"/>
      <name val="LegacySanITCBoo"/>
      <family val="2"/>
    </font>
    <font>
      <b/>
      <sz val="11"/>
      <color rgb="FFFF0000"/>
      <name val="LegacySanITCBoo"/>
      <family val="2"/>
    </font>
    <font>
      <sz val="11"/>
      <color theme="1"/>
      <name val="LegacySanITCBoo"/>
      <family val="2"/>
    </font>
    <font>
      <b/>
      <sz val="11"/>
      <color theme="1"/>
      <name val="LegacySanITCBoo"/>
      <family val="2"/>
    </font>
    <font>
      <b/>
      <sz val="11"/>
      <color rgb="FF1F497D"/>
      <name val="LegacySanITCBoo"/>
      <family val="2"/>
    </font>
    <font>
      <sz val="11"/>
      <color rgb="FF1F497D"/>
      <name val="Calibri"/>
      <family val="2"/>
      <scheme val="minor"/>
    </font>
    <font>
      <b/>
      <sz val="11"/>
      <color rgb="FF1F497D"/>
      <name val="Calibri"/>
      <family val="2"/>
      <scheme val="minor"/>
    </font>
    <font>
      <sz val="11"/>
      <color rgb="FF1F497D"/>
      <name val="LegacySanITCBoo"/>
      <family val="2"/>
    </font>
    <font>
      <i/>
      <sz val="11"/>
      <color rgb="FF1F497D"/>
      <name val="Calibri"/>
      <family val="2"/>
      <scheme val="minor"/>
    </font>
    <font>
      <i/>
      <u/>
      <sz val="11"/>
      <color theme="10"/>
      <name val="Calibri"/>
      <family val="2"/>
    </font>
    <font>
      <b/>
      <i/>
      <sz val="11"/>
      <color rgb="FF1F497D"/>
      <name val="Calibri"/>
      <family val="2"/>
      <scheme val="minor"/>
    </font>
  </fonts>
  <fills count="5">
    <fill>
      <patternFill patternType="none"/>
    </fill>
    <fill>
      <patternFill patternType="gray125"/>
    </fill>
    <fill>
      <patternFill patternType="solid">
        <fgColor indexed="43"/>
      </patternFill>
    </fill>
    <fill>
      <patternFill patternType="solid">
        <fgColor theme="4" tint="-0.249977111117893"/>
        <bgColor indexed="64"/>
      </patternFill>
    </fill>
    <fill>
      <patternFill patternType="solid">
        <fgColor theme="4" tint="0.59999389629810485"/>
        <bgColor indexed="64"/>
      </patternFill>
    </fill>
  </fills>
  <borders count="2">
    <border>
      <left/>
      <right/>
      <top/>
      <bottom/>
      <diagonal/>
    </border>
    <border>
      <left/>
      <right/>
      <top style="thin">
        <color indexed="62"/>
      </top>
      <bottom style="double">
        <color indexed="62"/>
      </bottom>
      <diagonal/>
    </border>
  </borders>
  <cellStyleXfs count="13">
    <xf numFmtId="0" fontId="0" fillId="0" borderId="0"/>
    <xf numFmtId="9" fontId="1" fillId="0" borderId="0" applyFont="0" applyFill="0" applyBorder="0" applyAlignment="0" applyProtection="0"/>
    <xf numFmtId="0" fontId="16" fillId="0" borderId="0" applyNumberFormat="0" applyFill="0" applyBorder="0" applyAlignment="0" applyProtection="0">
      <alignment vertical="top"/>
      <protection locked="0"/>
    </xf>
    <xf numFmtId="166" fontId="2" fillId="0" borderId="0" applyFont="0" applyFill="0" applyBorder="0" applyAlignment="0" applyProtection="0"/>
    <xf numFmtId="0" fontId="3" fillId="2" borderId="0" applyNumberFormat="0" applyBorder="0" applyAlignment="0" applyProtection="0"/>
    <xf numFmtId="0" fontId="3" fillId="2" borderId="0" applyNumberFormat="0" applyBorder="0" applyAlignment="0" applyProtection="0"/>
    <xf numFmtId="0" fontId="3" fillId="2" borderId="0" applyNumberFormat="0" applyBorder="0" applyAlignment="0" applyProtection="0"/>
    <xf numFmtId="0" fontId="2" fillId="0" borderId="0"/>
    <xf numFmtId="0" fontId="2" fillId="0" borderId="0"/>
    <xf numFmtId="0" fontId="2" fillId="0" borderId="0"/>
    <xf numFmtId="0" fontId="4" fillId="0" borderId="1" applyNumberFormat="0" applyFill="0" applyAlignment="0" applyProtection="0"/>
    <xf numFmtId="0" fontId="4" fillId="0" borderId="1" applyNumberFormat="0" applyFill="0" applyAlignment="0" applyProtection="0"/>
    <xf numFmtId="0" fontId="4" fillId="0" borderId="1" applyNumberFormat="0" applyFill="0" applyAlignment="0" applyProtection="0"/>
  </cellStyleXfs>
  <cellXfs count="115">
    <xf numFmtId="0" fontId="0" fillId="0" borderId="0" xfId="0"/>
    <xf numFmtId="0" fontId="20" fillId="0" borderId="0" xfId="0" applyFont="1"/>
    <xf numFmtId="0" fontId="0" fillId="4" borderId="0" xfId="0" applyFill="1"/>
    <xf numFmtId="0" fontId="21" fillId="0" borderId="0" xfId="0" applyFont="1" applyAlignment="1">
      <alignment horizontal="left"/>
    </xf>
    <xf numFmtId="0" fontId="30" fillId="0" borderId="0" xfId="0" applyFont="1"/>
    <xf numFmtId="0" fontId="31" fillId="0" borderId="0" xfId="0" applyFont="1"/>
    <xf numFmtId="0" fontId="32" fillId="0" borderId="0" xfId="0" applyFont="1"/>
    <xf numFmtId="0" fontId="33" fillId="0" borderId="0" xfId="0" applyFont="1"/>
    <xf numFmtId="0" fontId="14" fillId="0" borderId="0" xfId="0" applyFont="1"/>
    <xf numFmtId="0" fontId="13" fillId="0" borderId="0" xfId="0" applyFont="1"/>
    <xf numFmtId="0" fontId="22" fillId="0" borderId="0" xfId="0" applyFont="1"/>
    <xf numFmtId="0" fontId="23" fillId="4" borderId="0" xfId="0" applyFont="1" applyFill="1"/>
    <xf numFmtId="0" fontId="24" fillId="0" borderId="0" xfId="0" applyFont="1" applyAlignment="1">
      <alignment horizontal="left"/>
    </xf>
    <xf numFmtId="0" fontId="22" fillId="0" borderId="0" xfId="0" applyFont="1" applyAlignment="1">
      <alignment horizontal="center"/>
    </xf>
    <xf numFmtId="0" fontId="34" fillId="0" borderId="0" xfId="0" applyFont="1"/>
    <xf numFmtId="0" fontId="5" fillId="0" borderId="0" xfId="0" applyFont="1"/>
    <xf numFmtId="0" fontId="8" fillId="0" borderId="0" xfId="0" applyFont="1"/>
    <xf numFmtId="0" fontId="5" fillId="0" borderId="0" xfId="7" applyFont="1" applyAlignment="1">
      <alignment horizontal="left"/>
    </xf>
    <xf numFmtId="0" fontId="14" fillId="0" borderId="0" xfId="7" applyFont="1"/>
    <xf numFmtId="0" fontId="12" fillId="0" borderId="0" xfId="7" applyFont="1" applyAlignment="1">
      <alignment horizontal="left"/>
    </xf>
    <xf numFmtId="0" fontId="15" fillId="0" borderId="0" xfId="7" applyFont="1"/>
    <xf numFmtId="0" fontId="13" fillId="0" borderId="0" xfId="7" applyFont="1"/>
    <xf numFmtId="0" fontId="17" fillId="0" borderId="0" xfId="7" applyFont="1"/>
    <xf numFmtId="3" fontId="18" fillId="3" borderId="0" xfId="7" applyNumberFormat="1" applyFont="1" applyFill="1" applyAlignment="1">
      <alignment horizontal="center"/>
    </xf>
    <xf numFmtId="0" fontId="7" fillId="0" borderId="0" xfId="7" applyFont="1"/>
    <xf numFmtId="3" fontId="19" fillId="3" borderId="0" xfId="7" applyNumberFormat="1" applyFont="1" applyFill="1" applyAlignment="1">
      <alignment horizontal="center"/>
    </xf>
    <xf numFmtId="0" fontId="9" fillId="0" borderId="0" xfId="7" applyFont="1"/>
    <xf numFmtId="0" fontId="6" fillId="0" borderId="0" xfId="7" applyFont="1" applyAlignment="1">
      <alignment horizontal="center"/>
    </xf>
    <xf numFmtId="3" fontId="7" fillId="0" borderId="0" xfId="7" applyNumberFormat="1" applyFont="1" applyAlignment="1">
      <alignment horizontal="center"/>
    </xf>
    <xf numFmtId="167" fontId="7" fillId="0" borderId="0" xfId="7" applyNumberFormat="1" applyFont="1" applyAlignment="1">
      <alignment horizontal="center"/>
    </xf>
    <xf numFmtId="3" fontId="6" fillId="4" borderId="0" xfId="7" applyNumberFormat="1" applyFont="1" applyFill="1" applyAlignment="1">
      <alignment horizontal="center"/>
    </xf>
    <xf numFmtId="9" fontId="6" fillId="4" borderId="0" xfId="7" applyNumberFormat="1" applyFont="1" applyFill="1" applyAlignment="1">
      <alignment horizontal="center"/>
    </xf>
    <xf numFmtId="3" fontId="6" fillId="0" borderId="0" xfId="7" applyNumberFormat="1" applyFont="1" applyAlignment="1">
      <alignment horizontal="center"/>
    </xf>
    <xf numFmtId="164" fontId="7" fillId="0" borderId="0" xfId="7" applyNumberFormat="1" applyFont="1" applyAlignment="1">
      <alignment horizontal="center"/>
    </xf>
    <xf numFmtId="0" fontId="7" fillId="0" borderId="0" xfId="7" applyFont="1" applyAlignment="1">
      <alignment horizontal="center"/>
    </xf>
    <xf numFmtId="0" fontId="6" fillId="0" borderId="0" xfId="7" applyFont="1"/>
    <xf numFmtId="3" fontId="26" fillId="0" borderId="0" xfId="7" applyNumberFormat="1" applyFont="1" applyAlignment="1">
      <alignment horizontal="center"/>
    </xf>
    <xf numFmtId="167" fontId="26" fillId="0" borderId="0" xfId="7" applyNumberFormat="1" applyFont="1" applyAlignment="1">
      <alignment horizontal="center"/>
    </xf>
    <xf numFmtId="3" fontId="27" fillId="4" borderId="0" xfId="7" applyNumberFormat="1" applyFont="1" applyFill="1" applyAlignment="1">
      <alignment horizontal="center"/>
    </xf>
    <xf numFmtId="9" fontId="27" fillId="4" borderId="0" xfId="7" applyNumberFormat="1" applyFont="1" applyFill="1" applyAlignment="1">
      <alignment horizontal="center"/>
    </xf>
    <xf numFmtId="165" fontId="26" fillId="0" borderId="0" xfId="7" applyNumberFormat="1" applyFont="1" applyAlignment="1">
      <alignment horizontal="center"/>
    </xf>
    <xf numFmtId="0" fontId="17" fillId="4" borderId="0" xfId="7" applyFont="1" applyFill="1" applyAlignment="1">
      <alignment horizontal="center"/>
    </xf>
    <xf numFmtId="3" fontId="28" fillId="0" borderId="0" xfId="7" applyNumberFormat="1" applyFont="1" applyAlignment="1">
      <alignment horizontal="center"/>
    </xf>
    <xf numFmtId="167" fontId="28" fillId="0" borderId="0" xfId="7" applyNumberFormat="1" applyFont="1" applyAlignment="1">
      <alignment horizontal="center"/>
    </xf>
    <xf numFmtId="3" fontId="29" fillId="4" borderId="0" xfId="7" applyNumberFormat="1" applyFont="1" applyFill="1" applyAlignment="1">
      <alignment horizontal="center"/>
    </xf>
    <xf numFmtId="9" fontId="29" fillId="4" borderId="0" xfId="7" applyNumberFormat="1" applyFont="1" applyFill="1" applyAlignment="1">
      <alignment horizontal="center"/>
    </xf>
    <xf numFmtId="9" fontId="28" fillId="0" borderId="0" xfId="7" applyNumberFormat="1" applyFont="1" applyAlignment="1">
      <alignment horizontal="center"/>
    </xf>
    <xf numFmtId="0" fontId="8" fillId="0" borderId="0" xfId="7" applyFont="1"/>
    <xf numFmtId="165" fontId="7" fillId="0" borderId="0" xfId="7" applyNumberFormat="1" applyFont="1" applyAlignment="1">
      <alignment horizontal="center"/>
    </xf>
    <xf numFmtId="9" fontId="7" fillId="0" borderId="0" xfId="7" applyNumberFormat="1" applyFont="1" applyAlignment="1">
      <alignment horizontal="center"/>
    </xf>
    <xf numFmtId="0" fontId="10" fillId="4" borderId="0" xfId="7" applyFont="1" applyFill="1" applyAlignment="1">
      <alignment horizontal="center"/>
    </xf>
    <xf numFmtId="3" fontId="7" fillId="0" borderId="0" xfId="3" applyNumberFormat="1" applyFont="1" applyFill="1" applyBorder="1" applyAlignment="1">
      <alignment horizontal="center"/>
    </xf>
    <xf numFmtId="0" fontId="5" fillId="0" borderId="0" xfId="0" applyFont="1" applyAlignment="1">
      <alignment horizontal="left"/>
    </xf>
    <xf numFmtId="0" fontId="12" fillId="0" borderId="0" xfId="0" applyFont="1" applyAlignment="1">
      <alignment horizontal="left"/>
    </xf>
    <xf numFmtId="0" fontId="15" fillId="0" borderId="0" xfId="0" applyFont="1"/>
    <xf numFmtId="0" fontId="17" fillId="0" borderId="0" xfId="0" applyFont="1"/>
    <xf numFmtId="0" fontId="7" fillId="0" borderId="0" xfId="0" applyFont="1"/>
    <xf numFmtId="0" fontId="6" fillId="0" borderId="0" xfId="0" applyFont="1" applyAlignment="1">
      <alignment horizontal="center"/>
    </xf>
    <xf numFmtId="3" fontId="7" fillId="0" borderId="0" xfId="0" applyNumberFormat="1" applyFont="1" applyAlignment="1">
      <alignment horizontal="center"/>
    </xf>
    <xf numFmtId="167" fontId="7" fillId="0" borderId="0" xfId="0" applyNumberFormat="1" applyFont="1" applyAlignment="1">
      <alignment horizontal="center"/>
    </xf>
    <xf numFmtId="0" fontId="7" fillId="0" borderId="0" xfId="0" applyFont="1" applyAlignment="1">
      <alignment horizontal="center"/>
    </xf>
    <xf numFmtId="3" fontId="6" fillId="0" borderId="0" xfId="0" applyNumberFormat="1" applyFont="1" applyAlignment="1">
      <alignment horizontal="center"/>
    </xf>
    <xf numFmtId="0" fontId="6" fillId="0" borderId="0" xfId="0" applyFont="1"/>
    <xf numFmtId="3" fontId="18" fillId="3" borderId="0" xfId="0" applyNumberFormat="1" applyFont="1" applyFill="1" applyAlignment="1">
      <alignment horizontal="center"/>
    </xf>
    <xf numFmtId="3" fontId="19" fillId="3" borderId="0" xfId="0" applyNumberFormat="1" applyFont="1" applyFill="1" applyAlignment="1">
      <alignment horizontal="center"/>
    </xf>
    <xf numFmtId="0" fontId="9" fillId="0" borderId="0" xfId="0" applyFont="1"/>
    <xf numFmtId="3" fontId="6" fillId="4" borderId="0" xfId="0" applyNumberFormat="1" applyFont="1" applyFill="1" applyAlignment="1">
      <alignment horizontal="center"/>
    </xf>
    <xf numFmtId="9" fontId="6" fillId="4" borderId="0" xfId="0" applyNumberFormat="1" applyFont="1" applyFill="1" applyAlignment="1">
      <alignment horizontal="center"/>
    </xf>
    <xf numFmtId="167" fontId="6" fillId="4" borderId="0" xfId="0" applyNumberFormat="1" applyFont="1" applyFill="1" applyAlignment="1">
      <alignment horizontal="center"/>
    </xf>
    <xf numFmtId="9" fontId="7" fillId="0" borderId="0" xfId="0" applyNumberFormat="1" applyFont="1" applyAlignment="1">
      <alignment horizontal="center"/>
    </xf>
    <xf numFmtId="9" fontId="7" fillId="0" borderId="0" xfId="1" applyFont="1" applyFill="1" applyBorder="1" applyAlignment="1">
      <alignment horizontal="center"/>
    </xf>
    <xf numFmtId="9" fontId="6" fillId="4" borderId="0" xfId="1" applyFont="1" applyFill="1" applyBorder="1" applyAlignment="1">
      <alignment horizontal="center"/>
    </xf>
    <xf numFmtId="9" fontId="6" fillId="0" borderId="0" xfId="1" applyFont="1" applyFill="1" applyBorder="1" applyAlignment="1">
      <alignment horizontal="center"/>
    </xf>
    <xf numFmtId="9" fontId="6" fillId="0" borderId="0" xfId="0" applyNumberFormat="1" applyFont="1" applyAlignment="1">
      <alignment horizontal="center"/>
    </xf>
    <xf numFmtId="167" fontId="7" fillId="0" borderId="0" xfId="1" applyNumberFormat="1" applyFont="1" applyFill="1" applyBorder="1" applyAlignment="1">
      <alignment horizontal="center"/>
    </xf>
    <xf numFmtId="167" fontId="6" fillId="0" borderId="0" xfId="1" applyNumberFormat="1" applyFont="1" applyFill="1" applyBorder="1" applyAlignment="1">
      <alignment horizontal="center"/>
    </xf>
    <xf numFmtId="9" fontId="1" fillId="0" borderId="0" xfId="1" applyFont="1" applyAlignment="1">
      <alignment horizontal="center"/>
    </xf>
    <xf numFmtId="0" fontId="30" fillId="0" borderId="0" xfId="0" applyFont="1" applyAlignment="1">
      <alignment wrapText="1"/>
    </xf>
    <xf numFmtId="0" fontId="31" fillId="0" borderId="0" xfId="0" quotePrefix="1" applyFont="1"/>
    <xf numFmtId="0" fontId="36" fillId="0" borderId="0" xfId="0" quotePrefix="1" applyFont="1"/>
    <xf numFmtId="0" fontId="34" fillId="0" borderId="0" xfId="0" quotePrefix="1" applyFont="1"/>
    <xf numFmtId="0" fontId="36" fillId="0" borderId="0" xfId="0" applyFont="1"/>
    <xf numFmtId="0" fontId="16" fillId="0" borderId="0" xfId="2" applyAlignment="1" applyProtection="1"/>
    <xf numFmtId="0" fontId="35" fillId="0" borderId="0" xfId="2" applyFont="1" applyAlignment="1" applyProtection="1"/>
    <xf numFmtId="0" fontId="32" fillId="0" borderId="0" xfId="0" applyFont="1" applyAlignment="1">
      <alignment horizontal="left"/>
    </xf>
    <xf numFmtId="0" fontId="31" fillId="0" borderId="0" xfId="0" applyFont="1" applyAlignment="1">
      <alignment horizontal="left"/>
    </xf>
    <xf numFmtId="0" fontId="31" fillId="0" borderId="0" xfId="0" quotePrefix="1" applyFont="1" applyAlignment="1">
      <alignment horizontal="justify"/>
    </xf>
    <xf numFmtId="0" fontId="31" fillId="0" borderId="0" xfId="0" quotePrefix="1" applyFont="1" applyAlignment="1">
      <alignment horizontal="justify" vertical="justify"/>
    </xf>
    <xf numFmtId="0" fontId="31" fillId="0" borderId="0" xfId="0" quotePrefix="1" applyFont="1" applyAlignment="1">
      <alignment horizontal="justify" vertical="justify" wrapText="1"/>
    </xf>
    <xf numFmtId="0" fontId="31" fillId="0" borderId="0" xfId="0" quotePrefix="1" applyFont="1" applyAlignment="1">
      <alignment horizontal="left"/>
    </xf>
    <xf numFmtId="0" fontId="20" fillId="0" borderId="0" xfId="0" applyFont="1" applyAlignment="1">
      <alignment horizontal="center"/>
    </xf>
    <xf numFmtId="0" fontId="16" fillId="0" borderId="0" xfId="2" applyBorder="1" applyAlignment="1" applyProtection="1">
      <alignment horizontal="left"/>
    </xf>
    <xf numFmtId="0" fontId="35" fillId="0" borderId="0" xfId="2" applyFont="1" applyBorder="1" applyAlignment="1" applyProtection="1"/>
    <xf numFmtId="0" fontId="35" fillId="0" borderId="0" xfId="2" applyFont="1" applyBorder="1" applyAlignment="1" applyProtection="1">
      <alignment horizontal="left"/>
    </xf>
    <xf numFmtId="0" fontId="22" fillId="0" borderId="0" xfId="0" applyFont="1" applyAlignment="1">
      <alignment horizontal="center"/>
    </xf>
    <xf numFmtId="0" fontId="34" fillId="0" borderId="0" xfId="0" quotePrefix="1" applyFont="1" applyAlignment="1">
      <alignment horizontal="justify" vertical="justify" wrapText="1"/>
    </xf>
    <xf numFmtId="0" fontId="34" fillId="0" borderId="0" xfId="0" quotePrefix="1" applyFont="1" applyAlignment="1">
      <alignment horizontal="justify" vertical="justify"/>
    </xf>
    <xf numFmtId="0" fontId="34" fillId="0" borderId="0" xfId="0" quotePrefix="1" applyFont="1" applyAlignment="1">
      <alignment horizontal="justify" wrapText="1"/>
    </xf>
    <xf numFmtId="0" fontId="34" fillId="0" borderId="0" xfId="0" quotePrefix="1" applyFont="1" applyAlignment="1">
      <alignment horizontal="left" wrapText="1"/>
    </xf>
    <xf numFmtId="0" fontId="34" fillId="0" borderId="0" xfId="0" applyFont="1" applyAlignment="1">
      <alignment horizontal="justify" vertical="justify" wrapText="1"/>
    </xf>
    <xf numFmtId="0" fontId="34" fillId="0" borderId="0" xfId="0" quotePrefix="1" applyFont="1" applyAlignment="1">
      <alignment horizontal="left" vertical="justify" wrapText="1"/>
    </xf>
    <xf numFmtId="0" fontId="25" fillId="0" borderId="0" xfId="2" applyFont="1" applyBorder="1" applyAlignment="1" applyProtection="1">
      <alignment horizontal="left"/>
    </xf>
    <xf numFmtId="0" fontId="18" fillId="3" borderId="0" xfId="7" applyFont="1" applyFill="1" applyAlignment="1">
      <alignment horizontal="center"/>
    </xf>
    <xf numFmtId="3" fontId="19" fillId="3" borderId="0" xfId="7" applyNumberFormat="1" applyFont="1" applyFill="1" applyAlignment="1">
      <alignment horizontal="center"/>
    </xf>
    <xf numFmtId="0" fontId="6" fillId="0" borderId="0" xfId="7" applyFont="1" applyAlignment="1">
      <alignment horizontal="center"/>
    </xf>
    <xf numFmtId="0" fontId="10" fillId="4" borderId="0" xfId="7" applyFont="1" applyFill="1" applyAlignment="1">
      <alignment horizontal="center"/>
    </xf>
    <xf numFmtId="0" fontId="10" fillId="0" borderId="0" xfId="7" applyFont="1" applyAlignment="1">
      <alignment horizontal="center"/>
    </xf>
    <xf numFmtId="0" fontId="18" fillId="3" borderId="0" xfId="0" applyFont="1" applyFill="1" applyAlignment="1">
      <alignment horizontal="center"/>
    </xf>
    <xf numFmtId="3" fontId="19" fillId="3" borderId="0" xfId="0" applyNumberFormat="1" applyFont="1" applyFill="1" applyAlignment="1">
      <alignment horizontal="center"/>
    </xf>
    <xf numFmtId="0" fontId="6" fillId="0" borderId="0" xfId="0" applyFont="1" applyAlignment="1">
      <alignment horizontal="center"/>
    </xf>
    <xf numFmtId="0" fontId="10" fillId="4" borderId="0" xfId="0" applyFont="1" applyFill="1" applyAlignment="1">
      <alignment horizontal="center"/>
    </xf>
    <xf numFmtId="0" fontId="10" fillId="0" borderId="0" xfId="0" applyFont="1" applyAlignment="1">
      <alignment horizontal="center"/>
    </xf>
    <xf numFmtId="0" fontId="11" fillId="0" borderId="0" xfId="0" applyFont="1" applyAlignment="1">
      <alignment horizontal="center"/>
    </xf>
    <xf numFmtId="3" fontId="6" fillId="0" borderId="0" xfId="0" applyNumberFormat="1" applyFont="1" applyAlignment="1">
      <alignment horizontal="center"/>
    </xf>
    <xf numFmtId="0" fontId="6" fillId="4" borderId="0" xfId="0" applyFont="1" applyFill="1" applyAlignment="1">
      <alignment horizontal="center"/>
    </xf>
  </cellXfs>
  <cellStyles count="13">
    <cellStyle name="Hipervínculo" xfId="2" builtinId="8"/>
    <cellStyle name="Millares [0]_alllotjaments311299" xfId="3" xr:uid="{00000000-0005-0000-0000-000001000000}"/>
    <cellStyle name="Neutral 2" xfId="4" xr:uid="{00000000-0005-0000-0000-000002000000}"/>
    <cellStyle name="Neutral 3" xfId="5" xr:uid="{00000000-0005-0000-0000-000003000000}"/>
    <cellStyle name="Neutral 4" xfId="6" xr:uid="{00000000-0005-0000-0000-000004000000}"/>
    <cellStyle name="Normal" xfId="0" builtinId="0"/>
    <cellStyle name="Normal 2" xfId="7" xr:uid="{00000000-0005-0000-0000-000006000000}"/>
    <cellStyle name="Normal 5" xfId="8" xr:uid="{00000000-0005-0000-0000-000007000000}"/>
    <cellStyle name="Normal 6" xfId="9" xr:uid="{00000000-0005-0000-0000-000008000000}"/>
    <cellStyle name="Porcentaje" xfId="1" builtinId="5"/>
    <cellStyle name="Total 2" xfId="10" xr:uid="{00000000-0005-0000-0000-00000A000000}"/>
    <cellStyle name="Total 3" xfId="11" xr:uid="{00000000-0005-0000-0000-00000B000000}"/>
    <cellStyle name="Total 4" xfId="12" xr:uid="{00000000-0005-0000-0000-00000C000000}"/>
  </cellStyles>
  <dxfs count="0"/>
  <tableStyles count="0" defaultTableStyle="TableStyleMedium2" defaultPivotStyle="PivotStyleLight16"/>
  <colors>
    <mruColors>
      <color rgb="FF003366"/>
      <color rgb="FF1F49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C5EA99C6-FFE7-455E-BD86-3EF000E73752}"/>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226C8A64-8BF1-4A16-A6C6-5DDAE4CE7070}"/>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3</xdr:col>
      <xdr:colOff>761143</xdr:colOff>
      <xdr:row>5</xdr:row>
      <xdr:rowOff>42742</xdr:rowOff>
    </xdr:to>
    <xdr:pic>
      <xdr:nvPicPr>
        <xdr:cNvPr id="2" name="Imagen 1">
          <a:extLst>
            <a:ext uri="{FF2B5EF4-FFF2-40B4-BE49-F238E27FC236}">
              <a16:creationId xmlns:a16="http://schemas.microsoft.com/office/drawing/2014/main" id="{D64DA6FE-34BD-44FF-B927-CD59447F9178}"/>
            </a:ext>
          </a:extLst>
        </xdr:cNvPr>
        <xdr:cNvPicPr>
          <a:picLocks noChangeAspect="1"/>
        </xdr:cNvPicPr>
      </xdr:nvPicPr>
      <xdr:blipFill>
        <a:blip xmlns:r="http://schemas.openxmlformats.org/officeDocument/2006/relationships" r:embed="rId1"/>
        <a:stretch>
          <a:fillRect/>
        </a:stretch>
      </xdr:blipFill>
      <xdr:spPr>
        <a:xfrm>
          <a:off x="0" y="190500"/>
          <a:ext cx="3304318" cy="804742"/>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8:K105"/>
  <sheetViews>
    <sheetView showGridLines="0" tabSelected="1" view="pageBreakPreview" zoomScaleNormal="100" zoomScaleSheetLayoutView="100" workbookViewId="0">
      <selection activeCell="A12" sqref="A12:K12"/>
    </sheetView>
  </sheetViews>
  <sheetFormatPr baseColWidth="10" defaultRowHeight="15"/>
  <cols>
    <col min="1" max="11" width="12.7109375" customWidth="1"/>
  </cols>
  <sheetData>
    <row r="8" spans="1:11">
      <c r="E8" s="1"/>
    </row>
    <row r="9" spans="1:11">
      <c r="E9" s="1"/>
    </row>
    <row r="10" spans="1:11">
      <c r="E10" s="1"/>
    </row>
    <row r="11" spans="1:11">
      <c r="E11" s="1"/>
    </row>
    <row r="12" spans="1:11">
      <c r="A12" s="90" t="s">
        <v>0</v>
      </c>
      <c r="B12" s="90"/>
      <c r="C12" s="90"/>
      <c r="D12" s="90"/>
      <c r="E12" s="90"/>
      <c r="F12" s="90"/>
      <c r="G12" s="90"/>
      <c r="H12" s="90"/>
      <c r="I12" s="90"/>
      <c r="J12" s="90"/>
      <c r="K12" s="90"/>
    </row>
    <row r="15" spans="1:11">
      <c r="A15" s="2"/>
      <c r="B15" s="2"/>
      <c r="C15" s="2"/>
      <c r="D15" s="2"/>
      <c r="E15" s="2"/>
      <c r="F15" s="2"/>
      <c r="G15" s="2"/>
      <c r="H15" s="2"/>
      <c r="I15" s="2"/>
      <c r="J15" s="2"/>
      <c r="K15" s="2"/>
    </row>
    <row r="17" spans="1:11" s="82" customFormat="1">
      <c r="A17" s="91" t="s">
        <v>235</v>
      </c>
      <c r="B17" s="91"/>
      <c r="C17" s="91"/>
      <c r="D17" s="91"/>
      <c r="E17" s="91"/>
      <c r="F17" s="91"/>
      <c r="G17" s="91"/>
      <c r="H17" s="91"/>
      <c r="I17" s="91"/>
      <c r="J17" s="91"/>
      <c r="K17" s="91"/>
    </row>
    <row r="18" spans="1:11" s="82" customFormat="1">
      <c r="A18" s="91" t="s">
        <v>236</v>
      </c>
      <c r="B18" s="91"/>
      <c r="C18" s="91"/>
      <c r="D18" s="91"/>
      <c r="E18" s="91"/>
      <c r="F18" s="91"/>
      <c r="G18" s="91"/>
      <c r="H18" s="91"/>
      <c r="I18" s="91"/>
      <c r="J18" s="91"/>
      <c r="K18" s="91"/>
    </row>
    <row r="19" spans="1:11" s="82" customFormat="1">
      <c r="A19" s="91" t="s">
        <v>237</v>
      </c>
      <c r="B19" s="91"/>
      <c r="C19" s="91"/>
      <c r="D19" s="91"/>
      <c r="E19" s="91"/>
      <c r="F19" s="91"/>
      <c r="G19" s="91"/>
      <c r="H19" s="91"/>
      <c r="I19" s="91"/>
      <c r="J19" s="91"/>
      <c r="K19" s="91"/>
    </row>
    <row r="20" spans="1:11" s="82" customFormat="1">
      <c r="A20" s="91" t="s">
        <v>238</v>
      </c>
      <c r="B20" s="91"/>
      <c r="C20" s="91"/>
      <c r="D20" s="91"/>
      <c r="E20" s="91"/>
      <c r="F20" s="91"/>
      <c r="G20" s="91"/>
      <c r="H20" s="91"/>
      <c r="I20" s="91"/>
      <c r="J20" s="91"/>
      <c r="K20" s="91"/>
    </row>
    <row r="21" spans="1:11" s="82" customFormat="1">
      <c r="A21" s="91" t="s">
        <v>239</v>
      </c>
      <c r="B21" s="91"/>
      <c r="C21" s="91"/>
      <c r="D21" s="91"/>
      <c r="E21" s="91"/>
      <c r="F21" s="91"/>
      <c r="G21" s="91"/>
      <c r="H21" s="91"/>
      <c r="I21" s="91"/>
      <c r="J21" s="91"/>
      <c r="K21" s="91"/>
    </row>
    <row r="22" spans="1:11" s="82" customFormat="1">
      <c r="A22" s="91" t="s">
        <v>240</v>
      </c>
      <c r="B22" s="91"/>
      <c r="C22" s="91"/>
      <c r="D22" s="91"/>
      <c r="E22" s="91"/>
      <c r="F22" s="91"/>
      <c r="G22" s="91"/>
      <c r="H22" s="91"/>
      <c r="I22" s="91"/>
      <c r="J22" s="91"/>
      <c r="K22" s="91"/>
    </row>
    <row r="23" spans="1:11" s="82" customFormat="1">
      <c r="A23" s="91" t="s">
        <v>241</v>
      </c>
      <c r="B23" s="91"/>
      <c r="C23" s="91"/>
      <c r="D23" s="91"/>
      <c r="E23" s="91"/>
      <c r="F23" s="91"/>
      <c r="G23" s="91"/>
      <c r="H23" s="91"/>
      <c r="I23" s="91"/>
      <c r="J23" s="91"/>
      <c r="K23" s="91"/>
    </row>
    <row r="24" spans="1:11" s="82" customFormat="1">
      <c r="A24" s="91" t="s">
        <v>242</v>
      </c>
      <c r="B24" s="91"/>
      <c r="C24" s="91"/>
      <c r="D24" s="91"/>
      <c r="E24" s="91"/>
      <c r="F24" s="91"/>
      <c r="G24" s="91"/>
      <c r="H24" s="91"/>
      <c r="I24" s="91"/>
      <c r="J24" s="91"/>
      <c r="K24" s="91"/>
    </row>
    <row r="25" spans="1:11" s="82" customFormat="1">
      <c r="A25" s="91" t="s">
        <v>243</v>
      </c>
      <c r="B25" s="91"/>
      <c r="C25" s="91"/>
      <c r="D25" s="91"/>
      <c r="E25" s="91"/>
      <c r="F25" s="91"/>
      <c r="G25" s="91"/>
      <c r="H25" s="91"/>
      <c r="I25" s="91"/>
      <c r="J25" s="91"/>
      <c r="K25" s="91"/>
    </row>
    <row r="26" spans="1:11" s="82" customFormat="1">
      <c r="A26" s="91" t="s">
        <v>244</v>
      </c>
      <c r="B26" s="91"/>
      <c r="C26" s="91"/>
      <c r="D26" s="91"/>
      <c r="E26" s="91"/>
      <c r="F26" s="91"/>
      <c r="G26" s="91"/>
      <c r="H26" s="91"/>
      <c r="I26" s="91"/>
      <c r="J26" s="91"/>
      <c r="K26" s="91"/>
    </row>
    <row r="27" spans="1:11" s="82" customFormat="1">
      <c r="A27" s="91" t="s">
        <v>245</v>
      </c>
      <c r="B27" s="91"/>
      <c r="C27" s="91"/>
      <c r="D27" s="91"/>
      <c r="E27" s="91"/>
      <c r="F27" s="91"/>
      <c r="G27" s="91"/>
      <c r="H27" s="91"/>
      <c r="I27" s="91"/>
      <c r="J27" s="91"/>
      <c r="K27" s="91"/>
    </row>
    <row r="28" spans="1:11" s="82" customFormat="1">
      <c r="A28" s="91" t="s">
        <v>246</v>
      </c>
      <c r="B28" s="91"/>
      <c r="C28" s="91"/>
      <c r="D28" s="91"/>
      <c r="E28" s="91"/>
      <c r="F28" s="91"/>
      <c r="G28" s="91"/>
      <c r="H28" s="91"/>
      <c r="I28" s="91"/>
      <c r="J28" s="91"/>
      <c r="K28" s="91"/>
    </row>
    <row r="29" spans="1:11" s="82" customFormat="1">
      <c r="A29" s="91" t="s">
        <v>247</v>
      </c>
      <c r="B29" s="91"/>
      <c r="C29" s="91"/>
      <c r="D29" s="91"/>
      <c r="E29" s="91"/>
      <c r="F29" s="91"/>
      <c r="G29" s="91"/>
      <c r="H29" s="91"/>
      <c r="I29" s="91"/>
      <c r="J29" s="91"/>
      <c r="K29" s="91"/>
    </row>
    <row r="30" spans="1:11" s="82" customFormat="1">
      <c r="A30" s="91" t="s">
        <v>248</v>
      </c>
      <c r="B30" s="91"/>
      <c r="C30" s="91"/>
      <c r="D30" s="91"/>
      <c r="E30" s="91"/>
      <c r="F30" s="91"/>
      <c r="G30" s="91"/>
      <c r="H30" s="91"/>
      <c r="I30" s="91"/>
      <c r="J30" s="91"/>
      <c r="K30" s="91"/>
    </row>
    <row r="31" spans="1:11" s="82" customFormat="1">
      <c r="A31" s="91" t="s">
        <v>249</v>
      </c>
      <c r="B31" s="91"/>
      <c r="C31" s="91"/>
      <c r="D31" s="91"/>
      <c r="E31" s="91"/>
      <c r="F31" s="91"/>
      <c r="G31" s="91"/>
      <c r="H31" s="91"/>
      <c r="I31" s="91"/>
      <c r="J31" s="91"/>
      <c r="K31" s="91"/>
    </row>
    <row r="32" spans="1:11" s="82" customFormat="1">
      <c r="A32" s="91" t="s">
        <v>250</v>
      </c>
      <c r="B32" s="91"/>
      <c r="C32" s="91"/>
      <c r="D32" s="91"/>
      <c r="E32" s="91"/>
      <c r="F32" s="91"/>
      <c r="G32" s="91"/>
      <c r="H32" s="91"/>
      <c r="I32" s="91"/>
      <c r="J32" s="91"/>
      <c r="K32" s="91"/>
    </row>
    <row r="33" spans="1:11" s="82" customFormat="1">
      <c r="A33" s="91" t="s">
        <v>251</v>
      </c>
      <c r="B33" s="91"/>
      <c r="C33" s="91"/>
      <c r="D33" s="91"/>
      <c r="E33" s="91"/>
      <c r="F33" s="91"/>
      <c r="G33" s="91"/>
      <c r="H33" s="91"/>
      <c r="I33" s="91"/>
      <c r="J33" s="91"/>
      <c r="K33" s="91"/>
    </row>
    <row r="34" spans="1:11" s="82" customFormat="1">
      <c r="A34" s="91" t="s">
        <v>252</v>
      </c>
      <c r="B34" s="91"/>
      <c r="C34" s="91"/>
      <c r="D34" s="91"/>
      <c r="E34" s="91"/>
      <c r="F34" s="91"/>
      <c r="G34" s="91"/>
      <c r="H34" s="91"/>
      <c r="I34" s="91"/>
      <c r="J34" s="91"/>
      <c r="K34" s="91"/>
    </row>
    <row r="35" spans="1:11" s="82" customFormat="1">
      <c r="A35" s="91" t="s">
        <v>253</v>
      </c>
      <c r="B35" s="91"/>
      <c r="C35" s="91"/>
      <c r="D35" s="91"/>
      <c r="E35" s="91"/>
      <c r="F35" s="91"/>
      <c r="G35" s="91"/>
      <c r="H35" s="91"/>
      <c r="I35" s="91"/>
      <c r="J35" s="91"/>
      <c r="K35" s="91"/>
    </row>
    <row r="36" spans="1:11" s="82" customFormat="1">
      <c r="A36" s="91" t="s">
        <v>254</v>
      </c>
      <c r="B36" s="91"/>
      <c r="C36" s="91"/>
      <c r="D36" s="91"/>
      <c r="E36" s="91"/>
      <c r="F36" s="91"/>
      <c r="G36" s="91"/>
      <c r="H36" s="91"/>
      <c r="I36" s="91"/>
      <c r="J36" s="91"/>
      <c r="K36" s="91"/>
    </row>
    <row r="37" spans="1:11">
      <c r="A37" s="3"/>
      <c r="B37" s="3"/>
      <c r="C37" s="3"/>
      <c r="D37" s="3"/>
      <c r="E37" s="3"/>
      <c r="F37" s="3"/>
      <c r="G37" s="3"/>
      <c r="H37" s="3"/>
      <c r="I37" s="3"/>
      <c r="J37" s="3"/>
    </row>
    <row r="38" spans="1:11">
      <c r="A38" s="2"/>
      <c r="B38" s="2"/>
      <c r="C38" s="2"/>
      <c r="D38" s="2"/>
      <c r="E38" s="2"/>
      <c r="F38" s="2"/>
      <c r="G38" s="2"/>
      <c r="H38" s="2"/>
      <c r="I38" s="2"/>
      <c r="J38" s="2"/>
      <c r="K38" s="2"/>
    </row>
    <row r="40" spans="1:11">
      <c r="A40" s="6" t="s">
        <v>1</v>
      </c>
      <c r="B40" s="5"/>
      <c r="C40" s="5"/>
      <c r="D40" s="5"/>
      <c r="E40" s="5"/>
      <c r="F40" s="5"/>
      <c r="G40" s="5"/>
      <c r="H40" s="5"/>
      <c r="I40" s="5"/>
      <c r="J40" s="5"/>
      <c r="K40" s="5"/>
    </row>
    <row r="41" spans="1:11">
      <c r="A41" s="6"/>
      <c r="B41" s="5"/>
      <c r="C41" s="5"/>
      <c r="D41" s="5"/>
      <c r="E41" s="5"/>
      <c r="F41" s="5"/>
      <c r="G41" s="5"/>
      <c r="H41" s="5"/>
      <c r="I41" s="5"/>
      <c r="J41" s="5"/>
      <c r="K41" s="77"/>
    </row>
    <row r="42" spans="1:11">
      <c r="A42" s="86" t="s">
        <v>148</v>
      </c>
      <c r="B42" s="86"/>
      <c r="C42" s="86"/>
      <c r="D42" s="86"/>
      <c r="E42" s="86"/>
      <c r="F42" s="86"/>
      <c r="G42" s="86"/>
      <c r="H42" s="86"/>
      <c r="I42" s="86"/>
      <c r="J42" s="86"/>
      <c r="K42" s="86"/>
    </row>
    <row r="43" spans="1:11">
      <c r="A43" s="88" t="s">
        <v>149</v>
      </c>
      <c r="B43" s="88"/>
      <c r="C43" s="88"/>
      <c r="D43" s="88"/>
      <c r="E43" s="88"/>
      <c r="F43" s="88"/>
      <c r="G43" s="88"/>
      <c r="H43" s="88"/>
      <c r="I43" s="88"/>
      <c r="J43" s="88"/>
      <c r="K43" s="88"/>
    </row>
    <row r="44" spans="1:11">
      <c r="A44" s="88"/>
      <c r="B44" s="88"/>
      <c r="C44" s="88"/>
      <c r="D44" s="88"/>
      <c r="E44" s="88"/>
      <c r="F44" s="88"/>
      <c r="G44" s="88"/>
      <c r="H44" s="88"/>
      <c r="I44" s="88"/>
      <c r="J44" s="88"/>
      <c r="K44" s="88"/>
    </row>
    <row r="45" spans="1:11">
      <c r="A45" s="88" t="s">
        <v>2</v>
      </c>
      <c r="B45" s="88"/>
      <c r="C45" s="88"/>
      <c r="D45" s="88"/>
      <c r="E45" s="88"/>
      <c r="F45" s="88"/>
      <c r="G45" s="88"/>
      <c r="H45" s="88"/>
      <c r="I45" s="88"/>
      <c r="J45" s="88"/>
      <c r="K45" s="88"/>
    </row>
    <row r="46" spans="1:11">
      <c r="A46" s="88"/>
      <c r="B46" s="88"/>
      <c r="C46" s="88"/>
      <c r="D46" s="88"/>
      <c r="E46" s="88"/>
      <c r="F46" s="88"/>
      <c r="G46" s="88"/>
      <c r="H46" s="88"/>
      <c r="I46" s="88"/>
      <c r="J46" s="88"/>
      <c r="K46" s="88"/>
    </row>
    <row r="47" spans="1:11">
      <c r="A47" s="88" t="s">
        <v>3</v>
      </c>
      <c r="B47" s="88"/>
      <c r="C47" s="88"/>
      <c r="D47" s="88"/>
      <c r="E47" s="88"/>
      <c r="F47" s="88"/>
      <c r="G47" s="88"/>
      <c r="H47" s="88"/>
      <c r="I47" s="88"/>
      <c r="J47" s="88"/>
      <c r="K47" s="88"/>
    </row>
    <row r="48" spans="1:11">
      <c r="A48" s="88"/>
      <c r="B48" s="88"/>
      <c r="C48" s="88"/>
      <c r="D48" s="88"/>
      <c r="E48" s="88"/>
      <c r="F48" s="88"/>
      <c r="G48" s="88"/>
      <c r="H48" s="88"/>
      <c r="I48" s="88"/>
      <c r="J48" s="88"/>
      <c r="K48" s="88"/>
    </row>
    <row r="49" spans="1:11">
      <c r="A49" s="87" t="s">
        <v>4</v>
      </c>
      <c r="B49" s="87"/>
      <c r="C49" s="87"/>
      <c r="D49" s="87"/>
      <c r="E49" s="87"/>
      <c r="F49" s="87"/>
      <c r="G49" s="87"/>
      <c r="H49" s="87"/>
      <c r="I49" s="87"/>
      <c r="J49" s="87"/>
      <c r="K49" s="87"/>
    </row>
    <row r="50" spans="1:11">
      <c r="A50" s="88" t="s">
        <v>5</v>
      </c>
      <c r="B50" s="88"/>
      <c r="C50" s="88"/>
      <c r="D50" s="88"/>
      <c r="E50" s="88"/>
      <c r="F50" s="88"/>
      <c r="G50" s="88"/>
      <c r="H50" s="88"/>
      <c r="I50" s="88"/>
      <c r="J50" s="88"/>
      <c r="K50" s="88"/>
    </row>
    <row r="51" spans="1:11">
      <c r="A51" s="87" t="s">
        <v>6</v>
      </c>
      <c r="B51" s="87"/>
      <c r="C51" s="87"/>
      <c r="D51" s="87"/>
      <c r="E51" s="87"/>
      <c r="F51" s="87"/>
      <c r="G51" s="87"/>
      <c r="H51" s="87"/>
      <c r="I51" s="87"/>
      <c r="J51" s="87"/>
      <c r="K51" s="87"/>
    </row>
    <row r="52" spans="1:11">
      <c r="A52" s="88" t="s">
        <v>150</v>
      </c>
      <c r="B52" s="88"/>
      <c r="C52" s="88"/>
      <c r="D52" s="88"/>
      <c r="E52" s="88"/>
      <c r="F52" s="88"/>
      <c r="G52" s="88"/>
      <c r="H52" s="88"/>
      <c r="I52" s="88"/>
      <c r="J52" s="88"/>
      <c r="K52" s="88"/>
    </row>
    <row r="53" spans="1:11">
      <c r="A53" s="88"/>
      <c r="B53" s="88"/>
      <c r="C53" s="88"/>
      <c r="D53" s="88"/>
      <c r="E53" s="88"/>
      <c r="F53" s="88"/>
      <c r="G53" s="88"/>
      <c r="H53" s="88"/>
      <c r="I53" s="88"/>
      <c r="J53" s="88"/>
      <c r="K53" s="88"/>
    </row>
    <row r="54" spans="1:11">
      <c r="A54" s="78" t="s">
        <v>151</v>
      </c>
      <c r="B54" s="5"/>
      <c r="C54" s="5"/>
      <c r="D54" s="5"/>
      <c r="E54" s="5"/>
      <c r="F54" s="5"/>
      <c r="G54" s="5"/>
      <c r="H54" s="5"/>
      <c r="I54" s="5"/>
      <c r="J54" s="5"/>
      <c r="K54" s="77"/>
    </row>
    <row r="55" spans="1:11">
      <c r="A55" s="88" t="s">
        <v>152</v>
      </c>
      <c r="B55" s="88"/>
      <c r="C55" s="88"/>
      <c r="D55" s="88"/>
      <c r="E55" s="88"/>
      <c r="F55" s="88"/>
      <c r="G55" s="88"/>
      <c r="H55" s="88"/>
      <c r="I55" s="88"/>
      <c r="J55" s="88"/>
      <c r="K55" s="88"/>
    </row>
    <row r="56" spans="1:11">
      <c r="A56" s="88"/>
      <c r="B56" s="88"/>
      <c r="C56" s="88"/>
      <c r="D56" s="88"/>
      <c r="E56" s="88"/>
      <c r="F56" s="88"/>
      <c r="G56" s="88"/>
      <c r="H56" s="88"/>
      <c r="I56" s="88"/>
      <c r="J56" s="88"/>
      <c r="K56" s="88"/>
    </row>
    <row r="57" spans="1:11">
      <c r="A57" s="88"/>
      <c r="B57" s="88"/>
      <c r="C57" s="88"/>
      <c r="D57" s="88"/>
      <c r="E57" s="88"/>
      <c r="F57" s="88"/>
      <c r="G57" s="88"/>
      <c r="H57" s="88"/>
      <c r="I57" s="88"/>
      <c r="J57" s="88"/>
      <c r="K57" s="88"/>
    </row>
    <row r="58" spans="1:11">
      <c r="A58" s="88"/>
      <c r="B58" s="88"/>
      <c r="C58" s="88"/>
      <c r="D58" s="88"/>
      <c r="E58" s="88"/>
      <c r="F58" s="88"/>
      <c r="G58" s="88"/>
      <c r="H58" s="88"/>
      <c r="I58" s="88"/>
      <c r="J58" s="88"/>
      <c r="K58" s="88"/>
    </row>
    <row r="59" spans="1:11">
      <c r="A59" s="88" t="s">
        <v>153</v>
      </c>
      <c r="B59" s="88"/>
      <c r="C59" s="88"/>
      <c r="D59" s="88"/>
      <c r="E59" s="88"/>
      <c r="F59" s="88"/>
      <c r="G59" s="88"/>
      <c r="H59" s="88"/>
      <c r="I59" s="88"/>
      <c r="J59" s="88"/>
      <c r="K59" s="88"/>
    </row>
    <row r="60" spans="1:11">
      <c r="A60" s="88"/>
      <c r="B60" s="88"/>
      <c r="C60" s="88"/>
      <c r="D60" s="88"/>
      <c r="E60" s="88"/>
      <c r="F60" s="88"/>
      <c r="G60" s="88"/>
      <c r="H60" s="88"/>
      <c r="I60" s="88"/>
      <c r="J60" s="88"/>
      <c r="K60" s="88"/>
    </row>
    <row r="61" spans="1:11">
      <c r="A61" s="88" t="s">
        <v>154</v>
      </c>
      <c r="B61" s="88"/>
      <c r="C61" s="88"/>
      <c r="D61" s="88"/>
      <c r="E61" s="88"/>
      <c r="F61" s="88"/>
      <c r="G61" s="88"/>
      <c r="H61" s="88"/>
      <c r="I61" s="88"/>
      <c r="J61" s="88"/>
      <c r="K61" s="88"/>
    </row>
    <row r="62" spans="1:11">
      <c r="A62" s="88"/>
      <c r="B62" s="88"/>
      <c r="C62" s="88"/>
      <c r="D62" s="88"/>
      <c r="E62" s="88"/>
      <c r="F62" s="88"/>
      <c r="G62" s="88"/>
      <c r="H62" s="88"/>
      <c r="I62" s="88"/>
      <c r="J62" s="88"/>
      <c r="K62" s="88"/>
    </row>
    <row r="63" spans="1:11" ht="15" customHeight="1">
      <c r="A63" s="88" t="s">
        <v>155</v>
      </c>
      <c r="B63" s="88"/>
      <c r="C63" s="88"/>
      <c r="D63" s="88"/>
      <c r="E63" s="88"/>
      <c r="F63" s="88"/>
      <c r="G63" s="88"/>
      <c r="H63" s="88"/>
      <c r="I63" s="88"/>
      <c r="J63" s="88"/>
      <c r="K63" s="88"/>
    </row>
    <row r="64" spans="1:11">
      <c r="A64" s="88"/>
      <c r="B64" s="88"/>
      <c r="C64" s="88"/>
      <c r="D64" s="88"/>
      <c r="E64" s="88"/>
      <c r="F64" s="88"/>
      <c r="G64" s="88"/>
      <c r="H64" s="88"/>
      <c r="I64" s="88"/>
      <c r="J64" s="88"/>
      <c r="K64" s="88"/>
    </row>
    <row r="65" spans="1:11">
      <c r="A65" s="88" t="s">
        <v>156</v>
      </c>
      <c r="B65" s="88"/>
      <c r="C65" s="88"/>
      <c r="D65" s="88"/>
      <c r="E65" s="88"/>
      <c r="F65" s="88"/>
      <c r="G65" s="88"/>
      <c r="H65" s="88"/>
      <c r="I65" s="88"/>
      <c r="J65" s="88"/>
      <c r="K65" s="88"/>
    </row>
    <row r="66" spans="1:11" ht="15" customHeight="1">
      <c r="A66" s="88"/>
      <c r="B66" s="88"/>
      <c r="C66" s="88"/>
      <c r="D66" s="88"/>
      <c r="E66" s="88"/>
      <c r="F66" s="88"/>
      <c r="G66" s="88"/>
      <c r="H66" s="88"/>
      <c r="I66" s="88"/>
      <c r="J66" s="88"/>
      <c r="K66" s="88"/>
    </row>
    <row r="67" spans="1:11">
      <c r="A67" s="88"/>
      <c r="B67" s="88"/>
      <c r="C67" s="88"/>
      <c r="D67" s="88"/>
      <c r="E67" s="88"/>
      <c r="F67" s="88"/>
      <c r="G67" s="88"/>
      <c r="H67" s="88"/>
      <c r="I67" s="88"/>
      <c r="J67" s="88"/>
      <c r="K67" s="88"/>
    </row>
    <row r="68" spans="1:11">
      <c r="A68" s="88"/>
      <c r="B68" s="88"/>
      <c r="C68" s="88"/>
      <c r="D68" s="88"/>
      <c r="E68" s="88"/>
      <c r="F68" s="88"/>
      <c r="G68" s="88"/>
      <c r="H68" s="88"/>
      <c r="I68" s="88"/>
      <c r="J68" s="88"/>
      <c r="K68" s="88"/>
    </row>
    <row r="69" spans="1:11">
      <c r="A69" s="88" t="s">
        <v>157</v>
      </c>
      <c r="B69" s="88"/>
      <c r="C69" s="88"/>
      <c r="D69" s="88"/>
      <c r="E69" s="88"/>
      <c r="F69" s="88"/>
      <c r="G69" s="88"/>
      <c r="H69" s="88"/>
      <c r="I69" s="88"/>
      <c r="J69" s="88"/>
      <c r="K69" s="88"/>
    </row>
    <row r="70" spans="1:11">
      <c r="A70" s="88" t="s">
        <v>158</v>
      </c>
      <c r="B70" s="88"/>
      <c r="C70" s="88"/>
      <c r="D70" s="88"/>
      <c r="E70" s="88"/>
      <c r="F70" s="88"/>
      <c r="G70" s="88"/>
      <c r="H70" s="88"/>
      <c r="I70" s="88"/>
      <c r="J70" s="88"/>
      <c r="K70" s="88"/>
    </row>
    <row r="71" spans="1:11">
      <c r="A71" s="88"/>
      <c r="B71" s="88"/>
      <c r="C71" s="88"/>
      <c r="D71" s="88"/>
      <c r="E71" s="88"/>
      <c r="F71" s="88"/>
      <c r="G71" s="88"/>
      <c r="H71" s="88"/>
      <c r="I71" s="88"/>
      <c r="J71" s="88"/>
      <c r="K71" s="88"/>
    </row>
    <row r="72" spans="1:11">
      <c r="A72" s="89" t="s">
        <v>159</v>
      </c>
      <c r="B72" s="89"/>
      <c r="C72" s="89"/>
      <c r="D72" s="89"/>
      <c r="E72" s="89"/>
      <c r="F72" s="89"/>
      <c r="G72" s="89"/>
      <c r="H72" s="89"/>
      <c r="I72" s="89"/>
      <c r="J72" s="89"/>
      <c r="K72" s="89"/>
    </row>
    <row r="73" spans="1:11">
      <c r="A73" s="89" t="s">
        <v>160</v>
      </c>
      <c r="B73" s="89"/>
      <c r="C73" s="89"/>
      <c r="D73" s="89"/>
      <c r="E73" s="89"/>
      <c r="F73" s="89"/>
      <c r="G73" s="89"/>
      <c r="H73" s="89"/>
      <c r="I73" s="89"/>
      <c r="J73" s="89"/>
      <c r="K73" s="89"/>
    </row>
    <row r="74" spans="1:11">
      <c r="A74" s="88" t="s">
        <v>161</v>
      </c>
      <c r="B74" s="88"/>
      <c r="C74" s="88"/>
      <c r="D74" s="88"/>
      <c r="E74" s="88"/>
      <c r="F74" s="88"/>
      <c r="G74" s="88"/>
      <c r="H74" s="88"/>
      <c r="I74" s="88"/>
      <c r="J74" s="88"/>
      <c r="K74" s="88"/>
    </row>
    <row r="75" spans="1:11">
      <c r="A75" s="88"/>
      <c r="B75" s="88"/>
      <c r="C75" s="88"/>
      <c r="D75" s="88"/>
      <c r="E75" s="88"/>
      <c r="F75" s="88"/>
      <c r="G75" s="88"/>
      <c r="H75" s="88"/>
      <c r="I75" s="88"/>
      <c r="J75" s="88"/>
      <c r="K75" s="88"/>
    </row>
    <row r="76" spans="1:11">
      <c r="A76" s="88"/>
      <c r="B76" s="88"/>
      <c r="C76" s="88"/>
      <c r="D76" s="88"/>
      <c r="E76" s="88"/>
      <c r="F76" s="88"/>
      <c r="G76" s="88"/>
      <c r="H76" s="88"/>
      <c r="I76" s="88"/>
      <c r="J76" s="88"/>
      <c r="K76" s="88"/>
    </row>
    <row r="77" spans="1:11">
      <c r="A77" s="88"/>
      <c r="B77" s="88"/>
      <c r="C77" s="88"/>
      <c r="D77" s="88"/>
      <c r="E77" s="88"/>
      <c r="F77" s="88"/>
      <c r="G77" s="88"/>
      <c r="H77" s="88"/>
      <c r="I77" s="88"/>
      <c r="J77" s="88"/>
      <c r="K77" s="88"/>
    </row>
    <row r="78" spans="1:11">
      <c r="A78" s="88" t="s">
        <v>162</v>
      </c>
      <c r="B78" s="88"/>
      <c r="C78" s="88"/>
      <c r="D78" s="88"/>
      <c r="E78" s="88"/>
      <c r="F78" s="88"/>
      <c r="G78" s="88"/>
      <c r="H78" s="88"/>
      <c r="I78" s="88"/>
      <c r="J78" s="88"/>
      <c r="K78" s="88"/>
    </row>
    <row r="79" spans="1:11">
      <c r="A79" s="88"/>
      <c r="B79" s="88"/>
      <c r="C79" s="88"/>
      <c r="D79" s="88"/>
      <c r="E79" s="88"/>
      <c r="F79" s="88"/>
      <c r="G79" s="88"/>
      <c r="H79" s="88"/>
      <c r="I79" s="88"/>
      <c r="J79" s="88"/>
      <c r="K79" s="88"/>
    </row>
    <row r="80" spans="1:11">
      <c r="A80" s="88"/>
      <c r="B80" s="88"/>
      <c r="C80" s="88"/>
      <c r="D80" s="88"/>
      <c r="E80" s="88"/>
      <c r="F80" s="88"/>
      <c r="G80" s="88"/>
      <c r="H80" s="88"/>
      <c r="I80" s="88"/>
      <c r="J80" s="88"/>
      <c r="K80" s="88"/>
    </row>
    <row r="81" spans="1:11">
      <c r="A81" s="88" t="s">
        <v>163</v>
      </c>
      <c r="B81" s="88"/>
      <c r="C81" s="88"/>
      <c r="D81" s="88"/>
      <c r="E81" s="88"/>
      <c r="F81" s="88"/>
      <c r="G81" s="88"/>
      <c r="H81" s="88"/>
      <c r="I81" s="88"/>
      <c r="J81" s="88"/>
      <c r="K81" s="88"/>
    </row>
    <row r="82" spans="1:11">
      <c r="A82" s="88"/>
      <c r="B82" s="88"/>
      <c r="C82" s="88"/>
      <c r="D82" s="88"/>
      <c r="E82" s="88"/>
      <c r="F82" s="88"/>
      <c r="G82" s="88"/>
      <c r="H82" s="88"/>
      <c r="I82" s="88"/>
      <c r="J82" s="88"/>
      <c r="K82" s="88"/>
    </row>
    <row r="83" spans="1:11">
      <c r="A83" s="88" t="s">
        <v>164</v>
      </c>
      <c r="B83" s="88"/>
      <c r="C83" s="88"/>
      <c r="D83" s="88"/>
      <c r="E83" s="88"/>
      <c r="F83" s="88"/>
      <c r="G83" s="88"/>
      <c r="H83" s="88"/>
      <c r="I83" s="88"/>
      <c r="J83" s="88"/>
      <c r="K83" s="88"/>
    </row>
    <row r="84" spans="1:11" ht="15" customHeight="1">
      <c r="A84" s="88"/>
      <c r="B84" s="88"/>
      <c r="C84" s="88"/>
      <c r="D84" s="88"/>
      <c r="E84" s="88"/>
      <c r="F84" s="88"/>
      <c r="G84" s="88"/>
      <c r="H84" s="88"/>
      <c r="I84" s="88"/>
      <c r="J84" s="88"/>
      <c r="K84" s="88"/>
    </row>
    <row r="85" spans="1:11">
      <c r="A85" s="88" t="s">
        <v>165</v>
      </c>
      <c r="B85" s="88"/>
      <c r="C85" s="88"/>
      <c r="D85" s="88"/>
      <c r="E85" s="88"/>
      <c r="F85" s="88"/>
      <c r="G85" s="88"/>
      <c r="H85" s="88"/>
      <c r="I85" s="88"/>
      <c r="J85" s="88"/>
      <c r="K85" s="88"/>
    </row>
    <row r="86" spans="1:11">
      <c r="A86" s="88"/>
      <c r="B86" s="88"/>
      <c r="C86" s="88"/>
      <c r="D86" s="88"/>
      <c r="E86" s="88"/>
      <c r="F86" s="88"/>
      <c r="G86" s="88"/>
      <c r="H86" s="88"/>
      <c r="I86" s="88"/>
      <c r="J86" s="88"/>
      <c r="K86" s="88"/>
    </row>
    <row r="87" spans="1:11">
      <c r="A87" s="88" t="s">
        <v>166</v>
      </c>
      <c r="B87" s="88"/>
      <c r="C87" s="88"/>
      <c r="D87" s="88"/>
      <c r="E87" s="88"/>
      <c r="F87" s="88"/>
      <c r="G87" s="88"/>
      <c r="H87" s="88"/>
      <c r="I87" s="88"/>
      <c r="J87" s="88"/>
      <c r="K87" s="88"/>
    </row>
    <row r="88" spans="1:11">
      <c r="A88" s="88"/>
      <c r="B88" s="88"/>
      <c r="C88" s="88"/>
      <c r="D88" s="88"/>
      <c r="E88" s="88"/>
      <c r="F88" s="88"/>
      <c r="G88" s="88"/>
      <c r="H88" s="88"/>
      <c r="I88" s="88"/>
      <c r="J88" s="88"/>
      <c r="K88" s="88"/>
    </row>
    <row r="89" spans="1:11">
      <c r="A89" s="88" t="s">
        <v>167</v>
      </c>
      <c r="B89" s="88"/>
      <c r="C89" s="88"/>
      <c r="D89" s="88"/>
      <c r="E89" s="88"/>
      <c r="F89" s="88"/>
      <c r="G89" s="88"/>
      <c r="H89" s="88"/>
      <c r="I89" s="88"/>
      <c r="J89" s="88"/>
      <c r="K89" s="88"/>
    </row>
    <row r="90" spans="1:11">
      <c r="A90" s="88"/>
      <c r="B90" s="88"/>
      <c r="C90" s="88"/>
      <c r="D90" s="88"/>
      <c r="E90" s="88"/>
      <c r="F90" s="88"/>
      <c r="G90" s="88"/>
      <c r="H90" s="88"/>
      <c r="I90" s="88"/>
      <c r="J90" s="88"/>
      <c r="K90" s="88"/>
    </row>
    <row r="91" spans="1:11">
      <c r="A91" s="88" t="s">
        <v>168</v>
      </c>
      <c r="B91" s="88"/>
      <c r="C91" s="88"/>
      <c r="D91" s="88"/>
      <c r="E91" s="88"/>
      <c r="F91" s="88"/>
      <c r="G91" s="88"/>
      <c r="H91" s="88"/>
      <c r="I91" s="88"/>
      <c r="J91" s="88"/>
      <c r="K91" s="88"/>
    </row>
    <row r="92" spans="1:11">
      <c r="A92" s="88"/>
      <c r="B92" s="88"/>
      <c r="C92" s="88"/>
      <c r="D92" s="88"/>
      <c r="E92" s="88"/>
      <c r="F92" s="88"/>
      <c r="G92" s="88"/>
      <c r="H92" s="88"/>
      <c r="I92" s="88"/>
      <c r="J92" s="88"/>
      <c r="K92" s="88"/>
    </row>
    <row r="93" spans="1:11">
      <c r="A93" s="88" t="s">
        <v>169</v>
      </c>
      <c r="B93" s="88"/>
      <c r="C93" s="88"/>
      <c r="D93" s="88"/>
      <c r="E93" s="88"/>
      <c r="F93" s="88"/>
      <c r="G93" s="88"/>
      <c r="H93" s="88"/>
      <c r="I93" s="88"/>
      <c r="J93" s="88"/>
      <c r="K93" s="88"/>
    </row>
    <row r="94" spans="1:11">
      <c r="A94" s="88"/>
      <c r="B94" s="88"/>
      <c r="C94" s="88"/>
      <c r="D94" s="88"/>
      <c r="E94" s="88"/>
      <c r="F94" s="88"/>
      <c r="G94" s="88"/>
      <c r="H94" s="88"/>
      <c r="I94" s="88"/>
      <c r="J94" s="88"/>
      <c r="K94" s="88"/>
    </row>
    <row r="95" spans="1:11" ht="15" customHeight="1">
      <c r="A95" s="88" t="s">
        <v>170</v>
      </c>
      <c r="B95" s="88"/>
      <c r="C95" s="88"/>
      <c r="D95" s="88"/>
      <c r="E95" s="88"/>
      <c r="F95" s="88"/>
      <c r="G95" s="88"/>
      <c r="H95" s="88"/>
      <c r="I95" s="88"/>
      <c r="J95" s="88"/>
      <c r="K95" s="88"/>
    </row>
    <row r="96" spans="1:11">
      <c r="A96" s="88"/>
      <c r="B96" s="88"/>
      <c r="C96" s="88"/>
      <c r="D96" s="88"/>
      <c r="E96" s="88"/>
      <c r="F96" s="88"/>
      <c r="G96" s="88"/>
      <c r="H96" s="88"/>
      <c r="I96" s="88"/>
      <c r="J96" s="88"/>
      <c r="K96" s="88"/>
    </row>
    <row r="97" spans="1:11">
      <c r="A97" s="89" t="s">
        <v>171</v>
      </c>
      <c r="B97" s="89"/>
      <c r="C97" s="89"/>
      <c r="D97" s="89"/>
      <c r="E97" s="89"/>
      <c r="F97" s="89"/>
      <c r="G97" s="89"/>
      <c r="H97" s="89"/>
      <c r="I97" s="89"/>
      <c r="J97" s="89"/>
      <c r="K97" s="89"/>
    </row>
    <row r="98" spans="1:11">
      <c r="A98" s="78"/>
      <c r="B98" s="5"/>
      <c r="C98" s="5"/>
      <c r="D98" s="5"/>
      <c r="E98" s="5"/>
      <c r="F98" s="5"/>
      <c r="G98" s="5"/>
      <c r="H98" s="5"/>
      <c r="I98" s="5"/>
      <c r="J98" s="5"/>
    </row>
    <row r="99" spans="1:11">
      <c r="A99" s="84" t="s">
        <v>172</v>
      </c>
      <c r="B99" s="84"/>
      <c r="C99" s="84"/>
      <c r="D99" s="84"/>
      <c r="E99" s="84"/>
      <c r="F99" s="84"/>
      <c r="G99" s="84"/>
      <c r="H99" s="84"/>
      <c r="I99" s="84"/>
      <c r="J99" s="84"/>
      <c r="K99" s="84"/>
    </row>
    <row r="100" spans="1:11">
      <c r="A100" s="85" t="s">
        <v>255</v>
      </c>
      <c r="B100" s="85"/>
      <c r="C100" s="85"/>
      <c r="D100" s="85"/>
      <c r="E100" s="85"/>
      <c r="F100" s="85"/>
      <c r="G100" s="85"/>
      <c r="H100" s="85"/>
      <c r="I100" s="85"/>
      <c r="J100" s="85"/>
      <c r="K100" s="85"/>
    </row>
    <row r="101" spans="1:11">
      <c r="A101" s="5"/>
      <c r="B101" s="5"/>
      <c r="C101" s="5"/>
      <c r="D101" s="5"/>
      <c r="E101" s="5"/>
      <c r="F101" s="5"/>
      <c r="G101" s="5"/>
      <c r="H101" s="5"/>
      <c r="I101" s="5"/>
      <c r="J101" s="5"/>
      <c r="K101" s="5"/>
    </row>
    <row r="102" spans="1:11">
      <c r="A102" s="5"/>
      <c r="B102" s="5"/>
      <c r="C102" s="5"/>
      <c r="D102" s="5"/>
      <c r="E102" s="5"/>
      <c r="F102" s="5"/>
      <c r="G102" s="5"/>
      <c r="H102" s="5"/>
      <c r="I102" s="5"/>
      <c r="J102" s="5"/>
      <c r="K102" s="5"/>
    </row>
    <row r="103" spans="1:11">
      <c r="A103" s="4"/>
      <c r="B103" s="5"/>
      <c r="C103" s="5"/>
      <c r="D103" s="5"/>
      <c r="E103" s="5"/>
      <c r="F103" s="5"/>
      <c r="G103" s="5"/>
      <c r="H103" s="5"/>
      <c r="I103" s="5"/>
      <c r="J103" s="5"/>
      <c r="K103" s="5"/>
    </row>
    <row r="104" spans="1:11">
      <c r="A104" s="7"/>
      <c r="B104" s="5"/>
      <c r="C104" s="5"/>
      <c r="D104" s="5"/>
      <c r="E104" s="5"/>
      <c r="F104" s="5"/>
      <c r="G104" s="5"/>
      <c r="H104" s="5"/>
      <c r="I104" s="5"/>
      <c r="J104" s="5"/>
      <c r="K104" s="5"/>
    </row>
    <row r="105" spans="1:11">
      <c r="A105" s="5"/>
      <c r="B105" s="5"/>
      <c r="C105" s="5"/>
      <c r="D105" s="5"/>
      <c r="E105" s="5"/>
      <c r="F105" s="5"/>
      <c r="G105" s="5"/>
      <c r="H105" s="5"/>
      <c r="I105" s="5"/>
      <c r="J105" s="5"/>
      <c r="K105" s="5"/>
    </row>
  </sheetData>
  <sheetProtection algorithmName="SHA-512" hashValue="JlLBpier4itfO65M3PFYZsu/uyrQINIyq2KLQBcwpJA6YtygviQxqrxxleckwB8uY2wJl2B1YTaU0j9mwYVYNg==" saltValue="6AJPtyc/WknJjrhga4n/Pw==" spinCount="100000" sheet="1" objects="1" scenarios="1"/>
  <mergeCells count="51">
    <mergeCell ref="A95:K96"/>
    <mergeCell ref="A97:K97"/>
    <mergeCell ref="A73:K73"/>
    <mergeCell ref="A91:K92"/>
    <mergeCell ref="A93:K94"/>
    <mergeCell ref="A87:K88"/>
    <mergeCell ref="A89:K90"/>
    <mergeCell ref="A74:K77"/>
    <mergeCell ref="A78:K80"/>
    <mergeCell ref="A81:K82"/>
    <mergeCell ref="A83:K84"/>
    <mergeCell ref="A85:K86"/>
    <mergeCell ref="A23:K23"/>
    <mergeCell ref="A24:K24"/>
    <mergeCell ref="A47:K48"/>
    <mergeCell ref="A43:K44"/>
    <mergeCell ref="A25:K25"/>
    <mergeCell ref="A26:K26"/>
    <mergeCell ref="A27:K27"/>
    <mergeCell ref="A28:K28"/>
    <mergeCell ref="A29:K29"/>
    <mergeCell ref="A30:K30"/>
    <mergeCell ref="A31:K31"/>
    <mergeCell ref="A32:K32"/>
    <mergeCell ref="A33:K33"/>
    <mergeCell ref="A34:K34"/>
    <mergeCell ref="A35:K35"/>
    <mergeCell ref="A36:K36"/>
    <mergeCell ref="A12:K12"/>
    <mergeCell ref="A19:K19"/>
    <mergeCell ref="A20:K20"/>
    <mergeCell ref="A21:K21"/>
    <mergeCell ref="A22:K22"/>
    <mergeCell ref="A18:K18"/>
    <mergeCell ref="A17:K17"/>
    <mergeCell ref="A99:K99"/>
    <mergeCell ref="A100:K100"/>
    <mergeCell ref="A42:K42"/>
    <mergeCell ref="A49:K49"/>
    <mergeCell ref="A50:K50"/>
    <mergeCell ref="A51:K51"/>
    <mergeCell ref="A55:K58"/>
    <mergeCell ref="A45:K46"/>
    <mergeCell ref="A52:K53"/>
    <mergeCell ref="A61:K62"/>
    <mergeCell ref="A59:K60"/>
    <mergeCell ref="A63:K64"/>
    <mergeCell ref="A65:K68"/>
    <mergeCell ref="A69:K69"/>
    <mergeCell ref="A70:K71"/>
    <mergeCell ref="A72:K72"/>
  </mergeCells>
  <hyperlinks>
    <hyperlink ref="A28:J28" location="'TotalAllotj_12 (12)'!A1" display="Capacitat d'allotjament per tipus d'establiment i categoria a Formentera (2012)………………………………………………………………...pàg 12" xr:uid="{00000000-0004-0000-0000-000000000000}"/>
    <hyperlink ref="A29:J29" location="'TotalAllotj_11 (13)'!A1" display="Capacitat d'allotjament per tipus d'establiment i categoria a Formentera (2011)………………………………………………………………...pàg 13" xr:uid="{00000000-0004-0000-0000-000001000000}"/>
    <hyperlink ref="A30:J30" location="'TotalAllotj_10 (14)'!A1" display="Capacitat d'allotjament per tipus d'establiment i categoria a Formentera (2010)………………………………………………………………...pàg 14" xr:uid="{00000000-0004-0000-0000-000002000000}"/>
    <hyperlink ref="A31:J31" location="'TotalAllotj_09 (15)'!A1" display="Capacitat d'allotjament per tipus d'establiment i categoria a Formentera (2009)………………………………………………………………...pàg 15" xr:uid="{00000000-0004-0000-0000-000003000000}"/>
    <hyperlink ref="A32:J32" location="'TotalAllotj_08 (16)'!A1" display="Capacitat d'allotjament per tipus d'establiment i categoria a Formentera (2008)………………………………………………………………...pàg 16" xr:uid="{00000000-0004-0000-0000-000004000000}"/>
    <hyperlink ref="A33:J33" location="'TotalAllotj_07 (17)'!A1" display="Capacitat d'allotjament per tipus d'establiment i categoria a Formentera (2007)………………………………………………………………...pàg 17" xr:uid="{00000000-0004-0000-0000-000005000000}"/>
    <hyperlink ref="A35:J35" location="'TotalAllotj_05 (19)'!A1" display="Capacitat d'allotjament per tipus d'establiment i categoria a Formentera (2005)………………………………………………………………...pàg 19" xr:uid="{00000000-0004-0000-0000-000006000000}"/>
    <hyperlink ref="A27:J27" location="'TotalAllotj_13 (11)'!A1" display="Capacitat d'allotjament per tipus d'establiment i categoria a Formentera (2013)………………………………………………………………...pàg 11" xr:uid="{00000000-0004-0000-0000-000007000000}"/>
    <hyperlink ref="A26:J26" location="'TotalAllotj_14 (10)'!A1" display="Capacitat d'allotjament per tipus d'establiment i categoria a Formentera (2014)………………………………………………………………...pàg 10" xr:uid="{00000000-0004-0000-0000-000008000000}"/>
    <hyperlink ref="A34:J34" location="'TotalAllotj_06 (18)'!A1" display="Capacitat d'allotjament per tipus d'establiment i categoria a Formentera (2006)………………………………………………………………...pàg 18" xr:uid="{00000000-0004-0000-0000-000009000000}"/>
    <hyperlink ref="A36:J36" location="'TotalAllotj_04 (20)'!A1" display="Capacitat d'allotjament per tipus d'establiment i categoria a Formentera (2004)………………………………………………………………...pàg 20" xr:uid="{00000000-0004-0000-0000-00000A000000}"/>
    <hyperlink ref="A25:J25" location="'TotalAllotj_15 (9)'!A1" display="Capacitat d'allotjament per tipus d'establiment i categoria a Formentera (2015)………………………………………………………………...pàg 9" xr:uid="{00000000-0004-0000-0000-00000B000000}"/>
    <hyperlink ref="A24:J24" location="'TotalAllotj_16 (8)'!A1" display="Capacitat d'allotjament per tipus d'establiment i categoria a Formentera (2016)………………………………………………………………...pàg 8" xr:uid="{00000000-0004-0000-0000-00000C000000}"/>
    <hyperlink ref="A23:J23" location="'TotalAllotj_17 (7)'!A1" display="Capacitat d'allotjament per tipus d'establiment i categoria a Formentera (2017)………………………………………………………………...pàg 7" xr:uid="{00000000-0004-0000-0000-00000D000000}"/>
    <hyperlink ref="A22:J22" location="'TotalAllotj_18 (6)'!A1" display="Capacitat d'allotjament per tipus d'establiment i categoria a Formentera (2018)………………………………………………………………...pàg 6" xr:uid="{00000000-0004-0000-0000-00000E000000}"/>
    <hyperlink ref="A21:J21" location="'TotalAllotj_19 (5)'!A1" display="Capacitat d'allotjament per tipus d'establiment i categoria a Formentera (2019)………………………………………………………………...pàg 5" xr:uid="{00000000-0004-0000-0000-00000F000000}"/>
    <hyperlink ref="A20:J20" location="'TotalAllotj_20 (4)'!A1" display="Capacitat d'allotjament per tipus d'establiment i categoria a Formentera (2020)………………………………………………………………...pàg 4" xr:uid="{00000000-0004-0000-0000-000010000000}"/>
    <hyperlink ref="A19:K19" location="'TotalAllotj_21 (5)'!A1" display="Capacitat d'allotjament per tipus d'establiment i categoria a Formentera (2021)……………………….........................……………….....................…………………………...pàg 5" xr:uid="{EE57C168-F3AA-45D3-AEB3-02B606E8A6EC}"/>
    <hyperlink ref="A20:K20" location="'TotalAllotj_20 (6)'!A1" display="Capacitat d'allotjament per tipus d'establiment i categoria a Formentera (2020)………………………………………..............................................…………………………...pàg 6" xr:uid="{B62A1B77-2B0B-4242-B91C-E42FBCF856C4}"/>
    <hyperlink ref="A21:K21" location="'TotalAllotj_19 (7)'!A1" display="Capacitat d'allotjament per tipus d'establiment i categoria a Formentera (2019)……………………………………….......................…….……......................………………...pàg 7" xr:uid="{B0880A4A-30C6-4BA6-849B-2E24458A6C3A}"/>
    <hyperlink ref="A22:K22" location="'TotalAllotj_18 (8)'!A1" display="Capacitat d'allotjament per tipus d'establiment i categoria a Formentera (2018)………………………………………......................…………………......................…………...pàg 8" xr:uid="{A6B54267-3955-40ED-8FCB-8BC529C6B965}"/>
    <hyperlink ref="A23:K23" location="'TotalAllotj_17 (9)'!A1" display="Capacitat d'allotjament per tipus d'establiment i categoria a Formentera (2017)………………………………….......................……………….....................…………………...pàg 9" xr:uid="{A2408301-0806-45B2-85B1-F53E15E02005}"/>
    <hyperlink ref="A24:K24" location="'TotalAllotj_16 (10)'!A1" display="Capacitat d'allotjament per tipus d'establiment i categoria a Formentera (2016)…………………………………….......................………………….....................……………...pàg 10" xr:uid="{D850987E-833A-481A-BBE0-925D79A06E93}"/>
    <hyperlink ref="A25:K25" location="'TotalAllotj_15 (11)'!A1" display="Capacitat d'allotjament per tipus d'establiment i categoria a Formentera (2015)………………………………..............................................…………………………………...pàg 11" xr:uid="{838FD5E0-4993-4FA8-9685-8836574C6186}"/>
    <hyperlink ref="A26:K26" location="'TotalAllotj_14 (12)'!A1" display="Capacitat d'allotjament per tipus d'establiment i categoria a Formentera (2014)……………………………………….......................……………….....................……………...pàg 12" xr:uid="{C025F7CF-ACFE-430D-A30C-6BD2805470FB}"/>
    <hyperlink ref="A27:K27" location="'TotalAllotj_13 (13)'!A1" display="Capacitat d'allotjament per tipus d'establiment i categoria a Formentera (2013)…………………………….......................…………………………………….....................…...pàg 13" xr:uid="{332426C9-2CEC-4BA3-8860-172349934C0E}"/>
    <hyperlink ref="A28:K28" location="'TotalAllotj_12 (14)'!A1" display="Capacitat d'allotjament per tipus d'establiment i categoria a Formentera (2012)…………………….......................…………………….....................…………………………...pàg 14" xr:uid="{38CA9DA9-0F26-47F3-9E3D-B404DAE15203}"/>
    <hyperlink ref="A29:K29" location="'TotalAllotj_11 (15)'!A1" display="Capacitat d'allotjament per tipus d'establiment i categoria a Formentera (2011)……………………….......................…………………………….....................………………...pàg 15" xr:uid="{D5121723-99A4-4BFC-9EF5-9018EB06E279}"/>
    <hyperlink ref="A30:K30" location="'TotalAllotj_10 (16)'!A1" display="Capacitat d'allotjament per tipus d'establiment i categoria a Formentera (2010)………………………………….......................……………………………….....................…...pàg 16" xr:uid="{EBBF5AB4-8718-4AE0-93AB-217F2B1DE003}"/>
    <hyperlink ref="A31:K31" location="'TotalAllotj_09 (17)'!A1" display="Capacitat d'allotjament per tipus d'establiment i categoria a Formentera (2009)…………............………………………….................................................……………...pàg 17" xr:uid="{CCC61A93-FD49-4DB0-9928-33905EC2920F}"/>
    <hyperlink ref="A32:K32" location="'TotalAllotj_08 (18)'!A1" display="Capacitat d'allotjament per tipus d'establiment i categoria a Formentera (2008)……………………………………………..............................................……………………...pàg 18" xr:uid="{66A3C8D7-FABE-4D99-8038-BCF0F3095E9C}"/>
    <hyperlink ref="A33:K33" location="'TotalAllotj_07 (19)'!A1" display="Capacitat d'allotjament per tipus d'establiment i categoria a Formentera (2007)………………………………………….......................……….....................…………………...pàg 19" xr:uid="{0FF96FEB-9136-47F5-9EC4-00DD45677B43}"/>
    <hyperlink ref="A34:K34" location="'TotalAllotj_06 (20)'!A1" display="Capacitat d'allotjament per tipus d'establiment i categoria a Formentera (2006)………………….......................………………………………….....................………………...pàg 20" xr:uid="{B2D35DFD-41FE-4FC6-A042-EC9F56DB6DF0}"/>
    <hyperlink ref="A35:K35" location="'TotalAllotj_05 (21)'!A1" display="Capacitat d'allotjament per tipus d'establiment i categoria a Formentera (2005)………………………………………….......................…………………….....................……...pàg 21" xr:uid="{FC2D5639-59B7-4AC0-B3C9-95E30F3E821C}"/>
    <hyperlink ref="A36:K36" location="'TotalAllotj_04 (22)'!A1" display="Capacitat d'allotjament per tipus d'establiment i categoria a Formentera (2004)……………………………………………….......................…….....................………………...pàg 22" xr:uid="{FC652D76-E57B-4FC9-BEE5-3AD3A189ABCC}"/>
    <hyperlink ref="A18:K18" location="'TotalAllotj_22 (4)'!A1" display="Capacitat d'allotjament per tipus d'establiment i categoria a Formentera (2022)……………………….......................……………..….....................…………………………...pàg 4" xr:uid="{1B2A901B-BD53-4AC9-BA14-6F7D39C828EB}"/>
    <hyperlink ref="A17:K17" location="'TotalAllotj_22 (4)'!A1" display="Capacitat d'allotjament per tipus d'establiment i categoria a Formentera (2022)……………………….......................……………..….....................…………………………...pàg 4" xr:uid="{4ECC6C19-AD87-406A-A7FC-FAEB6C773C01}"/>
    <hyperlink ref="A17:XFD17" location="'TotalAllotj_23 (4)'!A1" display="Capacitat d'allotjament per tipus d'establiment i categoria a Formentera (2023)……………………….......................……………..….....................…………………………...pàg 4" xr:uid="{4A7567AE-B6AE-4D35-B1EF-CAA133939094}"/>
    <hyperlink ref="A18:XFD18" location="'TotalAllotj_22 (5)'!A1" display="Capacitat d'allotjament per tipus d'establiment i categoria a Formentera (2022)……………………….......................……………..….....................…………………………...pàg 5" xr:uid="{959E9B34-FD21-4826-92F0-C3A6092070A6}"/>
    <hyperlink ref="A19:XFD19" location="'TotalAllotj_21 (6)'!A1" display="Capacitat d'allotjament per tipus d'establiment i categoria a Formentera (2021)……………………….........................……………….....................…………………………...pàg 6" xr:uid="{563A4FCE-86EF-4038-A73E-376B9FAB0E78}"/>
    <hyperlink ref="A20:XFD20" location="'TotalAllotj_20 (7)'!A1" display="Capacitat d'allotjament per tipus d'establiment i categoria a Formentera (2020)………………………………………..............................................…………………………...pàg 7" xr:uid="{DA69A3EC-A406-4A6F-BF7D-CDB796DB8B8F}"/>
    <hyperlink ref="A21:XFD21" location="'TotalAllotj_19 (8)'!A1" display="Capacitat d'allotjament per tipus d'establiment i categoria a Formentera (2019)……………………………………….......................…….……......................………………...pàg 8" xr:uid="{F3C7868A-8F2A-4A4A-93E8-DA29CD40EF7C}"/>
    <hyperlink ref="A22:XFD22" location="'TotalAllotj_18 (9)'!A1" display="Capacitat d'allotjament per tipus d'establiment i categoria a Formentera (2018)………………………………………......................…………………......................…………...pàg 9" xr:uid="{DEAB0403-5CDC-476E-8059-2DC88EA7D9A9}"/>
    <hyperlink ref="A23:XFD23" location="'TotalAllotj_17 (10)'!A1" display="Capacitat d'allotjament per tipus d'establiment i categoria a Formentera (2017)………………………………….......................……………….....................…………………...pàg 10" xr:uid="{964C7D94-31D4-44B7-BBF0-D3189543D406}"/>
    <hyperlink ref="A24:XFD24" location="'TotalAllotj_16 (11)'!A1" display="Capacitat d'allotjament per tipus d'establiment i categoria a Formentera (2016)…………………………………….......................………………….....................……………...pàg 11" xr:uid="{5E695B85-4481-43ED-85F3-F1EC40375D3F}"/>
    <hyperlink ref="A25:XFD25" location="'TotalAllotj_15 (12)'!A1" display="Capacitat d'allotjament per tipus d'establiment i categoria a Formentera (2015)………………………………..............................................…………………………………...pàg 12" xr:uid="{EFD9D106-D441-41EC-9E81-48989A888B4C}"/>
    <hyperlink ref="A26:XFD26" location="'TotalAllotj_14 (13)'!A1" display="Capacitat d'allotjament per tipus d'establiment i categoria a Formentera (2014)……………………………………….......................……………….....................……………...pàg 13" xr:uid="{B014BB34-5DB6-4D08-AF43-AAD5D7541379}"/>
    <hyperlink ref="A27:XFD27" location="'TotalAllotj_13 (14)'!A1" display="Capacitat d'allotjament per tipus d'establiment i categoria a Formentera (2013)…………………………….......................…………………………………….....................…...pàg 14" xr:uid="{C5ACCB24-5A75-419A-A53C-571338B7578C}"/>
    <hyperlink ref="A28:XFD28" location="'TotalAllotj_12 (15)'!A1" display="Capacitat d'allotjament per tipus d'establiment i categoria a Formentera (2012)…………………….......................…………………….....................…………………………...pàg 15" xr:uid="{3C3D9EF0-0CC2-4892-BBD3-EFEBD56E519C}"/>
    <hyperlink ref="A29:XFD29" location="'TotalAllotj_11 (16)'!A1" display="Capacitat d'allotjament per tipus d'establiment i categoria a Formentera (2011)……………………….......................…………………………….....................………………...pàg 16" xr:uid="{5561516E-8EE9-4AB2-919B-B4C5D7A7F336}"/>
    <hyperlink ref="A30:XFD30" location="'TotalAllotj_10 (17)'!A1" display="Capacitat d'allotjament per tipus d'establiment i categoria a Formentera (2010)………………………………….......................……………………………….....................…...pàg 17" xr:uid="{654955A9-0F43-4964-AB9F-88BFA71D0DA6}"/>
    <hyperlink ref="A31:XFD31" location="'TotalAllotj_09 (18)'!A1" display="Capacitat d'allotjament per tipus d'establiment i categoria a Formentera (2009)…………............………………………….................................................……………...pàg 18" xr:uid="{516DBF12-B433-4CD1-B826-10AA13B3079F}"/>
    <hyperlink ref="A32:XFD32" location="'TotalAllotj_08 (19)'!A1" display="Capacitat d'allotjament per tipus d'establiment i categoria a Formentera (2008)……………………………………………..............................................……………………...pàg 19" xr:uid="{C5459E60-B7E2-4946-BA20-E33A205FA8AD}"/>
    <hyperlink ref="A33:XFD33" location="'TotalAllotj_07 (20)'!A1" display="Capacitat d'allotjament per tipus d'establiment i categoria a Formentera (2007)………………………………………….......................……….....................…………………...pàg 20" xr:uid="{CB507F47-8D27-4864-AA2D-55FF8C6DEA77}"/>
    <hyperlink ref="A34:XFD34" location="'TotalAllotj_06 (21)'!A1" display="Capacitat d'allotjament per tipus d'establiment i categoria a Formentera (2006)………………….......................………………………………….....................………………...pàg 21" xr:uid="{02894BF1-2C5A-4EC2-8C3F-106A4AE5C36E}"/>
    <hyperlink ref="A35:XFD35" location="'TotalAllotj_05 (22)'!A1" display="Capacitat d'allotjament per tipus d'establiment i categoria a Formentera (2005)………………………………………….......................…………………….....................……...pàg 22" xr:uid="{84E65053-2707-402B-B057-7531F5CACA1B}"/>
    <hyperlink ref="A36:XFD36" location="'TotalAllotj_04 (23)'!A1" display="Capacitat d'allotjament per tipus d'establiment i categoria a Formentera (2004)……………………………………………….......................…….....................………………...pàg 23" xr:uid="{3C4F5470-0593-4BD9-8A5A-721F2B301B64}"/>
  </hyperlinks>
  <pageMargins left="0.7" right="0.7" top="0.75" bottom="0.75" header="0.3" footer="0.3"/>
  <pageSetup paperSize="9" scale="93" fitToHeight="0" orientation="landscape" r:id="rId1"/>
  <rowBreaks count="2" manualBreakCount="2">
    <brk id="35" max="10" man="1"/>
    <brk id="68"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2:K102"/>
  <sheetViews>
    <sheetView showGridLines="0" view="pageBreakPreview" zoomScaleNormal="100" zoomScaleSheetLayoutView="100" workbookViewId="0">
      <selection activeCell="A12" sqref="A12:K12"/>
    </sheetView>
  </sheetViews>
  <sheetFormatPr baseColWidth="10" defaultRowHeight="15"/>
  <cols>
    <col min="1" max="11" width="12.7109375" customWidth="1"/>
  </cols>
  <sheetData>
    <row r="12" spans="1:11">
      <c r="A12" s="94" t="s">
        <v>7</v>
      </c>
      <c r="B12" s="94"/>
      <c r="C12" s="94"/>
      <c r="D12" s="94"/>
      <c r="E12" s="94"/>
      <c r="F12" s="94"/>
      <c r="G12" s="94"/>
      <c r="H12" s="94"/>
      <c r="I12" s="94"/>
      <c r="J12" s="94"/>
      <c r="K12" s="94"/>
    </row>
    <row r="13" spans="1:11">
      <c r="A13" s="13"/>
      <c r="B13" s="13"/>
      <c r="C13" s="13"/>
      <c r="D13" s="13"/>
      <c r="E13" s="13"/>
      <c r="F13" s="13"/>
      <c r="G13" s="13"/>
      <c r="H13" s="13"/>
      <c r="I13" s="13"/>
      <c r="J13" s="10"/>
      <c r="K13" s="10"/>
    </row>
    <row r="15" spans="1:11">
      <c r="A15" s="11"/>
      <c r="B15" s="11"/>
      <c r="C15" s="11"/>
      <c r="D15" s="11"/>
      <c r="E15" s="11"/>
      <c r="F15" s="11"/>
      <c r="G15" s="11"/>
      <c r="H15" s="11"/>
      <c r="I15" s="11"/>
      <c r="J15" s="11"/>
      <c r="K15" s="11"/>
    </row>
    <row r="17" spans="1:11" s="83" customFormat="1">
      <c r="A17" s="92" t="s">
        <v>257</v>
      </c>
      <c r="B17" s="92"/>
      <c r="C17" s="92"/>
      <c r="D17" s="92"/>
      <c r="E17" s="92"/>
      <c r="F17" s="92"/>
      <c r="G17" s="92"/>
      <c r="H17" s="92"/>
      <c r="I17" s="92"/>
      <c r="J17" s="92"/>
      <c r="K17" s="92"/>
    </row>
    <row r="18" spans="1:11" s="83" customFormat="1">
      <c r="A18" s="92" t="s">
        <v>258</v>
      </c>
      <c r="B18" s="92"/>
      <c r="C18" s="92"/>
      <c r="D18" s="92"/>
      <c r="E18" s="92"/>
      <c r="F18" s="92"/>
      <c r="G18" s="92"/>
      <c r="H18" s="92"/>
      <c r="I18" s="92"/>
      <c r="J18" s="92"/>
      <c r="K18" s="92"/>
    </row>
    <row r="19" spans="1:11" s="83" customFormat="1">
      <c r="A19" s="92" t="s">
        <v>259</v>
      </c>
      <c r="B19" s="92"/>
      <c r="C19" s="92"/>
      <c r="D19" s="92"/>
      <c r="E19" s="92"/>
      <c r="F19" s="92"/>
      <c r="G19" s="92"/>
      <c r="H19" s="92"/>
      <c r="I19" s="92"/>
      <c r="J19" s="92"/>
      <c r="K19" s="92"/>
    </row>
    <row r="20" spans="1:11" s="83" customFormat="1">
      <c r="A20" s="93" t="s">
        <v>260</v>
      </c>
      <c r="B20" s="93"/>
      <c r="C20" s="93"/>
      <c r="D20" s="93"/>
      <c r="E20" s="93"/>
      <c r="F20" s="93"/>
      <c r="G20" s="93"/>
      <c r="H20" s="93"/>
      <c r="I20" s="93"/>
      <c r="J20" s="93"/>
      <c r="K20" s="93"/>
    </row>
    <row r="21" spans="1:11" s="83" customFormat="1">
      <c r="A21" s="93" t="s">
        <v>261</v>
      </c>
      <c r="B21" s="93"/>
      <c r="C21" s="93"/>
      <c r="D21" s="93"/>
      <c r="E21" s="93"/>
      <c r="F21" s="93"/>
      <c r="G21" s="93"/>
      <c r="H21" s="93"/>
      <c r="I21" s="93"/>
      <c r="J21" s="93"/>
      <c r="K21" s="93"/>
    </row>
    <row r="22" spans="1:11" s="83" customFormat="1">
      <c r="A22" s="93" t="s">
        <v>262</v>
      </c>
      <c r="B22" s="93"/>
      <c r="C22" s="93"/>
      <c r="D22" s="93"/>
      <c r="E22" s="93"/>
      <c r="F22" s="93"/>
      <c r="G22" s="93"/>
      <c r="H22" s="93"/>
      <c r="I22" s="93"/>
      <c r="J22" s="93"/>
      <c r="K22" s="93"/>
    </row>
    <row r="23" spans="1:11" s="83" customFormat="1">
      <c r="A23" s="93" t="s">
        <v>263</v>
      </c>
      <c r="B23" s="93"/>
      <c r="C23" s="93"/>
      <c r="D23" s="93"/>
      <c r="E23" s="93"/>
      <c r="F23" s="93"/>
      <c r="G23" s="93"/>
      <c r="H23" s="93"/>
      <c r="I23" s="93"/>
      <c r="J23" s="93"/>
      <c r="K23" s="93"/>
    </row>
    <row r="24" spans="1:11" s="83" customFormat="1">
      <c r="A24" s="93" t="s">
        <v>264</v>
      </c>
      <c r="B24" s="93"/>
      <c r="C24" s="93"/>
      <c r="D24" s="93"/>
      <c r="E24" s="93"/>
      <c r="F24" s="93"/>
      <c r="G24" s="93"/>
      <c r="H24" s="93"/>
      <c r="I24" s="93"/>
      <c r="J24" s="93"/>
      <c r="K24" s="93"/>
    </row>
    <row r="25" spans="1:11" s="83" customFormat="1">
      <c r="A25" s="93" t="s">
        <v>265</v>
      </c>
      <c r="B25" s="93"/>
      <c r="C25" s="93"/>
      <c r="D25" s="93"/>
      <c r="E25" s="93"/>
      <c r="F25" s="93"/>
      <c r="G25" s="93"/>
      <c r="H25" s="93"/>
      <c r="I25" s="93"/>
      <c r="J25" s="93"/>
      <c r="K25" s="93"/>
    </row>
    <row r="26" spans="1:11" s="83" customFormat="1">
      <c r="A26" s="93" t="s">
        <v>266</v>
      </c>
      <c r="B26" s="93"/>
      <c r="C26" s="93"/>
      <c r="D26" s="93"/>
      <c r="E26" s="93"/>
      <c r="F26" s="93"/>
      <c r="G26" s="93"/>
      <c r="H26" s="93"/>
      <c r="I26" s="93"/>
      <c r="J26" s="93"/>
      <c r="K26" s="93"/>
    </row>
    <row r="27" spans="1:11" s="83" customFormat="1">
      <c r="A27" s="93" t="s">
        <v>267</v>
      </c>
      <c r="B27" s="93"/>
      <c r="C27" s="93"/>
      <c r="D27" s="93"/>
      <c r="E27" s="93"/>
      <c r="F27" s="93"/>
      <c r="G27" s="93"/>
      <c r="H27" s="93"/>
      <c r="I27" s="93"/>
      <c r="J27" s="93"/>
      <c r="K27" s="93"/>
    </row>
    <row r="28" spans="1:11" s="83" customFormat="1">
      <c r="A28" s="93" t="s">
        <v>268</v>
      </c>
      <c r="B28" s="93"/>
      <c r="C28" s="93"/>
      <c r="D28" s="93"/>
      <c r="E28" s="93"/>
      <c r="F28" s="93"/>
      <c r="G28" s="93"/>
      <c r="H28" s="93"/>
      <c r="I28" s="93"/>
      <c r="J28" s="93"/>
      <c r="K28" s="93"/>
    </row>
    <row r="29" spans="1:11" s="83" customFormat="1">
      <c r="A29" s="93" t="s">
        <v>269</v>
      </c>
      <c r="B29" s="93"/>
      <c r="C29" s="93"/>
      <c r="D29" s="93"/>
      <c r="E29" s="93"/>
      <c r="F29" s="93"/>
      <c r="G29" s="93"/>
      <c r="H29" s="93"/>
      <c r="I29" s="93"/>
      <c r="J29" s="93"/>
      <c r="K29" s="93"/>
    </row>
    <row r="30" spans="1:11" s="83" customFormat="1">
      <c r="A30" s="93" t="s">
        <v>270</v>
      </c>
      <c r="B30" s="93"/>
      <c r="C30" s="93"/>
      <c r="D30" s="93"/>
      <c r="E30" s="93"/>
      <c r="F30" s="93"/>
      <c r="G30" s="93"/>
      <c r="H30" s="93"/>
      <c r="I30" s="93"/>
      <c r="J30" s="93"/>
      <c r="K30" s="93"/>
    </row>
    <row r="31" spans="1:11" s="83" customFormat="1">
      <c r="A31" s="93" t="s">
        <v>271</v>
      </c>
      <c r="B31" s="93"/>
      <c r="C31" s="93"/>
      <c r="D31" s="93"/>
      <c r="E31" s="93"/>
      <c r="F31" s="93"/>
      <c r="G31" s="93"/>
      <c r="H31" s="93"/>
      <c r="I31" s="93"/>
      <c r="J31" s="93"/>
      <c r="K31" s="93"/>
    </row>
    <row r="32" spans="1:11" s="83" customFormat="1">
      <c r="A32" s="93" t="s">
        <v>272</v>
      </c>
      <c r="B32" s="93"/>
      <c r="C32" s="93"/>
      <c r="D32" s="93"/>
      <c r="E32" s="93"/>
      <c r="F32" s="93"/>
      <c r="G32" s="93"/>
      <c r="H32" s="93"/>
      <c r="I32" s="93"/>
      <c r="J32" s="93"/>
      <c r="K32" s="93"/>
    </row>
    <row r="33" spans="1:11" s="83" customFormat="1">
      <c r="A33" s="93" t="s">
        <v>273</v>
      </c>
      <c r="B33" s="93"/>
      <c r="C33" s="93"/>
      <c r="D33" s="93"/>
      <c r="E33" s="93"/>
      <c r="F33" s="93"/>
      <c r="G33" s="93"/>
      <c r="H33" s="93"/>
      <c r="I33" s="93"/>
      <c r="J33" s="93"/>
      <c r="K33" s="93"/>
    </row>
    <row r="34" spans="1:11" s="83" customFormat="1">
      <c r="A34" s="93" t="s">
        <v>274</v>
      </c>
      <c r="B34" s="93"/>
      <c r="C34" s="93"/>
      <c r="D34" s="93"/>
      <c r="E34" s="93"/>
      <c r="F34" s="93"/>
      <c r="G34" s="93"/>
      <c r="H34" s="93"/>
      <c r="I34" s="93"/>
      <c r="J34" s="93"/>
      <c r="K34" s="93"/>
    </row>
    <row r="35" spans="1:11" s="83" customFormat="1">
      <c r="A35" s="93" t="s">
        <v>275</v>
      </c>
      <c r="B35" s="93"/>
      <c r="C35" s="93"/>
      <c r="D35" s="93"/>
      <c r="E35" s="93"/>
      <c r="F35" s="93"/>
      <c r="G35" s="93"/>
      <c r="H35" s="93"/>
      <c r="I35" s="93"/>
      <c r="J35" s="93"/>
      <c r="K35" s="93"/>
    </row>
    <row r="36" spans="1:11" s="83" customFormat="1">
      <c r="A36" s="93" t="s">
        <v>276</v>
      </c>
      <c r="B36" s="93"/>
      <c r="C36" s="93"/>
      <c r="D36" s="93"/>
      <c r="E36" s="93"/>
      <c r="F36" s="93"/>
      <c r="G36" s="93"/>
      <c r="H36" s="93"/>
      <c r="I36" s="93"/>
      <c r="J36" s="93"/>
      <c r="K36" s="93"/>
    </row>
    <row r="37" spans="1:11">
      <c r="A37" s="12"/>
      <c r="B37" s="12"/>
      <c r="C37" s="12"/>
      <c r="D37" s="12"/>
      <c r="E37" s="12"/>
      <c r="F37" s="12"/>
      <c r="G37" s="12"/>
      <c r="H37" s="12"/>
      <c r="I37" s="12"/>
      <c r="J37" s="12"/>
    </row>
    <row r="38" spans="1:11">
      <c r="A38" s="11"/>
      <c r="B38" s="11"/>
      <c r="C38" s="11"/>
      <c r="D38" s="11"/>
      <c r="E38" s="11"/>
      <c r="F38" s="11"/>
      <c r="G38" s="11"/>
      <c r="H38" s="11"/>
      <c r="I38" s="11"/>
      <c r="J38" s="11"/>
      <c r="K38" s="11"/>
    </row>
    <row r="39" spans="1:11">
      <c r="A39" s="14"/>
      <c r="B39" s="14"/>
      <c r="C39" s="14"/>
      <c r="D39" s="14"/>
      <c r="E39" s="14"/>
      <c r="F39" s="14"/>
      <c r="G39" s="14"/>
      <c r="H39" s="14"/>
      <c r="I39" s="14"/>
      <c r="J39" s="14"/>
      <c r="K39" s="14"/>
    </row>
    <row r="40" spans="1:11" ht="15" customHeight="1">
      <c r="A40" s="79" t="s">
        <v>8</v>
      </c>
      <c r="B40" s="14"/>
      <c r="C40" s="14"/>
      <c r="D40" s="14"/>
      <c r="E40" s="14"/>
      <c r="F40" s="14"/>
      <c r="G40" s="14"/>
      <c r="H40" s="14"/>
      <c r="I40" s="14"/>
      <c r="J40" s="14"/>
      <c r="K40" s="14"/>
    </row>
    <row r="41" spans="1:11">
      <c r="A41" s="14"/>
      <c r="B41" s="14"/>
      <c r="C41" s="14"/>
      <c r="D41" s="14"/>
      <c r="E41" s="14"/>
      <c r="F41" s="14"/>
      <c r="G41" s="14"/>
      <c r="H41" s="14"/>
      <c r="I41" s="14"/>
      <c r="J41" s="14"/>
      <c r="K41" s="14"/>
    </row>
    <row r="42" spans="1:11">
      <c r="A42" s="80" t="s">
        <v>173</v>
      </c>
      <c r="B42" s="14"/>
      <c r="C42" s="14"/>
      <c r="D42" s="14"/>
      <c r="E42" s="14"/>
      <c r="F42" s="14"/>
      <c r="G42" s="14"/>
      <c r="H42" s="14"/>
      <c r="I42" s="14"/>
      <c r="J42" s="14"/>
      <c r="K42" s="14"/>
    </row>
    <row r="43" spans="1:11">
      <c r="A43" s="95" t="s">
        <v>174</v>
      </c>
      <c r="B43" s="95"/>
      <c r="C43" s="95"/>
      <c r="D43" s="95"/>
      <c r="E43" s="95"/>
      <c r="F43" s="95"/>
      <c r="G43" s="95"/>
      <c r="H43" s="95"/>
      <c r="I43" s="95"/>
      <c r="J43" s="95"/>
      <c r="K43" s="95"/>
    </row>
    <row r="44" spans="1:11">
      <c r="A44" s="95"/>
      <c r="B44" s="95"/>
      <c r="C44" s="95"/>
      <c r="D44" s="95"/>
      <c r="E44" s="95"/>
      <c r="F44" s="95"/>
      <c r="G44" s="95"/>
      <c r="H44" s="95"/>
      <c r="I44" s="95"/>
      <c r="J44" s="95"/>
      <c r="K44" s="95"/>
    </row>
    <row r="45" spans="1:11">
      <c r="A45" s="95" t="s">
        <v>9</v>
      </c>
      <c r="B45" s="95"/>
      <c r="C45" s="95"/>
      <c r="D45" s="95"/>
      <c r="E45" s="95"/>
      <c r="F45" s="95"/>
      <c r="G45" s="95"/>
      <c r="H45" s="95"/>
      <c r="I45" s="95"/>
      <c r="J45" s="95"/>
      <c r="K45" s="95"/>
    </row>
    <row r="46" spans="1:11">
      <c r="A46" s="95"/>
      <c r="B46" s="95"/>
      <c r="C46" s="95"/>
      <c r="D46" s="95"/>
      <c r="E46" s="95"/>
      <c r="F46" s="95"/>
      <c r="G46" s="95"/>
      <c r="H46" s="95"/>
      <c r="I46" s="95"/>
      <c r="J46" s="95"/>
      <c r="K46" s="95"/>
    </row>
    <row r="47" spans="1:11" ht="15" customHeight="1">
      <c r="A47" s="95" t="s">
        <v>175</v>
      </c>
      <c r="B47" s="95"/>
      <c r="C47" s="95"/>
      <c r="D47" s="95"/>
      <c r="E47" s="95"/>
      <c r="F47" s="95"/>
      <c r="G47" s="95"/>
      <c r="H47" s="95"/>
      <c r="I47" s="95"/>
      <c r="J47" s="95"/>
      <c r="K47" s="95"/>
    </row>
    <row r="48" spans="1:11">
      <c r="A48" s="95"/>
      <c r="B48" s="95"/>
      <c r="C48" s="95"/>
      <c r="D48" s="95"/>
      <c r="E48" s="95"/>
      <c r="F48" s="95"/>
      <c r="G48" s="95"/>
      <c r="H48" s="95"/>
      <c r="I48" s="95"/>
      <c r="J48" s="95"/>
      <c r="K48" s="95"/>
    </row>
    <row r="49" spans="1:11">
      <c r="A49" s="80" t="s">
        <v>10</v>
      </c>
      <c r="B49" s="14"/>
      <c r="C49" s="14"/>
      <c r="D49" s="14"/>
      <c r="E49" s="14"/>
      <c r="F49" s="14"/>
      <c r="G49" s="14"/>
      <c r="H49" s="14"/>
      <c r="I49" s="14"/>
      <c r="J49" s="14"/>
      <c r="K49" s="14"/>
    </row>
    <row r="50" spans="1:11">
      <c r="A50" s="80" t="s">
        <v>11</v>
      </c>
      <c r="B50" s="14"/>
      <c r="C50" s="14"/>
      <c r="D50" s="14"/>
      <c r="E50" s="14"/>
      <c r="F50" s="14"/>
      <c r="G50" s="14"/>
      <c r="H50" s="14"/>
      <c r="I50" s="14"/>
      <c r="J50" s="14"/>
      <c r="K50" s="14"/>
    </row>
    <row r="51" spans="1:11">
      <c r="A51" s="80" t="s">
        <v>12</v>
      </c>
      <c r="B51" s="14"/>
      <c r="C51" s="14"/>
      <c r="D51" s="14"/>
      <c r="E51" s="14"/>
      <c r="F51" s="14"/>
      <c r="G51" s="14"/>
      <c r="H51" s="14"/>
      <c r="I51" s="14"/>
      <c r="J51" s="14"/>
      <c r="K51" s="14"/>
    </row>
    <row r="52" spans="1:11">
      <c r="A52" s="95" t="s">
        <v>176</v>
      </c>
      <c r="B52" s="95"/>
      <c r="C52" s="95"/>
      <c r="D52" s="95"/>
      <c r="E52" s="95"/>
      <c r="F52" s="95"/>
      <c r="G52" s="95"/>
      <c r="H52" s="95"/>
      <c r="I52" s="95"/>
      <c r="J52" s="95"/>
      <c r="K52" s="95"/>
    </row>
    <row r="53" spans="1:11">
      <c r="A53" s="95"/>
      <c r="B53" s="95"/>
      <c r="C53" s="95"/>
      <c r="D53" s="95"/>
      <c r="E53" s="95"/>
      <c r="F53" s="95"/>
      <c r="G53" s="95"/>
      <c r="H53" s="95"/>
      <c r="I53" s="95"/>
      <c r="J53" s="95"/>
      <c r="K53" s="95"/>
    </row>
    <row r="54" spans="1:11">
      <c r="A54" s="80" t="s">
        <v>177</v>
      </c>
      <c r="B54" s="14"/>
      <c r="C54" s="14"/>
      <c r="D54" s="14"/>
      <c r="E54" s="14"/>
      <c r="F54" s="14"/>
      <c r="G54" s="14"/>
      <c r="H54" s="14"/>
      <c r="I54" s="14"/>
      <c r="J54" s="14"/>
      <c r="K54" s="14"/>
    </row>
    <row r="55" spans="1:11">
      <c r="A55" s="96" t="s">
        <v>178</v>
      </c>
      <c r="B55" s="96"/>
      <c r="C55" s="96"/>
      <c r="D55" s="96"/>
      <c r="E55" s="96"/>
      <c r="F55" s="96"/>
      <c r="G55" s="96"/>
      <c r="H55" s="96"/>
      <c r="I55" s="96"/>
      <c r="J55" s="96"/>
      <c r="K55" s="96"/>
    </row>
    <row r="56" spans="1:11">
      <c r="A56" s="96"/>
      <c r="B56" s="96"/>
      <c r="C56" s="96"/>
      <c r="D56" s="96"/>
      <c r="E56" s="96"/>
      <c r="F56" s="96"/>
      <c r="G56" s="96"/>
      <c r="H56" s="96"/>
      <c r="I56" s="96"/>
      <c r="J56" s="96"/>
      <c r="K56" s="96"/>
    </row>
    <row r="57" spans="1:11">
      <c r="A57" s="96"/>
      <c r="B57" s="96"/>
      <c r="C57" s="96"/>
      <c r="D57" s="96"/>
      <c r="E57" s="96"/>
      <c r="F57" s="96"/>
      <c r="G57" s="96"/>
      <c r="H57" s="96"/>
      <c r="I57" s="96"/>
      <c r="J57" s="96"/>
      <c r="K57" s="96"/>
    </row>
    <row r="58" spans="1:11">
      <c r="A58" s="96"/>
      <c r="B58" s="96"/>
      <c r="C58" s="96"/>
      <c r="D58" s="96"/>
      <c r="E58" s="96"/>
      <c r="F58" s="96"/>
      <c r="G58" s="96"/>
      <c r="H58" s="96"/>
      <c r="I58" s="96"/>
      <c r="J58" s="96"/>
      <c r="K58" s="96"/>
    </row>
    <row r="59" spans="1:11">
      <c r="A59" s="95" t="s">
        <v>231</v>
      </c>
      <c r="B59" s="95"/>
      <c r="C59" s="95"/>
      <c r="D59" s="95"/>
      <c r="E59" s="95"/>
      <c r="F59" s="95"/>
      <c r="G59" s="95"/>
      <c r="H59" s="95"/>
      <c r="I59" s="95"/>
      <c r="J59" s="95"/>
      <c r="K59" s="95"/>
    </row>
    <row r="60" spans="1:11">
      <c r="A60" s="95"/>
      <c r="B60" s="95"/>
      <c r="C60" s="95"/>
      <c r="D60" s="95"/>
      <c r="E60" s="95"/>
      <c r="F60" s="95"/>
      <c r="G60" s="95"/>
      <c r="H60" s="95"/>
      <c r="I60" s="95"/>
      <c r="J60" s="95"/>
      <c r="K60" s="95"/>
    </row>
    <row r="61" spans="1:11">
      <c r="A61" s="95" t="s">
        <v>179</v>
      </c>
      <c r="B61" s="95"/>
      <c r="C61" s="95"/>
      <c r="D61" s="95"/>
      <c r="E61" s="95"/>
      <c r="F61" s="95"/>
      <c r="G61" s="95"/>
      <c r="H61" s="95"/>
      <c r="I61" s="95"/>
      <c r="J61" s="95"/>
      <c r="K61" s="95"/>
    </row>
    <row r="62" spans="1:11">
      <c r="A62" s="95"/>
      <c r="B62" s="95"/>
      <c r="C62" s="95"/>
      <c r="D62" s="95"/>
      <c r="E62" s="95"/>
      <c r="F62" s="95"/>
      <c r="G62" s="95"/>
      <c r="H62" s="95"/>
      <c r="I62" s="95"/>
      <c r="J62" s="95"/>
      <c r="K62" s="95"/>
    </row>
    <row r="63" spans="1:11">
      <c r="A63" s="95" t="s">
        <v>180</v>
      </c>
      <c r="B63" s="95"/>
      <c r="C63" s="95"/>
      <c r="D63" s="95"/>
      <c r="E63" s="95"/>
      <c r="F63" s="95"/>
      <c r="G63" s="95"/>
      <c r="H63" s="95"/>
      <c r="I63" s="95"/>
      <c r="J63" s="95"/>
      <c r="K63" s="95"/>
    </row>
    <row r="64" spans="1:11">
      <c r="A64" s="95"/>
      <c r="B64" s="95"/>
      <c r="C64" s="95"/>
      <c r="D64" s="95"/>
      <c r="E64" s="95"/>
      <c r="F64" s="95"/>
      <c r="G64" s="95"/>
      <c r="H64" s="95"/>
      <c r="I64" s="95"/>
      <c r="J64" s="95"/>
      <c r="K64" s="95"/>
    </row>
    <row r="65" spans="1:11">
      <c r="A65" s="95" t="s">
        <v>181</v>
      </c>
      <c r="B65" s="95"/>
      <c r="C65" s="95"/>
      <c r="D65" s="95"/>
      <c r="E65" s="95"/>
      <c r="F65" s="95"/>
      <c r="G65" s="95"/>
      <c r="H65" s="95"/>
      <c r="I65" s="95"/>
      <c r="J65" s="95"/>
      <c r="K65" s="95"/>
    </row>
    <row r="66" spans="1:11">
      <c r="A66" s="95"/>
      <c r="B66" s="95"/>
      <c r="C66" s="95"/>
      <c r="D66" s="95"/>
      <c r="E66" s="95"/>
      <c r="F66" s="95"/>
      <c r="G66" s="95"/>
      <c r="H66" s="95"/>
      <c r="I66" s="95"/>
      <c r="J66" s="95"/>
      <c r="K66" s="95"/>
    </row>
    <row r="67" spans="1:11">
      <c r="A67" s="95"/>
      <c r="B67" s="95"/>
      <c r="C67" s="95"/>
      <c r="D67" s="95"/>
      <c r="E67" s="95"/>
      <c r="F67" s="95"/>
      <c r="G67" s="95"/>
      <c r="H67" s="95"/>
      <c r="I67" s="95"/>
      <c r="J67" s="95"/>
      <c r="K67" s="95"/>
    </row>
    <row r="68" spans="1:11">
      <c r="A68" s="95"/>
      <c r="B68" s="95"/>
      <c r="C68" s="95"/>
      <c r="D68" s="95"/>
      <c r="E68" s="95"/>
      <c r="F68" s="95"/>
      <c r="G68" s="95"/>
      <c r="H68" s="95"/>
      <c r="I68" s="95"/>
      <c r="J68" s="95"/>
      <c r="K68" s="95"/>
    </row>
    <row r="69" spans="1:11">
      <c r="A69" s="95" t="s">
        <v>182</v>
      </c>
      <c r="B69" s="95"/>
      <c r="C69" s="95"/>
      <c r="D69" s="95"/>
      <c r="E69" s="95"/>
      <c r="F69" s="95"/>
      <c r="G69" s="95"/>
      <c r="H69" s="95"/>
      <c r="I69" s="95"/>
      <c r="J69" s="95"/>
      <c r="K69" s="95"/>
    </row>
    <row r="70" spans="1:11">
      <c r="A70" s="97" t="s">
        <v>13</v>
      </c>
      <c r="B70" s="97"/>
      <c r="C70" s="97"/>
      <c r="D70" s="97"/>
      <c r="E70" s="97"/>
      <c r="F70" s="97"/>
      <c r="G70" s="97"/>
      <c r="H70" s="97"/>
      <c r="I70" s="97"/>
      <c r="J70" s="97"/>
      <c r="K70" s="97"/>
    </row>
    <row r="71" spans="1:11">
      <c r="A71" s="97"/>
      <c r="B71" s="97"/>
      <c r="C71" s="97"/>
      <c r="D71" s="97"/>
      <c r="E71" s="97"/>
      <c r="F71" s="97"/>
      <c r="G71" s="97"/>
      <c r="H71" s="97"/>
      <c r="I71" s="97"/>
      <c r="J71" s="97"/>
      <c r="K71" s="97"/>
    </row>
    <row r="72" spans="1:11">
      <c r="A72" s="80" t="s">
        <v>14</v>
      </c>
      <c r="B72" s="14"/>
      <c r="C72" s="14"/>
      <c r="D72" s="14"/>
      <c r="E72" s="14"/>
      <c r="F72" s="14"/>
      <c r="G72" s="14"/>
      <c r="H72" s="14"/>
      <c r="I72" s="14"/>
      <c r="J72" s="14"/>
      <c r="K72" s="14"/>
    </row>
    <row r="73" spans="1:11">
      <c r="A73" s="80" t="s">
        <v>15</v>
      </c>
      <c r="B73" s="14"/>
      <c r="C73" s="14"/>
      <c r="D73" s="14"/>
      <c r="E73" s="14"/>
      <c r="F73" s="14"/>
      <c r="G73" s="14"/>
      <c r="H73" s="14"/>
      <c r="I73" s="14"/>
      <c r="J73" s="14"/>
      <c r="K73" s="14"/>
    </row>
    <row r="74" spans="1:11">
      <c r="A74" s="95" t="s">
        <v>183</v>
      </c>
      <c r="B74" s="95"/>
      <c r="C74" s="95"/>
      <c r="D74" s="95"/>
      <c r="E74" s="95"/>
      <c r="F74" s="95"/>
      <c r="G74" s="95"/>
      <c r="H74" s="95"/>
      <c r="I74" s="95"/>
      <c r="J74" s="95"/>
      <c r="K74" s="95"/>
    </row>
    <row r="75" spans="1:11">
      <c r="A75" s="95"/>
      <c r="B75" s="95"/>
      <c r="C75" s="95"/>
      <c r="D75" s="95"/>
      <c r="E75" s="95"/>
      <c r="F75" s="95"/>
      <c r="G75" s="95"/>
      <c r="H75" s="95"/>
      <c r="I75" s="95"/>
      <c r="J75" s="95"/>
      <c r="K75" s="95"/>
    </row>
    <row r="76" spans="1:11">
      <c r="A76" s="95"/>
      <c r="B76" s="95"/>
      <c r="C76" s="95"/>
      <c r="D76" s="95"/>
      <c r="E76" s="95"/>
      <c r="F76" s="95"/>
      <c r="G76" s="95"/>
      <c r="H76" s="95"/>
      <c r="I76" s="95"/>
      <c r="J76" s="95"/>
      <c r="K76" s="95"/>
    </row>
    <row r="77" spans="1:11">
      <c r="A77" s="95"/>
      <c r="B77" s="95"/>
      <c r="C77" s="95"/>
      <c r="D77" s="95"/>
      <c r="E77" s="95"/>
      <c r="F77" s="95"/>
      <c r="G77" s="95"/>
      <c r="H77" s="95"/>
      <c r="I77" s="95"/>
      <c r="J77" s="95"/>
      <c r="K77" s="95"/>
    </row>
    <row r="78" spans="1:11">
      <c r="A78" s="95" t="s">
        <v>184</v>
      </c>
      <c r="B78" s="95"/>
      <c r="C78" s="95"/>
      <c r="D78" s="95"/>
      <c r="E78" s="95"/>
      <c r="F78" s="95"/>
      <c r="G78" s="95"/>
      <c r="H78" s="95"/>
      <c r="I78" s="95"/>
      <c r="J78" s="95"/>
      <c r="K78" s="95"/>
    </row>
    <row r="79" spans="1:11">
      <c r="A79" s="95"/>
      <c r="B79" s="95"/>
      <c r="C79" s="95"/>
      <c r="D79" s="95"/>
      <c r="E79" s="95"/>
      <c r="F79" s="95"/>
      <c r="G79" s="95"/>
      <c r="H79" s="95"/>
      <c r="I79" s="95"/>
      <c r="J79" s="95"/>
      <c r="K79" s="95"/>
    </row>
    <row r="80" spans="1:11">
      <c r="A80" s="95"/>
      <c r="B80" s="95"/>
      <c r="C80" s="95"/>
      <c r="D80" s="95"/>
      <c r="E80" s="95"/>
      <c r="F80" s="95"/>
      <c r="G80" s="95"/>
      <c r="H80" s="95"/>
      <c r="I80" s="95"/>
      <c r="J80" s="95"/>
      <c r="K80" s="95"/>
    </row>
    <row r="81" spans="1:11">
      <c r="A81" s="95" t="s">
        <v>185</v>
      </c>
      <c r="B81" s="95"/>
      <c r="C81" s="95"/>
      <c r="D81" s="95"/>
      <c r="E81" s="95"/>
      <c r="F81" s="95"/>
      <c r="G81" s="95"/>
      <c r="H81" s="95"/>
      <c r="I81" s="95"/>
      <c r="J81" s="95"/>
      <c r="K81" s="95"/>
    </row>
    <row r="82" spans="1:11">
      <c r="A82" s="95"/>
      <c r="B82" s="95"/>
      <c r="C82" s="95"/>
      <c r="D82" s="95"/>
      <c r="E82" s="95"/>
      <c r="F82" s="95"/>
      <c r="G82" s="95"/>
      <c r="H82" s="95"/>
      <c r="I82" s="95"/>
      <c r="J82" s="95"/>
      <c r="K82" s="95"/>
    </row>
    <row r="83" spans="1:11">
      <c r="A83" s="95" t="s">
        <v>186</v>
      </c>
      <c r="B83" s="95"/>
      <c r="C83" s="95"/>
      <c r="D83" s="95"/>
      <c r="E83" s="95"/>
      <c r="F83" s="95"/>
      <c r="G83" s="95"/>
      <c r="H83" s="95"/>
      <c r="I83" s="95"/>
      <c r="J83" s="95"/>
      <c r="K83" s="95"/>
    </row>
    <row r="84" spans="1:11">
      <c r="A84" s="95"/>
      <c r="B84" s="95"/>
      <c r="C84" s="95"/>
      <c r="D84" s="95"/>
      <c r="E84" s="95"/>
      <c r="F84" s="95"/>
      <c r="G84" s="95"/>
      <c r="H84" s="95"/>
      <c r="I84" s="95"/>
      <c r="J84" s="95"/>
      <c r="K84" s="95"/>
    </row>
    <row r="85" spans="1:11">
      <c r="A85" s="95" t="s">
        <v>187</v>
      </c>
      <c r="B85" s="95"/>
      <c r="C85" s="95"/>
      <c r="D85" s="95"/>
      <c r="E85" s="95"/>
      <c r="F85" s="95"/>
      <c r="G85" s="95"/>
      <c r="H85" s="95"/>
      <c r="I85" s="95"/>
      <c r="J85" s="95"/>
      <c r="K85" s="95"/>
    </row>
    <row r="86" spans="1:11">
      <c r="A86" s="95"/>
      <c r="B86" s="95"/>
      <c r="C86" s="95"/>
      <c r="D86" s="95"/>
      <c r="E86" s="95"/>
      <c r="F86" s="95"/>
      <c r="G86" s="95"/>
      <c r="H86" s="95"/>
      <c r="I86" s="95"/>
      <c r="J86" s="95"/>
      <c r="K86" s="95"/>
    </row>
    <row r="87" spans="1:11">
      <c r="A87" s="95" t="s">
        <v>188</v>
      </c>
      <c r="B87" s="95"/>
      <c r="C87" s="95"/>
      <c r="D87" s="95"/>
      <c r="E87" s="95"/>
      <c r="F87" s="95"/>
      <c r="G87" s="95"/>
      <c r="H87" s="95"/>
      <c r="I87" s="95"/>
      <c r="J87" s="95"/>
      <c r="K87" s="95"/>
    </row>
    <row r="88" spans="1:11">
      <c r="A88" s="95"/>
      <c r="B88" s="95"/>
      <c r="C88" s="95"/>
      <c r="D88" s="95"/>
      <c r="E88" s="95"/>
      <c r="F88" s="95"/>
      <c r="G88" s="95"/>
      <c r="H88" s="95"/>
      <c r="I88" s="95"/>
      <c r="J88" s="95"/>
      <c r="K88" s="95"/>
    </row>
    <row r="89" spans="1:11">
      <c r="A89" s="95" t="s">
        <v>189</v>
      </c>
      <c r="B89" s="95"/>
      <c r="C89" s="95"/>
      <c r="D89" s="95"/>
      <c r="E89" s="95"/>
      <c r="F89" s="95"/>
      <c r="G89" s="95"/>
      <c r="H89" s="95"/>
      <c r="I89" s="95"/>
      <c r="J89" s="95"/>
      <c r="K89" s="95"/>
    </row>
    <row r="90" spans="1:11">
      <c r="A90" s="95"/>
      <c r="B90" s="95"/>
      <c r="C90" s="95"/>
      <c r="D90" s="95"/>
      <c r="E90" s="95"/>
      <c r="F90" s="95"/>
      <c r="G90" s="95"/>
      <c r="H90" s="95"/>
      <c r="I90" s="95"/>
      <c r="J90" s="95"/>
      <c r="K90" s="95"/>
    </row>
    <row r="91" spans="1:11">
      <c r="A91" s="95" t="s">
        <v>190</v>
      </c>
      <c r="B91" s="95"/>
      <c r="C91" s="95"/>
      <c r="D91" s="95"/>
      <c r="E91" s="95"/>
      <c r="F91" s="95"/>
      <c r="G91" s="95"/>
      <c r="H91" s="95"/>
      <c r="I91" s="95"/>
      <c r="J91" s="95"/>
      <c r="K91" s="95"/>
    </row>
    <row r="92" spans="1:11">
      <c r="A92" s="95"/>
      <c r="B92" s="95"/>
      <c r="C92" s="95"/>
      <c r="D92" s="95"/>
      <c r="E92" s="95"/>
      <c r="F92" s="95"/>
      <c r="G92" s="95"/>
      <c r="H92" s="95"/>
      <c r="I92" s="95"/>
      <c r="J92" s="95"/>
      <c r="K92" s="95"/>
    </row>
    <row r="93" spans="1:11">
      <c r="A93" s="95" t="s">
        <v>191</v>
      </c>
      <c r="B93" s="95"/>
      <c r="C93" s="95"/>
      <c r="D93" s="95"/>
      <c r="E93" s="95"/>
      <c r="F93" s="95"/>
      <c r="G93" s="95"/>
      <c r="H93" s="95"/>
      <c r="I93" s="95"/>
      <c r="J93" s="95"/>
      <c r="K93" s="95"/>
    </row>
    <row r="94" spans="1:11">
      <c r="A94" s="95"/>
      <c r="B94" s="95"/>
      <c r="C94" s="95"/>
      <c r="D94" s="95"/>
      <c r="E94" s="95"/>
      <c r="F94" s="95"/>
      <c r="G94" s="95"/>
      <c r="H94" s="95"/>
      <c r="I94" s="95"/>
      <c r="J94" s="95"/>
      <c r="K94" s="95"/>
    </row>
    <row r="95" spans="1:11">
      <c r="A95" s="95" t="s">
        <v>192</v>
      </c>
      <c r="B95" s="95"/>
      <c r="C95" s="95"/>
      <c r="D95" s="95"/>
      <c r="E95" s="95"/>
      <c r="F95" s="95"/>
      <c r="G95" s="95"/>
      <c r="H95" s="95"/>
      <c r="I95" s="95"/>
      <c r="J95" s="95"/>
      <c r="K95" s="95"/>
    </row>
    <row r="96" spans="1:11">
      <c r="A96" s="95"/>
      <c r="B96" s="95"/>
      <c r="C96" s="95"/>
      <c r="D96" s="95"/>
      <c r="E96" s="95"/>
      <c r="F96" s="95"/>
      <c r="G96" s="95"/>
      <c r="H96" s="95"/>
      <c r="I96" s="95"/>
      <c r="J96" s="95"/>
      <c r="K96" s="95"/>
    </row>
    <row r="97" spans="1:11">
      <c r="A97" s="80" t="s">
        <v>193</v>
      </c>
      <c r="B97" s="14"/>
      <c r="C97" s="14"/>
      <c r="D97" s="14"/>
      <c r="E97" s="14"/>
      <c r="F97" s="14"/>
      <c r="G97" s="14"/>
      <c r="H97" s="14"/>
      <c r="I97" s="14"/>
      <c r="J97" s="14"/>
      <c r="K97" s="14"/>
    </row>
    <row r="98" spans="1:11">
      <c r="A98" s="14" t="s">
        <v>17</v>
      </c>
      <c r="B98" s="14"/>
      <c r="C98" s="14"/>
      <c r="D98" s="14"/>
      <c r="E98" s="14"/>
      <c r="F98" s="14"/>
      <c r="G98" s="14"/>
      <c r="H98" s="14"/>
      <c r="I98" s="14"/>
      <c r="J98" s="14"/>
      <c r="K98" s="14"/>
    </row>
    <row r="99" spans="1:11">
      <c r="A99" s="81" t="s">
        <v>194</v>
      </c>
      <c r="B99" s="14"/>
      <c r="C99" s="14"/>
      <c r="D99" s="14"/>
      <c r="E99" s="14"/>
      <c r="F99" s="14"/>
      <c r="G99" s="14"/>
      <c r="H99" s="14"/>
      <c r="I99" s="14"/>
      <c r="J99" s="14"/>
      <c r="K99" s="14"/>
    </row>
    <row r="100" spans="1:11">
      <c r="A100" s="14" t="s">
        <v>256</v>
      </c>
      <c r="B100" s="14"/>
      <c r="C100" s="14"/>
      <c r="D100" s="14"/>
      <c r="E100" s="14"/>
      <c r="F100" s="14"/>
      <c r="G100" s="14"/>
      <c r="H100" s="14"/>
      <c r="I100" s="14"/>
      <c r="J100" s="14"/>
      <c r="K100" s="14"/>
    </row>
    <row r="102" spans="1:11">
      <c r="E102" s="10"/>
      <c r="F102" s="10"/>
    </row>
  </sheetData>
  <sheetProtection algorithmName="SHA-512" hashValue="gk4+vxgb2zXVXOdhAU2SNXmn5PMGzZiyRleBpwrKVDrQYsg1ZB8CIoDvAm68dSLMOINwoMgqmyiPw0NqTrOcxQ==" saltValue="TisbdbIUKHzDJA7zLx9SsQ==" spinCount="100000" sheet="1" objects="1" scenarios="1"/>
  <mergeCells count="42">
    <mergeCell ref="A95:K96"/>
    <mergeCell ref="A85:K86"/>
    <mergeCell ref="A87:K88"/>
    <mergeCell ref="A89:K90"/>
    <mergeCell ref="A91:K92"/>
    <mergeCell ref="A93:K94"/>
    <mergeCell ref="A70:K71"/>
    <mergeCell ref="A74:K77"/>
    <mergeCell ref="A78:K80"/>
    <mergeCell ref="A81:K82"/>
    <mergeCell ref="A83:K84"/>
    <mergeCell ref="A52:K53"/>
    <mergeCell ref="A61:K62"/>
    <mergeCell ref="A63:K64"/>
    <mergeCell ref="A65:K68"/>
    <mergeCell ref="A69:K69"/>
    <mergeCell ref="A55:K58"/>
    <mergeCell ref="A59:K60"/>
    <mergeCell ref="A12:K12"/>
    <mergeCell ref="A47:K48"/>
    <mergeCell ref="A35:K35"/>
    <mergeCell ref="A36:K36"/>
    <mergeCell ref="A30:K30"/>
    <mergeCell ref="A31:K31"/>
    <mergeCell ref="A32:K32"/>
    <mergeCell ref="A33:K33"/>
    <mergeCell ref="A34:K34"/>
    <mergeCell ref="A28:K28"/>
    <mergeCell ref="A29:K29"/>
    <mergeCell ref="A43:K44"/>
    <mergeCell ref="A45:K46"/>
    <mergeCell ref="A19:K19"/>
    <mergeCell ref="A25:K25"/>
    <mergeCell ref="A17:K17"/>
    <mergeCell ref="A18:K18"/>
    <mergeCell ref="A26:K26"/>
    <mergeCell ref="A27:K27"/>
    <mergeCell ref="A20:K20"/>
    <mergeCell ref="A21:K21"/>
    <mergeCell ref="A22:K22"/>
    <mergeCell ref="A23:K23"/>
    <mergeCell ref="A24:K24"/>
  </mergeCells>
  <hyperlinks>
    <hyperlink ref="A28:J28" location="'TotalAllotj_12 (12)'!A1" display="Capacidad de alojamiento por tipo de establecimiento y categoría en Formentera (2012)……………………………………………………...pág 12" xr:uid="{00000000-0004-0000-0100-000000000000}"/>
    <hyperlink ref="A29:J29" location="'TotalAllotj_11 (13)'!A1" display="Capacidad de alojamiento por tipo de establecimiento y categoría en Formentera (2011)……………………………………………………...pág 13" xr:uid="{00000000-0004-0000-0100-000001000000}"/>
    <hyperlink ref="A30:J30" location="'TotalAllotj_10 (14)'!A1" display="Capacidad de alojamiento por tipo de establecimiento y categoría en Formentera (2010)……………………………………………………...pág 14" xr:uid="{00000000-0004-0000-0100-000002000000}"/>
    <hyperlink ref="A31:J31" location="'TotalAllotj_09 (15)'!A1" display="Capacidad de alojamiento por tipo de establecimiento y categoría en Formentera (2009)……………………………………………………...pág 15" xr:uid="{00000000-0004-0000-0100-000003000000}"/>
    <hyperlink ref="A32:J32" location="'TotalAllotj_08 (16)'!A1" display="Capacidad de alojamiento por tipo de establecimiento y categoría en Formentera (2008)……………………………………………………...pág 16" xr:uid="{00000000-0004-0000-0100-000004000000}"/>
    <hyperlink ref="A33:J33" location="'TotalAllotj_07 (17)'!A1" display="Capacidad de alojamiento por tipo de establecimiento y categoría en Formentera (2007)……………………………………………………...pág 17" xr:uid="{00000000-0004-0000-0100-000005000000}"/>
    <hyperlink ref="A34:J34" location="'TotalAllotj_06 (18)'!A1" display="Capacidad de alojamiento por tipo de establecimiento y categoría en Formentera (2006)……………………………………………………...pág 18" xr:uid="{00000000-0004-0000-0100-000006000000}"/>
    <hyperlink ref="A35:J35" location="'TotalAllotj_05 (19)'!A1" display="Capacidad de alojamiento por tipo de establecimiento y categoría en Formentera (2005)……………………………………………………...pág 19" xr:uid="{00000000-0004-0000-0100-000007000000}"/>
    <hyperlink ref="A36:J36" location="'TotalAllotj_04 (20)'!A1" display="Capacidad de alojamiento por tipo de establecimiento y categoría en Formentera (2004)……………………………………………………...pág 20" xr:uid="{00000000-0004-0000-0100-000008000000}"/>
    <hyperlink ref="A27:J27" location="'TotalAllotj_13 (11)'!A1" display="Capacidad de alojamiento por tipo de establecimiento y categoría en Formentera (2013)……………………………………………………...pág 11" xr:uid="{00000000-0004-0000-0100-000009000000}"/>
    <hyperlink ref="A26:J26" location="'TotalAllotj_14 (10)'!A1" display="Capacidad de alojamiento por tipo de establecimiento y categoría en Formentera (2014)……………………………………………………...pág 10" xr:uid="{00000000-0004-0000-0100-00000A000000}"/>
    <hyperlink ref="A25:J25" location="'TotalAllotj_15 (9)'!A1" display="Capacidad de alojamiento por tipo de establecimiento y categoría en Formentera (2015)………………………………………………………...pág 9" xr:uid="{00000000-0004-0000-0100-00000B000000}"/>
    <hyperlink ref="A24:J24" location="'TotalAllotj_16 (8)'!A1" display="Capacidad de alojamiento por tipo de establecimiento y categoría en Formentera (2016)………………………………………………………...pág 8" xr:uid="{00000000-0004-0000-0100-00000C000000}"/>
    <hyperlink ref="A23:J23" location="'TotalAllotj_17 (7)'!A1" display="Capacidad de alojamiento por tipo de establecimiento y categoría en Formentera (2017)………………………………………………………...pág 7" xr:uid="{00000000-0004-0000-0100-00000D000000}"/>
    <hyperlink ref="A22:J22" location="'TotalAllotj_18 (6)'!A1" display="Capacidad de alojamiento por tipo de establecimiento y categoría en Formentera (2018)………………………………………………………...pág 6" xr:uid="{00000000-0004-0000-0100-00000E000000}"/>
    <hyperlink ref="A21:J21" location="'TotalAllotj_19 (5)'!A1" display="Capacidad de alojamiento por tipo de establecimiento y categoría en Formentera (2019)………………………………………………………...pág 5" xr:uid="{00000000-0004-0000-0100-00000F000000}"/>
    <hyperlink ref="A20:J20" location="'TotalAllotj_20 (4)'!A1" display="Capacidad de alojamiento por tipo de establecimiento y categoría en Formentera (2020)………………………………………………………...pág 4" xr:uid="{00000000-0004-0000-0100-000010000000}"/>
    <hyperlink ref="A19:K19" location="'TotalAllotj_21 (5)'!A1" display="Capacidad de alojamiento por tipo de establecimiento y categoría en Formentera (2021)…………...................……………………………………....................……………...pág 5" xr:uid="{A7489DD6-48B8-48E5-982A-0B602F169B2B}"/>
    <hyperlink ref="A20:K20" location="'TotalAllotj_20 (6)'!A1" display="Capacidad de alojamiento por tipo de establecimiento y categoría en Formentera (2020)………………………...................………....................……………………………...pág 6" xr:uid="{5D5AB683-F0B7-4C96-9047-78AA4EB23488}"/>
    <hyperlink ref="A21:K21" location="'TotalAllotj_19 (7)'!A1" display="Capacidad de alojamiento por tipo de establecimiento y categoría en Formentera (2019)…………………………..........................................………………………………...pág 7" xr:uid="{6E5B49E0-359E-4079-8467-97F20CF3EE80}"/>
    <hyperlink ref="A22:K22" location="'TotalAllotj_18 (8)'!A1" display="Capacidad de alojamiento por tipo de establecimiento y categoría en Formentera (2018)………………………...…….....................…………....................………………...pág 8" xr:uid="{C0AD9F38-9B65-4BBE-85C0-1F7601A6D297}"/>
    <hyperlink ref="A23:K23" location="'TotalAllotj_17 (9)'!A1" display="Capacidad de alojamiento por tipo de establecimiento y categoría en Formentera (2017)………………………………….........................................………………………...pág 9" xr:uid="{57DB3A54-1BD5-4281-819C-61F7CB8F86CE}"/>
    <hyperlink ref="A24:K24" location="'TotalAllotj_16 (10)'!A1" display="Capacidad de alojamiento por tipo de establecimiento y categoría en Formentera (2016)……………………...................………………………………...................………...pág 10" xr:uid="{3E8A1AB3-4A16-4D03-ACD7-A4B4B1AF1D3F}"/>
    <hyperlink ref="A25:K25" location="'TotalAllotj_15 (11)'!A1" display="Capacidad de alojamiento por tipo de establecimiento y categoría en Formentera (2015)……………………....................……....................………………………………...pág 11" xr:uid="{84D52A0E-36ED-44CB-BE09-03DDED247792}"/>
    <hyperlink ref="A26:K26" location="'TotalAllotj_14 (12)'!A1" display="Capacidad de alojamiento por tipo de establecimiento y categoría en Formentera (2014)……………....................…………....................…………………………………...pág 12" xr:uid="{A8A2A3F3-CB48-48C1-B268-3361EBEB794A}"/>
    <hyperlink ref="A27:K27" location="'TotalAllotj_13 (13)'!A1" display="Capacidad de alojamiento por tipo de establecimiento y categoría en Formentera (2013)………………………....................…………………………....................………...pág 13" xr:uid="{E010F6B5-911F-402D-AE07-308F762AE3DB}"/>
    <hyperlink ref="A28:K28" location="'TotalAllotj_12 (14)'!A1" display="Capacidad de alojamiento por tipo de establecimiento y categoría en Formentera (2012)……………………...............................................……………………………...pág 14" xr:uid="{F73584D9-3342-471D-BE1D-9E76D8D05E46}"/>
    <hyperlink ref="A29:K29" location="'TotalAllotj_11 (15)'!A1" display="Capacidad de alojamiento por tipo de establecimiento y categoría en Formentera (2011)………………………………....................……………....................……………...pág 15" xr:uid="{6CB0E9A8-0FDF-48C3-9732-3A64E017F6AA}"/>
    <hyperlink ref="A30:K30" location="'TotalAllotj_10 (16)'!A1" display="Capacidad de alojamiento por tipo de establecimiento y categoría en Formentera (2010)…………………………………..........................................……………………...pág 16" xr:uid="{882B8309-2DFC-4279-9352-4D1166EE705B}"/>
    <hyperlink ref="A31:K31" location="'TotalAllotj_09 (17)'!A1" display="Capacidad de alojamiento por tipo de establecimiento y categoría en Formentera (2009)……………………………………..........................................…………………...pág 17" xr:uid="{2248F9DC-9779-4226-B9B0-AF0F552D4B1A}"/>
    <hyperlink ref="A32:K32" location="'TotalAllotj_08 (18)'!A1" display="Capacidad de alojamiento por tipo de establecimiento y categoría en Formentera (2008)…………………………………..........................................……………………...pág 18" xr:uid="{FF442397-2E7C-46CC-B070-1AC99C2F45C5}"/>
    <hyperlink ref="A33:K33" location="'TotalAllotj_07 (19)'!A1" display="Capacidad de alojamiento por tipo de establecimiento y categoría en Formentera (2007)…………………………………………………..........................................……...pág 19" xr:uid="{66E08A75-32EE-41C8-8F4E-6D037E7665C9}"/>
    <hyperlink ref="A34:K34" location="'TotalAllotj_06 (20)'!A1" display="Capacidad de alojamiento por tipo de establecimiento y categoría en Formentera (2006)…………………………………………………….......................................……...pág 20" xr:uid="{6244D2AD-3E52-4C24-B955-9ACB17227B04}"/>
    <hyperlink ref="A35:K35" location="'TotalAllotj_05 (21)'!A1" display="Capacidad de alojamiento por tipo de establecimiento y categoría en Formentera (2005)……………………………...................……………....................………………...pág 21" xr:uid="{D1F9A0FA-216C-47E6-B312-18DE9696CF5A}"/>
    <hyperlink ref="A36:K36" location="'TotalAllotj_04 (22)'!A1" display="Capacidad de alojamiento por tipo de establecimiento y categoría en Formentera (2004)……………...................……………………....................………………………...pág 22" xr:uid="{37AF9772-EF5E-4EBC-AFDD-BF5A97605CC5}"/>
    <hyperlink ref="A18:K18" location="'TotalAllotj_22 (4)'!A1" display="Capacidad de alojamiento por tipo de establecimiento y categoría en Formentera (2022)…………...................……………………....................……………………………...pág 4" xr:uid="{DBF960A8-BC43-4DFE-9E41-5E8CB0554910}"/>
    <hyperlink ref="A17:K17" location="'TotalAllotj_22 (4)'!A1" display="Capacidad de alojamiento por tipo de establecimiento y categoría en Formentera (2022)…………...................……………………....................……………………………...pág 4" xr:uid="{4506A425-E60D-4148-8D88-440F84154C43}"/>
    <hyperlink ref="A17:XFD17" location="'TotalAllotj_23 (4)'!A1" display="Capacidad de alojamiento por tipo de establecimiento y categoría en Formentera (2023)…………...................……………………....................……………………………...pág 4" xr:uid="{DC427791-BEFA-4A4A-A8A5-E0287E193823}"/>
    <hyperlink ref="A18:XFD18" location="'TotalAllotj_22 (5)'!A1" display="Capacidad de alojamiento por tipo de establecimiento y categoría en Formentera (2022)…………...................……………………....................……………………………...pág 5" xr:uid="{522E23EE-E591-448D-ABAA-AA25F54684DD}"/>
    <hyperlink ref="A19:XFD19" location="'TotalAllotj_21 (6)'!A1" display="Capacidad de alojamiento por tipo de establecimiento y categoría en Formentera (2021)…………...................……………………………………....................……………...pág 6" xr:uid="{28D6B315-C5DB-474A-A3C5-44AECBA935D1}"/>
    <hyperlink ref="A20:XFD20" location="'TotalAllotj_20 (7)'!A1" display="Capacidad de alojamiento por tipo de establecimiento y categoría en Formentera (2020)………………………...................………....................……………………………...pág 7" xr:uid="{0C39AFC8-DCF2-4E4D-AE10-336D13AD7E09}"/>
    <hyperlink ref="A21:XFD21" location="'TotalAllotj_19 (8)'!A1" display="Capacidad de alojamiento por tipo de establecimiento y categoría en Formentera (2019)…………..……………..........................................………………………………...pág 8" xr:uid="{DA5559EE-1A78-44DE-A4C1-1331D86CA87D}"/>
    <hyperlink ref="A22:XFD22" location="'TotalAllotj_18 (9)'!A1" display="Capacidad de alojamiento por tipo de establecimiento y categoría en Formentera (2018)………………………...…….....................…………....................………………...pág 9" xr:uid="{97CDFA8A-D6DE-4870-B6C6-7FDEC7E28B93}"/>
    <hyperlink ref="A23:XFD23" location="'TotalAllotj_17 (10)'!A1" display="Capacidad de alojamiento por tipo de establecimiento y categoría en Formentera (2017)………………………………….........................................………………………...pág 10" xr:uid="{E226C615-9B32-4BBC-B4F3-841585725304}"/>
    <hyperlink ref="A24:XFD24" location="'TotalAllotj_16 (11)'!A1" display="Capacidad de alojamiento por tipo de establecimiento y categoría en Formentera (2016)……………………...................………………………………...................………...pág 11" xr:uid="{5DAA209D-AB52-467F-901B-9994BD8584A9}"/>
    <hyperlink ref="A25:XFD25" location="'TotalAllotj_15 (12)'!A1" display="Capacidad de alojamiento por tipo de establecimiento y categoría en Formentera (2015)……………………....................……....................………………………………...pág 12" xr:uid="{6C871C5E-14E3-445A-90C7-40B7AAC04DE0}"/>
    <hyperlink ref="A26:XFD26" location="'TotalAllotj_14 (13)'!A1" display="Capacidad de alojamiento por tipo de establecimiento y categoría en Formentera (2014)……………....................…………....................…………………………………...pág 13" xr:uid="{1CC884EC-1B42-43B8-98BE-476DC90F0E00}"/>
    <hyperlink ref="A27:XFD27" location="'TotalAllotj_13 (14)'!A1" display="Capacidad de alojamiento por tipo de establecimiento y categoría en Formentera (2013)………………………....................…………………………....................………...pág 14" xr:uid="{38C90781-BEFC-481E-9420-1FE5271AC269}"/>
    <hyperlink ref="A28:XFD28" location="'TotalAllotj_12 (15)'!A1" display="Capacidad de alojamiento por tipo de establecimiento y categoría en Formentera (2012)……………………...............................................……………………………...pág 15" xr:uid="{169589FD-BAE5-4634-B8B6-8D18C2A72338}"/>
    <hyperlink ref="A29:XFD29" location="'TotalAllotj_11 (16)'!A1" display="Capacidad de alojamiento por tipo de establecimiento y categoría en Formentera (2011)………………………………....................……………....................……………...pág 16" xr:uid="{DD67786F-C875-49B2-B77B-2FBAB1F37ECA}"/>
    <hyperlink ref="A30:XFD30" location="'TotalAllotj_10 (17)'!A1" display="Capacidad de alojamiento por tipo de establecimiento y categoría en Formentera (2010)…………………………………..........................................……………………...pág 17" xr:uid="{721B92D7-4BBD-4CB1-966C-77D8E21F5065}"/>
    <hyperlink ref="A31:XFD31" location="'TotalAllotj_09 (18)'!A1" display="Capacidad de alojamiento por tipo de establecimiento y categoría en Formentera (2009)……………………………………..........................................…………………...pág 18" xr:uid="{E0264B95-A75F-452F-8051-5A7F243AFDCB}"/>
    <hyperlink ref="A32:XFD32" location="'TotalAllotj_08 (19)'!A1" display="Capacidad de alojamiento por tipo de establecimiento y categoría en Formentera (2008)…………………………………..........................................……………………...pág 19" xr:uid="{01700690-8C0F-4F11-B9A4-A4CC10FB32CD}"/>
    <hyperlink ref="A33:XFD33" location="'TotalAllotj_07 (20)'!A1" display="Capacidad de alojamiento por tipo de establecimiento y categoría en Formentera (2007)…………………………………………………..........................................……...pág 20" xr:uid="{05A562A0-EEE3-4940-ADBA-6A87920A37CE}"/>
    <hyperlink ref="A34:XFD34" location="'TotalAllotj_06 (21)'!A1" display="Capacidad de alojamiento por tipo de establecimiento y categoría en Formentera (2006)…………………………………………………….......................................……...pág 21" xr:uid="{20D84362-EE20-4996-8846-1D7432A31D8E}"/>
    <hyperlink ref="A35:XFD35" location="'TotalAllotj_05 (22)'!A1" display="Capacidad de alojamiento por tipo de establecimiento y categoría en Formentera (2005)……………………………...................……………....................………………...pág 22" xr:uid="{81EEBDB7-85EB-453A-94A6-DD816E6F1600}"/>
    <hyperlink ref="A36:XFD36" location="'TotalAllotj_04 (23)'!A1" display="Capacidad de alojamiento por tipo de establecimiento y categoría en Formentera (2004)……………...................……………………....................………………………...pág 23" xr:uid="{52C9FB16-E452-43CE-95C3-2AFFAC403A05}"/>
  </hyperlinks>
  <pageMargins left="0.7" right="0.7" top="0.75" bottom="0.75" header="0.3" footer="0.3"/>
  <pageSetup paperSize="9" scale="93" fitToHeight="0" orientation="landscape" r:id="rId1"/>
  <rowBreaks count="2" manualBreakCount="2">
    <brk id="35" max="10" man="1"/>
    <brk id="68"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2:K97"/>
  <sheetViews>
    <sheetView showGridLines="0" view="pageBreakPreview" topLeftCell="A10" zoomScaleNormal="100" zoomScaleSheetLayoutView="100" workbookViewId="0">
      <selection activeCell="A12" sqref="A12:K12"/>
    </sheetView>
  </sheetViews>
  <sheetFormatPr baseColWidth="10" defaultRowHeight="15"/>
  <cols>
    <col min="1" max="11" width="12.7109375" customWidth="1"/>
  </cols>
  <sheetData>
    <row r="12" spans="1:11">
      <c r="A12" s="94" t="s">
        <v>16</v>
      </c>
      <c r="B12" s="94"/>
      <c r="C12" s="94"/>
      <c r="D12" s="94"/>
      <c r="E12" s="94"/>
      <c r="F12" s="94"/>
      <c r="G12" s="94"/>
      <c r="H12" s="94"/>
      <c r="I12" s="94"/>
      <c r="J12" s="94"/>
      <c r="K12" s="94"/>
    </row>
    <row r="13" spans="1:11">
      <c r="A13" s="13"/>
      <c r="B13" s="13"/>
      <c r="C13" s="13"/>
      <c r="D13" s="13"/>
      <c r="E13" s="13"/>
      <c r="F13" s="13"/>
      <c r="G13" s="13"/>
      <c r="H13" s="13"/>
      <c r="I13" s="13"/>
      <c r="J13" s="10"/>
      <c r="K13" s="10"/>
    </row>
    <row r="15" spans="1:11">
      <c r="A15" s="11"/>
      <c r="B15" s="11"/>
      <c r="C15" s="11"/>
      <c r="D15" s="11"/>
      <c r="E15" s="11"/>
      <c r="F15" s="11"/>
      <c r="G15" s="11"/>
      <c r="H15" s="11"/>
      <c r="I15" s="11"/>
      <c r="J15" s="11"/>
      <c r="K15" s="11"/>
    </row>
    <row r="17" spans="1:11" s="83" customFormat="1">
      <c r="A17" s="93" t="s">
        <v>277</v>
      </c>
      <c r="B17" s="93"/>
      <c r="C17" s="93"/>
      <c r="D17" s="93"/>
      <c r="E17" s="93"/>
      <c r="F17" s="93"/>
      <c r="G17" s="93"/>
      <c r="H17" s="93"/>
      <c r="I17" s="93"/>
      <c r="J17" s="93"/>
      <c r="K17" s="93"/>
    </row>
    <row r="18" spans="1:11" s="83" customFormat="1">
      <c r="A18" s="93" t="s">
        <v>278</v>
      </c>
      <c r="B18" s="93"/>
      <c r="C18" s="93"/>
      <c r="D18" s="93"/>
      <c r="E18" s="93"/>
      <c r="F18" s="93"/>
      <c r="G18" s="93"/>
      <c r="H18" s="93"/>
      <c r="I18" s="93"/>
      <c r="J18" s="93"/>
      <c r="K18" s="93"/>
    </row>
    <row r="19" spans="1:11" s="83" customFormat="1">
      <c r="A19" s="93" t="s">
        <v>279</v>
      </c>
      <c r="B19" s="93"/>
      <c r="C19" s="93"/>
      <c r="D19" s="93"/>
      <c r="E19" s="93"/>
      <c r="F19" s="93"/>
      <c r="G19" s="93"/>
      <c r="H19" s="93"/>
      <c r="I19" s="93"/>
      <c r="J19" s="93"/>
      <c r="K19" s="93"/>
    </row>
    <row r="20" spans="1:11" s="83" customFormat="1">
      <c r="A20" s="93" t="s">
        <v>280</v>
      </c>
      <c r="B20" s="93"/>
      <c r="C20" s="93"/>
      <c r="D20" s="93"/>
      <c r="E20" s="93"/>
      <c r="F20" s="93"/>
      <c r="G20" s="93"/>
      <c r="H20" s="93"/>
      <c r="I20" s="93"/>
      <c r="J20" s="93"/>
      <c r="K20" s="93"/>
    </row>
    <row r="21" spans="1:11" s="83" customFormat="1">
      <c r="A21" s="93" t="s">
        <v>281</v>
      </c>
      <c r="B21" s="93"/>
      <c r="C21" s="93"/>
      <c r="D21" s="93"/>
      <c r="E21" s="93"/>
      <c r="F21" s="93"/>
      <c r="G21" s="93"/>
      <c r="H21" s="93"/>
      <c r="I21" s="93"/>
      <c r="J21" s="93"/>
      <c r="K21" s="93"/>
    </row>
    <row r="22" spans="1:11" s="83" customFormat="1">
      <c r="A22" s="93" t="s">
        <v>282</v>
      </c>
      <c r="B22" s="93"/>
      <c r="C22" s="93"/>
      <c r="D22" s="93"/>
      <c r="E22" s="93"/>
      <c r="F22" s="93"/>
      <c r="G22" s="93"/>
      <c r="H22" s="93"/>
      <c r="I22" s="93"/>
      <c r="J22" s="93"/>
      <c r="K22" s="93"/>
    </row>
    <row r="23" spans="1:11" s="83" customFormat="1">
      <c r="A23" s="93" t="s">
        <v>283</v>
      </c>
      <c r="B23" s="93"/>
      <c r="C23" s="93"/>
      <c r="D23" s="93"/>
      <c r="E23" s="93"/>
      <c r="F23" s="93"/>
      <c r="G23" s="93"/>
      <c r="H23" s="93"/>
      <c r="I23" s="93"/>
      <c r="J23" s="93"/>
      <c r="K23" s="93"/>
    </row>
    <row r="24" spans="1:11" s="83" customFormat="1">
      <c r="A24" s="93" t="s">
        <v>284</v>
      </c>
      <c r="B24" s="93"/>
      <c r="C24" s="93"/>
      <c r="D24" s="93"/>
      <c r="E24" s="93"/>
      <c r="F24" s="93"/>
      <c r="G24" s="93"/>
      <c r="H24" s="93"/>
      <c r="I24" s="93"/>
      <c r="J24" s="93"/>
      <c r="K24" s="93"/>
    </row>
    <row r="25" spans="1:11" s="83" customFormat="1">
      <c r="A25" s="93" t="s">
        <v>285</v>
      </c>
      <c r="B25" s="93"/>
      <c r="C25" s="93"/>
      <c r="D25" s="93"/>
      <c r="E25" s="93"/>
      <c r="F25" s="93"/>
      <c r="G25" s="93"/>
      <c r="H25" s="93"/>
      <c r="I25" s="93"/>
      <c r="J25" s="93"/>
      <c r="K25" s="93"/>
    </row>
    <row r="26" spans="1:11" s="83" customFormat="1">
      <c r="A26" s="93" t="s">
        <v>286</v>
      </c>
      <c r="B26" s="93"/>
      <c r="C26" s="93"/>
      <c r="D26" s="93"/>
      <c r="E26" s="93"/>
      <c r="F26" s="93"/>
      <c r="G26" s="93"/>
      <c r="H26" s="93"/>
      <c r="I26" s="93"/>
      <c r="J26" s="93"/>
      <c r="K26" s="93"/>
    </row>
    <row r="27" spans="1:11" s="83" customFormat="1">
      <c r="A27" s="93" t="s">
        <v>287</v>
      </c>
      <c r="B27" s="93"/>
      <c r="C27" s="93"/>
      <c r="D27" s="93"/>
      <c r="E27" s="93"/>
      <c r="F27" s="93"/>
      <c r="G27" s="93"/>
      <c r="H27" s="93"/>
      <c r="I27" s="93"/>
      <c r="J27" s="93"/>
      <c r="K27" s="93"/>
    </row>
    <row r="28" spans="1:11" s="83" customFormat="1">
      <c r="A28" s="93" t="s">
        <v>288</v>
      </c>
      <c r="B28" s="93"/>
      <c r="C28" s="93"/>
      <c r="D28" s="93"/>
      <c r="E28" s="93"/>
      <c r="F28" s="93"/>
      <c r="G28" s="93"/>
      <c r="H28" s="93"/>
      <c r="I28" s="93"/>
      <c r="J28" s="93"/>
      <c r="K28" s="93"/>
    </row>
    <row r="29" spans="1:11" s="83" customFormat="1">
      <c r="A29" s="93" t="s">
        <v>289</v>
      </c>
      <c r="B29" s="93"/>
      <c r="C29" s="93"/>
      <c r="D29" s="93"/>
      <c r="E29" s="93"/>
      <c r="F29" s="93"/>
      <c r="G29" s="93"/>
      <c r="H29" s="93"/>
      <c r="I29" s="93"/>
      <c r="J29" s="93"/>
      <c r="K29" s="93"/>
    </row>
    <row r="30" spans="1:11" s="83" customFormat="1">
      <c r="A30" s="93" t="s">
        <v>290</v>
      </c>
      <c r="B30" s="93"/>
      <c r="C30" s="93"/>
      <c r="D30" s="93"/>
      <c r="E30" s="93"/>
      <c r="F30" s="93"/>
      <c r="G30" s="93"/>
      <c r="H30" s="93"/>
      <c r="I30" s="93"/>
      <c r="J30" s="93"/>
      <c r="K30" s="93"/>
    </row>
    <row r="31" spans="1:11" s="83" customFormat="1">
      <c r="A31" s="93" t="s">
        <v>291</v>
      </c>
      <c r="B31" s="93"/>
      <c r="C31" s="93"/>
      <c r="D31" s="93"/>
      <c r="E31" s="93"/>
      <c r="F31" s="93"/>
      <c r="G31" s="93"/>
      <c r="H31" s="93"/>
      <c r="I31" s="93"/>
      <c r="J31" s="93"/>
      <c r="K31" s="93"/>
    </row>
    <row r="32" spans="1:11" s="83" customFormat="1">
      <c r="A32" s="93" t="s">
        <v>292</v>
      </c>
      <c r="B32" s="93"/>
      <c r="C32" s="93"/>
      <c r="D32" s="93"/>
      <c r="E32" s="93"/>
      <c r="F32" s="93"/>
      <c r="G32" s="93"/>
      <c r="H32" s="93"/>
      <c r="I32" s="93"/>
      <c r="J32" s="93"/>
      <c r="K32" s="93"/>
    </row>
    <row r="33" spans="1:11" s="83" customFormat="1">
      <c r="A33" s="93" t="s">
        <v>293</v>
      </c>
      <c r="B33" s="93"/>
      <c r="C33" s="93"/>
      <c r="D33" s="93"/>
      <c r="E33" s="93"/>
      <c r="F33" s="93"/>
      <c r="G33" s="93"/>
      <c r="H33" s="93"/>
      <c r="I33" s="93"/>
      <c r="J33" s="93"/>
      <c r="K33" s="93"/>
    </row>
    <row r="34" spans="1:11" s="83" customFormat="1">
      <c r="A34" s="93" t="s">
        <v>294</v>
      </c>
      <c r="B34" s="93"/>
      <c r="C34" s="93"/>
      <c r="D34" s="93"/>
      <c r="E34" s="93"/>
      <c r="F34" s="93"/>
      <c r="G34" s="93"/>
      <c r="H34" s="93"/>
      <c r="I34" s="93"/>
      <c r="J34" s="93"/>
      <c r="K34" s="93"/>
    </row>
    <row r="35" spans="1:11" s="83" customFormat="1">
      <c r="A35" s="93" t="s">
        <v>295</v>
      </c>
      <c r="B35" s="93"/>
      <c r="C35" s="93"/>
      <c r="D35" s="93"/>
      <c r="E35" s="93"/>
      <c r="F35" s="93"/>
      <c r="G35" s="93"/>
      <c r="H35" s="93"/>
      <c r="I35" s="93"/>
      <c r="J35" s="93"/>
      <c r="K35" s="93"/>
    </row>
    <row r="36" spans="1:11" s="83" customFormat="1">
      <c r="A36" s="93" t="s">
        <v>296</v>
      </c>
      <c r="B36" s="93"/>
      <c r="C36" s="93"/>
      <c r="D36" s="93"/>
      <c r="E36" s="93"/>
      <c r="F36" s="93"/>
      <c r="G36" s="93"/>
      <c r="H36" s="93"/>
      <c r="I36" s="93"/>
      <c r="J36" s="93"/>
      <c r="K36" s="93"/>
    </row>
    <row r="37" spans="1:11">
      <c r="A37" s="101"/>
      <c r="B37" s="101"/>
      <c r="C37" s="101"/>
      <c r="D37" s="101"/>
      <c r="E37" s="101"/>
      <c r="F37" s="101"/>
      <c r="G37" s="101"/>
      <c r="H37" s="101"/>
      <c r="I37" s="101"/>
      <c r="J37" s="101"/>
      <c r="K37" s="101"/>
    </row>
    <row r="38" spans="1:11">
      <c r="A38" s="11"/>
      <c r="B38" s="11"/>
      <c r="C38" s="11"/>
      <c r="D38" s="11"/>
      <c r="E38" s="11"/>
      <c r="F38" s="11"/>
      <c r="G38" s="11"/>
      <c r="H38" s="11"/>
      <c r="I38" s="11"/>
      <c r="J38" s="11"/>
      <c r="K38" s="11"/>
    </row>
    <row r="40" spans="1:11">
      <c r="A40" s="80" t="s">
        <v>195</v>
      </c>
      <c r="B40" s="14"/>
      <c r="C40" s="14"/>
      <c r="D40" s="14"/>
      <c r="E40" s="14"/>
      <c r="F40" s="14"/>
      <c r="G40" s="14"/>
      <c r="H40" s="14"/>
      <c r="I40" s="14"/>
      <c r="J40" s="14"/>
      <c r="K40" s="14"/>
    </row>
    <row r="41" spans="1:11">
      <c r="A41" s="14" t="s">
        <v>196</v>
      </c>
      <c r="B41" s="14"/>
      <c r="C41" s="14"/>
      <c r="D41" s="14"/>
      <c r="E41" s="14"/>
      <c r="F41" s="14"/>
      <c r="G41" s="14"/>
      <c r="H41" s="14"/>
      <c r="I41" s="14"/>
      <c r="J41" s="14"/>
      <c r="K41" s="14"/>
    </row>
    <row r="42" spans="1:11">
      <c r="A42" s="80" t="s">
        <v>197</v>
      </c>
      <c r="B42" s="14"/>
      <c r="C42" s="14"/>
      <c r="D42" s="14"/>
      <c r="E42" s="14"/>
      <c r="F42" s="14"/>
      <c r="G42" s="14"/>
      <c r="H42" s="14"/>
      <c r="I42" s="14"/>
      <c r="J42" s="14"/>
      <c r="K42" s="14"/>
    </row>
    <row r="43" spans="1:11">
      <c r="A43" s="95" t="s">
        <v>198</v>
      </c>
      <c r="B43" s="99"/>
      <c r="C43" s="99"/>
      <c r="D43" s="99"/>
      <c r="E43" s="99"/>
      <c r="F43" s="99"/>
      <c r="G43" s="99"/>
      <c r="H43" s="99"/>
      <c r="I43" s="99"/>
      <c r="J43" s="99"/>
      <c r="K43" s="99"/>
    </row>
    <row r="44" spans="1:11">
      <c r="A44" s="99"/>
      <c r="B44" s="99"/>
      <c r="C44" s="99"/>
      <c r="D44" s="99"/>
      <c r="E44" s="99"/>
      <c r="F44" s="99"/>
      <c r="G44" s="99"/>
      <c r="H44" s="99"/>
      <c r="I44" s="99"/>
      <c r="J44" s="99"/>
      <c r="K44" s="99"/>
    </row>
    <row r="45" spans="1:11">
      <c r="A45" s="95" t="s">
        <v>199</v>
      </c>
      <c r="B45" s="99"/>
      <c r="C45" s="99"/>
      <c r="D45" s="99"/>
      <c r="E45" s="99"/>
      <c r="F45" s="99"/>
      <c r="G45" s="99"/>
      <c r="H45" s="99"/>
      <c r="I45" s="99"/>
      <c r="J45" s="99"/>
      <c r="K45" s="99"/>
    </row>
    <row r="46" spans="1:11">
      <c r="A46" s="99"/>
      <c r="B46" s="99"/>
      <c r="C46" s="99"/>
      <c r="D46" s="99"/>
      <c r="E46" s="99"/>
      <c r="F46" s="99"/>
      <c r="G46" s="99"/>
      <c r="H46" s="99"/>
      <c r="I46" s="99"/>
      <c r="J46" s="99"/>
      <c r="K46" s="99"/>
    </row>
    <row r="47" spans="1:11">
      <c r="A47" s="95" t="s">
        <v>200</v>
      </c>
      <c r="B47" s="99"/>
      <c r="C47" s="99"/>
      <c r="D47" s="99"/>
      <c r="E47" s="99"/>
      <c r="F47" s="99"/>
      <c r="G47" s="99"/>
      <c r="H47" s="99"/>
      <c r="I47" s="99"/>
      <c r="J47" s="99"/>
      <c r="K47" s="99"/>
    </row>
    <row r="48" spans="1:11">
      <c r="A48" s="99"/>
      <c r="B48" s="99"/>
      <c r="C48" s="99"/>
      <c r="D48" s="99"/>
      <c r="E48" s="99"/>
      <c r="F48" s="99"/>
      <c r="G48" s="99"/>
      <c r="H48" s="99"/>
      <c r="I48" s="99"/>
      <c r="J48" s="99"/>
      <c r="K48" s="99"/>
    </row>
    <row r="49" spans="1:11">
      <c r="A49" s="80" t="s">
        <v>201</v>
      </c>
      <c r="B49" s="14"/>
      <c r="C49" s="14"/>
      <c r="D49" s="14"/>
      <c r="E49" s="14"/>
      <c r="F49" s="14"/>
      <c r="G49" s="14"/>
      <c r="H49" s="14"/>
      <c r="I49" s="14"/>
      <c r="J49" s="14"/>
      <c r="K49" s="14"/>
    </row>
    <row r="50" spans="1:11">
      <c r="A50" s="80" t="s">
        <v>202</v>
      </c>
      <c r="B50" s="14"/>
      <c r="C50" s="14"/>
      <c r="D50" s="14"/>
      <c r="E50" s="14"/>
      <c r="F50" s="14"/>
      <c r="G50" s="14"/>
      <c r="H50" s="14"/>
      <c r="I50" s="14"/>
      <c r="J50" s="14"/>
      <c r="K50" s="14"/>
    </row>
    <row r="51" spans="1:11">
      <c r="A51" s="95" t="s">
        <v>203</v>
      </c>
      <c r="B51" s="99"/>
      <c r="C51" s="99"/>
      <c r="D51" s="99"/>
      <c r="E51" s="99"/>
      <c r="F51" s="99"/>
      <c r="G51" s="99"/>
      <c r="H51" s="99"/>
      <c r="I51" s="99"/>
      <c r="J51" s="99"/>
      <c r="K51" s="99"/>
    </row>
    <row r="52" spans="1:11">
      <c r="A52" s="99"/>
      <c r="B52" s="99"/>
      <c r="C52" s="99"/>
      <c r="D52" s="99"/>
      <c r="E52" s="99"/>
      <c r="F52" s="99"/>
      <c r="G52" s="99"/>
      <c r="H52" s="99"/>
      <c r="I52" s="99"/>
      <c r="J52" s="99"/>
      <c r="K52" s="99"/>
    </row>
    <row r="53" spans="1:11" ht="15" customHeight="1">
      <c r="A53" s="80" t="s">
        <v>204</v>
      </c>
      <c r="B53" s="14"/>
      <c r="C53" s="14"/>
      <c r="D53" s="14"/>
      <c r="E53" s="14"/>
      <c r="F53" s="14"/>
      <c r="G53" s="14"/>
      <c r="H53" s="14"/>
      <c r="I53" s="14"/>
      <c r="J53" s="14"/>
      <c r="K53" s="14"/>
    </row>
    <row r="54" spans="1:11">
      <c r="A54" s="95" t="s">
        <v>205</v>
      </c>
      <c r="B54" s="99"/>
      <c r="C54" s="99"/>
      <c r="D54" s="99"/>
      <c r="E54" s="99"/>
      <c r="F54" s="99"/>
      <c r="G54" s="99"/>
      <c r="H54" s="99"/>
      <c r="I54" s="99"/>
      <c r="J54" s="99"/>
      <c r="K54" s="99"/>
    </row>
    <row r="55" spans="1:11">
      <c r="A55" s="99"/>
      <c r="B55" s="99"/>
      <c r="C55" s="99"/>
      <c r="D55" s="99"/>
      <c r="E55" s="99"/>
      <c r="F55" s="99"/>
      <c r="G55" s="99"/>
      <c r="H55" s="99"/>
      <c r="I55" s="99"/>
      <c r="J55" s="99"/>
      <c r="K55" s="99"/>
    </row>
    <row r="56" spans="1:11">
      <c r="A56" s="99"/>
      <c r="B56" s="99"/>
      <c r="C56" s="99"/>
      <c r="D56" s="99"/>
      <c r="E56" s="99"/>
      <c r="F56" s="99"/>
      <c r="G56" s="99"/>
      <c r="H56" s="99"/>
      <c r="I56" s="99"/>
      <c r="J56" s="99"/>
      <c r="K56" s="99"/>
    </row>
    <row r="57" spans="1:11">
      <c r="A57" s="95" t="s">
        <v>206</v>
      </c>
      <c r="B57" s="99"/>
      <c r="C57" s="99"/>
      <c r="D57" s="99"/>
      <c r="E57" s="99"/>
      <c r="F57" s="99"/>
      <c r="G57" s="99"/>
      <c r="H57" s="99"/>
      <c r="I57" s="99"/>
      <c r="J57" s="99"/>
      <c r="K57" s="99"/>
    </row>
    <row r="58" spans="1:11">
      <c r="A58" s="99"/>
      <c r="B58" s="99"/>
      <c r="C58" s="99"/>
      <c r="D58" s="99"/>
      <c r="E58" s="99"/>
      <c r="F58" s="99"/>
      <c r="G58" s="99"/>
      <c r="H58" s="99"/>
      <c r="I58" s="99"/>
      <c r="J58" s="99"/>
      <c r="K58" s="99"/>
    </row>
    <row r="59" spans="1:11">
      <c r="A59" s="95" t="s">
        <v>207</v>
      </c>
      <c r="B59" s="99"/>
      <c r="C59" s="99"/>
      <c r="D59" s="99"/>
      <c r="E59" s="99"/>
      <c r="F59" s="99"/>
      <c r="G59" s="99"/>
      <c r="H59" s="99"/>
      <c r="I59" s="99"/>
      <c r="J59" s="99"/>
      <c r="K59" s="99"/>
    </row>
    <row r="60" spans="1:11">
      <c r="A60" s="99"/>
      <c r="B60" s="99"/>
      <c r="C60" s="99"/>
      <c r="D60" s="99"/>
      <c r="E60" s="99"/>
      <c r="F60" s="99"/>
      <c r="G60" s="99"/>
      <c r="H60" s="99"/>
      <c r="I60" s="99"/>
      <c r="J60" s="99"/>
      <c r="K60" s="99"/>
    </row>
    <row r="61" spans="1:11">
      <c r="A61" s="95" t="s">
        <v>208</v>
      </c>
      <c r="B61" s="99"/>
      <c r="C61" s="99"/>
      <c r="D61" s="99"/>
      <c r="E61" s="99"/>
      <c r="F61" s="99"/>
      <c r="G61" s="99"/>
      <c r="H61" s="99"/>
      <c r="I61" s="99"/>
      <c r="J61" s="99"/>
      <c r="K61" s="99"/>
    </row>
    <row r="62" spans="1:11" ht="15" customHeight="1">
      <c r="A62" s="99"/>
      <c r="B62" s="99"/>
      <c r="C62" s="99"/>
      <c r="D62" s="99"/>
      <c r="E62" s="99"/>
      <c r="F62" s="99"/>
      <c r="G62" s="99"/>
      <c r="H62" s="99"/>
      <c r="I62" s="99"/>
      <c r="J62" s="99"/>
      <c r="K62" s="99"/>
    </row>
    <row r="63" spans="1:11">
      <c r="A63" s="95" t="s">
        <v>209</v>
      </c>
      <c r="B63" s="95"/>
      <c r="C63" s="95"/>
      <c r="D63" s="95"/>
      <c r="E63" s="95"/>
      <c r="F63" s="95"/>
      <c r="G63" s="95"/>
      <c r="H63" s="95"/>
      <c r="I63" s="95"/>
      <c r="J63" s="95"/>
      <c r="K63" s="95"/>
    </row>
    <row r="64" spans="1:11">
      <c r="A64" s="95"/>
      <c r="B64" s="95"/>
      <c r="C64" s="95"/>
      <c r="D64" s="95"/>
      <c r="E64" s="95"/>
      <c r="F64" s="95"/>
      <c r="G64" s="95"/>
      <c r="H64" s="95"/>
      <c r="I64" s="95"/>
      <c r="J64" s="95"/>
      <c r="K64" s="95"/>
    </row>
    <row r="65" spans="1:11">
      <c r="A65" s="95"/>
      <c r="B65" s="95"/>
      <c r="C65" s="95"/>
      <c r="D65" s="95"/>
      <c r="E65" s="95"/>
      <c r="F65" s="95"/>
      <c r="G65" s="95"/>
      <c r="H65" s="95"/>
      <c r="I65" s="95"/>
      <c r="J65" s="95"/>
      <c r="K65" s="95"/>
    </row>
    <row r="66" spans="1:11">
      <c r="A66" s="95"/>
      <c r="B66" s="95"/>
      <c r="C66" s="95"/>
      <c r="D66" s="95"/>
      <c r="E66" s="95"/>
      <c r="F66" s="95"/>
      <c r="G66" s="95"/>
      <c r="H66" s="95"/>
      <c r="I66" s="95"/>
      <c r="J66" s="95"/>
      <c r="K66" s="95"/>
    </row>
    <row r="67" spans="1:11">
      <c r="A67" s="98" t="s">
        <v>210</v>
      </c>
      <c r="B67" s="98"/>
      <c r="C67" s="98"/>
      <c r="D67" s="98"/>
      <c r="E67" s="98"/>
      <c r="F67" s="98"/>
      <c r="G67" s="98"/>
      <c r="H67" s="98"/>
      <c r="I67" s="98"/>
      <c r="J67" s="98"/>
      <c r="K67" s="98"/>
    </row>
    <row r="68" spans="1:11">
      <c r="A68" s="98"/>
      <c r="B68" s="98"/>
      <c r="C68" s="98"/>
      <c r="D68" s="98"/>
      <c r="E68" s="98"/>
      <c r="F68" s="98"/>
      <c r="G68" s="98"/>
      <c r="H68" s="98"/>
      <c r="I68" s="98"/>
      <c r="J68" s="98"/>
      <c r="K68" s="98"/>
    </row>
    <row r="69" spans="1:11">
      <c r="A69" s="95" t="s">
        <v>211</v>
      </c>
      <c r="B69" s="99"/>
      <c r="C69" s="99"/>
      <c r="D69" s="99"/>
      <c r="E69" s="99"/>
      <c r="F69" s="99"/>
      <c r="G69" s="99"/>
      <c r="H69" s="99"/>
      <c r="I69" s="99"/>
      <c r="J69" s="99"/>
      <c r="K69" s="99"/>
    </row>
    <row r="70" spans="1:11">
      <c r="A70" s="99"/>
      <c r="B70" s="99"/>
      <c r="C70" s="99"/>
      <c r="D70" s="99"/>
      <c r="E70" s="99"/>
      <c r="F70" s="99"/>
      <c r="G70" s="99"/>
      <c r="H70" s="99"/>
      <c r="I70" s="99"/>
      <c r="J70" s="99"/>
      <c r="K70" s="99"/>
    </row>
    <row r="71" spans="1:11" ht="15" customHeight="1">
      <c r="A71" s="80" t="s">
        <v>212</v>
      </c>
      <c r="B71" s="14"/>
      <c r="C71" s="14"/>
      <c r="D71" s="14"/>
      <c r="E71" s="14"/>
      <c r="F71" s="14"/>
      <c r="G71" s="14"/>
      <c r="H71" s="14"/>
      <c r="I71" s="14"/>
      <c r="J71" s="14"/>
      <c r="K71" s="14"/>
    </row>
    <row r="72" spans="1:11">
      <c r="A72" s="80" t="s">
        <v>213</v>
      </c>
      <c r="B72" s="14"/>
      <c r="C72" s="14"/>
      <c r="D72" s="14"/>
      <c r="E72" s="14"/>
      <c r="F72" s="14"/>
      <c r="G72" s="14"/>
      <c r="H72" s="14"/>
      <c r="I72" s="14"/>
      <c r="J72" s="14"/>
      <c r="K72" s="14"/>
    </row>
    <row r="73" spans="1:11">
      <c r="A73" s="95" t="s">
        <v>214</v>
      </c>
      <c r="B73" s="99"/>
      <c r="C73" s="99"/>
      <c r="D73" s="99"/>
      <c r="E73" s="99"/>
      <c r="F73" s="99"/>
      <c r="G73" s="99"/>
      <c r="H73" s="99"/>
      <c r="I73" s="99"/>
      <c r="J73" s="99"/>
      <c r="K73" s="99"/>
    </row>
    <row r="74" spans="1:11">
      <c r="A74" s="99"/>
      <c r="B74" s="99"/>
      <c r="C74" s="99"/>
      <c r="D74" s="99"/>
      <c r="E74" s="99"/>
      <c r="F74" s="99"/>
      <c r="G74" s="99"/>
      <c r="H74" s="99"/>
      <c r="I74" s="99"/>
      <c r="J74" s="99"/>
      <c r="K74" s="99"/>
    </row>
    <row r="75" spans="1:11">
      <c r="A75" s="99"/>
      <c r="B75" s="99"/>
      <c r="C75" s="99"/>
      <c r="D75" s="99"/>
      <c r="E75" s="99"/>
      <c r="F75" s="99"/>
      <c r="G75" s="99"/>
      <c r="H75" s="99"/>
      <c r="I75" s="99"/>
      <c r="J75" s="99"/>
      <c r="K75" s="99"/>
    </row>
    <row r="76" spans="1:11" ht="15" customHeight="1">
      <c r="A76" s="100" t="s">
        <v>215</v>
      </c>
      <c r="B76" s="100"/>
      <c r="C76" s="100"/>
      <c r="D76" s="100"/>
      <c r="E76" s="100"/>
      <c r="F76" s="100"/>
      <c r="G76" s="100"/>
      <c r="H76" s="100"/>
      <c r="I76" s="100"/>
      <c r="J76" s="100"/>
      <c r="K76" s="100"/>
    </row>
    <row r="77" spans="1:11">
      <c r="A77" s="100"/>
      <c r="B77" s="100"/>
      <c r="C77" s="100"/>
      <c r="D77" s="100"/>
      <c r="E77" s="100"/>
      <c r="F77" s="100"/>
      <c r="G77" s="100"/>
      <c r="H77" s="100"/>
      <c r="I77" s="100"/>
      <c r="J77" s="100"/>
      <c r="K77" s="100"/>
    </row>
    <row r="78" spans="1:11">
      <c r="A78" s="100"/>
      <c r="B78" s="100"/>
      <c r="C78" s="100"/>
      <c r="D78" s="100"/>
      <c r="E78" s="100"/>
      <c r="F78" s="100"/>
      <c r="G78" s="100"/>
      <c r="H78" s="100"/>
      <c r="I78" s="100"/>
      <c r="J78" s="100"/>
      <c r="K78" s="100"/>
    </row>
    <row r="79" spans="1:11">
      <c r="A79" s="98" t="s">
        <v>216</v>
      </c>
      <c r="B79" s="98"/>
      <c r="C79" s="98"/>
      <c r="D79" s="98"/>
      <c r="E79" s="98"/>
      <c r="F79" s="98"/>
      <c r="G79" s="98"/>
      <c r="H79" s="98"/>
      <c r="I79" s="98"/>
      <c r="J79" s="98"/>
      <c r="K79" s="98"/>
    </row>
    <row r="80" spans="1:11">
      <c r="A80" s="95" t="s">
        <v>217</v>
      </c>
      <c r="B80" s="99"/>
      <c r="C80" s="99"/>
      <c r="D80" s="99"/>
      <c r="E80" s="99"/>
      <c r="F80" s="99"/>
      <c r="G80" s="99"/>
      <c r="H80" s="99"/>
      <c r="I80" s="99"/>
      <c r="J80" s="99"/>
      <c r="K80" s="99"/>
    </row>
    <row r="81" spans="1:11">
      <c r="A81" s="99"/>
      <c r="B81" s="99"/>
      <c r="C81" s="99"/>
      <c r="D81" s="99"/>
      <c r="E81" s="99"/>
      <c r="F81" s="99"/>
      <c r="G81" s="99"/>
      <c r="H81" s="99"/>
      <c r="I81" s="99"/>
      <c r="J81" s="99"/>
      <c r="K81" s="99"/>
    </row>
    <row r="82" spans="1:11">
      <c r="A82" s="95" t="s">
        <v>218</v>
      </c>
      <c r="B82" s="99"/>
      <c r="C82" s="99"/>
      <c r="D82" s="99"/>
      <c r="E82" s="99"/>
      <c r="F82" s="99"/>
      <c r="G82" s="99"/>
      <c r="H82" s="99"/>
      <c r="I82" s="99"/>
      <c r="J82" s="99"/>
      <c r="K82" s="99"/>
    </row>
    <row r="83" spans="1:11">
      <c r="A83" s="99"/>
      <c r="B83" s="99"/>
      <c r="C83" s="99"/>
      <c r="D83" s="99"/>
      <c r="E83" s="99"/>
      <c r="F83" s="99"/>
      <c r="G83" s="99"/>
      <c r="H83" s="99"/>
      <c r="I83" s="99"/>
      <c r="J83" s="99"/>
      <c r="K83" s="99"/>
    </row>
    <row r="84" spans="1:11">
      <c r="A84" s="95" t="s">
        <v>219</v>
      </c>
      <c r="B84" s="99"/>
      <c r="C84" s="99"/>
      <c r="D84" s="99"/>
      <c r="E84" s="99"/>
      <c r="F84" s="99"/>
      <c r="G84" s="99"/>
      <c r="H84" s="99"/>
      <c r="I84" s="99"/>
      <c r="J84" s="99"/>
      <c r="K84" s="99"/>
    </row>
    <row r="85" spans="1:11">
      <c r="A85" s="99"/>
      <c r="B85" s="99"/>
      <c r="C85" s="99"/>
      <c r="D85" s="99"/>
      <c r="E85" s="99"/>
      <c r="F85" s="99"/>
      <c r="G85" s="99"/>
      <c r="H85" s="99"/>
      <c r="I85" s="99"/>
      <c r="J85" s="99"/>
      <c r="K85" s="99"/>
    </row>
    <row r="86" spans="1:11">
      <c r="A86" s="95" t="s">
        <v>220</v>
      </c>
      <c r="B86" s="99"/>
      <c r="C86" s="99"/>
      <c r="D86" s="99"/>
      <c r="E86" s="99"/>
      <c r="F86" s="99"/>
      <c r="G86" s="99"/>
      <c r="H86" s="99"/>
      <c r="I86" s="99"/>
      <c r="J86" s="99"/>
      <c r="K86" s="99"/>
    </row>
    <row r="87" spans="1:11">
      <c r="A87" s="99"/>
      <c r="B87" s="99"/>
      <c r="C87" s="99"/>
      <c r="D87" s="99"/>
      <c r="E87" s="99"/>
      <c r="F87" s="99"/>
      <c r="G87" s="99"/>
      <c r="H87" s="99"/>
      <c r="I87" s="99"/>
      <c r="J87" s="99"/>
      <c r="K87" s="99"/>
    </row>
    <row r="88" spans="1:11" ht="15" customHeight="1">
      <c r="A88" s="98" t="s">
        <v>221</v>
      </c>
      <c r="B88" s="98"/>
      <c r="C88" s="98"/>
      <c r="D88" s="98"/>
      <c r="E88" s="98"/>
      <c r="F88" s="98"/>
      <c r="G88" s="98"/>
      <c r="H88" s="98"/>
      <c r="I88" s="98"/>
      <c r="J88" s="98"/>
      <c r="K88" s="98"/>
    </row>
    <row r="89" spans="1:11">
      <c r="A89" s="98"/>
      <c r="B89" s="98"/>
      <c r="C89" s="98"/>
      <c r="D89" s="98"/>
      <c r="E89" s="98"/>
      <c r="F89" s="98"/>
      <c r="G89" s="98"/>
      <c r="H89" s="98"/>
      <c r="I89" s="98"/>
      <c r="J89" s="98"/>
      <c r="K89" s="98"/>
    </row>
    <row r="90" spans="1:11">
      <c r="A90" s="95" t="s">
        <v>222</v>
      </c>
      <c r="B90" s="99"/>
      <c r="C90" s="99"/>
      <c r="D90" s="99"/>
      <c r="E90" s="99"/>
      <c r="F90" s="99"/>
      <c r="G90" s="99"/>
      <c r="H90" s="99"/>
      <c r="I90" s="99"/>
      <c r="J90" s="99"/>
      <c r="K90" s="99"/>
    </row>
    <row r="91" spans="1:11">
      <c r="A91" s="99"/>
      <c r="B91" s="99"/>
      <c r="C91" s="99"/>
      <c r="D91" s="99"/>
      <c r="E91" s="99"/>
      <c r="F91" s="99"/>
      <c r="G91" s="99"/>
      <c r="H91" s="99"/>
      <c r="I91" s="99"/>
      <c r="J91" s="99"/>
      <c r="K91" s="99"/>
    </row>
    <row r="92" spans="1:11">
      <c r="A92" s="95" t="s">
        <v>223</v>
      </c>
      <c r="B92" s="99"/>
      <c r="C92" s="99"/>
      <c r="D92" s="99"/>
      <c r="E92" s="99"/>
      <c r="F92" s="99"/>
      <c r="G92" s="99"/>
      <c r="H92" s="99"/>
      <c r="I92" s="99"/>
      <c r="J92" s="99"/>
      <c r="K92" s="99"/>
    </row>
    <row r="93" spans="1:11">
      <c r="A93" s="99"/>
      <c r="B93" s="99"/>
      <c r="C93" s="99"/>
      <c r="D93" s="99"/>
      <c r="E93" s="99"/>
      <c r="F93" s="99"/>
      <c r="G93" s="99"/>
      <c r="H93" s="99"/>
      <c r="I93" s="99"/>
      <c r="J93" s="99"/>
      <c r="K93" s="99"/>
    </row>
    <row r="94" spans="1:11">
      <c r="A94" s="80" t="s">
        <v>224</v>
      </c>
      <c r="B94" s="14"/>
      <c r="C94" s="14"/>
      <c r="D94" s="14"/>
      <c r="E94" s="14"/>
      <c r="F94" s="14"/>
      <c r="G94" s="14"/>
      <c r="H94" s="14"/>
      <c r="I94" s="14"/>
      <c r="J94" s="14"/>
      <c r="K94" s="14"/>
    </row>
    <row r="95" spans="1:11">
      <c r="A95" s="14"/>
      <c r="B95" s="14"/>
      <c r="C95" s="14"/>
      <c r="D95" s="14"/>
      <c r="E95" s="14"/>
      <c r="F95" s="14"/>
      <c r="G95" s="14"/>
      <c r="H95" s="14"/>
      <c r="I95" s="14"/>
      <c r="J95" s="14"/>
      <c r="K95" s="14"/>
    </row>
    <row r="96" spans="1:11">
      <c r="A96" s="81" t="s">
        <v>225</v>
      </c>
      <c r="B96" s="14"/>
      <c r="C96" s="14"/>
      <c r="D96" s="14"/>
      <c r="E96" s="14"/>
      <c r="F96" s="14"/>
      <c r="G96" s="14"/>
      <c r="H96" s="14"/>
      <c r="I96" s="14"/>
      <c r="J96" s="14"/>
      <c r="K96" s="14"/>
    </row>
    <row r="97" spans="1:11">
      <c r="A97" s="14" t="s">
        <v>297</v>
      </c>
      <c r="B97" s="14"/>
      <c r="C97" s="14"/>
      <c r="D97" s="14"/>
      <c r="E97" s="14"/>
      <c r="F97" s="14"/>
      <c r="G97" s="14"/>
      <c r="H97" s="14"/>
      <c r="I97" s="14"/>
      <c r="J97" s="14"/>
      <c r="K97" s="14"/>
    </row>
  </sheetData>
  <sheetProtection algorithmName="SHA-512" hashValue="Slqev0y21PL6mEIwHHUVoIl1SxIA9UXX9TXQj3rq9Oj1Etuow2q8PWDQzaWc+qFh8viCw798lBKS9A2M4kwAxg==" saltValue="YizE61yF1CAyiDyF8TYUrw==" spinCount="100000" sheet="1" objects="1" scenarios="1"/>
  <mergeCells count="43">
    <mergeCell ref="A18:K18"/>
    <mergeCell ref="A45:K46"/>
    <mergeCell ref="A19:K19"/>
    <mergeCell ref="A20:K20"/>
    <mergeCell ref="A21:K21"/>
    <mergeCell ref="A22:K22"/>
    <mergeCell ref="A43:K44"/>
    <mergeCell ref="A37:K37"/>
    <mergeCell ref="A28:K28"/>
    <mergeCell ref="A29:K29"/>
    <mergeCell ref="A30:K30"/>
    <mergeCell ref="A31:K31"/>
    <mergeCell ref="A32:K32"/>
    <mergeCell ref="A33:K33"/>
    <mergeCell ref="A34:K34"/>
    <mergeCell ref="A27:K27"/>
    <mergeCell ref="A92:K93"/>
    <mergeCell ref="A84:K85"/>
    <mergeCell ref="A80:K81"/>
    <mergeCell ref="A82:K83"/>
    <mergeCell ref="A61:K62"/>
    <mergeCell ref="A63:K66"/>
    <mergeCell ref="A69:K70"/>
    <mergeCell ref="A73:K75"/>
    <mergeCell ref="A67:K68"/>
    <mergeCell ref="A76:K78"/>
    <mergeCell ref="A88:K89"/>
    <mergeCell ref="A17:K17"/>
    <mergeCell ref="A12:K12"/>
    <mergeCell ref="A79:K79"/>
    <mergeCell ref="A86:K87"/>
    <mergeCell ref="A90:K91"/>
    <mergeCell ref="A47:K48"/>
    <mergeCell ref="A51:K52"/>
    <mergeCell ref="A54:K56"/>
    <mergeCell ref="A57:K58"/>
    <mergeCell ref="A59:K60"/>
    <mergeCell ref="A35:K35"/>
    <mergeCell ref="A36:K36"/>
    <mergeCell ref="A23:K23"/>
    <mergeCell ref="A24:K24"/>
    <mergeCell ref="A25:K25"/>
    <mergeCell ref="A26:K26"/>
  </mergeCells>
  <hyperlinks>
    <hyperlink ref="A28:J28" location="'TotalAllotj_12 (12)'!A1" display="Accommodation capacity by type of establishment and category in Formentera (2012)…………………………………………………………...pg 12" xr:uid="{00000000-0004-0000-0200-000000000000}"/>
    <hyperlink ref="A29:J29" location="'TotalAllotj_11 (13)'!A1" display="Accommodation capacity by type of establishment and category in Formentera (2011)…………………………………………………………...pg 13" xr:uid="{00000000-0004-0000-0200-000001000000}"/>
    <hyperlink ref="A30:J30" location="'TotalAllotj_10 (14)'!A1" display="Accommodation capacity by type of establishment and category in Formentera (2010)…………………………………………………………...pg 14" xr:uid="{00000000-0004-0000-0200-000002000000}"/>
    <hyperlink ref="A31:J31" location="'TotalAllotj_09 (15)'!A1" display="Accommodation capacity by type of establishment and category in Formentera (2009)…………………………………………………………...pg 15" xr:uid="{00000000-0004-0000-0200-000003000000}"/>
    <hyperlink ref="A32:J32" location="'TotalAllotj_08 (16)'!A1" display="Accommodation capacity by type of establishment and category in Formentera (2008)…………………………………………………………...pg 16" xr:uid="{00000000-0004-0000-0200-000004000000}"/>
    <hyperlink ref="A33:J33" location="'TotalAllotj_07 (17)'!A1" display="Accommodation capacity by type of establishment and category in Formentera (2007)…………………………………………………………...pg 17" xr:uid="{00000000-0004-0000-0200-000005000000}"/>
    <hyperlink ref="A34:J34" location="'TotalAllotj_06 (18)'!A1" display="Accommodation capacity by type of establishment and category in Formentera (2006)…………………………………………………………...pg 18" xr:uid="{00000000-0004-0000-0200-000006000000}"/>
    <hyperlink ref="A35:J35" location="'TotalAllotj_05 (19)'!A1" display="Accommodation capacity by type of establishment and category in Formentera (2005)…………………………………………………………...pg 19" xr:uid="{00000000-0004-0000-0200-000007000000}"/>
    <hyperlink ref="A36:J36" location="'TotalAllotj_04 (20)'!A1" display="Accommodation capacity by type of establishment and category in Formentera (2004)…………………………………………………………...pg 20" xr:uid="{00000000-0004-0000-0200-000008000000}"/>
    <hyperlink ref="A27:J27" location="'TotalAllotj_13 (11)'!A1" display="Accommodation capacity by type of establishment and category in Formentera (2013)…………………………………………………………...pg 11" xr:uid="{00000000-0004-0000-0200-000009000000}"/>
    <hyperlink ref="A26:J26" location="'TotalAllotj_14 (10)'!A1" display="Accommodation capacity by type of establishment and category in Formentera (2014)…………………………………………………………...pg 10" xr:uid="{00000000-0004-0000-0200-00000A000000}"/>
    <hyperlink ref="A25:J25" location="'TotalAllotj_15 (9)'!A1" display="Accommodation capacity by type of establishment and category in Formentera (2015)……………………………………………………………...pg 9" xr:uid="{00000000-0004-0000-0200-00000B000000}"/>
    <hyperlink ref="A24:J24" location="'TotalAllotj_16 (8)'!A1" display="Accommodation capacity by type of establishment and category in Formentera (2016)……………………………………………………………...pg 8" xr:uid="{00000000-0004-0000-0200-00000C000000}"/>
    <hyperlink ref="A23:J23" location="'TotalAllotj_17 (7)'!A1" display="Accommodation capacity by type of establishment and category in Formentera (2017)……………………………………………………………...pg 7" xr:uid="{00000000-0004-0000-0200-00000D000000}"/>
    <hyperlink ref="A22:J22" location="'TotalAllotj_18 (6)'!A1" display="Accommodation capacity by type of establishment and category in Formentera (2018)……………………………………………………………...pg 6" xr:uid="{00000000-0004-0000-0200-00000E000000}"/>
    <hyperlink ref="A21:J21" location="'TotalAllotj_19 (5)'!A1" display="Accommodation capacity by type of establishment and category in Formentera (2019)……………………………………………………………...pg 5" xr:uid="{00000000-0004-0000-0200-00000F000000}"/>
    <hyperlink ref="A20:J20" location="'TotalAllotj_20 (4)'!A1" display="Accommodation capacity by type of establishment and category in Formentera (2020)……………………………………………………………...pg 4" xr:uid="{00000000-0004-0000-0200-000010000000}"/>
    <hyperlink ref="A19:K19" location="'TotalAllotj_21 (5)'!A1" display="Accommodation capacity by type of establishment and category in Formentera (2021)………………………………………...................………..................…………………...pg 5" xr:uid="{4D2CE060-87EB-456E-BD96-4A812A4F2812}"/>
    <hyperlink ref="A20:K20" location="'TotalAllotj_20 (6)'!A1" display="Accommodation capacity by type of establishment and category in Formentera (2020)…………………………………...................……..................…………………………...pg 6" xr:uid="{ED93AE2B-A194-4BF2-9E81-53731D58D702}"/>
    <hyperlink ref="A21:K21" location="'TotalAllotj_19 (7)'!A1" display="Accommodation capacity by type of establishment and category in Formentera (2019)………………………………………….....................................………………………...pg 7" xr:uid="{136D4017-B0BD-4BF5-9FF9-95BE95411242}"/>
    <hyperlink ref="A22:K22" location="'TotalAllotj_18 (8)'!A1" display="Accommodation capacity by type of establishment and category in Formentera (2018)…………………………………...................………………………..................………...pg 8" xr:uid="{34922D66-BD29-4F71-80FA-207EF584E8C3}"/>
    <hyperlink ref="A23:K23" location="'TotalAllotj_17 (9)'!A1" display="Accommodation capacity by type of establishment and category in Formentera (2017)……………………………...................……..................………………………………...pg 9" xr:uid="{17B6A3DD-F95E-49DD-99BB-8F4D73F495A5}"/>
    <hyperlink ref="A24:K24" location="'TotalAllotj_16 (10)'!A1" display="Accommodation capacity by type of establishment and category in Formentera (2016)……………………………...................…………………………………….....................pg 10" xr:uid="{137A973F-96D4-434D-B210-918C939926B0}"/>
    <hyperlink ref="A25:K25" location="'TotalAllotj_15 (11)'!A1" display="Accommodation capacity by type of establishment and category in Formentera (2015)……………………………………..........................................………………………...pg 11" xr:uid="{5663A38B-0EF4-4B3A-8F1A-0853F8C73163}"/>
    <hyperlink ref="A26:K26" location="'TotalAllotj_14 (12)'!A1" display="Accommodation capacity by type of establishment and category in Formentera (2014)……………………………………………....................…………………......................pg 12" xr:uid="{5C558845-DD1A-41CB-B6CE-22BAE4AEECDD}"/>
    <hyperlink ref="A27:K27" location="'TotalAllotj_13 (13)'!A1" display="Accommodation capacity by type of establishment and category in Formentera (2013)………………………………....................…………………...................……………...pg 13" xr:uid="{15DCBE6C-64F1-4C77-A11D-CAB3F81A3DC6}"/>
    <hyperlink ref="A28:K28" location="'TotalAllotj_12 (14)'!A1" display="Accommodation capacity by type of establishment and category in Formentera (2012)…………………....................……………………………………...................………...pg 14" xr:uid="{7C2C413B-5111-407D-B8EC-CFAB845B6706}"/>
    <hyperlink ref="A29:K29" location="'TotalAllotj_11 (15)'!A1" display="Accommodation capacity by type of establishment and category in Formentera (2011)……………………………....................…………...................………………………...pg 15" xr:uid="{697BDF9A-40AF-41EB-ACEB-61ED696B076A}"/>
    <hyperlink ref="A30:K30" location="'TotalAllotj_10 (16)'!A1" display="Accommodation capacity by type of establishment and category in Formentera (2010)……………………………………....................……...................……………………...pg 16" xr:uid="{D61D6FF8-D117-4ECB-AD19-FB14EB3812C3}"/>
    <hyperlink ref="A31:K31" location="'TotalAllotj_09 (17)'!A1" display="Accommodation capacity by type of establishment and category in Formentera (2009)………………………....................……………………...................…………………...pg 17" xr:uid="{9FEBED33-953D-43FA-8A1C-F878185E307F}"/>
    <hyperlink ref="A32:K32" location="'TotalAllotj_08 (18)'!A1" display="Accommodation capacity by type of establishment and category in Formentera (2008)…………………………………....................………………………...................……...pg 18" xr:uid="{2ADD95F4-72CD-4DBB-84DF-9BF7176C7A99}"/>
    <hyperlink ref="A33:K33" location="'TotalAllotj_07 (19)'!A1" display="Accommodation capacity by type of establishment and category in Formentera (2007)………………………………....................………………………...................………...pg 19" xr:uid="{E9DA88A4-0241-46A2-936A-6F4A10FA3760}"/>
    <hyperlink ref="A34:K34" location="'TotalAllotj_06 (20)'!A1" display="Accommodation capacity by type of establishment and category in Formentera (2006)…………………………………....................…………...................…………………...pg 20" xr:uid="{816DFD1D-AD83-4684-BD9C-D3E5BCFD5019}"/>
    <hyperlink ref="A35:K35" location="'TotalAllotj_05 (21)'!A1" display="Accommodation capacity by type of establishment and category in Formentera (2005)…………………………………....................……………...................………………...pg 21" xr:uid="{00CE452D-5DDD-49BB-BDCD-C3F7A4D1D7D3}"/>
    <hyperlink ref="A36:K36" location="'TotalAllotj_04 (22)'!A1" display="Accommodation capacity by type of establishment and category in Formentera (2004)…………....................……………………………………...................………………...pg 22" xr:uid="{1026A83A-E465-4FA8-ADC4-E952DCF3D572}"/>
    <hyperlink ref="A18:K18" location="'TotalAllotj_22 (4)'!A1" display="Accommodation capacity by type of establishment and category in Formentera (2022)………………………………………….....................................………………………...pg 4" xr:uid="{3A08F344-2A03-48E0-9A90-1DBA41E2E315}"/>
    <hyperlink ref="A17:K17" location="'TotalAllotj_22 (4)'!A1" display="Accommodation capacity by type of establishment and category in Formentera (2022)………………………………………….....................................………………………...pg 4" xr:uid="{D8BC9E2F-655C-4AAE-9B47-3644DEE1A18B}"/>
    <hyperlink ref="A17:XFD17" location="'TotalAllotj_23 (4)'!A1" display="Accommodation capacity by type of establishment and category in Formentera (2023)………………………………………….....................................………………………...pg 4" xr:uid="{F9890B0F-3BF5-4AAD-91C4-B0800F0A957A}"/>
    <hyperlink ref="A18:XFD18" location="'TotalAllotj_22 (5)'!A1" display="Accommodation capacity by type of establishment and category in Formentera (2022)………………………………………….....................................………………………...pg 5" xr:uid="{48AD0400-AF1D-4721-97E3-CDBAB8D4A50C}"/>
    <hyperlink ref="A19:XFD19" location="'TotalAllotj_21 (6)'!A1" display="Accommodation capacity by type of establishment and category in Formentera (2021)………………………………………...................………..................…………………...pg 6" xr:uid="{43604F97-1164-4278-A96D-27597157B185}"/>
    <hyperlink ref="A20:XFD20" location="'TotalAllotj_20 (7)'!A1" display="Accommodation capacity by type of establishment and category in Formentera (2020)…………………………………...................……..................…………………………...pg 7" xr:uid="{B1DEE182-D2C6-4169-B042-F1EA17BECDDE}"/>
    <hyperlink ref="A21:XFD21" location="'TotalAllotj_19 (8)'!A1" display="Accommodation capacity by type of establishment and category in Formentera (2019)………………………………………….....................................………………………...pg 8" xr:uid="{9264C7E6-01D1-4ED5-90DA-BEE9BAE38D39}"/>
    <hyperlink ref="A22:XFD22" location="'TotalAllotj_18 (9)'!A1" display="Accommodation capacity by type of establishment and category in Formentera (2018)…………………………………...................………………………..................………...pg 9" xr:uid="{5D123942-252E-4B4E-8337-7A400539771A}"/>
    <hyperlink ref="A23:XFD23" location="'TotalAllotj_17 (10)'!A1" display="Accommodation capacity by type of establishment and category in Formentera (2017)……………………………...................……..................………………………………...pg 10" xr:uid="{135A7892-27B6-4A22-BF09-D055107C20B4}"/>
    <hyperlink ref="A24:XFD24" location="'TotalAllotj_16 (11)'!A1" display="Accommodation capacity by type of establishment and category in Formentera (2016)……………………………...................…………………………………….....................pg 11" xr:uid="{F16D3947-17AF-4709-8046-4D8AB2CE1D1D}"/>
    <hyperlink ref="A25:XFD25" location="'TotalAllotj_15 (12)'!A1" display="Accommodation capacity by type of establishment and category in Formentera (2015)……………………………………..........................................………………………...pg 12" xr:uid="{72B0EE74-9279-4ECA-8720-4D7FBFF9CFCE}"/>
    <hyperlink ref="A26:XFD26" location="'TotalAllotj_14 (13)'!A1" display="Accommodation capacity by type of establishment and category in Formentera (2014)……………………………………………....................…………………......................pg 13" xr:uid="{AC9679F4-E182-44B1-B343-1866FD7054F4}"/>
    <hyperlink ref="A27:XFD27" location="'TotalAllotj_13 (14)'!A1" display="Accommodation capacity by type of establishment and category in Formentera (2013)………………………………....................…………………...................……………...pg 14" xr:uid="{4F217229-C9D3-4185-9047-20A47A007845}"/>
    <hyperlink ref="A28:XFD28" location="'TotalAllotj_12 (15)'!A1" display="Accommodation capacity by type of establishment and category in Formentera (2012)…………………....................……………………………………...................………...pg 15" xr:uid="{F8A0FFA3-CB4F-4349-9858-AB97D3BC2ADD}"/>
    <hyperlink ref="A29:XFD29" location="'TotalAllotj_11 (16)'!A1" display="Accommodation capacity by type of establishment and category in Formentera (2011)……………………………....................…………...................………………………...pg 16" xr:uid="{D09CD723-50D1-49FE-91F9-C41E895D39D7}"/>
    <hyperlink ref="A30:XFD30" location="'TotalAllotj_10 (17)'!A1" display="Accommodation capacity by type of establishment and category in Formentera (2010)……………………………………....................……...................……………………...pg 17" xr:uid="{93CDAC1F-99FA-4381-B487-DC4B64B3DDF3}"/>
    <hyperlink ref="A31:XFD31" location="'TotalAllotj_09 (18)'!A1" display="Accommodation capacity by type of establishment and category in Formentera (2009)………………………....................……………………...................…………………...pg 18" xr:uid="{E93B3060-0148-4FF2-A599-3300B7F14222}"/>
    <hyperlink ref="A32:XFD32" location="'TotalAllotj_08 (19)'!A1" display="Accommodation capacity by type of establishment and category in Formentera (2008)…………………………………....................………………………...................……...pg 19" xr:uid="{72F68232-8B57-425F-B54E-FE20DCDC7DBD}"/>
    <hyperlink ref="A33:XFD33" location="'TotalAllotj_07 (20)'!A1" display="Accommodation capacity by type of establishment and category in Formentera (2007)………………………………....................………………………...................………...pg 20" xr:uid="{310B1055-7328-48D7-A3AA-74CFA6C3FE15}"/>
    <hyperlink ref="A34:XFD34" location="'TotalAllotj_06 (21)'!A1" display="Accommodation capacity by type of establishment and category in Formentera (2006)…………………………………....................…………...................…………………...pg 21" xr:uid="{C856F2AD-0EDA-438D-B4D1-8D015CDAFF45}"/>
    <hyperlink ref="A35:XFD35" location="'TotalAllotj_05 (22)'!A1" display="Accommodation capacity by type of establishment and category in Formentera (2005)…………………………………....................……………...................………………...pg 22" xr:uid="{BBF741F0-7F64-4263-8A88-0265D8A13C84}"/>
    <hyperlink ref="A36:XFD36" location="'TotalAllotj_04 (23)'!A1" display="Accommodation capacity by type of establishment and category in Formentera (2004)…………....................……………………………………...................………………...pg 23" xr:uid="{BAFB4C80-13F3-4BFA-80AB-5DBE6BCFC547}"/>
  </hyperlinks>
  <pageMargins left="0.7" right="0.7" top="0.75" bottom="0.75" header="0.3" footer="0.3"/>
  <pageSetup paperSize="9" scale="93" fitToHeight="0" orientation="landscape" r:id="rId1"/>
  <rowBreaks count="2" manualBreakCount="2">
    <brk id="35" max="10" man="1"/>
    <brk id="66"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24DEE-BDE1-40A8-AAD8-CD01661F3E4A}">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232</v>
      </c>
    </row>
    <row r="4" spans="1:14" ht="16.5">
      <c r="A4" s="19" t="s">
        <v>233</v>
      </c>
      <c r="B4" s="20"/>
      <c r="C4" s="21"/>
      <c r="D4" s="21"/>
      <c r="E4" s="21"/>
      <c r="F4" s="21"/>
      <c r="G4" s="21"/>
      <c r="H4" s="20"/>
      <c r="I4" s="20"/>
      <c r="J4" s="21"/>
      <c r="K4" s="21"/>
      <c r="L4" s="22"/>
      <c r="M4" s="21"/>
      <c r="N4" s="21"/>
    </row>
    <row r="5" spans="1:14" ht="16.5">
      <c r="A5" s="19" t="s">
        <v>234</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601</v>
      </c>
      <c r="E11" s="42">
        <v>1758</v>
      </c>
      <c r="F11" s="43">
        <f>E11/$E$17</f>
        <v>0.61576182136602453</v>
      </c>
      <c r="G11" s="24"/>
      <c r="H11" s="104" t="s">
        <v>37</v>
      </c>
      <c r="I11" s="104"/>
      <c r="J11" s="28"/>
      <c r="K11" s="28"/>
      <c r="L11" s="28"/>
      <c r="M11" s="33"/>
    </row>
    <row r="12" spans="1:14">
      <c r="A12" s="104" t="s">
        <v>38</v>
      </c>
      <c r="B12" s="104"/>
      <c r="C12" s="42">
        <v>10</v>
      </c>
      <c r="D12" s="42">
        <v>229</v>
      </c>
      <c r="E12" s="42">
        <v>641</v>
      </c>
      <c r="F12" s="43">
        <f t="shared" ref="F12:F16" si="0">E12/$E$17</f>
        <v>0.22451838879159369</v>
      </c>
      <c r="G12" s="24"/>
      <c r="H12" s="104" t="s">
        <v>39</v>
      </c>
      <c r="I12" s="104"/>
      <c r="J12" s="28"/>
      <c r="K12" s="28"/>
      <c r="L12" s="28"/>
      <c r="M12" s="33"/>
    </row>
    <row r="13" spans="1:14">
      <c r="A13" s="104" t="s">
        <v>40</v>
      </c>
      <c r="B13" s="104"/>
      <c r="C13" s="42">
        <v>5</v>
      </c>
      <c r="D13" s="42">
        <v>74</v>
      </c>
      <c r="E13" s="42">
        <v>201</v>
      </c>
      <c r="F13" s="43">
        <f t="shared" si="0"/>
        <v>7.0402802101576178E-2</v>
      </c>
      <c r="G13" s="24"/>
      <c r="H13" s="104" t="s">
        <v>41</v>
      </c>
      <c r="I13" s="104"/>
      <c r="J13" s="28"/>
      <c r="K13" s="28"/>
      <c r="L13" s="28"/>
      <c r="M13" s="33"/>
    </row>
    <row r="14" spans="1:14">
      <c r="A14" s="104" t="s">
        <v>42</v>
      </c>
      <c r="B14" s="104"/>
      <c r="C14" s="42">
        <v>1</v>
      </c>
      <c r="D14" s="42">
        <v>13</v>
      </c>
      <c r="E14" s="42">
        <v>27</v>
      </c>
      <c r="F14" s="43">
        <f t="shared" si="0"/>
        <v>9.4570928196147114E-3</v>
      </c>
      <c r="G14" s="24"/>
      <c r="H14" s="104" t="s">
        <v>43</v>
      </c>
      <c r="I14" s="104"/>
      <c r="J14" s="28"/>
      <c r="K14" s="28"/>
      <c r="L14" s="28"/>
      <c r="M14" s="33"/>
    </row>
    <row r="15" spans="1:14">
      <c r="A15" s="104" t="s">
        <v>44</v>
      </c>
      <c r="B15" s="104"/>
      <c r="C15" s="42">
        <v>1</v>
      </c>
      <c r="D15" s="42">
        <v>45</v>
      </c>
      <c r="E15" s="42">
        <v>100</v>
      </c>
      <c r="F15" s="43">
        <f t="shared" si="0"/>
        <v>3.5026269702276708E-2</v>
      </c>
      <c r="G15" s="24"/>
      <c r="H15" s="104" t="s">
        <v>45</v>
      </c>
      <c r="I15" s="104"/>
      <c r="J15" s="28"/>
      <c r="K15" s="28"/>
      <c r="L15" s="28"/>
      <c r="M15" s="33"/>
    </row>
    <row r="16" spans="1:14">
      <c r="A16" s="104" t="s">
        <v>46</v>
      </c>
      <c r="B16" s="104"/>
      <c r="C16" s="42">
        <v>2</v>
      </c>
      <c r="D16" s="42">
        <v>52</v>
      </c>
      <c r="E16" s="42">
        <v>128</v>
      </c>
      <c r="F16" s="43">
        <f t="shared" si="0"/>
        <v>4.4833625218914187E-2</v>
      </c>
      <c r="G16" s="24"/>
      <c r="H16" s="104" t="s">
        <v>47</v>
      </c>
      <c r="I16" s="104"/>
      <c r="J16" s="28"/>
      <c r="K16" s="28"/>
      <c r="L16" s="28"/>
      <c r="M16" s="33"/>
    </row>
    <row r="17" spans="1:13">
      <c r="A17" s="105" t="s">
        <v>48</v>
      </c>
      <c r="B17" s="105"/>
      <c r="C17" s="44">
        <v>75</v>
      </c>
      <c r="D17" s="44">
        <v>1014</v>
      </c>
      <c r="E17" s="44">
        <v>2855</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31">
        <v>1</v>
      </c>
      <c r="G20" s="24"/>
      <c r="H20" s="27"/>
      <c r="I20" s="104"/>
      <c r="J20" s="104"/>
      <c r="K20" s="104"/>
      <c r="L20" s="104"/>
      <c r="M20" s="27"/>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4</v>
      </c>
      <c r="K27" s="42">
        <v>110</v>
      </c>
      <c r="L27" s="42">
        <v>210</v>
      </c>
      <c r="M27" s="43">
        <f>L27/$L$30</f>
        <v>0.3392568659127625</v>
      </c>
    </row>
    <row r="28" spans="1:13">
      <c r="A28" s="104"/>
      <c r="B28" s="104"/>
      <c r="C28" s="42"/>
      <c r="D28" s="42"/>
      <c r="E28" s="42"/>
      <c r="F28" s="43"/>
      <c r="G28" s="24"/>
      <c r="H28" s="104" t="s">
        <v>68</v>
      </c>
      <c r="I28" s="104"/>
      <c r="J28" s="42">
        <v>3</v>
      </c>
      <c r="K28" s="42">
        <v>129</v>
      </c>
      <c r="L28" s="42">
        <v>239</v>
      </c>
      <c r="M28" s="43">
        <f t="shared" ref="M28:M29" si="1">L28/$L$30</f>
        <v>0.38610662358642972</v>
      </c>
    </row>
    <row r="29" spans="1:13">
      <c r="A29" s="104" t="s">
        <v>67</v>
      </c>
      <c r="B29" s="104"/>
      <c r="C29" s="42">
        <v>3</v>
      </c>
      <c r="D29" s="42">
        <v>142</v>
      </c>
      <c r="E29" s="42">
        <v>304</v>
      </c>
      <c r="F29" s="43">
        <f>E29/$E$37</f>
        <v>9.9151989562948462E-2</v>
      </c>
      <c r="G29" s="24"/>
      <c r="H29" s="104" t="s">
        <v>70</v>
      </c>
      <c r="I29" s="104"/>
      <c r="J29" s="42">
        <v>2</v>
      </c>
      <c r="K29" s="42">
        <v>86</v>
      </c>
      <c r="L29" s="42">
        <v>170</v>
      </c>
      <c r="M29" s="43">
        <f t="shared" si="1"/>
        <v>0.27463651050080773</v>
      </c>
    </row>
    <row r="30" spans="1:13">
      <c r="A30" s="104" t="s">
        <v>69</v>
      </c>
      <c r="B30" s="104"/>
      <c r="C30" s="42">
        <v>5</v>
      </c>
      <c r="D30" s="42">
        <v>183</v>
      </c>
      <c r="E30" s="42">
        <v>347</v>
      </c>
      <c r="F30" s="43">
        <f t="shared" ref="F30:F35" si="2">E30/$E$37</f>
        <v>0.1131767775603392</v>
      </c>
      <c r="G30" s="24"/>
      <c r="H30" s="105" t="s">
        <v>72</v>
      </c>
      <c r="I30" s="105"/>
      <c r="J30" s="44">
        <v>9</v>
      </c>
      <c r="K30" s="44">
        <v>325</v>
      </c>
      <c r="L30" s="44">
        <v>619</v>
      </c>
      <c r="M30" s="45">
        <v>1</v>
      </c>
    </row>
    <row r="31" spans="1:13">
      <c r="A31" s="104" t="s">
        <v>71</v>
      </c>
      <c r="B31" s="104"/>
      <c r="C31" s="42">
        <v>3</v>
      </c>
      <c r="D31" s="42">
        <v>166</v>
      </c>
      <c r="E31" s="42">
        <v>332</v>
      </c>
      <c r="F31" s="43">
        <f t="shared" si="2"/>
        <v>0.10828440965427266</v>
      </c>
      <c r="G31" s="24"/>
      <c r="H31" s="104"/>
      <c r="I31" s="104"/>
      <c r="J31" s="42"/>
      <c r="K31" s="42"/>
      <c r="L31" s="42"/>
      <c r="M31" s="42"/>
    </row>
    <row r="32" spans="1:13">
      <c r="A32" s="104" t="s">
        <v>73</v>
      </c>
      <c r="B32" s="104"/>
      <c r="C32" s="42">
        <v>1</v>
      </c>
      <c r="D32" s="42">
        <v>25</v>
      </c>
      <c r="E32" s="42">
        <v>48</v>
      </c>
      <c r="F32" s="43">
        <f t="shared" si="2"/>
        <v>1.5655577299412915E-2</v>
      </c>
      <c r="G32" s="24"/>
      <c r="H32" s="104" t="s">
        <v>74</v>
      </c>
      <c r="I32" s="104"/>
      <c r="J32" s="42">
        <v>5</v>
      </c>
      <c r="K32" s="42">
        <v>126</v>
      </c>
      <c r="L32" s="42">
        <v>258</v>
      </c>
      <c r="M32" s="43">
        <f>L32/$L$35</f>
        <v>0.82958199356913187</v>
      </c>
    </row>
    <row r="33" spans="1:14">
      <c r="A33" s="104" t="s">
        <v>226</v>
      </c>
      <c r="B33" s="104"/>
      <c r="C33" s="42">
        <v>6</v>
      </c>
      <c r="D33" s="42">
        <v>955</v>
      </c>
      <c r="E33" s="42">
        <v>1841</v>
      </c>
      <c r="F33" s="43">
        <f t="shared" si="2"/>
        <v>0.6004566210045662</v>
      </c>
      <c r="G33" s="24"/>
      <c r="H33" s="104" t="s">
        <v>76</v>
      </c>
      <c r="I33" s="104"/>
      <c r="J33" s="42">
        <v>2</v>
      </c>
      <c r="K33" s="42">
        <v>28</v>
      </c>
      <c r="L33" s="42">
        <v>53</v>
      </c>
      <c r="M33" s="43">
        <f>L33/$L$35</f>
        <v>0.17041800643086816</v>
      </c>
    </row>
    <row r="34" spans="1:14">
      <c r="A34" s="104" t="s">
        <v>75</v>
      </c>
      <c r="B34" s="104"/>
      <c r="C34" s="42">
        <v>1</v>
      </c>
      <c r="D34" s="42">
        <v>18</v>
      </c>
      <c r="E34" s="42">
        <v>36</v>
      </c>
      <c r="F34" s="43">
        <f t="shared" si="2"/>
        <v>1.1741682974559686E-2</v>
      </c>
      <c r="G34" s="24"/>
      <c r="H34" s="104" t="s">
        <v>78</v>
      </c>
      <c r="I34" s="104"/>
      <c r="J34" s="42"/>
      <c r="K34" s="42"/>
      <c r="L34" s="42"/>
      <c r="M34" s="43"/>
    </row>
    <row r="35" spans="1:14">
      <c r="A35" s="104" t="s">
        <v>77</v>
      </c>
      <c r="B35" s="104"/>
      <c r="C35" s="42">
        <v>1</v>
      </c>
      <c r="D35" s="42">
        <v>79</v>
      </c>
      <c r="E35" s="42">
        <v>158</v>
      </c>
      <c r="F35" s="43">
        <f t="shared" si="2"/>
        <v>5.1532941943900845E-2</v>
      </c>
      <c r="G35" s="24"/>
      <c r="H35" s="105" t="s">
        <v>80</v>
      </c>
      <c r="I35" s="105"/>
      <c r="J35" s="44">
        <v>7</v>
      </c>
      <c r="K35" s="44">
        <v>154</v>
      </c>
      <c r="L35" s="44">
        <v>311</v>
      </c>
      <c r="M35" s="45">
        <v>1</v>
      </c>
    </row>
    <row r="36" spans="1:14">
      <c r="A36" s="104" t="s">
        <v>79</v>
      </c>
      <c r="B36" s="104"/>
      <c r="C36" s="42"/>
      <c r="D36" s="42"/>
      <c r="E36" s="42"/>
      <c r="F36" s="43"/>
      <c r="G36" s="24"/>
      <c r="H36" s="104"/>
      <c r="I36" s="104"/>
      <c r="J36" s="36"/>
      <c r="K36" s="36"/>
      <c r="L36" s="36"/>
      <c r="M36" s="36"/>
      <c r="N36" s="36"/>
    </row>
    <row r="37" spans="1:14">
      <c r="A37" s="105" t="s">
        <v>81</v>
      </c>
      <c r="B37" s="105"/>
      <c r="C37" s="44">
        <v>20</v>
      </c>
      <c r="D37" s="44">
        <v>1568</v>
      </c>
      <c r="E37" s="44">
        <v>3066</v>
      </c>
      <c r="F37" s="45">
        <v>1</v>
      </c>
      <c r="G37" s="24"/>
      <c r="H37" s="105" t="s">
        <v>82</v>
      </c>
      <c r="I37" s="105"/>
      <c r="J37" s="44">
        <v>7</v>
      </c>
      <c r="K37" s="44">
        <v>63</v>
      </c>
      <c r="L37" s="44">
        <v>109</v>
      </c>
      <c r="M37" s="45">
        <v>1</v>
      </c>
    </row>
    <row r="38" spans="1:14">
      <c r="A38" s="104"/>
      <c r="B38" s="104"/>
      <c r="C38" s="28"/>
      <c r="D38" s="28"/>
      <c r="E38" s="28"/>
      <c r="F38" s="29"/>
      <c r="G38" s="24"/>
      <c r="H38" s="105" t="s">
        <v>84</v>
      </c>
      <c r="I38" s="105"/>
      <c r="J38" s="44">
        <v>1</v>
      </c>
      <c r="K38" s="44">
        <v>15</v>
      </c>
      <c r="L38" s="44">
        <v>30</v>
      </c>
      <c r="M38" s="45">
        <v>1</v>
      </c>
    </row>
    <row r="39" spans="1:14">
      <c r="A39" s="104" t="s">
        <v>83</v>
      </c>
      <c r="B39" s="104"/>
      <c r="C39" s="28"/>
      <c r="D39" s="28"/>
      <c r="E39" s="28"/>
      <c r="F39" s="29"/>
      <c r="G39" s="24"/>
      <c r="H39" s="105" t="s">
        <v>86</v>
      </c>
      <c r="I39" s="105"/>
      <c r="J39" s="38"/>
      <c r="K39" s="38"/>
      <c r="L39" s="38"/>
      <c r="M39" s="41"/>
    </row>
    <row r="40" spans="1:14">
      <c r="A40" s="104" t="s">
        <v>85</v>
      </c>
      <c r="B40" s="104"/>
      <c r="C40" s="28"/>
      <c r="D40" s="28"/>
      <c r="E40" s="28"/>
      <c r="F40" s="29"/>
      <c r="G40" s="24"/>
      <c r="H40" s="105" t="s">
        <v>141</v>
      </c>
      <c r="I40" s="105"/>
      <c r="J40" s="38"/>
      <c r="K40" s="38"/>
      <c r="L40" s="38"/>
      <c r="M40" s="41"/>
    </row>
    <row r="41" spans="1:14">
      <c r="A41" s="104" t="s">
        <v>87</v>
      </c>
      <c r="B41" s="104"/>
      <c r="C41" s="28"/>
      <c r="D41" s="28"/>
      <c r="E41" s="28"/>
      <c r="F41" s="29"/>
      <c r="G41" s="24"/>
      <c r="H41" s="104"/>
      <c r="I41" s="104"/>
      <c r="J41" s="36"/>
      <c r="K41" s="36"/>
      <c r="L41" s="36"/>
      <c r="M41" s="36"/>
    </row>
    <row r="42" spans="1:14">
      <c r="A42" s="104" t="s">
        <v>227</v>
      </c>
      <c r="B42" s="104"/>
      <c r="C42" s="28"/>
      <c r="D42" s="28"/>
      <c r="E42" s="28"/>
      <c r="F42" s="29"/>
      <c r="G42" s="24"/>
      <c r="H42" s="105" t="s">
        <v>90</v>
      </c>
      <c r="I42" s="105"/>
      <c r="J42" s="44">
        <f>C17+C20+C27+C37+J30+J35+J37+J38</f>
        <v>122</v>
      </c>
      <c r="K42" s="44">
        <f>D17+D20+D27+D37+K30+K35+K37+K38</f>
        <v>3564</v>
      </c>
      <c r="L42" s="44">
        <f>E17+E20+E27+E37+L30+L35+L37+L38</f>
        <v>8195</v>
      </c>
      <c r="M42" s="36"/>
    </row>
    <row r="43" spans="1:14">
      <c r="A43" s="104" t="s">
        <v>88</v>
      </c>
      <c r="B43" s="104"/>
      <c r="C43" s="28"/>
      <c r="D43" s="28"/>
      <c r="E43" s="28"/>
      <c r="F43" s="29"/>
      <c r="G43" s="24"/>
      <c r="H43" s="27"/>
      <c r="I43" s="27"/>
      <c r="J43" s="28"/>
      <c r="K43" s="28"/>
      <c r="L43" s="28"/>
      <c r="M43" s="34"/>
    </row>
    <row r="44" spans="1:14">
      <c r="A44" s="105" t="s">
        <v>89</v>
      </c>
      <c r="B44" s="105"/>
      <c r="C44" s="30"/>
      <c r="D44" s="30"/>
      <c r="E44" s="30"/>
      <c r="F44" s="31"/>
      <c r="G44" s="24"/>
      <c r="H44" s="27"/>
      <c r="I44" s="27"/>
      <c r="J44" s="34"/>
      <c r="K44" s="34"/>
      <c r="L44" s="34"/>
      <c r="M44" s="34"/>
    </row>
    <row r="45" spans="1:14">
      <c r="A45" s="104"/>
      <c r="B45" s="104"/>
      <c r="C45" s="32"/>
      <c r="D45" s="32"/>
      <c r="E45" s="32"/>
      <c r="F45" s="32"/>
      <c r="G45" s="24"/>
      <c r="H45" s="27"/>
      <c r="I45" s="27"/>
      <c r="J45" s="34"/>
      <c r="K45" s="34"/>
      <c r="L45" s="34"/>
      <c r="M45" s="34"/>
    </row>
    <row r="46" spans="1:14">
      <c r="A46" s="104"/>
      <c r="B46" s="104"/>
      <c r="C46" s="28"/>
      <c r="D46" s="28"/>
      <c r="E46" s="28"/>
      <c r="F46" s="33"/>
      <c r="G46" s="24"/>
      <c r="H46" s="35"/>
      <c r="I46" s="35"/>
      <c r="J46" s="24"/>
      <c r="K46" s="24"/>
      <c r="L46" s="24"/>
      <c r="M46" s="24"/>
    </row>
    <row r="47" spans="1:14">
      <c r="A47" s="104"/>
      <c r="B47" s="104"/>
      <c r="C47" s="28"/>
      <c r="D47" s="28"/>
      <c r="E47" s="28"/>
      <c r="F47" s="33"/>
    </row>
    <row r="48" spans="1:14">
      <c r="A48" s="104"/>
      <c r="B48" s="104"/>
      <c r="C48" s="28"/>
      <c r="D48" s="28"/>
      <c r="E48" s="28"/>
      <c r="F48" s="33"/>
    </row>
    <row r="49" spans="1:7">
      <c r="A49" s="104"/>
      <c r="B49" s="104"/>
      <c r="C49" s="28"/>
      <c r="D49" s="28"/>
      <c r="E49" s="28"/>
      <c r="F49" s="33"/>
    </row>
    <row r="50" spans="1:7">
      <c r="A50" s="104"/>
      <c r="B50" s="104"/>
      <c r="C50" s="28"/>
      <c r="D50" s="28"/>
      <c r="E50" s="28"/>
      <c r="F50" s="33"/>
    </row>
    <row r="51" spans="1:7">
      <c r="C51" s="18"/>
      <c r="D51" s="18"/>
      <c r="E51" s="18"/>
      <c r="F51" s="18"/>
      <c r="G51" s="18"/>
    </row>
    <row r="52" spans="1:7">
      <c r="C52" s="18"/>
      <c r="D52" s="18"/>
      <c r="E52" s="18"/>
      <c r="F52" s="18"/>
      <c r="G52" s="18"/>
    </row>
    <row r="53" spans="1:7">
      <c r="C53" s="18"/>
      <c r="D53" s="18"/>
      <c r="E53" s="18"/>
      <c r="F53" s="18"/>
      <c r="G53" s="18"/>
    </row>
    <row r="54" spans="1:7">
      <c r="C54" s="18"/>
      <c r="D54" s="18"/>
      <c r="E54" s="18"/>
      <c r="F54" s="18"/>
      <c r="G54" s="18"/>
    </row>
    <row r="55" spans="1:7">
      <c r="C55" s="18"/>
      <c r="D55" s="18"/>
      <c r="E55" s="18"/>
      <c r="F55" s="18"/>
      <c r="G55" s="18"/>
    </row>
    <row r="56" spans="1:7">
      <c r="C56" s="18"/>
      <c r="D56" s="18"/>
      <c r="E56" s="18"/>
      <c r="F56" s="18"/>
      <c r="G56" s="18"/>
    </row>
  </sheetData>
  <sheetProtection algorithmName="SHA-512" hashValue="JhdOn4yTIBCp15bJf9xiJCLA5kphZoWiCruRkDUHa5rc2dVMQoyMuvcvDLnCmXhukYUMNXzUQ36h83pSX9m00w==" saltValue="/1ON8b/TqVaVSGoh4JD57g==" spinCount="100000" sheet="1" objects="1" scenarios="1"/>
  <mergeCells count="79">
    <mergeCell ref="A39:B39"/>
    <mergeCell ref="H39:I39"/>
    <mergeCell ref="A40:B40"/>
    <mergeCell ref="H40:I40"/>
    <mergeCell ref="A50:B50"/>
    <mergeCell ref="A41:B41"/>
    <mergeCell ref="H41:I41"/>
    <mergeCell ref="A42:B42"/>
    <mergeCell ref="H42:I42"/>
    <mergeCell ref="A43:B43"/>
    <mergeCell ref="A44:B44"/>
    <mergeCell ref="A45:B45"/>
    <mergeCell ref="A46:B46"/>
    <mergeCell ref="A47:B47"/>
    <mergeCell ref="A48:B48"/>
    <mergeCell ref="A49:B49"/>
    <mergeCell ref="A36:B36"/>
    <mergeCell ref="H36:I36"/>
    <mergeCell ref="A37:B37"/>
    <mergeCell ref="H37:I37"/>
    <mergeCell ref="A38:B38"/>
    <mergeCell ref="H38:I38"/>
    <mergeCell ref="A33:B33"/>
    <mergeCell ref="H33:I33"/>
    <mergeCell ref="A34:B34"/>
    <mergeCell ref="H34:I34"/>
    <mergeCell ref="A35:B35"/>
    <mergeCell ref="H35:I35"/>
    <mergeCell ref="A30:B30"/>
    <mergeCell ref="H30:I30"/>
    <mergeCell ref="A31:B31"/>
    <mergeCell ref="H31:I31"/>
    <mergeCell ref="A32:B32"/>
    <mergeCell ref="H32:I32"/>
    <mergeCell ref="A27:B27"/>
    <mergeCell ref="H27:I27"/>
    <mergeCell ref="A28:B28"/>
    <mergeCell ref="H28:I28"/>
    <mergeCell ref="A29:B29"/>
    <mergeCell ref="H29:I29"/>
    <mergeCell ref="A24:B24"/>
    <mergeCell ref="H24:I24"/>
    <mergeCell ref="A25:B25"/>
    <mergeCell ref="H25:I25"/>
    <mergeCell ref="A26:B26"/>
    <mergeCell ref="H26:I26"/>
    <mergeCell ref="K20:L20"/>
    <mergeCell ref="A21:B21"/>
    <mergeCell ref="H21:I21"/>
    <mergeCell ref="A23:B23"/>
    <mergeCell ref="H23:I23"/>
    <mergeCell ref="A22:B22"/>
    <mergeCell ref="H22:I22"/>
    <mergeCell ref="A20:B20"/>
    <mergeCell ref="I20:J20"/>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70" fitToWidth="0"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AE8C9-74CD-4973-9426-9B7276E0D932}">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228</v>
      </c>
    </row>
    <row r="4" spans="1:14" ht="16.5">
      <c r="A4" s="19" t="s">
        <v>229</v>
      </c>
      <c r="B4" s="20"/>
      <c r="C4" s="21"/>
      <c r="D4" s="21"/>
      <c r="E4" s="21"/>
      <c r="F4" s="21"/>
      <c r="G4" s="21"/>
      <c r="H4" s="20"/>
      <c r="I4" s="20"/>
      <c r="J4" s="21"/>
      <c r="K4" s="21"/>
      <c r="L4" s="22"/>
      <c r="M4" s="21"/>
      <c r="N4" s="21"/>
    </row>
    <row r="5" spans="1:14" ht="16.5">
      <c r="A5" s="19" t="s">
        <v>230</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601</v>
      </c>
      <c r="E11" s="42">
        <v>1758</v>
      </c>
      <c r="F11" s="43">
        <f>E11/$E$17</f>
        <v>0.63123877917414717</v>
      </c>
      <c r="G11" s="24"/>
      <c r="H11" s="104" t="s">
        <v>37</v>
      </c>
      <c r="I11" s="104"/>
      <c r="J11" s="28"/>
      <c r="K11" s="28"/>
      <c r="L11" s="28"/>
      <c r="M11" s="33"/>
    </row>
    <row r="12" spans="1:14">
      <c r="A12" s="104" t="s">
        <v>38</v>
      </c>
      <c r="B12" s="104"/>
      <c r="C12" s="42">
        <v>10</v>
      </c>
      <c r="D12" s="42">
        <v>229</v>
      </c>
      <c r="E12" s="42">
        <v>641</v>
      </c>
      <c r="F12" s="43">
        <f t="shared" ref="F12:F16" si="0">E12/$E$17</f>
        <v>0.23016157989228006</v>
      </c>
      <c r="G12" s="24"/>
      <c r="H12" s="104" t="s">
        <v>39</v>
      </c>
      <c r="I12" s="104"/>
      <c r="J12" s="28"/>
      <c r="K12" s="28"/>
      <c r="L12" s="28"/>
      <c r="M12" s="33"/>
    </row>
    <row r="13" spans="1:14">
      <c r="A13" s="104" t="s">
        <v>40</v>
      </c>
      <c r="B13" s="104"/>
      <c r="C13" s="42">
        <v>5</v>
      </c>
      <c r="D13" s="42">
        <v>74</v>
      </c>
      <c r="E13" s="42">
        <v>201</v>
      </c>
      <c r="F13" s="43">
        <f t="shared" si="0"/>
        <v>7.217235188509874E-2</v>
      </c>
      <c r="G13" s="24"/>
      <c r="H13" s="104" t="s">
        <v>41</v>
      </c>
      <c r="I13" s="104"/>
      <c r="J13" s="28"/>
      <c r="K13" s="28"/>
      <c r="L13" s="28"/>
      <c r="M13" s="33"/>
    </row>
    <row r="14" spans="1:14">
      <c r="A14" s="104" t="s">
        <v>42</v>
      </c>
      <c r="B14" s="104"/>
      <c r="C14" s="42">
        <v>1</v>
      </c>
      <c r="D14" s="42">
        <v>13</v>
      </c>
      <c r="E14" s="42">
        <v>27</v>
      </c>
      <c r="F14" s="43">
        <f t="shared" si="0"/>
        <v>9.6947935368043095E-3</v>
      </c>
      <c r="G14" s="24"/>
      <c r="H14" s="104" t="s">
        <v>43</v>
      </c>
      <c r="I14" s="104"/>
      <c r="J14" s="28"/>
      <c r="K14" s="28"/>
      <c r="L14" s="28"/>
      <c r="M14" s="33"/>
    </row>
    <row r="15" spans="1:14">
      <c r="A15" s="104" t="s">
        <v>44</v>
      </c>
      <c r="B15" s="104"/>
      <c r="C15" s="42">
        <v>1</v>
      </c>
      <c r="D15" s="42">
        <v>45</v>
      </c>
      <c r="E15" s="42">
        <v>100</v>
      </c>
      <c r="F15" s="43">
        <f t="shared" si="0"/>
        <v>3.5906642728904849E-2</v>
      </c>
      <c r="G15" s="24"/>
      <c r="H15" s="104" t="s">
        <v>45</v>
      </c>
      <c r="I15" s="104"/>
      <c r="J15" s="28"/>
      <c r="K15" s="28"/>
      <c r="L15" s="28"/>
      <c r="M15" s="33"/>
    </row>
    <row r="16" spans="1:14">
      <c r="A16" s="104" t="s">
        <v>46</v>
      </c>
      <c r="B16" s="104"/>
      <c r="C16" s="42">
        <v>1</v>
      </c>
      <c r="D16" s="42">
        <v>29</v>
      </c>
      <c r="E16" s="42">
        <v>58</v>
      </c>
      <c r="F16" s="43">
        <f t="shared" si="0"/>
        <v>2.082585278276481E-2</v>
      </c>
      <c r="G16" s="24"/>
      <c r="H16" s="104" t="s">
        <v>47</v>
      </c>
      <c r="I16" s="104"/>
      <c r="J16" s="28"/>
      <c r="K16" s="28"/>
      <c r="L16" s="28"/>
      <c r="M16" s="33"/>
    </row>
    <row r="17" spans="1:13">
      <c r="A17" s="105" t="s">
        <v>48</v>
      </c>
      <c r="B17" s="105"/>
      <c r="C17" s="44">
        <f>SUM(C11:C16)</f>
        <v>74</v>
      </c>
      <c r="D17" s="44">
        <f t="shared" ref="D17:E17" si="1">SUM(D11:D16)</f>
        <v>991</v>
      </c>
      <c r="E17" s="44">
        <f t="shared" si="1"/>
        <v>2785</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31">
        <v>1</v>
      </c>
      <c r="G20" s="24"/>
      <c r="H20" s="27"/>
      <c r="I20" s="104"/>
      <c r="J20" s="104"/>
      <c r="K20" s="104"/>
      <c r="L20" s="104"/>
      <c r="M20" s="27"/>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5</v>
      </c>
      <c r="K27" s="42">
        <v>130</v>
      </c>
      <c r="L27" s="42">
        <v>250</v>
      </c>
      <c r="M27" s="43">
        <f>L27/$L$30</f>
        <v>0.37936267071320184</v>
      </c>
    </row>
    <row r="28" spans="1:13">
      <c r="A28" s="104"/>
      <c r="B28" s="104"/>
      <c r="C28" s="42"/>
      <c r="D28" s="42"/>
      <c r="E28" s="42"/>
      <c r="F28" s="43"/>
      <c r="G28" s="24"/>
      <c r="H28" s="104" t="s">
        <v>68</v>
      </c>
      <c r="I28" s="104"/>
      <c r="J28" s="42">
        <v>3</v>
      </c>
      <c r="K28" s="42">
        <v>129</v>
      </c>
      <c r="L28" s="42">
        <v>239</v>
      </c>
      <c r="M28" s="43">
        <f t="shared" ref="M28:M29" si="2">L28/$L$30</f>
        <v>0.36267071320182093</v>
      </c>
    </row>
    <row r="29" spans="1:13">
      <c r="A29" s="104" t="s">
        <v>67</v>
      </c>
      <c r="B29" s="104"/>
      <c r="C29" s="42">
        <v>3</v>
      </c>
      <c r="D29" s="42">
        <v>142</v>
      </c>
      <c r="E29" s="42">
        <v>304</v>
      </c>
      <c r="F29" s="43">
        <f>E29/$E$37</f>
        <v>0.10106382978723404</v>
      </c>
      <c r="G29" s="24"/>
      <c r="H29" s="104" t="s">
        <v>70</v>
      </c>
      <c r="I29" s="104"/>
      <c r="J29" s="42">
        <v>2</v>
      </c>
      <c r="K29" s="42">
        <v>86</v>
      </c>
      <c r="L29" s="42">
        <v>170</v>
      </c>
      <c r="M29" s="43">
        <f t="shared" si="2"/>
        <v>0.25796661608497723</v>
      </c>
    </row>
    <row r="30" spans="1:13">
      <c r="A30" s="104" t="s">
        <v>69</v>
      </c>
      <c r="B30" s="104"/>
      <c r="C30" s="42">
        <v>5</v>
      </c>
      <c r="D30" s="42">
        <v>183</v>
      </c>
      <c r="E30" s="42">
        <v>347</v>
      </c>
      <c r="F30" s="43">
        <f t="shared" ref="F30:F35" si="3">E30/$E$37</f>
        <v>0.11535904255319149</v>
      </c>
      <c r="G30" s="24"/>
      <c r="H30" s="105" t="s">
        <v>72</v>
      </c>
      <c r="I30" s="105"/>
      <c r="J30" s="44">
        <f>SUM(J27:J29)</f>
        <v>10</v>
      </c>
      <c r="K30" s="44">
        <f t="shared" ref="K30:L30" si="4">SUM(K27:K29)</f>
        <v>345</v>
      </c>
      <c r="L30" s="44">
        <f t="shared" si="4"/>
        <v>659</v>
      </c>
      <c r="M30" s="45">
        <v>1</v>
      </c>
    </row>
    <row r="31" spans="1:13">
      <c r="A31" s="104" t="s">
        <v>71</v>
      </c>
      <c r="B31" s="104"/>
      <c r="C31" s="42">
        <v>3</v>
      </c>
      <c r="D31" s="42">
        <v>166</v>
      </c>
      <c r="E31" s="42">
        <v>332</v>
      </c>
      <c r="F31" s="43">
        <f t="shared" si="3"/>
        <v>0.11037234042553191</v>
      </c>
      <c r="G31" s="24"/>
      <c r="H31" s="104"/>
      <c r="I31" s="104"/>
      <c r="J31" s="42"/>
      <c r="K31" s="42"/>
      <c r="L31" s="42"/>
      <c r="M31" s="42"/>
    </row>
    <row r="32" spans="1:13">
      <c r="A32" s="104" t="s">
        <v>73</v>
      </c>
      <c r="B32" s="104"/>
      <c r="C32" s="42">
        <v>1</v>
      </c>
      <c r="D32" s="42">
        <v>25</v>
      </c>
      <c r="E32" s="42">
        <v>48</v>
      </c>
      <c r="F32" s="43">
        <f t="shared" si="3"/>
        <v>1.5957446808510637E-2</v>
      </c>
      <c r="G32" s="24"/>
      <c r="H32" s="104" t="s">
        <v>74</v>
      </c>
      <c r="I32" s="104"/>
      <c r="J32" s="42">
        <v>5</v>
      </c>
      <c r="K32" s="42">
        <v>126</v>
      </c>
      <c r="L32" s="42">
        <v>258</v>
      </c>
      <c r="M32" s="43">
        <f>L32/$L$35</f>
        <v>0.82958199356913187</v>
      </c>
    </row>
    <row r="33" spans="1:14">
      <c r="A33" s="104" t="s">
        <v>226</v>
      </c>
      <c r="B33" s="104"/>
      <c r="C33" s="42">
        <v>5</v>
      </c>
      <c r="D33" s="42">
        <v>926</v>
      </c>
      <c r="E33" s="42">
        <v>1783</v>
      </c>
      <c r="F33" s="43">
        <f t="shared" si="3"/>
        <v>0.5927526595744681</v>
      </c>
      <c r="G33" s="24"/>
      <c r="H33" s="104" t="s">
        <v>76</v>
      </c>
      <c r="I33" s="104"/>
      <c r="J33" s="42">
        <v>2</v>
      </c>
      <c r="K33" s="42">
        <v>28</v>
      </c>
      <c r="L33" s="42">
        <v>53</v>
      </c>
      <c r="M33" s="43">
        <f>L33/$L$35</f>
        <v>0.17041800643086816</v>
      </c>
    </row>
    <row r="34" spans="1:14">
      <c r="A34" s="104" t="s">
        <v>75</v>
      </c>
      <c r="B34" s="104"/>
      <c r="C34" s="42">
        <v>1</v>
      </c>
      <c r="D34" s="42">
        <v>18</v>
      </c>
      <c r="E34" s="42">
        <v>36</v>
      </c>
      <c r="F34" s="43">
        <f t="shared" si="3"/>
        <v>1.1968085106382979E-2</v>
      </c>
      <c r="G34" s="24"/>
      <c r="H34" s="104" t="s">
        <v>78</v>
      </c>
      <c r="I34" s="104"/>
      <c r="J34" s="42"/>
      <c r="K34" s="42"/>
      <c r="L34" s="42"/>
      <c r="M34" s="43"/>
    </row>
    <row r="35" spans="1:14">
      <c r="A35" s="104" t="s">
        <v>77</v>
      </c>
      <c r="B35" s="104"/>
      <c r="C35" s="42">
        <v>1</v>
      </c>
      <c r="D35" s="42">
        <v>79</v>
      </c>
      <c r="E35" s="42">
        <v>158</v>
      </c>
      <c r="F35" s="43">
        <f t="shared" si="3"/>
        <v>5.2526595744680854E-2</v>
      </c>
      <c r="G35" s="24"/>
      <c r="H35" s="105" t="s">
        <v>80</v>
      </c>
      <c r="I35" s="105"/>
      <c r="J35" s="44">
        <f>SUM(J32:J34)</f>
        <v>7</v>
      </c>
      <c r="K35" s="44">
        <f>SUM(K32:K34)</f>
        <v>154</v>
      </c>
      <c r="L35" s="44">
        <f>SUM(L32:L34)</f>
        <v>311</v>
      </c>
      <c r="M35" s="45">
        <v>1</v>
      </c>
    </row>
    <row r="36" spans="1:14">
      <c r="A36" s="104" t="s">
        <v>79</v>
      </c>
      <c r="B36" s="104"/>
      <c r="C36" s="42"/>
      <c r="D36" s="42"/>
      <c r="E36" s="42"/>
      <c r="F36" s="43"/>
      <c r="G36" s="24"/>
      <c r="H36" s="104"/>
      <c r="I36" s="104"/>
      <c r="J36" s="36"/>
      <c r="K36" s="36"/>
      <c r="L36" s="36"/>
      <c r="M36" s="36"/>
      <c r="N36" s="36"/>
    </row>
    <row r="37" spans="1:14">
      <c r="A37" s="105" t="s">
        <v>81</v>
      </c>
      <c r="B37" s="105"/>
      <c r="C37" s="44">
        <f>SUM(C29:C36)</f>
        <v>19</v>
      </c>
      <c r="D37" s="44">
        <f t="shared" ref="D37:E37" si="5">SUM(D29:D36)</f>
        <v>1539</v>
      </c>
      <c r="E37" s="44">
        <f t="shared" si="5"/>
        <v>3008</v>
      </c>
      <c r="F37" s="45">
        <v>1</v>
      </c>
      <c r="G37" s="24"/>
      <c r="H37" s="105" t="s">
        <v>82</v>
      </c>
      <c r="I37" s="105"/>
      <c r="J37" s="44">
        <v>7</v>
      </c>
      <c r="K37" s="44">
        <v>63</v>
      </c>
      <c r="L37" s="44">
        <v>109</v>
      </c>
      <c r="M37" s="45">
        <v>1</v>
      </c>
    </row>
    <row r="38" spans="1:14">
      <c r="A38" s="104"/>
      <c r="B38" s="104"/>
      <c r="C38" s="28"/>
      <c r="D38" s="28"/>
      <c r="E38" s="28"/>
      <c r="F38" s="29"/>
      <c r="G38" s="24"/>
      <c r="H38" s="105" t="s">
        <v>84</v>
      </c>
      <c r="I38" s="105"/>
      <c r="J38" s="44">
        <v>1</v>
      </c>
      <c r="K38" s="44">
        <v>15</v>
      </c>
      <c r="L38" s="44">
        <v>30</v>
      </c>
      <c r="M38" s="45">
        <v>1</v>
      </c>
    </row>
    <row r="39" spans="1:14">
      <c r="A39" s="104" t="s">
        <v>83</v>
      </c>
      <c r="B39" s="104"/>
      <c r="C39" s="28"/>
      <c r="D39" s="28"/>
      <c r="E39" s="28"/>
      <c r="F39" s="29"/>
      <c r="G39" s="24"/>
      <c r="H39" s="105" t="s">
        <v>86</v>
      </c>
      <c r="I39" s="105"/>
      <c r="J39" s="38"/>
      <c r="K39" s="38"/>
      <c r="L39" s="38"/>
      <c r="M39" s="41"/>
    </row>
    <row r="40" spans="1:14">
      <c r="A40" s="104" t="s">
        <v>85</v>
      </c>
      <c r="B40" s="104"/>
      <c r="C40" s="28"/>
      <c r="D40" s="28"/>
      <c r="E40" s="28"/>
      <c r="F40" s="29"/>
      <c r="G40" s="24"/>
      <c r="H40" s="105" t="s">
        <v>141</v>
      </c>
      <c r="I40" s="105"/>
      <c r="J40" s="38"/>
      <c r="K40" s="38"/>
      <c r="L40" s="38"/>
      <c r="M40" s="41"/>
    </row>
    <row r="41" spans="1:14">
      <c r="A41" s="104" t="s">
        <v>87</v>
      </c>
      <c r="B41" s="104"/>
      <c r="C41" s="28"/>
      <c r="D41" s="28"/>
      <c r="E41" s="28"/>
      <c r="F41" s="29"/>
      <c r="G41" s="24"/>
      <c r="H41" s="104"/>
      <c r="I41" s="104"/>
      <c r="J41" s="36"/>
      <c r="K41" s="36"/>
      <c r="L41" s="36"/>
      <c r="M41" s="36"/>
    </row>
    <row r="42" spans="1:14">
      <c r="A42" s="104" t="s">
        <v>227</v>
      </c>
      <c r="B42" s="104"/>
      <c r="C42" s="28"/>
      <c r="D42" s="28"/>
      <c r="E42" s="28"/>
      <c r="F42" s="29"/>
      <c r="G42" s="24"/>
      <c r="H42" s="105" t="s">
        <v>90</v>
      </c>
      <c r="I42" s="105"/>
      <c r="J42" s="44">
        <f>C17+C20+C27+C37+J30+J35+J37+J38</f>
        <v>121</v>
      </c>
      <c r="K42" s="44">
        <f>D17+D20+D27+D37+K30+K35+K37+K38</f>
        <v>3532</v>
      </c>
      <c r="L42" s="44">
        <f>E17+E20+E27+E37+L30+L35+L37+L38</f>
        <v>8107</v>
      </c>
      <c r="M42" s="36"/>
    </row>
    <row r="43" spans="1:14">
      <c r="A43" s="104" t="s">
        <v>88</v>
      </c>
      <c r="B43" s="104"/>
      <c r="C43" s="28"/>
      <c r="D43" s="28"/>
      <c r="E43" s="28"/>
      <c r="F43" s="29"/>
      <c r="G43" s="24"/>
      <c r="H43" s="27"/>
      <c r="I43" s="27"/>
      <c r="J43" s="28"/>
      <c r="K43" s="28"/>
      <c r="L43" s="28"/>
      <c r="M43" s="34"/>
    </row>
    <row r="44" spans="1:14">
      <c r="A44" s="105" t="s">
        <v>89</v>
      </c>
      <c r="B44" s="105"/>
      <c r="C44" s="30"/>
      <c r="D44" s="30"/>
      <c r="E44" s="30"/>
      <c r="F44" s="31"/>
      <c r="G44" s="24"/>
      <c r="H44" s="27"/>
      <c r="I44" s="27"/>
      <c r="J44" s="34"/>
      <c r="K44" s="34"/>
      <c r="L44" s="34"/>
      <c r="M44" s="34"/>
    </row>
    <row r="45" spans="1:14">
      <c r="A45" s="104"/>
      <c r="B45" s="104"/>
      <c r="C45" s="32"/>
      <c r="D45" s="32"/>
      <c r="E45" s="32"/>
      <c r="F45" s="32"/>
      <c r="G45" s="24"/>
      <c r="H45" s="27"/>
      <c r="I45" s="27"/>
      <c r="J45" s="34"/>
      <c r="K45" s="34"/>
      <c r="L45" s="34"/>
      <c r="M45" s="34"/>
    </row>
    <row r="46" spans="1:14">
      <c r="A46" s="104"/>
      <c r="B46" s="104"/>
      <c r="C46" s="28"/>
      <c r="D46" s="28"/>
      <c r="E46" s="28"/>
      <c r="F46" s="33"/>
      <c r="G46" s="24"/>
      <c r="H46" s="35"/>
      <c r="I46" s="35"/>
      <c r="J46" s="24"/>
      <c r="K46" s="24"/>
      <c r="L46" s="24"/>
      <c r="M46" s="24"/>
    </row>
    <row r="47" spans="1:14">
      <c r="A47" s="104"/>
      <c r="B47" s="104"/>
      <c r="C47" s="28"/>
      <c r="D47" s="28"/>
      <c r="E47" s="28"/>
      <c r="F47" s="33"/>
    </row>
    <row r="48" spans="1:14">
      <c r="A48" s="104"/>
      <c r="B48" s="104"/>
      <c r="C48" s="28"/>
      <c r="D48" s="28"/>
      <c r="E48" s="28"/>
      <c r="F48" s="33"/>
    </row>
    <row r="49" spans="1:7">
      <c r="A49" s="104"/>
      <c r="B49" s="104"/>
      <c r="C49" s="28"/>
      <c r="D49" s="28"/>
      <c r="E49" s="28"/>
      <c r="F49" s="33"/>
    </row>
    <row r="50" spans="1:7">
      <c r="A50" s="104"/>
      <c r="B50" s="104"/>
      <c r="C50" s="28"/>
      <c r="D50" s="28"/>
      <c r="E50" s="28"/>
      <c r="F50" s="33"/>
    </row>
    <row r="51" spans="1:7">
      <c r="C51" s="18"/>
      <c r="D51" s="18"/>
      <c r="E51" s="18"/>
      <c r="F51" s="18"/>
      <c r="G51" s="18"/>
    </row>
    <row r="52" spans="1:7">
      <c r="C52" s="18"/>
      <c r="D52" s="18"/>
      <c r="E52" s="18"/>
      <c r="F52" s="18"/>
      <c r="G52" s="18"/>
    </row>
    <row r="53" spans="1:7">
      <c r="C53" s="18"/>
      <c r="D53" s="18"/>
      <c r="E53" s="18"/>
      <c r="F53" s="18"/>
      <c r="G53" s="18"/>
    </row>
    <row r="54" spans="1:7">
      <c r="C54" s="18"/>
      <c r="D54" s="18"/>
      <c r="E54" s="18"/>
      <c r="F54" s="18"/>
      <c r="G54" s="18"/>
    </row>
    <row r="55" spans="1:7">
      <c r="C55" s="18"/>
      <c r="D55" s="18"/>
      <c r="E55" s="18"/>
      <c r="F55" s="18"/>
      <c r="G55" s="18"/>
    </row>
    <row r="56" spans="1:7">
      <c r="C56" s="18"/>
      <c r="D56" s="18"/>
      <c r="E56" s="18"/>
      <c r="F56" s="18"/>
      <c r="G56" s="18"/>
    </row>
  </sheetData>
  <sheetProtection algorithmName="SHA-512" hashValue="d2FjY2RScv++gjzmJU5vJZ6r8HHL/p644sYPYAfKCfWP+coDKMMgwlQ8qjRXOer9fBOJzH2BCwOUqM4X6bBjiA==" saltValue="7ePg7eGQX5R8kGwbQl2ypQ==" spinCount="100000" sheet="1" objects="1" scenarios="1"/>
  <mergeCells count="79">
    <mergeCell ref="A39:B39"/>
    <mergeCell ref="H39:I39"/>
    <mergeCell ref="A40:B40"/>
    <mergeCell ref="H40:I40"/>
    <mergeCell ref="A50:B50"/>
    <mergeCell ref="A41:B41"/>
    <mergeCell ref="H41:I41"/>
    <mergeCell ref="A42:B42"/>
    <mergeCell ref="H42:I42"/>
    <mergeCell ref="A43:B43"/>
    <mergeCell ref="A44:B44"/>
    <mergeCell ref="A45:B45"/>
    <mergeCell ref="A46:B46"/>
    <mergeCell ref="A47:B47"/>
    <mergeCell ref="A48:B48"/>
    <mergeCell ref="A49:B49"/>
    <mergeCell ref="A36:B36"/>
    <mergeCell ref="H36:I36"/>
    <mergeCell ref="A37:B37"/>
    <mergeCell ref="H37:I37"/>
    <mergeCell ref="A38:B38"/>
    <mergeCell ref="H38:I38"/>
    <mergeCell ref="A33:B33"/>
    <mergeCell ref="H33:I33"/>
    <mergeCell ref="A34:B34"/>
    <mergeCell ref="H34:I34"/>
    <mergeCell ref="A35:B35"/>
    <mergeCell ref="H35:I35"/>
    <mergeCell ref="A30:B30"/>
    <mergeCell ref="H30:I30"/>
    <mergeCell ref="A31:B31"/>
    <mergeCell ref="H31:I31"/>
    <mergeCell ref="A32:B32"/>
    <mergeCell ref="H32:I32"/>
    <mergeCell ref="A27:B27"/>
    <mergeCell ref="H27:I27"/>
    <mergeCell ref="A28:B28"/>
    <mergeCell ref="H28:I28"/>
    <mergeCell ref="A29:B29"/>
    <mergeCell ref="H29:I29"/>
    <mergeCell ref="A24:B24"/>
    <mergeCell ref="H24:I24"/>
    <mergeCell ref="A25:B25"/>
    <mergeCell ref="H25:I25"/>
    <mergeCell ref="A26:B26"/>
    <mergeCell ref="H26:I26"/>
    <mergeCell ref="K20:L20"/>
    <mergeCell ref="A21:B21"/>
    <mergeCell ref="H21:I21"/>
    <mergeCell ref="A23:B23"/>
    <mergeCell ref="H23:I23"/>
    <mergeCell ref="A22:B22"/>
    <mergeCell ref="H22:I22"/>
    <mergeCell ref="A20:B20"/>
    <mergeCell ref="I20:J20"/>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70" fitToWidth="0" fitToHeight="0"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1536A8-C278-474D-9093-80C667EAFB8A}">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145</v>
      </c>
    </row>
    <row r="4" spans="1:14" ht="16.5">
      <c r="A4" s="19" t="s">
        <v>146</v>
      </c>
      <c r="B4" s="20"/>
      <c r="C4" s="21"/>
      <c r="D4" s="21"/>
      <c r="E4" s="21"/>
      <c r="F4" s="21"/>
      <c r="G4" s="21"/>
      <c r="H4" s="20"/>
      <c r="I4" s="20"/>
      <c r="J4" s="21"/>
      <c r="K4" s="21"/>
      <c r="L4" s="22"/>
      <c r="M4" s="21"/>
      <c r="N4" s="21"/>
    </row>
    <row r="5" spans="1:14" ht="16.5">
      <c r="A5" s="19" t="s">
        <v>147</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601</v>
      </c>
      <c r="E11" s="42">
        <v>1758</v>
      </c>
      <c r="F11" s="43">
        <f>E11/$E$17</f>
        <v>0.63741841914430752</v>
      </c>
      <c r="G11" s="24"/>
      <c r="H11" s="104" t="s">
        <v>37</v>
      </c>
      <c r="I11" s="104"/>
      <c r="J11" s="28"/>
      <c r="K11" s="28"/>
      <c r="L11" s="28"/>
      <c r="M11" s="33"/>
    </row>
    <row r="12" spans="1:14">
      <c r="A12" s="104" t="s">
        <v>38</v>
      </c>
      <c r="B12" s="104"/>
      <c r="C12" s="42">
        <v>10</v>
      </c>
      <c r="D12" s="42">
        <v>229</v>
      </c>
      <c r="E12" s="42">
        <v>641</v>
      </c>
      <c r="F12" s="43">
        <f t="shared" ref="F12:F16" si="0">E12/$E$17</f>
        <v>0.2324147933284989</v>
      </c>
      <c r="G12" s="24"/>
      <c r="H12" s="104" t="s">
        <v>39</v>
      </c>
      <c r="I12" s="104"/>
      <c r="J12" s="28"/>
      <c r="K12" s="28"/>
      <c r="L12" s="28"/>
      <c r="M12" s="33"/>
    </row>
    <row r="13" spans="1:14">
      <c r="A13" s="104" t="s">
        <v>40</v>
      </c>
      <c r="B13" s="104"/>
      <c r="C13" s="42">
        <v>5</v>
      </c>
      <c r="D13" s="42">
        <v>74</v>
      </c>
      <c r="E13" s="42">
        <v>201</v>
      </c>
      <c r="F13" s="43">
        <f t="shared" si="0"/>
        <v>7.2878897751994201E-2</v>
      </c>
      <c r="G13" s="24"/>
      <c r="H13" s="104" t="s">
        <v>41</v>
      </c>
      <c r="I13" s="104"/>
      <c r="J13" s="28"/>
      <c r="K13" s="28"/>
      <c r="L13" s="28"/>
      <c r="M13" s="33"/>
    </row>
    <row r="14" spans="1:14">
      <c r="A14" s="104" t="s">
        <v>42</v>
      </c>
      <c r="B14" s="104"/>
      <c r="C14" s="42"/>
      <c r="D14" s="42"/>
      <c r="E14" s="42"/>
      <c r="F14" s="43"/>
      <c r="G14" s="24"/>
      <c r="H14" s="104" t="s">
        <v>43</v>
      </c>
      <c r="I14" s="104"/>
      <c r="J14" s="28"/>
      <c r="K14" s="28"/>
      <c r="L14" s="28"/>
      <c r="M14" s="33"/>
    </row>
    <row r="15" spans="1:14">
      <c r="A15" s="104" t="s">
        <v>44</v>
      </c>
      <c r="B15" s="104"/>
      <c r="C15" s="42">
        <v>1</v>
      </c>
      <c r="D15" s="42">
        <v>45</v>
      </c>
      <c r="E15" s="42">
        <v>100</v>
      </c>
      <c r="F15" s="43">
        <f t="shared" si="0"/>
        <v>3.6258158085569252E-2</v>
      </c>
      <c r="G15" s="24"/>
      <c r="H15" s="104" t="s">
        <v>45</v>
      </c>
      <c r="I15" s="104"/>
      <c r="J15" s="28"/>
      <c r="K15" s="28"/>
      <c r="L15" s="28"/>
      <c r="M15" s="33"/>
    </row>
    <row r="16" spans="1:14">
      <c r="A16" s="104" t="s">
        <v>46</v>
      </c>
      <c r="B16" s="104"/>
      <c r="C16" s="42">
        <v>1</v>
      </c>
      <c r="D16" s="42">
        <v>29</v>
      </c>
      <c r="E16" s="42">
        <v>58</v>
      </c>
      <c r="F16" s="43">
        <f t="shared" si="0"/>
        <v>2.1029731689630168E-2</v>
      </c>
      <c r="G16" s="24"/>
      <c r="H16" s="104" t="s">
        <v>47</v>
      </c>
      <c r="I16" s="104"/>
      <c r="J16" s="28"/>
      <c r="K16" s="28"/>
      <c r="L16" s="28"/>
      <c r="M16" s="33"/>
    </row>
    <row r="17" spans="1:13">
      <c r="A17" s="105" t="s">
        <v>48</v>
      </c>
      <c r="B17" s="105"/>
      <c r="C17" s="44">
        <f>SUM(C11:C16)</f>
        <v>73</v>
      </c>
      <c r="D17" s="44">
        <f t="shared" ref="D17:E17" si="1">SUM(D11:D16)</f>
        <v>978</v>
      </c>
      <c r="E17" s="44">
        <f t="shared" si="1"/>
        <v>2758</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31">
        <v>1</v>
      </c>
      <c r="G20" s="24"/>
      <c r="H20" s="27"/>
      <c r="I20" s="104"/>
      <c r="J20" s="104"/>
      <c r="K20" s="104"/>
      <c r="L20" s="104"/>
      <c r="M20" s="27"/>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5</v>
      </c>
      <c r="K27" s="42">
        <v>130</v>
      </c>
      <c r="L27" s="42">
        <v>250</v>
      </c>
      <c r="M27" s="43">
        <f>L27/$L$30</f>
        <v>0.37936267071320184</v>
      </c>
    </row>
    <row r="28" spans="1:13">
      <c r="A28" s="104"/>
      <c r="B28" s="104"/>
      <c r="C28" s="42"/>
      <c r="D28" s="42"/>
      <c r="E28" s="42"/>
      <c r="F28" s="43"/>
      <c r="G28" s="24"/>
      <c r="H28" s="104" t="s">
        <v>68</v>
      </c>
      <c r="I28" s="104"/>
      <c r="J28" s="42">
        <v>3</v>
      </c>
      <c r="K28" s="42">
        <v>129</v>
      </c>
      <c r="L28" s="42">
        <v>239</v>
      </c>
      <c r="M28" s="43">
        <f t="shared" ref="M28:M29" si="2">L28/$L$30</f>
        <v>0.36267071320182093</v>
      </c>
    </row>
    <row r="29" spans="1:13">
      <c r="A29" s="104" t="s">
        <v>67</v>
      </c>
      <c r="B29" s="104"/>
      <c r="C29" s="42">
        <v>3</v>
      </c>
      <c r="D29" s="42">
        <v>142</v>
      </c>
      <c r="E29" s="42">
        <v>304</v>
      </c>
      <c r="F29" s="43">
        <f>E29/$E$37</f>
        <v>0.10106382978723404</v>
      </c>
      <c r="G29" s="24"/>
      <c r="H29" s="104" t="s">
        <v>70</v>
      </c>
      <c r="I29" s="104"/>
      <c r="J29" s="42">
        <v>2</v>
      </c>
      <c r="K29" s="42">
        <v>86</v>
      </c>
      <c r="L29" s="42">
        <v>170</v>
      </c>
      <c r="M29" s="43">
        <f t="shared" si="2"/>
        <v>0.25796661608497723</v>
      </c>
    </row>
    <row r="30" spans="1:13">
      <c r="A30" s="104" t="s">
        <v>69</v>
      </c>
      <c r="B30" s="104"/>
      <c r="C30" s="42">
        <v>5</v>
      </c>
      <c r="D30" s="42">
        <v>183</v>
      </c>
      <c r="E30" s="42">
        <v>347</v>
      </c>
      <c r="F30" s="43">
        <f t="shared" ref="F30:F35" si="3">E30/$E$37</f>
        <v>0.11535904255319149</v>
      </c>
      <c r="G30" s="24"/>
      <c r="H30" s="105" t="s">
        <v>72</v>
      </c>
      <c r="I30" s="105"/>
      <c r="J30" s="44">
        <f>SUM(J27:J29)</f>
        <v>10</v>
      </c>
      <c r="K30" s="44">
        <f t="shared" ref="K30:L30" si="4">SUM(K27:K29)</f>
        <v>345</v>
      </c>
      <c r="L30" s="44">
        <f t="shared" si="4"/>
        <v>659</v>
      </c>
      <c r="M30" s="45">
        <v>1</v>
      </c>
    </row>
    <row r="31" spans="1:13">
      <c r="A31" s="104" t="s">
        <v>71</v>
      </c>
      <c r="B31" s="104"/>
      <c r="C31" s="42">
        <v>3</v>
      </c>
      <c r="D31" s="42">
        <v>166</v>
      </c>
      <c r="E31" s="42">
        <v>332</v>
      </c>
      <c r="F31" s="43">
        <f t="shared" si="3"/>
        <v>0.11037234042553191</v>
      </c>
      <c r="G31" s="24"/>
      <c r="H31" s="104"/>
      <c r="I31" s="104"/>
      <c r="J31" s="42"/>
      <c r="K31" s="42"/>
      <c r="L31" s="42"/>
      <c r="M31" s="42"/>
    </row>
    <row r="32" spans="1:13">
      <c r="A32" s="104" t="s">
        <v>73</v>
      </c>
      <c r="B32" s="104"/>
      <c r="C32" s="42">
        <v>1</v>
      </c>
      <c r="D32" s="42">
        <v>25</v>
      </c>
      <c r="E32" s="42">
        <v>48</v>
      </c>
      <c r="F32" s="43">
        <f t="shared" si="3"/>
        <v>1.5957446808510637E-2</v>
      </c>
      <c r="G32" s="24"/>
      <c r="H32" s="104" t="s">
        <v>74</v>
      </c>
      <c r="I32" s="104"/>
      <c r="J32" s="42">
        <v>5</v>
      </c>
      <c r="K32" s="42">
        <v>126</v>
      </c>
      <c r="L32" s="42">
        <v>258</v>
      </c>
      <c r="M32" s="43">
        <f>L32/$L$35</f>
        <v>0.82958199356913187</v>
      </c>
    </row>
    <row r="33" spans="1:14">
      <c r="A33" s="104" t="s">
        <v>226</v>
      </c>
      <c r="B33" s="104"/>
      <c r="C33" s="42">
        <v>5</v>
      </c>
      <c r="D33" s="42">
        <v>926</v>
      </c>
      <c r="E33" s="42">
        <v>1783</v>
      </c>
      <c r="F33" s="43">
        <f t="shared" si="3"/>
        <v>0.5927526595744681</v>
      </c>
      <c r="G33" s="24"/>
      <c r="H33" s="104" t="s">
        <v>76</v>
      </c>
      <c r="I33" s="104"/>
      <c r="J33" s="42">
        <v>2</v>
      </c>
      <c r="K33" s="42">
        <v>28</v>
      </c>
      <c r="L33" s="42">
        <v>53</v>
      </c>
      <c r="M33" s="43">
        <f>L33/$L$35</f>
        <v>0.17041800643086816</v>
      </c>
    </row>
    <row r="34" spans="1:14">
      <c r="A34" s="104" t="s">
        <v>75</v>
      </c>
      <c r="B34" s="104"/>
      <c r="C34" s="42">
        <v>1</v>
      </c>
      <c r="D34" s="42">
        <v>18</v>
      </c>
      <c r="E34" s="42">
        <v>36</v>
      </c>
      <c r="F34" s="43">
        <f t="shared" si="3"/>
        <v>1.1968085106382979E-2</v>
      </c>
      <c r="G34" s="24"/>
      <c r="H34" s="104" t="s">
        <v>78</v>
      </c>
      <c r="I34" s="104"/>
      <c r="J34" s="42"/>
      <c r="K34" s="42"/>
      <c r="L34" s="42"/>
      <c r="M34" s="43"/>
    </row>
    <row r="35" spans="1:14">
      <c r="A35" s="104" t="s">
        <v>77</v>
      </c>
      <c r="B35" s="104"/>
      <c r="C35" s="42">
        <v>1</v>
      </c>
      <c r="D35" s="42">
        <v>79</v>
      </c>
      <c r="E35" s="42">
        <v>158</v>
      </c>
      <c r="F35" s="43">
        <f t="shared" si="3"/>
        <v>5.2526595744680854E-2</v>
      </c>
      <c r="G35" s="24"/>
      <c r="H35" s="105" t="s">
        <v>80</v>
      </c>
      <c r="I35" s="105"/>
      <c r="J35" s="44">
        <f>SUM(J32:J34)</f>
        <v>7</v>
      </c>
      <c r="K35" s="44">
        <f>SUM(K32:K34)</f>
        <v>154</v>
      </c>
      <c r="L35" s="44">
        <f>SUM(L32:L34)</f>
        <v>311</v>
      </c>
      <c r="M35" s="45">
        <v>1</v>
      </c>
    </row>
    <row r="36" spans="1:14">
      <c r="A36" s="104" t="s">
        <v>79</v>
      </c>
      <c r="B36" s="104"/>
      <c r="C36" s="42"/>
      <c r="D36" s="42"/>
      <c r="E36" s="42"/>
      <c r="F36" s="43"/>
      <c r="G36" s="24"/>
      <c r="H36" s="104"/>
      <c r="I36" s="104"/>
      <c r="J36" s="36"/>
      <c r="K36" s="36"/>
      <c r="L36" s="36"/>
      <c r="M36" s="36"/>
      <c r="N36" s="36"/>
    </row>
    <row r="37" spans="1:14">
      <c r="A37" s="105" t="s">
        <v>81</v>
      </c>
      <c r="B37" s="105"/>
      <c r="C37" s="44">
        <f>SUM(C29:C36)</f>
        <v>19</v>
      </c>
      <c r="D37" s="44">
        <f t="shared" ref="D37:E37" si="5">SUM(D29:D36)</f>
        <v>1539</v>
      </c>
      <c r="E37" s="44">
        <f t="shared" si="5"/>
        <v>3008</v>
      </c>
      <c r="F37" s="45">
        <v>1</v>
      </c>
      <c r="G37" s="24"/>
      <c r="H37" s="105" t="s">
        <v>82</v>
      </c>
      <c r="I37" s="105"/>
      <c r="J37" s="44">
        <v>8</v>
      </c>
      <c r="K37" s="44">
        <v>73</v>
      </c>
      <c r="L37" s="44">
        <v>125</v>
      </c>
      <c r="M37" s="45">
        <v>1</v>
      </c>
    </row>
    <row r="38" spans="1:14">
      <c r="A38" s="104"/>
      <c r="B38" s="104"/>
      <c r="C38" s="28"/>
      <c r="D38" s="28"/>
      <c r="E38" s="28"/>
      <c r="F38" s="29"/>
      <c r="G38" s="24"/>
      <c r="H38" s="105" t="s">
        <v>84</v>
      </c>
      <c r="I38" s="105"/>
      <c r="J38" s="44">
        <v>1</v>
      </c>
      <c r="K38" s="44">
        <v>15</v>
      </c>
      <c r="L38" s="44">
        <v>30</v>
      </c>
      <c r="M38" s="45">
        <v>1</v>
      </c>
    </row>
    <row r="39" spans="1:14">
      <c r="A39" s="104" t="s">
        <v>83</v>
      </c>
      <c r="B39" s="104"/>
      <c r="C39" s="28"/>
      <c r="D39" s="28"/>
      <c r="E39" s="28"/>
      <c r="F39" s="29"/>
      <c r="G39" s="24"/>
      <c r="H39" s="105" t="s">
        <v>86</v>
      </c>
      <c r="I39" s="105"/>
      <c r="J39" s="38"/>
      <c r="K39" s="38"/>
      <c r="L39" s="38"/>
      <c r="M39" s="41"/>
    </row>
    <row r="40" spans="1:14">
      <c r="A40" s="104" t="s">
        <v>85</v>
      </c>
      <c r="B40" s="104"/>
      <c r="C40" s="28"/>
      <c r="D40" s="28"/>
      <c r="E40" s="28"/>
      <c r="F40" s="29"/>
      <c r="G40" s="24"/>
      <c r="H40" s="105" t="s">
        <v>141</v>
      </c>
      <c r="I40" s="105"/>
      <c r="J40" s="38"/>
      <c r="K40" s="38"/>
      <c r="L40" s="38"/>
      <c r="M40" s="41"/>
    </row>
    <row r="41" spans="1:14">
      <c r="A41" s="104" t="s">
        <v>87</v>
      </c>
      <c r="B41" s="104"/>
      <c r="C41" s="28"/>
      <c r="D41" s="28"/>
      <c r="E41" s="28"/>
      <c r="F41" s="29"/>
      <c r="G41" s="24"/>
      <c r="H41" s="104"/>
      <c r="I41" s="104"/>
      <c r="J41" s="36"/>
      <c r="K41" s="36"/>
      <c r="L41" s="36"/>
      <c r="M41" s="36"/>
    </row>
    <row r="42" spans="1:14">
      <c r="A42" s="104" t="s">
        <v>227</v>
      </c>
      <c r="B42" s="104"/>
      <c r="C42" s="28"/>
      <c r="D42" s="28"/>
      <c r="E42" s="28"/>
      <c r="F42" s="29"/>
      <c r="G42" s="24"/>
      <c r="H42" s="105" t="s">
        <v>90</v>
      </c>
      <c r="I42" s="105"/>
      <c r="J42" s="44">
        <f>C17+C20+C27+C37+J30+J35+J37+J38</f>
        <v>121</v>
      </c>
      <c r="K42" s="44">
        <f>D17+D20+D27+D37+K30+K35+K37+K38</f>
        <v>3529</v>
      </c>
      <c r="L42" s="44">
        <f>E17+E20+E27+E37+L30+L35+L37+L38</f>
        <v>8096</v>
      </c>
      <c r="M42" s="36"/>
    </row>
    <row r="43" spans="1:14">
      <c r="A43" s="104" t="s">
        <v>88</v>
      </c>
      <c r="B43" s="104"/>
      <c r="C43" s="28"/>
      <c r="D43" s="28"/>
      <c r="E43" s="28"/>
      <c r="F43" s="29"/>
      <c r="G43" s="24"/>
      <c r="H43" s="27"/>
      <c r="I43" s="27"/>
      <c r="J43" s="28"/>
      <c r="K43" s="28"/>
      <c r="L43" s="28"/>
      <c r="M43" s="34"/>
    </row>
    <row r="44" spans="1:14">
      <c r="A44" s="105" t="s">
        <v>89</v>
      </c>
      <c r="B44" s="105"/>
      <c r="C44" s="30"/>
      <c r="D44" s="30"/>
      <c r="E44" s="30"/>
      <c r="F44" s="31"/>
      <c r="G44" s="24"/>
      <c r="H44" s="27"/>
      <c r="I44" s="27"/>
      <c r="J44" s="34"/>
      <c r="K44" s="34"/>
      <c r="L44" s="34"/>
      <c r="M44" s="34"/>
    </row>
    <row r="45" spans="1:14">
      <c r="A45" s="104"/>
      <c r="B45" s="104"/>
      <c r="C45" s="32"/>
      <c r="D45" s="32"/>
      <c r="E45" s="32"/>
      <c r="F45" s="32"/>
      <c r="G45" s="24"/>
      <c r="H45" s="27"/>
      <c r="I45" s="27"/>
      <c r="J45" s="34"/>
      <c r="K45" s="34"/>
      <c r="L45" s="34"/>
      <c r="M45" s="34"/>
    </row>
    <row r="46" spans="1:14">
      <c r="A46" s="104"/>
      <c r="B46" s="104"/>
      <c r="C46" s="28"/>
      <c r="D46" s="28"/>
      <c r="E46" s="28"/>
      <c r="F46" s="33"/>
      <c r="G46" s="24"/>
      <c r="H46" s="35"/>
      <c r="I46" s="35"/>
      <c r="J46" s="24"/>
      <c r="K46" s="24"/>
      <c r="L46" s="24"/>
      <c r="M46" s="24"/>
    </row>
    <row r="47" spans="1:14">
      <c r="A47" s="104"/>
      <c r="B47" s="104"/>
      <c r="C47" s="28"/>
      <c r="D47" s="28"/>
      <c r="E47" s="28"/>
      <c r="F47" s="33"/>
    </row>
    <row r="48" spans="1:14">
      <c r="A48" s="104"/>
      <c r="B48" s="104"/>
      <c r="C48" s="28"/>
      <c r="D48" s="28"/>
      <c r="E48" s="28"/>
      <c r="F48" s="33"/>
    </row>
    <row r="49" spans="1:7">
      <c r="A49" s="104"/>
      <c r="B49" s="104"/>
      <c r="C49" s="28"/>
      <c r="D49" s="28"/>
      <c r="E49" s="28"/>
      <c r="F49" s="33"/>
    </row>
    <row r="50" spans="1:7">
      <c r="A50" s="104"/>
      <c r="B50" s="104"/>
      <c r="C50" s="28"/>
      <c r="D50" s="28"/>
      <c r="E50" s="28"/>
      <c r="F50" s="33"/>
    </row>
    <row r="51" spans="1:7">
      <c r="C51" s="18"/>
      <c r="D51" s="18"/>
      <c r="E51" s="18"/>
      <c r="F51" s="18"/>
      <c r="G51" s="18"/>
    </row>
    <row r="52" spans="1:7">
      <c r="C52" s="18"/>
      <c r="D52" s="18"/>
      <c r="E52" s="18"/>
      <c r="F52" s="18"/>
      <c r="G52" s="18"/>
    </row>
    <row r="53" spans="1:7">
      <c r="C53" s="18"/>
      <c r="D53" s="18"/>
      <c r="E53" s="18"/>
      <c r="F53" s="18"/>
      <c r="G53" s="18"/>
    </row>
    <row r="54" spans="1:7">
      <c r="C54" s="18"/>
      <c r="D54" s="18"/>
      <c r="E54" s="18"/>
      <c r="F54" s="18"/>
      <c r="G54" s="18"/>
    </row>
    <row r="55" spans="1:7">
      <c r="C55" s="18"/>
      <c r="D55" s="18"/>
      <c r="E55" s="18"/>
      <c r="F55" s="18"/>
      <c r="G55" s="18"/>
    </row>
    <row r="56" spans="1:7">
      <c r="C56" s="18"/>
      <c r="D56" s="18"/>
      <c r="E56" s="18"/>
      <c r="F56" s="18"/>
      <c r="G56" s="18"/>
    </row>
  </sheetData>
  <sheetProtection algorithmName="SHA-512" hashValue="xqeiKbVZXJyX7NBytpStMBccrd5JHtZoHShqZuxiR0CLkcgzBWvq/pQYcYy6EPaxYAd0WjZxdawt4zdZMgXYFA==" saltValue="Abb/q3yVPrpgE+/KnCfbbA==" spinCount="100000" sheet="1" objects="1" scenarios="1"/>
  <mergeCells count="79">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K20:L20"/>
    <mergeCell ref="A21:B21"/>
    <mergeCell ref="H21:I21"/>
    <mergeCell ref="A23:B23"/>
    <mergeCell ref="H23:I23"/>
    <mergeCell ref="A22:B22"/>
    <mergeCell ref="H22:I22"/>
    <mergeCell ref="A20:B20"/>
    <mergeCell ref="I20:J20"/>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0:B40"/>
    <mergeCell ref="H40:I40"/>
    <mergeCell ref="A50:B50"/>
    <mergeCell ref="A41:B41"/>
    <mergeCell ref="H41:I41"/>
    <mergeCell ref="A42:B42"/>
    <mergeCell ref="H42:I42"/>
    <mergeCell ref="A43:B43"/>
    <mergeCell ref="A44:B44"/>
    <mergeCell ref="A45:B45"/>
    <mergeCell ref="A46:B46"/>
    <mergeCell ref="A47:B47"/>
    <mergeCell ref="A48:B48"/>
    <mergeCell ref="A49:B49"/>
  </mergeCells>
  <pageMargins left="0.7" right="0.7" top="0.75" bottom="0.75" header="0.3" footer="0.3"/>
  <pageSetup paperSize="9" scale="70" fitToWidth="0"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142</v>
      </c>
    </row>
    <row r="4" spans="1:14" ht="16.5">
      <c r="A4" s="19" t="s">
        <v>143</v>
      </c>
      <c r="B4" s="20"/>
      <c r="C4" s="21"/>
      <c r="D4" s="21"/>
      <c r="E4" s="21"/>
      <c r="F4" s="21"/>
      <c r="G4" s="21"/>
      <c r="H4" s="20"/>
      <c r="I4" s="20"/>
      <c r="J4" s="21"/>
      <c r="K4" s="21"/>
      <c r="L4" s="22"/>
      <c r="M4" s="21"/>
      <c r="N4" s="21"/>
    </row>
    <row r="5" spans="1:14" ht="16.5">
      <c r="A5" s="19" t="s">
        <v>144</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601</v>
      </c>
      <c r="E11" s="42">
        <v>1758</v>
      </c>
      <c r="F11" s="43">
        <f>E11/$E$17</f>
        <v>0.63741841914430752</v>
      </c>
      <c r="G11" s="24"/>
      <c r="H11" s="104" t="s">
        <v>37</v>
      </c>
      <c r="I11" s="104"/>
      <c r="J11" s="28"/>
      <c r="K11" s="28"/>
      <c r="L11" s="28"/>
      <c r="M11" s="33"/>
    </row>
    <row r="12" spans="1:14">
      <c r="A12" s="104" t="s">
        <v>38</v>
      </c>
      <c r="B12" s="104"/>
      <c r="C12" s="42">
        <v>10</v>
      </c>
      <c r="D12" s="42">
        <v>229</v>
      </c>
      <c r="E12" s="42">
        <v>641</v>
      </c>
      <c r="F12" s="43">
        <f t="shared" ref="F12:F16" si="0">E12/$E$17</f>
        <v>0.2324147933284989</v>
      </c>
      <c r="G12" s="24"/>
      <c r="H12" s="104" t="s">
        <v>39</v>
      </c>
      <c r="I12" s="104"/>
      <c r="J12" s="28"/>
      <c r="K12" s="28"/>
      <c r="L12" s="28"/>
      <c r="M12" s="33"/>
    </row>
    <row r="13" spans="1:14">
      <c r="A13" s="104" t="s">
        <v>40</v>
      </c>
      <c r="B13" s="104"/>
      <c r="C13" s="42">
        <v>5</v>
      </c>
      <c r="D13" s="42">
        <v>74</v>
      </c>
      <c r="E13" s="42">
        <v>201</v>
      </c>
      <c r="F13" s="43">
        <f t="shared" si="0"/>
        <v>7.2878897751994201E-2</v>
      </c>
      <c r="G13" s="24"/>
      <c r="H13" s="104" t="s">
        <v>41</v>
      </c>
      <c r="I13" s="104"/>
      <c r="J13" s="28"/>
      <c r="K13" s="28"/>
      <c r="L13" s="28"/>
      <c r="M13" s="33"/>
    </row>
    <row r="14" spans="1:14">
      <c r="A14" s="104" t="s">
        <v>42</v>
      </c>
      <c r="B14" s="104"/>
      <c r="C14" s="42"/>
      <c r="D14" s="42"/>
      <c r="E14" s="42"/>
      <c r="F14" s="43"/>
      <c r="G14" s="24"/>
      <c r="H14" s="104" t="s">
        <v>43</v>
      </c>
      <c r="I14" s="104"/>
      <c r="J14" s="28"/>
      <c r="K14" s="28"/>
      <c r="L14" s="28"/>
      <c r="M14" s="33"/>
    </row>
    <row r="15" spans="1:14">
      <c r="A15" s="104" t="s">
        <v>44</v>
      </c>
      <c r="B15" s="104"/>
      <c r="C15" s="42">
        <v>1</v>
      </c>
      <c r="D15" s="42">
        <v>45</v>
      </c>
      <c r="E15" s="42">
        <v>100</v>
      </c>
      <c r="F15" s="43">
        <f t="shared" si="0"/>
        <v>3.6258158085569252E-2</v>
      </c>
      <c r="G15" s="24"/>
      <c r="H15" s="104" t="s">
        <v>45</v>
      </c>
      <c r="I15" s="104"/>
      <c r="J15" s="28"/>
      <c r="K15" s="28"/>
      <c r="L15" s="28"/>
      <c r="M15" s="33"/>
    </row>
    <row r="16" spans="1:14">
      <c r="A16" s="104" t="s">
        <v>46</v>
      </c>
      <c r="B16" s="104"/>
      <c r="C16" s="42">
        <v>1</v>
      </c>
      <c r="D16" s="42">
        <v>29</v>
      </c>
      <c r="E16" s="42">
        <v>58</v>
      </c>
      <c r="F16" s="43">
        <f t="shared" si="0"/>
        <v>2.1029731689630168E-2</v>
      </c>
      <c r="G16" s="24"/>
      <c r="H16" s="104" t="s">
        <v>47</v>
      </c>
      <c r="I16" s="104"/>
      <c r="J16" s="28"/>
      <c r="K16" s="28"/>
      <c r="L16" s="28"/>
      <c r="M16" s="33"/>
    </row>
    <row r="17" spans="1:13">
      <c r="A17" s="105" t="s">
        <v>48</v>
      </c>
      <c r="B17" s="105"/>
      <c r="C17" s="44">
        <f>SUM(C11:C16)</f>
        <v>73</v>
      </c>
      <c r="D17" s="44">
        <f t="shared" ref="D17:E17" si="1">SUM(D11:D16)</f>
        <v>978</v>
      </c>
      <c r="E17" s="44">
        <f t="shared" si="1"/>
        <v>2758</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31">
        <v>1</v>
      </c>
      <c r="G20" s="24"/>
      <c r="H20" s="27"/>
      <c r="I20" s="104"/>
      <c r="J20" s="104"/>
      <c r="K20" s="104"/>
      <c r="L20" s="104"/>
      <c r="M20" s="27"/>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5</v>
      </c>
      <c r="K27" s="42">
        <v>130</v>
      </c>
      <c r="L27" s="42">
        <v>250</v>
      </c>
      <c r="M27" s="43">
        <f>L27/$L$30</f>
        <v>0.37936267071320184</v>
      </c>
    </row>
    <row r="28" spans="1:13">
      <c r="A28" s="104"/>
      <c r="B28" s="104"/>
      <c r="C28" s="42"/>
      <c r="D28" s="42"/>
      <c r="E28" s="42"/>
      <c r="F28" s="43"/>
      <c r="G28" s="24"/>
      <c r="H28" s="104" t="s">
        <v>68</v>
      </c>
      <c r="I28" s="104"/>
      <c r="J28" s="42">
        <v>3</v>
      </c>
      <c r="K28" s="42">
        <v>129</v>
      </c>
      <c r="L28" s="42">
        <v>239</v>
      </c>
      <c r="M28" s="43">
        <f t="shared" ref="M28:M29" si="2">L28/$L$30</f>
        <v>0.36267071320182093</v>
      </c>
    </row>
    <row r="29" spans="1:13">
      <c r="A29" s="104" t="s">
        <v>67</v>
      </c>
      <c r="B29" s="104"/>
      <c r="C29" s="42">
        <v>3</v>
      </c>
      <c r="D29" s="42">
        <v>142</v>
      </c>
      <c r="E29" s="42">
        <v>304</v>
      </c>
      <c r="F29" s="43">
        <f>E29/$E$37</f>
        <v>0.10106382978723404</v>
      </c>
      <c r="G29" s="24"/>
      <c r="H29" s="104" t="s">
        <v>70</v>
      </c>
      <c r="I29" s="104"/>
      <c r="J29" s="42">
        <v>2</v>
      </c>
      <c r="K29" s="42">
        <v>86</v>
      </c>
      <c r="L29" s="42">
        <v>170</v>
      </c>
      <c r="M29" s="43">
        <f t="shared" si="2"/>
        <v>0.25796661608497723</v>
      </c>
    </row>
    <row r="30" spans="1:13">
      <c r="A30" s="104" t="s">
        <v>69</v>
      </c>
      <c r="B30" s="104"/>
      <c r="C30" s="42">
        <v>5</v>
      </c>
      <c r="D30" s="42">
        <v>183</v>
      </c>
      <c r="E30" s="42">
        <v>347</v>
      </c>
      <c r="F30" s="43">
        <f t="shared" ref="F30:F35" si="3">E30/$E$37</f>
        <v>0.11535904255319149</v>
      </c>
      <c r="G30" s="24"/>
      <c r="H30" s="105" t="s">
        <v>72</v>
      </c>
      <c r="I30" s="105"/>
      <c r="J30" s="44">
        <f>SUM(J27:J29)</f>
        <v>10</v>
      </c>
      <c r="K30" s="44">
        <f t="shared" ref="K30:L30" si="4">SUM(K27:K29)</f>
        <v>345</v>
      </c>
      <c r="L30" s="44">
        <f t="shared" si="4"/>
        <v>659</v>
      </c>
      <c r="M30" s="45">
        <v>1</v>
      </c>
    </row>
    <row r="31" spans="1:13">
      <c r="A31" s="104" t="s">
        <v>71</v>
      </c>
      <c r="B31" s="104"/>
      <c r="C31" s="42">
        <v>3</v>
      </c>
      <c r="D31" s="42">
        <v>166</v>
      </c>
      <c r="E31" s="42">
        <v>332</v>
      </c>
      <c r="F31" s="43">
        <f t="shared" si="3"/>
        <v>0.11037234042553191</v>
      </c>
      <c r="G31" s="24"/>
      <c r="H31" s="104"/>
      <c r="I31" s="104"/>
      <c r="J31" s="42"/>
      <c r="K31" s="42"/>
      <c r="L31" s="42"/>
      <c r="M31" s="42"/>
    </row>
    <row r="32" spans="1:13">
      <c r="A32" s="104" t="s">
        <v>73</v>
      </c>
      <c r="B32" s="104"/>
      <c r="C32" s="42">
        <v>1</v>
      </c>
      <c r="D32" s="42">
        <v>25</v>
      </c>
      <c r="E32" s="42">
        <v>48</v>
      </c>
      <c r="F32" s="43">
        <f t="shared" si="3"/>
        <v>1.5957446808510637E-2</v>
      </c>
      <c r="G32" s="24"/>
      <c r="H32" s="104" t="s">
        <v>74</v>
      </c>
      <c r="I32" s="104"/>
      <c r="J32" s="42">
        <v>5</v>
      </c>
      <c r="K32" s="42">
        <v>126</v>
      </c>
      <c r="L32" s="42">
        <v>258</v>
      </c>
      <c r="M32" s="43">
        <f>L32/$L$35</f>
        <v>0.82958199356913187</v>
      </c>
    </row>
    <row r="33" spans="1:14">
      <c r="A33" s="104" t="s">
        <v>226</v>
      </c>
      <c r="B33" s="104"/>
      <c r="C33" s="42">
        <v>5</v>
      </c>
      <c r="D33" s="42">
        <v>926</v>
      </c>
      <c r="E33" s="42">
        <v>1783</v>
      </c>
      <c r="F33" s="43">
        <f t="shared" si="3"/>
        <v>0.5927526595744681</v>
      </c>
      <c r="G33" s="24"/>
      <c r="H33" s="104" t="s">
        <v>76</v>
      </c>
      <c r="I33" s="104"/>
      <c r="J33" s="42">
        <v>2</v>
      </c>
      <c r="K33" s="42">
        <v>28</v>
      </c>
      <c r="L33" s="42">
        <v>53</v>
      </c>
      <c r="M33" s="43">
        <f>L33/$L$35</f>
        <v>0.17041800643086816</v>
      </c>
    </row>
    <row r="34" spans="1:14">
      <c r="A34" s="104" t="s">
        <v>75</v>
      </c>
      <c r="B34" s="104"/>
      <c r="C34" s="42">
        <v>1</v>
      </c>
      <c r="D34" s="42">
        <v>18</v>
      </c>
      <c r="E34" s="42">
        <v>36</v>
      </c>
      <c r="F34" s="43">
        <f t="shared" si="3"/>
        <v>1.1968085106382979E-2</v>
      </c>
      <c r="G34" s="24"/>
      <c r="H34" s="104" t="s">
        <v>78</v>
      </c>
      <c r="I34" s="104"/>
      <c r="J34" s="42"/>
      <c r="K34" s="42"/>
      <c r="L34" s="42"/>
      <c r="M34" s="43"/>
    </row>
    <row r="35" spans="1:14">
      <c r="A35" s="104" t="s">
        <v>77</v>
      </c>
      <c r="B35" s="104"/>
      <c r="C35" s="42">
        <v>1</v>
      </c>
      <c r="D35" s="42">
        <v>79</v>
      </c>
      <c r="E35" s="42">
        <v>158</v>
      </c>
      <c r="F35" s="43">
        <f t="shared" si="3"/>
        <v>5.2526595744680854E-2</v>
      </c>
      <c r="G35" s="24"/>
      <c r="H35" s="105" t="s">
        <v>80</v>
      </c>
      <c r="I35" s="105"/>
      <c r="J35" s="44">
        <f>SUM(J32:J34)</f>
        <v>7</v>
      </c>
      <c r="K35" s="44">
        <f>SUM(K32:K34)</f>
        <v>154</v>
      </c>
      <c r="L35" s="44">
        <f>SUM(L32:L34)</f>
        <v>311</v>
      </c>
      <c r="M35" s="45">
        <v>1</v>
      </c>
    </row>
    <row r="36" spans="1:14">
      <c r="A36" s="104" t="s">
        <v>79</v>
      </c>
      <c r="B36" s="104"/>
      <c r="C36" s="42"/>
      <c r="D36" s="42"/>
      <c r="E36" s="42"/>
      <c r="F36" s="43"/>
      <c r="G36" s="24"/>
      <c r="H36" s="104"/>
      <c r="I36" s="104"/>
      <c r="J36" s="36"/>
      <c r="K36" s="36"/>
      <c r="L36" s="36"/>
      <c r="M36" s="36"/>
      <c r="N36" s="36"/>
    </row>
    <row r="37" spans="1:14">
      <c r="A37" s="105" t="s">
        <v>81</v>
      </c>
      <c r="B37" s="105"/>
      <c r="C37" s="44">
        <f>SUM(C29:C36)</f>
        <v>19</v>
      </c>
      <c r="D37" s="44">
        <f t="shared" ref="D37:E37" si="5">SUM(D29:D36)</f>
        <v>1539</v>
      </c>
      <c r="E37" s="44">
        <f t="shared" si="5"/>
        <v>3008</v>
      </c>
      <c r="F37" s="45">
        <v>1</v>
      </c>
      <c r="G37" s="24"/>
      <c r="H37" s="105" t="s">
        <v>82</v>
      </c>
      <c r="I37" s="105"/>
      <c r="J37" s="44">
        <v>8</v>
      </c>
      <c r="K37" s="44">
        <v>73</v>
      </c>
      <c r="L37" s="44">
        <v>125</v>
      </c>
      <c r="M37" s="45">
        <v>1</v>
      </c>
    </row>
    <row r="38" spans="1:14">
      <c r="A38" s="104"/>
      <c r="B38" s="104"/>
      <c r="C38" s="28"/>
      <c r="D38" s="28"/>
      <c r="E38" s="28"/>
      <c r="F38" s="29"/>
      <c r="G38" s="24"/>
      <c r="H38" s="105" t="s">
        <v>84</v>
      </c>
      <c r="I38" s="105"/>
      <c r="J38" s="44">
        <v>1</v>
      </c>
      <c r="K38" s="44">
        <v>15</v>
      </c>
      <c r="L38" s="44">
        <v>30</v>
      </c>
      <c r="M38" s="45">
        <v>1</v>
      </c>
    </row>
    <row r="39" spans="1:14">
      <c r="A39" s="104" t="s">
        <v>83</v>
      </c>
      <c r="B39" s="104"/>
      <c r="C39" s="28"/>
      <c r="D39" s="28"/>
      <c r="E39" s="28"/>
      <c r="F39" s="29"/>
      <c r="G39" s="24"/>
      <c r="H39" s="105" t="s">
        <v>86</v>
      </c>
      <c r="I39" s="105"/>
      <c r="J39" s="38"/>
      <c r="K39" s="38"/>
      <c r="L39" s="38"/>
      <c r="M39" s="41"/>
    </row>
    <row r="40" spans="1:14">
      <c r="A40" s="104" t="s">
        <v>85</v>
      </c>
      <c r="B40" s="104"/>
      <c r="C40" s="28"/>
      <c r="D40" s="28"/>
      <c r="E40" s="28"/>
      <c r="F40" s="29"/>
      <c r="G40" s="24"/>
      <c r="H40" s="105" t="s">
        <v>141</v>
      </c>
      <c r="I40" s="105"/>
      <c r="J40" s="38"/>
      <c r="K40" s="38"/>
      <c r="L40" s="38"/>
      <c r="M40" s="41"/>
    </row>
    <row r="41" spans="1:14">
      <c r="A41" s="104" t="s">
        <v>87</v>
      </c>
      <c r="B41" s="104"/>
      <c r="C41" s="28"/>
      <c r="D41" s="28"/>
      <c r="E41" s="28"/>
      <c r="F41" s="29"/>
      <c r="G41" s="24"/>
      <c r="H41" s="104"/>
      <c r="I41" s="104"/>
      <c r="J41" s="36"/>
      <c r="K41" s="36"/>
      <c r="L41" s="36"/>
      <c r="M41" s="36"/>
    </row>
    <row r="42" spans="1:14">
      <c r="A42" s="104" t="s">
        <v>227</v>
      </c>
      <c r="B42" s="104"/>
      <c r="C42" s="28"/>
      <c r="D42" s="28"/>
      <c r="E42" s="28"/>
      <c r="F42" s="29"/>
      <c r="G42" s="24"/>
      <c r="H42" s="105" t="s">
        <v>90</v>
      </c>
      <c r="I42" s="105"/>
      <c r="J42" s="44">
        <f>C17+C20+C27+C37+J30+J35+J37+J38</f>
        <v>121</v>
      </c>
      <c r="K42" s="44">
        <f>D17+D20+D27+D37+K30+K35+K37+K38</f>
        <v>3529</v>
      </c>
      <c r="L42" s="44">
        <f>E17+E20+E27+E37+L30+L35+L37+L38</f>
        <v>8096</v>
      </c>
      <c r="M42" s="36"/>
    </row>
    <row r="43" spans="1:14">
      <c r="A43" s="104" t="s">
        <v>88</v>
      </c>
      <c r="B43" s="104"/>
      <c r="C43" s="28"/>
      <c r="D43" s="28"/>
      <c r="E43" s="28"/>
      <c r="F43" s="29"/>
      <c r="G43" s="24"/>
      <c r="H43" s="27"/>
      <c r="I43" s="27"/>
      <c r="J43" s="28"/>
      <c r="K43" s="28"/>
      <c r="L43" s="28"/>
      <c r="M43" s="34"/>
    </row>
    <row r="44" spans="1:14">
      <c r="A44" s="105" t="s">
        <v>89</v>
      </c>
      <c r="B44" s="105"/>
      <c r="C44" s="30"/>
      <c r="D44" s="30"/>
      <c r="E44" s="30"/>
      <c r="F44" s="31"/>
      <c r="G44" s="24"/>
      <c r="H44" s="27"/>
      <c r="I44" s="27"/>
      <c r="J44" s="34"/>
      <c r="K44" s="34"/>
      <c r="L44" s="34"/>
      <c r="M44" s="34"/>
    </row>
    <row r="45" spans="1:14">
      <c r="A45" s="104"/>
      <c r="B45" s="104"/>
      <c r="C45" s="32"/>
      <c r="D45" s="32"/>
      <c r="E45" s="32"/>
      <c r="F45" s="32"/>
      <c r="G45" s="24"/>
      <c r="H45" s="27"/>
      <c r="I45" s="27"/>
      <c r="J45" s="34"/>
      <c r="K45" s="34"/>
      <c r="L45" s="34"/>
      <c r="M45" s="34"/>
    </row>
    <row r="46" spans="1:14">
      <c r="A46" s="104"/>
      <c r="B46" s="104"/>
      <c r="C46" s="28"/>
      <c r="D46" s="28"/>
      <c r="E46" s="28"/>
      <c r="F46" s="33"/>
      <c r="G46" s="24"/>
      <c r="H46" s="35"/>
      <c r="I46" s="35"/>
      <c r="J46" s="24"/>
      <c r="K46" s="24"/>
      <c r="L46" s="24"/>
      <c r="M46" s="24"/>
    </row>
    <row r="47" spans="1:14">
      <c r="A47" s="104"/>
      <c r="B47" s="104"/>
      <c r="C47" s="28"/>
      <c r="D47" s="28"/>
      <c r="E47" s="28"/>
      <c r="F47" s="33"/>
    </row>
    <row r="48" spans="1:14">
      <c r="A48" s="104"/>
      <c r="B48" s="104"/>
      <c r="C48" s="28"/>
      <c r="D48" s="28"/>
      <c r="E48" s="28"/>
      <c r="F48" s="33"/>
    </row>
    <row r="49" spans="1:7">
      <c r="A49" s="104"/>
      <c r="B49" s="104"/>
      <c r="C49" s="28"/>
      <c r="D49" s="28"/>
      <c r="E49" s="28"/>
      <c r="F49" s="33"/>
    </row>
    <row r="50" spans="1:7">
      <c r="A50" s="104"/>
      <c r="B50" s="104"/>
      <c r="C50" s="28"/>
      <c r="D50" s="28"/>
      <c r="E50" s="28"/>
      <c r="F50" s="33"/>
    </row>
    <row r="51" spans="1:7">
      <c r="C51" s="18"/>
      <c r="D51" s="18"/>
      <c r="E51" s="18"/>
      <c r="F51" s="18"/>
      <c r="G51" s="18"/>
    </row>
    <row r="52" spans="1:7">
      <c r="C52" s="18"/>
      <c r="D52" s="18"/>
      <c r="E52" s="18"/>
      <c r="F52" s="18"/>
      <c r="G52" s="18"/>
    </row>
    <row r="53" spans="1:7">
      <c r="C53" s="18"/>
      <c r="D53" s="18"/>
      <c r="E53" s="18"/>
      <c r="F53" s="18"/>
      <c r="G53" s="18"/>
    </row>
    <row r="54" spans="1:7">
      <c r="C54" s="18"/>
      <c r="D54" s="18"/>
      <c r="E54" s="18"/>
      <c r="F54" s="18"/>
      <c r="G54" s="18"/>
    </row>
    <row r="55" spans="1:7">
      <c r="C55" s="18"/>
      <c r="D55" s="18"/>
      <c r="E55" s="18"/>
      <c r="F55" s="18"/>
      <c r="G55" s="18"/>
    </row>
    <row r="56" spans="1:7">
      <c r="C56" s="18"/>
      <c r="D56" s="18"/>
      <c r="E56" s="18"/>
      <c r="F56" s="18"/>
      <c r="G56" s="18"/>
    </row>
  </sheetData>
  <sheetProtection algorithmName="SHA-512" hashValue="BAmCPib8wDjnFZU3AAQP6TyOnFN5Lz9N7osxV6YqfPKn+fHLe++3NDNV0CzJlbKczeLpAdAlxx3O9ML+eIYFcQ==" saltValue="zQoXfrpQxB32X7NBLuAP8g==" spinCount="100000" sheet="1" objects="1" scenarios="1"/>
  <mergeCells count="79">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K20:L20"/>
    <mergeCell ref="A21:B21"/>
    <mergeCell ref="H21:I21"/>
    <mergeCell ref="A23:B23"/>
    <mergeCell ref="H23:I23"/>
    <mergeCell ref="A22:B22"/>
    <mergeCell ref="H22:I22"/>
    <mergeCell ref="A20:B20"/>
    <mergeCell ref="I20:J20"/>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37:B37"/>
    <mergeCell ref="H37:I37"/>
    <mergeCell ref="A38:B38"/>
    <mergeCell ref="H38:I38"/>
    <mergeCell ref="A39:B39"/>
    <mergeCell ref="H39:I39"/>
    <mergeCell ref="A40:B40"/>
    <mergeCell ref="H40:I40"/>
    <mergeCell ref="A50:B50"/>
    <mergeCell ref="A41:B41"/>
    <mergeCell ref="H41:I41"/>
    <mergeCell ref="A42:B42"/>
    <mergeCell ref="H42:I42"/>
    <mergeCell ref="A43:B43"/>
    <mergeCell ref="A44:B44"/>
    <mergeCell ref="A45:B45"/>
    <mergeCell ref="A46:B46"/>
    <mergeCell ref="A47:B47"/>
    <mergeCell ref="A48:B48"/>
    <mergeCell ref="A49:B49"/>
  </mergeCells>
  <pageMargins left="0.7" right="0.7" top="0.75" bottom="0.75" header="0.3" footer="0.3"/>
  <pageSetup paperSize="9" scale="70" fitToWidth="0"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138</v>
      </c>
    </row>
    <row r="4" spans="1:14" ht="16.5">
      <c r="A4" s="19" t="s">
        <v>139</v>
      </c>
      <c r="B4" s="20"/>
      <c r="C4" s="21"/>
      <c r="D4" s="21"/>
      <c r="E4" s="21"/>
      <c r="F4" s="21"/>
      <c r="G4" s="21"/>
      <c r="H4" s="20"/>
      <c r="I4" s="20"/>
      <c r="J4" s="21"/>
      <c r="K4" s="21"/>
      <c r="L4" s="22"/>
      <c r="M4" s="21"/>
      <c r="N4" s="21"/>
    </row>
    <row r="5" spans="1:14" ht="16.5">
      <c r="A5" s="19" t="s">
        <v>140</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601</v>
      </c>
      <c r="E11" s="42">
        <v>1758</v>
      </c>
      <c r="F11" s="43">
        <f>E11/$E$17</f>
        <v>0.63741841914430752</v>
      </c>
      <c r="G11" s="24"/>
      <c r="H11" s="104" t="s">
        <v>37</v>
      </c>
      <c r="I11" s="104"/>
      <c r="J11" s="28"/>
      <c r="K11" s="28"/>
      <c r="L11" s="28"/>
      <c r="M11" s="33"/>
    </row>
    <row r="12" spans="1:14">
      <c r="A12" s="104" t="s">
        <v>38</v>
      </c>
      <c r="B12" s="104"/>
      <c r="C12" s="42">
        <v>10</v>
      </c>
      <c r="D12" s="42">
        <v>229</v>
      </c>
      <c r="E12" s="42">
        <v>641</v>
      </c>
      <c r="F12" s="43">
        <f t="shared" ref="F12:F16" si="0">E12/$E$17</f>
        <v>0.2324147933284989</v>
      </c>
      <c r="G12" s="24"/>
      <c r="H12" s="104" t="s">
        <v>39</v>
      </c>
      <c r="I12" s="104"/>
      <c r="J12" s="28"/>
      <c r="K12" s="28"/>
      <c r="L12" s="28"/>
      <c r="M12" s="33"/>
    </row>
    <row r="13" spans="1:14">
      <c r="A13" s="104" t="s">
        <v>40</v>
      </c>
      <c r="B13" s="104"/>
      <c r="C13" s="42">
        <v>5</v>
      </c>
      <c r="D13" s="42">
        <v>74</v>
      </c>
      <c r="E13" s="42">
        <v>201</v>
      </c>
      <c r="F13" s="43">
        <f t="shared" si="0"/>
        <v>7.2878897751994201E-2</v>
      </c>
      <c r="G13" s="24"/>
      <c r="H13" s="104" t="s">
        <v>41</v>
      </c>
      <c r="I13" s="104"/>
      <c r="J13" s="28"/>
      <c r="K13" s="28"/>
      <c r="L13" s="28"/>
      <c r="M13" s="33"/>
    </row>
    <row r="14" spans="1:14">
      <c r="A14" s="104" t="s">
        <v>42</v>
      </c>
      <c r="B14" s="104"/>
      <c r="C14" s="42"/>
      <c r="D14" s="42"/>
      <c r="E14" s="42"/>
      <c r="F14" s="43"/>
      <c r="G14" s="24"/>
      <c r="H14" s="104" t="s">
        <v>43</v>
      </c>
      <c r="I14" s="104"/>
      <c r="J14" s="28"/>
      <c r="K14" s="28"/>
      <c r="L14" s="28"/>
      <c r="M14" s="33"/>
    </row>
    <row r="15" spans="1:14">
      <c r="A15" s="104" t="s">
        <v>44</v>
      </c>
      <c r="B15" s="104"/>
      <c r="C15" s="42">
        <v>1</v>
      </c>
      <c r="D15" s="42">
        <v>45</v>
      </c>
      <c r="E15" s="42">
        <v>100</v>
      </c>
      <c r="F15" s="43">
        <f t="shared" si="0"/>
        <v>3.6258158085569252E-2</v>
      </c>
      <c r="G15" s="24"/>
      <c r="H15" s="104" t="s">
        <v>45</v>
      </c>
      <c r="I15" s="104"/>
      <c r="J15" s="28"/>
      <c r="K15" s="28"/>
      <c r="L15" s="28"/>
      <c r="M15" s="33"/>
    </row>
    <row r="16" spans="1:14">
      <c r="A16" s="104" t="s">
        <v>46</v>
      </c>
      <c r="B16" s="104"/>
      <c r="C16" s="42">
        <v>1</v>
      </c>
      <c r="D16" s="42">
        <v>29</v>
      </c>
      <c r="E16" s="42">
        <v>58</v>
      </c>
      <c r="F16" s="43">
        <f t="shared" si="0"/>
        <v>2.1029731689630168E-2</v>
      </c>
      <c r="G16" s="24"/>
      <c r="H16" s="104" t="s">
        <v>47</v>
      </c>
      <c r="I16" s="104"/>
      <c r="J16" s="28"/>
      <c r="K16" s="28"/>
      <c r="L16" s="28"/>
      <c r="M16" s="33"/>
    </row>
    <row r="17" spans="1:13">
      <c r="A17" s="105" t="s">
        <v>48</v>
      </c>
      <c r="B17" s="105"/>
      <c r="C17" s="44">
        <f>SUM(C11:C16)</f>
        <v>73</v>
      </c>
      <c r="D17" s="44">
        <f t="shared" ref="D17:E17" si="1">SUM(D11:D16)</f>
        <v>978</v>
      </c>
      <c r="E17" s="44">
        <f t="shared" si="1"/>
        <v>2758</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31">
        <v>1</v>
      </c>
      <c r="G20" s="24"/>
      <c r="H20" s="27"/>
      <c r="I20" s="104"/>
      <c r="J20" s="104"/>
      <c r="K20" s="104"/>
      <c r="L20" s="104"/>
      <c r="M20" s="27"/>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5</v>
      </c>
      <c r="K27" s="42">
        <v>130</v>
      </c>
      <c r="L27" s="42">
        <v>250</v>
      </c>
      <c r="M27" s="43">
        <f>L27/$L$30</f>
        <v>0.37936267071320184</v>
      </c>
    </row>
    <row r="28" spans="1:13">
      <c r="A28" s="104"/>
      <c r="B28" s="104"/>
      <c r="C28" s="42"/>
      <c r="D28" s="42"/>
      <c r="E28" s="42"/>
      <c r="F28" s="43"/>
      <c r="G28" s="24"/>
      <c r="H28" s="104" t="s">
        <v>68</v>
      </c>
      <c r="I28" s="104"/>
      <c r="J28" s="42">
        <v>3</v>
      </c>
      <c r="K28" s="42">
        <v>129</v>
      </c>
      <c r="L28" s="42">
        <v>239</v>
      </c>
      <c r="M28" s="43">
        <f t="shared" ref="M28:M29" si="2">L28/$L$30</f>
        <v>0.36267071320182093</v>
      </c>
    </row>
    <row r="29" spans="1:13">
      <c r="A29" s="104" t="s">
        <v>67</v>
      </c>
      <c r="B29" s="104"/>
      <c r="C29" s="42">
        <v>3</v>
      </c>
      <c r="D29" s="42">
        <v>142</v>
      </c>
      <c r="E29" s="42">
        <v>304</v>
      </c>
      <c r="F29" s="43">
        <f>E29/$E$37</f>
        <v>0.10106382978723404</v>
      </c>
      <c r="G29" s="24"/>
      <c r="H29" s="104" t="s">
        <v>70</v>
      </c>
      <c r="I29" s="104"/>
      <c r="J29" s="42">
        <v>2</v>
      </c>
      <c r="K29" s="42">
        <v>86</v>
      </c>
      <c r="L29" s="42">
        <v>170</v>
      </c>
      <c r="M29" s="43">
        <f t="shared" si="2"/>
        <v>0.25796661608497723</v>
      </c>
    </row>
    <row r="30" spans="1:13">
      <c r="A30" s="104" t="s">
        <v>69</v>
      </c>
      <c r="B30" s="104"/>
      <c r="C30" s="42">
        <v>5</v>
      </c>
      <c r="D30" s="42">
        <v>183</v>
      </c>
      <c r="E30" s="42">
        <v>347</v>
      </c>
      <c r="F30" s="43">
        <f t="shared" ref="F30:F35" si="3">E30/$E$37</f>
        <v>0.11535904255319149</v>
      </c>
      <c r="G30" s="24"/>
      <c r="H30" s="105" t="s">
        <v>72</v>
      </c>
      <c r="I30" s="105"/>
      <c r="J30" s="44">
        <f>SUM(J27:J29)</f>
        <v>10</v>
      </c>
      <c r="K30" s="44">
        <f t="shared" ref="K30:L30" si="4">SUM(K27:K29)</f>
        <v>345</v>
      </c>
      <c r="L30" s="44">
        <f t="shared" si="4"/>
        <v>659</v>
      </c>
      <c r="M30" s="45">
        <v>1</v>
      </c>
    </row>
    <row r="31" spans="1:13">
      <c r="A31" s="104" t="s">
        <v>71</v>
      </c>
      <c r="B31" s="104"/>
      <c r="C31" s="42">
        <v>3</v>
      </c>
      <c r="D31" s="42">
        <v>166</v>
      </c>
      <c r="E31" s="42">
        <v>332</v>
      </c>
      <c r="F31" s="43">
        <f t="shared" si="3"/>
        <v>0.11037234042553191</v>
      </c>
      <c r="G31" s="24"/>
      <c r="H31" s="104"/>
      <c r="I31" s="104"/>
      <c r="J31" s="42"/>
      <c r="K31" s="42"/>
      <c r="L31" s="42"/>
      <c r="M31" s="42"/>
    </row>
    <row r="32" spans="1:13">
      <c r="A32" s="104" t="s">
        <v>73</v>
      </c>
      <c r="B32" s="104"/>
      <c r="C32" s="42">
        <v>1</v>
      </c>
      <c r="D32" s="42">
        <v>25</v>
      </c>
      <c r="E32" s="42">
        <v>48</v>
      </c>
      <c r="F32" s="43">
        <f t="shared" si="3"/>
        <v>1.5957446808510637E-2</v>
      </c>
      <c r="G32" s="24"/>
      <c r="H32" s="104" t="s">
        <v>74</v>
      </c>
      <c r="I32" s="104"/>
      <c r="J32" s="42">
        <v>5</v>
      </c>
      <c r="K32" s="42">
        <v>126</v>
      </c>
      <c r="L32" s="42">
        <v>258</v>
      </c>
      <c r="M32" s="43">
        <f>L32/$L$35</f>
        <v>0.82958199356913187</v>
      </c>
    </row>
    <row r="33" spans="1:14">
      <c r="A33" s="104" t="s">
        <v>226</v>
      </c>
      <c r="B33" s="104"/>
      <c r="C33" s="42">
        <v>5</v>
      </c>
      <c r="D33" s="42">
        <v>926</v>
      </c>
      <c r="E33" s="42">
        <v>1783</v>
      </c>
      <c r="F33" s="43">
        <f t="shared" si="3"/>
        <v>0.5927526595744681</v>
      </c>
      <c r="G33" s="24"/>
      <c r="H33" s="104" t="s">
        <v>76</v>
      </c>
      <c r="I33" s="104"/>
      <c r="J33" s="42">
        <v>2</v>
      </c>
      <c r="K33" s="42">
        <v>28</v>
      </c>
      <c r="L33" s="42">
        <v>53</v>
      </c>
      <c r="M33" s="43">
        <f>L33/$L$35</f>
        <v>0.17041800643086816</v>
      </c>
    </row>
    <row r="34" spans="1:14">
      <c r="A34" s="104" t="s">
        <v>75</v>
      </c>
      <c r="B34" s="104"/>
      <c r="C34" s="42">
        <v>1</v>
      </c>
      <c r="D34" s="42">
        <v>18</v>
      </c>
      <c r="E34" s="42">
        <v>36</v>
      </c>
      <c r="F34" s="43">
        <f t="shared" si="3"/>
        <v>1.1968085106382979E-2</v>
      </c>
      <c r="G34" s="24"/>
      <c r="H34" s="104" t="s">
        <v>78</v>
      </c>
      <c r="I34" s="104"/>
      <c r="J34" s="42"/>
      <c r="K34" s="42"/>
      <c r="L34" s="42"/>
      <c r="M34" s="43"/>
    </row>
    <row r="35" spans="1:14">
      <c r="A35" s="104" t="s">
        <v>77</v>
      </c>
      <c r="B35" s="104"/>
      <c r="C35" s="42">
        <v>1</v>
      </c>
      <c r="D35" s="42">
        <v>79</v>
      </c>
      <c r="E35" s="42">
        <v>158</v>
      </c>
      <c r="F35" s="43">
        <f t="shared" si="3"/>
        <v>5.2526595744680854E-2</v>
      </c>
      <c r="G35" s="24"/>
      <c r="H35" s="105" t="s">
        <v>80</v>
      </c>
      <c r="I35" s="105"/>
      <c r="J35" s="44">
        <f>SUM(J32:J34)</f>
        <v>7</v>
      </c>
      <c r="K35" s="44">
        <f>SUM(K32:K34)</f>
        <v>154</v>
      </c>
      <c r="L35" s="44">
        <f>SUM(L32:L34)</f>
        <v>311</v>
      </c>
      <c r="M35" s="45">
        <v>1</v>
      </c>
    </row>
    <row r="36" spans="1:14">
      <c r="A36" s="104" t="s">
        <v>79</v>
      </c>
      <c r="B36" s="104"/>
      <c r="C36" s="42"/>
      <c r="D36" s="42"/>
      <c r="E36" s="42"/>
      <c r="F36" s="43"/>
      <c r="G36" s="24"/>
      <c r="H36" s="104"/>
      <c r="I36" s="104"/>
      <c r="J36" s="36"/>
      <c r="K36" s="36"/>
      <c r="L36" s="36"/>
      <c r="M36" s="36"/>
      <c r="N36" s="36"/>
    </row>
    <row r="37" spans="1:14">
      <c r="A37" s="105" t="s">
        <v>81</v>
      </c>
      <c r="B37" s="105"/>
      <c r="C37" s="44">
        <f>SUM(C29:C36)</f>
        <v>19</v>
      </c>
      <c r="D37" s="44">
        <f t="shared" ref="D37:E37" si="5">SUM(D29:D36)</f>
        <v>1539</v>
      </c>
      <c r="E37" s="44">
        <f t="shared" si="5"/>
        <v>3008</v>
      </c>
      <c r="F37" s="45">
        <v>1</v>
      </c>
      <c r="G37" s="24"/>
      <c r="H37" s="105" t="s">
        <v>82</v>
      </c>
      <c r="I37" s="105"/>
      <c r="J37" s="44">
        <v>8</v>
      </c>
      <c r="K37" s="44">
        <v>73</v>
      </c>
      <c r="L37" s="44">
        <v>125</v>
      </c>
      <c r="M37" s="45">
        <v>1</v>
      </c>
    </row>
    <row r="38" spans="1:14">
      <c r="A38" s="104"/>
      <c r="B38" s="104"/>
      <c r="C38" s="28"/>
      <c r="D38" s="28"/>
      <c r="E38" s="28"/>
      <c r="F38" s="29"/>
      <c r="G38" s="24"/>
      <c r="H38" s="105" t="s">
        <v>84</v>
      </c>
      <c r="I38" s="105"/>
      <c r="J38" s="44">
        <v>1</v>
      </c>
      <c r="K38" s="44">
        <v>15</v>
      </c>
      <c r="L38" s="44">
        <v>30</v>
      </c>
      <c r="M38" s="45">
        <v>1</v>
      </c>
    </row>
    <row r="39" spans="1:14">
      <c r="A39" s="104" t="s">
        <v>83</v>
      </c>
      <c r="B39" s="104"/>
      <c r="C39" s="28"/>
      <c r="D39" s="28"/>
      <c r="E39" s="28"/>
      <c r="F39" s="29"/>
      <c r="G39" s="24"/>
      <c r="H39" s="105" t="s">
        <v>86</v>
      </c>
      <c r="I39" s="105"/>
      <c r="J39" s="38"/>
      <c r="K39" s="38"/>
      <c r="L39" s="38"/>
      <c r="M39" s="41"/>
    </row>
    <row r="40" spans="1:14">
      <c r="A40" s="104" t="s">
        <v>85</v>
      </c>
      <c r="B40" s="104"/>
      <c r="C40" s="28"/>
      <c r="D40" s="28"/>
      <c r="E40" s="28"/>
      <c r="F40" s="29"/>
      <c r="G40" s="24"/>
      <c r="H40" s="105" t="s">
        <v>141</v>
      </c>
      <c r="I40" s="105"/>
      <c r="J40" s="38"/>
      <c r="K40" s="38"/>
      <c r="L40" s="38"/>
      <c r="M40" s="41"/>
    </row>
    <row r="41" spans="1:14">
      <c r="A41" s="104" t="s">
        <v>87</v>
      </c>
      <c r="B41" s="104"/>
      <c r="C41" s="28"/>
      <c r="D41" s="28"/>
      <c r="E41" s="28"/>
      <c r="F41" s="29"/>
      <c r="G41" s="24"/>
      <c r="H41" s="104"/>
      <c r="I41" s="104"/>
      <c r="J41" s="36"/>
      <c r="K41" s="36"/>
      <c r="L41" s="36"/>
      <c r="M41" s="36"/>
    </row>
    <row r="42" spans="1:14">
      <c r="A42" s="104" t="s">
        <v>227</v>
      </c>
      <c r="B42" s="104"/>
      <c r="C42" s="28"/>
      <c r="D42" s="28"/>
      <c r="E42" s="28"/>
      <c r="F42" s="29"/>
      <c r="G42" s="24"/>
      <c r="H42" s="105" t="s">
        <v>90</v>
      </c>
      <c r="I42" s="105"/>
      <c r="J42" s="44">
        <f>C17+C20+C27+C37+J30+J35+J37+J38</f>
        <v>121</v>
      </c>
      <c r="K42" s="44">
        <f>D17+D20+D27+D37+K30+K35+K37+K38</f>
        <v>3529</v>
      </c>
      <c r="L42" s="44">
        <f>E17+E20+E27+E37+L30+L35+L37+L38</f>
        <v>8096</v>
      </c>
      <c r="M42" s="36"/>
    </row>
    <row r="43" spans="1:14">
      <c r="A43" s="104" t="s">
        <v>88</v>
      </c>
      <c r="B43" s="104"/>
      <c r="C43" s="28"/>
      <c r="D43" s="28"/>
      <c r="E43" s="28"/>
      <c r="F43" s="29"/>
      <c r="G43" s="24"/>
      <c r="H43" s="27"/>
      <c r="I43" s="27"/>
      <c r="J43" s="28"/>
      <c r="K43" s="28"/>
      <c r="L43" s="28"/>
      <c r="M43" s="34"/>
    </row>
    <row r="44" spans="1:14">
      <c r="A44" s="105" t="s">
        <v>89</v>
      </c>
      <c r="B44" s="105"/>
      <c r="C44" s="30"/>
      <c r="D44" s="30"/>
      <c r="E44" s="30"/>
      <c r="F44" s="31"/>
      <c r="G44" s="24"/>
      <c r="H44" s="27"/>
      <c r="I44" s="27"/>
      <c r="J44" s="34"/>
      <c r="K44" s="34"/>
      <c r="L44" s="34"/>
      <c r="M44" s="34"/>
    </row>
    <row r="45" spans="1:14">
      <c r="A45" s="104"/>
      <c r="B45" s="104"/>
      <c r="C45" s="32"/>
      <c r="D45" s="32"/>
      <c r="E45" s="32"/>
      <c r="F45" s="32"/>
      <c r="G45" s="24"/>
      <c r="H45" s="27"/>
      <c r="I45" s="27"/>
      <c r="J45" s="34"/>
      <c r="K45" s="34"/>
      <c r="L45" s="34"/>
      <c r="M45" s="34"/>
    </row>
    <row r="46" spans="1:14">
      <c r="A46" s="104"/>
      <c r="B46" s="104"/>
      <c r="C46" s="28"/>
      <c r="D46" s="28"/>
      <c r="E46" s="28"/>
      <c r="F46" s="33"/>
      <c r="G46" s="24"/>
      <c r="H46" s="35"/>
      <c r="I46" s="35"/>
      <c r="J46" s="24"/>
      <c r="K46" s="24"/>
      <c r="L46" s="24"/>
      <c r="M46" s="24"/>
    </row>
    <row r="47" spans="1:14">
      <c r="A47" s="104"/>
      <c r="B47" s="104"/>
      <c r="C47" s="28"/>
      <c r="D47" s="28"/>
      <c r="E47" s="28"/>
      <c r="F47" s="33"/>
    </row>
    <row r="48" spans="1:14">
      <c r="A48" s="104"/>
      <c r="B48" s="104"/>
      <c r="C48" s="28"/>
      <c r="D48" s="28"/>
      <c r="E48" s="28"/>
      <c r="F48" s="33"/>
    </row>
    <row r="49" spans="1:7">
      <c r="A49" s="104"/>
      <c r="B49" s="104"/>
      <c r="C49" s="28"/>
      <c r="D49" s="28"/>
      <c r="E49" s="28"/>
      <c r="F49" s="33"/>
    </row>
    <row r="50" spans="1:7">
      <c r="A50" s="104"/>
      <c r="B50" s="104"/>
      <c r="C50" s="28"/>
      <c r="D50" s="28"/>
      <c r="E50" s="28"/>
      <c r="F50" s="33"/>
    </row>
    <row r="51" spans="1:7">
      <c r="C51" s="18"/>
      <c r="D51" s="18"/>
      <c r="E51" s="18"/>
      <c r="F51" s="18"/>
      <c r="G51" s="18"/>
    </row>
    <row r="52" spans="1:7">
      <c r="C52" s="18"/>
      <c r="D52" s="18"/>
      <c r="E52" s="18"/>
      <c r="F52" s="18"/>
      <c r="G52" s="18"/>
    </row>
    <row r="53" spans="1:7">
      <c r="C53" s="18"/>
      <c r="D53" s="18"/>
      <c r="E53" s="18"/>
      <c r="F53" s="18"/>
      <c r="G53" s="18"/>
    </row>
    <row r="54" spans="1:7">
      <c r="C54" s="18"/>
      <c r="D54" s="18"/>
      <c r="E54" s="18"/>
      <c r="F54" s="18"/>
      <c r="G54" s="18"/>
    </row>
    <row r="55" spans="1:7">
      <c r="C55" s="18"/>
      <c r="D55" s="18"/>
      <c r="E55" s="18"/>
      <c r="F55" s="18"/>
      <c r="G55" s="18"/>
    </row>
    <row r="56" spans="1:7">
      <c r="C56" s="18"/>
      <c r="D56" s="18"/>
      <c r="E56" s="18"/>
      <c r="F56" s="18"/>
      <c r="G56" s="18"/>
    </row>
  </sheetData>
  <sheetProtection algorithmName="SHA-512" hashValue="dB+dozvryC7PshzgHBfH3VabvNFM36ezXs0+zOSewjcYlIjMPzX00ZEyNaQvGR4MJnSvGfuIjCSjmD0ZCtct8g==" saltValue="ETgKi+JxUcDOd9EV/j9jSQ==" spinCount="100000" sheet="1" objects="1" scenarios="1"/>
  <mergeCells count="79">
    <mergeCell ref="A50:B50"/>
    <mergeCell ref="A44:B44"/>
    <mergeCell ref="H42:I42"/>
    <mergeCell ref="A45:B45"/>
    <mergeCell ref="A46:B46"/>
    <mergeCell ref="A47:B47"/>
    <mergeCell ref="A48:B48"/>
    <mergeCell ref="A42:B42"/>
    <mergeCell ref="H41:I41"/>
    <mergeCell ref="A43:B43"/>
    <mergeCell ref="A49:B49"/>
    <mergeCell ref="A39:B39"/>
    <mergeCell ref="H38:I38"/>
    <mergeCell ref="A40:B40"/>
    <mergeCell ref="H39:I39"/>
    <mergeCell ref="A41:B41"/>
    <mergeCell ref="H40:I40"/>
    <mergeCell ref="A36:B36"/>
    <mergeCell ref="H35:I35"/>
    <mergeCell ref="A37:B37"/>
    <mergeCell ref="H36:I36"/>
    <mergeCell ref="A38:B38"/>
    <mergeCell ref="H37:I37"/>
    <mergeCell ref="A33:B33"/>
    <mergeCell ref="H32:I32"/>
    <mergeCell ref="A34:B34"/>
    <mergeCell ref="H33:I33"/>
    <mergeCell ref="A35:B35"/>
    <mergeCell ref="H34:I34"/>
    <mergeCell ref="A30:B30"/>
    <mergeCell ref="H29:I29"/>
    <mergeCell ref="A31:B31"/>
    <mergeCell ref="H30:I30"/>
    <mergeCell ref="A32:B32"/>
    <mergeCell ref="H31:I31"/>
    <mergeCell ref="A27:B27"/>
    <mergeCell ref="H26:I26"/>
    <mergeCell ref="A28:B28"/>
    <mergeCell ref="H27:I27"/>
    <mergeCell ref="A29:B29"/>
    <mergeCell ref="H28:I28"/>
    <mergeCell ref="A24:B24"/>
    <mergeCell ref="H24:I24"/>
    <mergeCell ref="A25:B25"/>
    <mergeCell ref="A26:B26"/>
    <mergeCell ref="H25:I25"/>
    <mergeCell ref="K20:L20"/>
    <mergeCell ref="A21:B21"/>
    <mergeCell ref="H21:I21"/>
    <mergeCell ref="A23:B23"/>
    <mergeCell ref="H23:I23"/>
    <mergeCell ref="A22:B22"/>
    <mergeCell ref="H22:I22"/>
    <mergeCell ref="A20:B20"/>
    <mergeCell ref="I20:J20"/>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70" fitToWidth="0" fitToHeight="0"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18</v>
      </c>
    </row>
    <row r="4" spans="1:14" ht="16.5">
      <c r="A4" s="19" t="s">
        <v>19</v>
      </c>
      <c r="B4" s="20"/>
      <c r="C4" s="21"/>
      <c r="D4" s="21"/>
      <c r="E4" s="21"/>
      <c r="F4" s="21"/>
      <c r="G4" s="21"/>
      <c r="H4" s="20"/>
      <c r="I4" s="20"/>
      <c r="J4" s="21"/>
      <c r="K4" s="21"/>
      <c r="L4" s="22"/>
      <c r="M4" s="21"/>
      <c r="N4" s="21"/>
    </row>
    <row r="5" spans="1:14" ht="16.5">
      <c r="A5" s="19" t="s">
        <v>20</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599</v>
      </c>
      <c r="E11" s="42">
        <v>1758</v>
      </c>
      <c r="F11" s="43">
        <f>E11/$E$17</f>
        <v>0.65111111111111108</v>
      </c>
      <c r="G11" s="24"/>
      <c r="H11" s="104" t="s">
        <v>37</v>
      </c>
      <c r="I11" s="104"/>
      <c r="J11" s="28"/>
      <c r="K11" s="28"/>
      <c r="L11" s="28"/>
      <c r="M11" s="33"/>
    </row>
    <row r="12" spans="1:14">
      <c r="A12" s="104" t="s">
        <v>38</v>
      </c>
      <c r="B12" s="104"/>
      <c r="C12" s="42">
        <v>10</v>
      </c>
      <c r="D12" s="42">
        <v>229</v>
      </c>
      <c r="E12" s="42">
        <v>641</v>
      </c>
      <c r="F12" s="43">
        <f t="shared" ref="F12:F15" si="0">E12/$E$17</f>
        <v>0.2374074074074074</v>
      </c>
      <c r="G12" s="24"/>
      <c r="H12" s="104" t="s">
        <v>39</v>
      </c>
      <c r="I12" s="104"/>
      <c r="J12" s="28"/>
      <c r="K12" s="28"/>
      <c r="L12" s="28"/>
      <c r="M12" s="33"/>
    </row>
    <row r="13" spans="1:14">
      <c r="A13" s="104" t="s">
        <v>40</v>
      </c>
      <c r="B13" s="104"/>
      <c r="C13" s="42">
        <v>5</v>
      </c>
      <c r="D13" s="42">
        <v>74</v>
      </c>
      <c r="E13" s="42">
        <v>201</v>
      </c>
      <c r="F13" s="43">
        <f t="shared" si="0"/>
        <v>7.4444444444444438E-2</v>
      </c>
      <c r="G13" s="24"/>
      <c r="H13" s="104" t="s">
        <v>41</v>
      </c>
      <c r="I13" s="104"/>
      <c r="J13" s="28"/>
      <c r="K13" s="28"/>
      <c r="L13" s="28"/>
      <c r="M13" s="33"/>
    </row>
    <row r="14" spans="1:14">
      <c r="A14" s="104" t="s">
        <v>42</v>
      </c>
      <c r="B14" s="104"/>
      <c r="C14" s="42"/>
      <c r="D14" s="42"/>
      <c r="E14" s="42"/>
      <c r="F14" s="43"/>
      <c r="G14" s="24"/>
      <c r="H14" s="104" t="s">
        <v>43</v>
      </c>
      <c r="I14" s="104"/>
      <c r="J14" s="28"/>
      <c r="K14" s="28"/>
      <c r="L14" s="28"/>
      <c r="M14" s="33"/>
    </row>
    <row r="15" spans="1:14">
      <c r="A15" s="104" t="s">
        <v>44</v>
      </c>
      <c r="B15" s="104"/>
      <c r="C15" s="42">
        <v>1</v>
      </c>
      <c r="D15" s="42">
        <v>45</v>
      </c>
      <c r="E15" s="42">
        <v>100</v>
      </c>
      <c r="F15" s="43">
        <f t="shared" si="0"/>
        <v>3.7037037037037035E-2</v>
      </c>
      <c r="G15" s="24"/>
      <c r="H15" s="104" t="s">
        <v>45</v>
      </c>
      <c r="I15" s="104"/>
      <c r="J15" s="28"/>
      <c r="K15" s="28"/>
      <c r="L15" s="28"/>
      <c r="M15" s="33"/>
    </row>
    <row r="16" spans="1:14">
      <c r="A16" s="104" t="s">
        <v>46</v>
      </c>
      <c r="B16" s="104"/>
      <c r="C16" s="42"/>
      <c r="D16" s="42"/>
      <c r="E16" s="42"/>
      <c r="F16" s="43"/>
      <c r="G16" s="24"/>
      <c r="H16" s="104" t="s">
        <v>47</v>
      </c>
      <c r="I16" s="104"/>
      <c r="J16" s="28"/>
      <c r="K16" s="28"/>
      <c r="L16" s="28"/>
      <c r="M16" s="33"/>
    </row>
    <row r="17" spans="1:13">
      <c r="A17" s="105" t="s">
        <v>48</v>
      </c>
      <c r="B17" s="105"/>
      <c r="C17" s="44">
        <f>SUM(C11:C16)</f>
        <v>72</v>
      </c>
      <c r="D17" s="44">
        <f t="shared" ref="D17:E17" si="1">SUM(D11:D16)</f>
        <v>947</v>
      </c>
      <c r="E17" s="44">
        <f t="shared" si="1"/>
        <v>2700</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45">
        <v>1</v>
      </c>
      <c r="G20" s="24"/>
      <c r="H20" s="27"/>
      <c r="I20" s="104"/>
      <c r="J20" s="104"/>
      <c r="K20" s="104"/>
      <c r="L20" s="104"/>
      <c r="M20" s="27"/>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5</v>
      </c>
      <c r="K27" s="42">
        <v>130</v>
      </c>
      <c r="L27" s="42">
        <v>250</v>
      </c>
      <c r="M27" s="43">
        <f>L27/$L$30</f>
        <v>0.37936267071320184</v>
      </c>
    </row>
    <row r="28" spans="1:13">
      <c r="A28" s="104"/>
      <c r="B28" s="104"/>
      <c r="C28" s="42"/>
      <c r="D28" s="42"/>
      <c r="E28" s="42"/>
      <c r="F28" s="43"/>
      <c r="G28" s="24"/>
      <c r="H28" s="104" t="s">
        <v>68</v>
      </c>
      <c r="I28" s="104"/>
      <c r="J28" s="42">
        <v>3</v>
      </c>
      <c r="K28" s="42">
        <v>129</v>
      </c>
      <c r="L28" s="42">
        <v>239</v>
      </c>
      <c r="M28" s="43">
        <f t="shared" ref="M28:M29" si="2">L28/$L$30</f>
        <v>0.36267071320182093</v>
      </c>
    </row>
    <row r="29" spans="1:13">
      <c r="A29" s="104" t="s">
        <v>67</v>
      </c>
      <c r="B29" s="104"/>
      <c r="C29" s="42">
        <v>3</v>
      </c>
      <c r="D29" s="42">
        <v>142</v>
      </c>
      <c r="E29" s="42">
        <v>304</v>
      </c>
      <c r="F29" s="43">
        <f>E29/$E$37</f>
        <v>0.10666666666666667</v>
      </c>
      <c r="G29" s="24"/>
      <c r="H29" s="104" t="s">
        <v>70</v>
      </c>
      <c r="I29" s="104"/>
      <c r="J29" s="42">
        <v>2</v>
      </c>
      <c r="K29" s="42">
        <v>86</v>
      </c>
      <c r="L29" s="42">
        <v>170</v>
      </c>
      <c r="M29" s="43">
        <f t="shared" si="2"/>
        <v>0.25796661608497723</v>
      </c>
    </row>
    <row r="30" spans="1:13">
      <c r="A30" s="104" t="s">
        <v>69</v>
      </c>
      <c r="B30" s="104"/>
      <c r="C30" s="42">
        <v>5</v>
      </c>
      <c r="D30" s="42">
        <v>183</v>
      </c>
      <c r="E30" s="42">
        <v>347</v>
      </c>
      <c r="F30" s="43">
        <f t="shared" ref="F30:F34" si="3">E30/$E$37</f>
        <v>0.12175438596491228</v>
      </c>
      <c r="G30" s="24"/>
      <c r="H30" s="105" t="s">
        <v>72</v>
      </c>
      <c r="I30" s="105"/>
      <c r="J30" s="44">
        <f>SUM(J27:J29)</f>
        <v>10</v>
      </c>
      <c r="K30" s="44">
        <f t="shared" ref="K30:L30" si="4">SUM(K27:K29)</f>
        <v>345</v>
      </c>
      <c r="L30" s="44">
        <f t="shared" si="4"/>
        <v>659</v>
      </c>
      <c r="M30" s="45">
        <v>1</v>
      </c>
    </row>
    <row r="31" spans="1:13">
      <c r="A31" s="104" t="s">
        <v>71</v>
      </c>
      <c r="B31" s="104"/>
      <c r="C31" s="42">
        <v>3</v>
      </c>
      <c r="D31" s="42">
        <v>166</v>
      </c>
      <c r="E31" s="42">
        <v>332</v>
      </c>
      <c r="F31" s="43">
        <f t="shared" si="3"/>
        <v>0.11649122807017544</v>
      </c>
      <c r="G31" s="24"/>
      <c r="H31" s="104"/>
      <c r="I31" s="104"/>
      <c r="J31" s="42"/>
      <c r="K31" s="42"/>
      <c r="L31" s="42"/>
      <c r="M31" s="42"/>
    </row>
    <row r="32" spans="1:13">
      <c r="A32" s="104" t="s">
        <v>73</v>
      </c>
      <c r="B32" s="104"/>
      <c r="C32" s="42">
        <v>1</v>
      </c>
      <c r="D32" s="42">
        <v>25</v>
      </c>
      <c r="E32" s="42">
        <v>48</v>
      </c>
      <c r="F32" s="43">
        <f t="shared" si="3"/>
        <v>1.6842105263157894E-2</v>
      </c>
      <c r="G32" s="24"/>
      <c r="H32" s="104" t="s">
        <v>74</v>
      </c>
      <c r="I32" s="104"/>
      <c r="J32" s="42">
        <v>5</v>
      </c>
      <c r="K32" s="42">
        <v>126</v>
      </c>
      <c r="L32" s="42">
        <v>258</v>
      </c>
      <c r="M32" s="43">
        <f>L32/$L$35</f>
        <v>0.82958199356913187</v>
      </c>
    </row>
    <row r="33" spans="1:14">
      <c r="A33" s="104" t="s">
        <v>226</v>
      </c>
      <c r="B33" s="104"/>
      <c r="C33" s="42">
        <v>5</v>
      </c>
      <c r="D33" s="42">
        <v>926</v>
      </c>
      <c r="E33" s="42">
        <v>1783</v>
      </c>
      <c r="F33" s="43">
        <f t="shared" si="3"/>
        <v>0.62561403508771929</v>
      </c>
      <c r="G33" s="24"/>
      <c r="H33" s="104" t="s">
        <v>76</v>
      </c>
      <c r="I33" s="104"/>
      <c r="J33" s="42">
        <v>2</v>
      </c>
      <c r="K33" s="42">
        <v>28</v>
      </c>
      <c r="L33" s="42">
        <v>53</v>
      </c>
      <c r="M33" s="43">
        <f>L33/$L$35</f>
        <v>0.17041800643086816</v>
      </c>
    </row>
    <row r="34" spans="1:14">
      <c r="A34" s="104" t="s">
        <v>75</v>
      </c>
      <c r="B34" s="104"/>
      <c r="C34" s="42">
        <v>1</v>
      </c>
      <c r="D34" s="42">
        <v>18</v>
      </c>
      <c r="E34" s="42">
        <v>36</v>
      </c>
      <c r="F34" s="43">
        <f t="shared" si="3"/>
        <v>1.2631578947368421E-2</v>
      </c>
      <c r="G34" s="24"/>
      <c r="H34" s="104" t="s">
        <v>78</v>
      </c>
      <c r="I34" s="104"/>
      <c r="J34" s="42"/>
      <c r="K34" s="42"/>
      <c r="L34" s="42"/>
      <c r="M34" s="43"/>
    </row>
    <row r="35" spans="1:14">
      <c r="A35" s="104" t="s">
        <v>77</v>
      </c>
      <c r="B35" s="104"/>
      <c r="C35" s="42"/>
      <c r="D35" s="42"/>
      <c r="E35" s="42"/>
      <c r="F35" s="43"/>
      <c r="G35" s="24"/>
      <c r="H35" s="105" t="s">
        <v>80</v>
      </c>
      <c r="I35" s="105"/>
      <c r="J35" s="44">
        <f>SUM(J32:J34)</f>
        <v>7</v>
      </c>
      <c r="K35" s="44">
        <f t="shared" ref="K35:L35" si="5">SUM(K32:K34)</f>
        <v>154</v>
      </c>
      <c r="L35" s="44">
        <f t="shared" si="5"/>
        <v>311</v>
      </c>
      <c r="M35" s="45">
        <v>1</v>
      </c>
    </row>
    <row r="36" spans="1:14">
      <c r="A36" s="104" t="s">
        <v>79</v>
      </c>
      <c r="B36" s="104"/>
      <c r="C36" s="42"/>
      <c r="D36" s="42"/>
      <c r="E36" s="42"/>
      <c r="F36" s="43"/>
      <c r="G36" s="24"/>
      <c r="H36" s="104"/>
      <c r="I36" s="104"/>
      <c r="J36" s="36"/>
      <c r="K36" s="36"/>
      <c r="L36" s="36"/>
      <c r="M36" s="36"/>
      <c r="N36" s="36"/>
    </row>
    <row r="37" spans="1:14">
      <c r="A37" s="105" t="s">
        <v>81</v>
      </c>
      <c r="B37" s="105"/>
      <c r="C37" s="44">
        <f>SUM(C29:C36)</f>
        <v>18</v>
      </c>
      <c r="D37" s="44">
        <f t="shared" ref="D37:E37" si="6">SUM(D29:D36)</f>
        <v>1460</v>
      </c>
      <c r="E37" s="44">
        <f t="shared" si="6"/>
        <v>2850</v>
      </c>
      <c r="F37" s="45">
        <v>1</v>
      </c>
      <c r="G37" s="24"/>
      <c r="H37" s="105" t="s">
        <v>82</v>
      </c>
      <c r="I37" s="105"/>
      <c r="J37" s="44">
        <v>8</v>
      </c>
      <c r="K37" s="44">
        <v>73</v>
      </c>
      <c r="L37" s="44">
        <v>125</v>
      </c>
      <c r="M37" s="45">
        <v>1</v>
      </c>
    </row>
    <row r="38" spans="1:14">
      <c r="A38" s="104"/>
      <c r="B38" s="104"/>
      <c r="C38" s="28"/>
      <c r="D38" s="28"/>
      <c r="E38" s="28"/>
      <c r="F38" s="29"/>
      <c r="G38" s="24"/>
      <c r="H38" s="105" t="s">
        <v>84</v>
      </c>
      <c r="I38" s="105"/>
      <c r="J38" s="44">
        <v>1</v>
      </c>
      <c r="K38" s="44">
        <v>15</v>
      </c>
      <c r="L38" s="44">
        <v>30</v>
      </c>
      <c r="M38" s="45">
        <v>1</v>
      </c>
    </row>
    <row r="39" spans="1:14">
      <c r="A39" s="104" t="s">
        <v>83</v>
      </c>
      <c r="B39" s="104"/>
      <c r="C39" s="28"/>
      <c r="D39" s="28"/>
      <c r="E39" s="28"/>
      <c r="F39" s="29"/>
      <c r="G39" s="24"/>
      <c r="H39" s="105" t="s">
        <v>86</v>
      </c>
      <c r="I39" s="105"/>
      <c r="J39" s="38"/>
      <c r="K39" s="38"/>
      <c r="L39" s="38"/>
      <c r="M39" s="41"/>
    </row>
    <row r="40" spans="1:14">
      <c r="A40" s="104" t="s">
        <v>85</v>
      </c>
      <c r="B40" s="104"/>
      <c r="C40" s="28"/>
      <c r="D40" s="28"/>
      <c r="E40" s="28"/>
      <c r="F40" s="29"/>
      <c r="G40" s="24"/>
      <c r="H40" s="105" t="s">
        <v>141</v>
      </c>
      <c r="I40" s="105"/>
      <c r="J40" s="38"/>
      <c r="K40" s="38"/>
      <c r="L40" s="38"/>
      <c r="M40" s="41"/>
    </row>
    <row r="41" spans="1:14">
      <c r="A41" s="104" t="s">
        <v>87</v>
      </c>
      <c r="B41" s="104"/>
      <c r="C41" s="28"/>
      <c r="D41" s="28"/>
      <c r="E41" s="28"/>
      <c r="F41" s="29"/>
      <c r="G41" s="24"/>
      <c r="H41" s="106"/>
      <c r="I41" s="106"/>
      <c r="J41" s="36"/>
      <c r="K41" s="36"/>
      <c r="L41" s="36"/>
      <c r="M41" s="36"/>
    </row>
    <row r="42" spans="1:14">
      <c r="A42" s="104" t="s">
        <v>227</v>
      </c>
      <c r="B42" s="104"/>
      <c r="C42" s="28"/>
      <c r="D42" s="28"/>
      <c r="E42" s="28"/>
      <c r="F42" s="29"/>
      <c r="G42" s="24"/>
      <c r="H42" s="105" t="s">
        <v>90</v>
      </c>
      <c r="I42" s="105"/>
      <c r="J42" s="44">
        <f>C17+C20+C27+C37+J30+J35+J37+J38</f>
        <v>119</v>
      </c>
      <c r="K42" s="44">
        <f>D17+D20+D27+D37+K30+K35+K37+K38</f>
        <v>3419</v>
      </c>
      <c r="L42" s="44">
        <f>E17+E20+E27+E37+L30+L35+L37+L38</f>
        <v>7880</v>
      </c>
      <c r="M42" s="36"/>
    </row>
    <row r="43" spans="1:14">
      <c r="A43" s="104" t="s">
        <v>88</v>
      </c>
      <c r="B43" s="104"/>
      <c r="C43" s="28"/>
      <c r="D43" s="28"/>
      <c r="E43" s="28"/>
      <c r="F43" s="29"/>
      <c r="G43" s="24"/>
      <c r="H43" s="27"/>
      <c r="I43" s="27"/>
      <c r="J43" s="28"/>
      <c r="K43" s="28"/>
      <c r="L43" s="28"/>
      <c r="M43" s="34"/>
    </row>
    <row r="44" spans="1:14">
      <c r="A44" s="105" t="s">
        <v>89</v>
      </c>
      <c r="B44" s="105"/>
      <c r="C44" s="30"/>
      <c r="D44" s="30"/>
      <c r="E44" s="30"/>
      <c r="F44" s="31"/>
      <c r="G44" s="24"/>
      <c r="H44" s="27"/>
      <c r="I44" s="27"/>
      <c r="J44" s="34"/>
      <c r="K44" s="34"/>
      <c r="L44" s="34"/>
      <c r="M44" s="34"/>
    </row>
    <row r="45" spans="1:14">
      <c r="A45" s="104"/>
      <c r="B45" s="104"/>
      <c r="C45" s="32"/>
      <c r="D45" s="32"/>
      <c r="E45" s="32"/>
      <c r="F45" s="32"/>
      <c r="G45" s="24"/>
      <c r="H45" s="27"/>
      <c r="I45" s="27"/>
      <c r="J45" s="34"/>
      <c r="K45" s="34"/>
      <c r="L45" s="34"/>
      <c r="M45" s="34"/>
    </row>
    <row r="46" spans="1:14">
      <c r="A46" s="104"/>
      <c r="B46" s="104"/>
      <c r="C46" s="28"/>
      <c r="D46" s="28"/>
      <c r="E46" s="28"/>
      <c r="F46" s="33"/>
      <c r="G46" s="24"/>
      <c r="H46" s="35"/>
      <c r="I46" s="35"/>
      <c r="J46" s="24"/>
      <c r="K46" s="24"/>
      <c r="L46" s="24"/>
      <c r="M46" s="24"/>
    </row>
    <row r="47" spans="1:14">
      <c r="A47" s="104"/>
      <c r="B47" s="104"/>
      <c r="C47" s="28"/>
      <c r="D47" s="28"/>
      <c r="E47" s="28"/>
      <c r="F47" s="33"/>
    </row>
    <row r="48" spans="1:14">
      <c r="A48" s="104"/>
      <c r="B48" s="104"/>
      <c r="C48" s="28"/>
      <c r="D48" s="28"/>
      <c r="E48" s="28"/>
      <c r="F48" s="33"/>
    </row>
    <row r="49" spans="1:7">
      <c r="A49" s="104"/>
      <c r="B49" s="104"/>
      <c r="C49" s="28"/>
      <c r="D49" s="28"/>
      <c r="E49" s="28"/>
      <c r="F49" s="33"/>
    </row>
    <row r="50" spans="1:7">
      <c r="A50" s="104"/>
      <c r="B50" s="104"/>
      <c r="C50" s="28"/>
      <c r="D50" s="28"/>
      <c r="E50" s="28"/>
      <c r="F50" s="33"/>
    </row>
    <row r="51" spans="1:7">
      <c r="C51" s="18"/>
      <c r="D51" s="18"/>
      <c r="E51" s="18"/>
      <c r="F51" s="18"/>
      <c r="G51" s="18"/>
    </row>
    <row r="52" spans="1:7">
      <c r="C52" s="18"/>
      <c r="D52" s="18"/>
      <c r="E52" s="18"/>
      <c r="F52" s="18"/>
      <c r="G52" s="18"/>
    </row>
    <row r="53" spans="1:7">
      <c r="C53" s="18"/>
      <c r="D53" s="18"/>
      <c r="E53" s="18"/>
      <c r="F53" s="18"/>
      <c r="G53" s="18"/>
    </row>
    <row r="54" spans="1:7">
      <c r="C54" s="18"/>
      <c r="D54" s="18"/>
      <c r="E54" s="18"/>
      <c r="F54" s="18"/>
      <c r="G54" s="18"/>
    </row>
    <row r="55" spans="1:7">
      <c r="C55" s="18"/>
      <c r="D55" s="18"/>
      <c r="E55" s="18"/>
      <c r="F55" s="18"/>
      <c r="G55" s="18"/>
    </row>
    <row r="56" spans="1:7">
      <c r="C56" s="18"/>
      <c r="D56" s="18"/>
      <c r="E56" s="18"/>
      <c r="F56" s="18"/>
      <c r="G56" s="18"/>
    </row>
  </sheetData>
  <sheetProtection algorithmName="SHA-512" hashValue="YEyY+1eLQ4xDFiyM/0pEHceEossWbSltPznV4Jzt+vCro5k4AVzH+tvwTSv86W9+8MmxAp4svIOAJvW8DChQYw==" saltValue="iGzv1ZfAAulKvC80KsrceQ==" spinCount="100000" sheet="1" objects="1" scenarios="1"/>
  <mergeCells count="79">
    <mergeCell ref="A8:B8"/>
    <mergeCell ref="H8:I8"/>
    <mergeCell ref="A9:B9"/>
    <mergeCell ref="H9:I9"/>
    <mergeCell ref="A10:B10"/>
    <mergeCell ref="H10:I10"/>
    <mergeCell ref="A18:B18"/>
    <mergeCell ref="H23:I23"/>
    <mergeCell ref="A19:B19"/>
    <mergeCell ref="A11:B11"/>
    <mergeCell ref="H21:I21"/>
    <mergeCell ref="A12:B12"/>
    <mergeCell ref="H22:I22"/>
    <mergeCell ref="A13:B13"/>
    <mergeCell ref="H11:I11"/>
    <mergeCell ref="H12:I12"/>
    <mergeCell ref="H13:I13"/>
    <mergeCell ref="A14:B14"/>
    <mergeCell ref="A15:B15"/>
    <mergeCell ref="A16:B16"/>
    <mergeCell ref="A17:B17"/>
    <mergeCell ref="H27:I27"/>
    <mergeCell ref="A20:B20"/>
    <mergeCell ref="H28:I28"/>
    <mergeCell ref="A21:B21"/>
    <mergeCell ref="I20:J20"/>
    <mergeCell ref="H24:I24"/>
    <mergeCell ref="A22:B22"/>
    <mergeCell ref="A28:B28"/>
    <mergeCell ref="H25:I25"/>
    <mergeCell ref="H30:I30"/>
    <mergeCell ref="A23:B23"/>
    <mergeCell ref="H31:I31"/>
    <mergeCell ref="H36:I36"/>
    <mergeCell ref="A29:B29"/>
    <mergeCell ref="A24:B24"/>
    <mergeCell ref="H32:I32"/>
    <mergeCell ref="A25:B25"/>
    <mergeCell ref="H26:I26"/>
    <mergeCell ref="A26:B26"/>
    <mergeCell ref="H34:I34"/>
    <mergeCell ref="A30:B30"/>
    <mergeCell ref="A31:B31"/>
    <mergeCell ref="A32:B32"/>
    <mergeCell ref="A27:B27"/>
    <mergeCell ref="A33:B33"/>
    <mergeCell ref="A34:B34"/>
    <mergeCell ref="A35:B35"/>
    <mergeCell ref="H29:I29"/>
    <mergeCell ref="A45:B45"/>
    <mergeCell ref="H42:I42"/>
    <mergeCell ref="A40:B40"/>
    <mergeCell ref="H35:I35"/>
    <mergeCell ref="H38:I38"/>
    <mergeCell ref="A41:B41"/>
    <mergeCell ref="H39:I39"/>
    <mergeCell ref="A42:B42"/>
    <mergeCell ref="H40:I40"/>
    <mergeCell ref="A36:B36"/>
    <mergeCell ref="A37:B37"/>
    <mergeCell ref="A38:B38"/>
    <mergeCell ref="H33:I33"/>
    <mergeCell ref="A43:B43"/>
    <mergeCell ref="A39:B39"/>
    <mergeCell ref="H37:I37"/>
    <mergeCell ref="A44:B44"/>
    <mergeCell ref="H41:I41"/>
    <mergeCell ref="A46:B46"/>
    <mergeCell ref="A47:B47"/>
    <mergeCell ref="A48:B48"/>
    <mergeCell ref="A49:B49"/>
    <mergeCell ref="A50:B50"/>
    <mergeCell ref="K20:L20"/>
    <mergeCell ref="H18:I18"/>
    <mergeCell ref="H19:I19"/>
    <mergeCell ref="H14:I14"/>
    <mergeCell ref="H15:I15"/>
    <mergeCell ref="H16:I16"/>
    <mergeCell ref="H17:I17"/>
  </mergeCells>
  <pageMargins left="0.7" right="0.7" top="0.75" bottom="0.75" header="0.3" footer="0.3"/>
  <pageSetup paperSize="9" scale="70"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N55"/>
  <sheetViews>
    <sheetView showGridLines="0" zoomScaleNormal="100" zoomScaleSheetLayoutView="100" workbookViewId="0">
      <selection activeCell="J36" sqref="J36"/>
    </sheetView>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91</v>
      </c>
    </row>
    <row r="4" spans="1:14" ht="16.5">
      <c r="A4" s="19" t="s">
        <v>92</v>
      </c>
      <c r="B4" s="20"/>
      <c r="C4" s="21"/>
      <c r="D4" s="21"/>
      <c r="E4" s="21"/>
      <c r="F4" s="21"/>
      <c r="G4" s="21"/>
      <c r="H4" s="20"/>
      <c r="I4" s="20"/>
      <c r="J4" s="21"/>
      <c r="K4" s="21"/>
      <c r="L4" s="22"/>
      <c r="M4" s="21"/>
      <c r="N4" s="21"/>
    </row>
    <row r="5" spans="1:14" ht="16.5">
      <c r="A5" s="19" t="s">
        <v>93</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56</v>
      </c>
      <c r="D11" s="42">
        <v>596</v>
      </c>
      <c r="E11" s="42">
        <v>1758</v>
      </c>
      <c r="F11" s="43">
        <f>E11/$E$17</f>
        <v>0.65111111111111108</v>
      </c>
      <c r="G11" s="24"/>
      <c r="H11" s="104" t="s">
        <v>37</v>
      </c>
      <c r="I11" s="104"/>
      <c r="J11" s="28"/>
      <c r="K11" s="28"/>
      <c r="L11" s="28"/>
      <c r="M11" s="33"/>
    </row>
    <row r="12" spans="1:14">
      <c r="A12" s="104" t="s">
        <v>38</v>
      </c>
      <c r="B12" s="104"/>
      <c r="C12" s="42">
        <v>10</v>
      </c>
      <c r="D12" s="42">
        <v>229</v>
      </c>
      <c r="E12" s="42">
        <v>641</v>
      </c>
      <c r="F12" s="43">
        <f t="shared" ref="F12:F13" si="0">E12/$E$17</f>
        <v>0.2374074074074074</v>
      </c>
      <c r="G12" s="24"/>
      <c r="H12" s="104" t="s">
        <v>39</v>
      </c>
      <c r="I12" s="104"/>
      <c r="J12" s="28"/>
      <c r="K12" s="28"/>
      <c r="L12" s="28"/>
      <c r="M12" s="33"/>
    </row>
    <row r="13" spans="1:14">
      <c r="A13" s="104" t="s">
        <v>40</v>
      </c>
      <c r="B13" s="104"/>
      <c r="C13" s="42">
        <v>6</v>
      </c>
      <c r="D13" s="42">
        <v>119</v>
      </c>
      <c r="E13" s="42">
        <v>301</v>
      </c>
      <c r="F13" s="43">
        <f t="shared" si="0"/>
        <v>0.11148148148148149</v>
      </c>
      <c r="G13" s="24"/>
      <c r="H13" s="104" t="s">
        <v>41</v>
      </c>
      <c r="I13" s="104"/>
      <c r="J13" s="28"/>
      <c r="K13" s="28"/>
      <c r="L13" s="28"/>
      <c r="M13" s="33"/>
    </row>
    <row r="14" spans="1:14">
      <c r="A14" s="104" t="s">
        <v>42</v>
      </c>
      <c r="B14" s="104"/>
      <c r="C14" s="42"/>
      <c r="D14" s="42"/>
      <c r="E14" s="42"/>
      <c r="F14" s="43"/>
      <c r="G14" s="24"/>
      <c r="H14" s="104" t="s">
        <v>43</v>
      </c>
      <c r="I14" s="104"/>
      <c r="J14" s="28"/>
      <c r="K14" s="28"/>
      <c r="L14" s="28"/>
      <c r="M14" s="33"/>
    </row>
    <row r="15" spans="1:14">
      <c r="A15" s="104" t="s">
        <v>44</v>
      </c>
      <c r="B15" s="104"/>
      <c r="C15" s="42"/>
      <c r="D15" s="42"/>
      <c r="E15" s="42"/>
      <c r="F15" s="43"/>
      <c r="G15" s="24"/>
      <c r="H15" s="104" t="s">
        <v>45</v>
      </c>
      <c r="I15" s="104"/>
      <c r="J15" s="28"/>
      <c r="K15" s="28"/>
      <c r="L15" s="28"/>
      <c r="M15" s="33"/>
    </row>
    <row r="16" spans="1:14">
      <c r="A16" s="27"/>
      <c r="B16" s="27"/>
      <c r="C16" s="42"/>
      <c r="D16" s="42"/>
      <c r="E16" s="42"/>
      <c r="F16" s="43"/>
      <c r="G16" s="24"/>
      <c r="H16" s="104" t="s">
        <v>47</v>
      </c>
      <c r="I16" s="104"/>
      <c r="J16" s="28"/>
      <c r="K16" s="28"/>
      <c r="L16" s="28"/>
      <c r="M16" s="33"/>
    </row>
    <row r="17" spans="1:13">
      <c r="A17" s="105" t="s">
        <v>48</v>
      </c>
      <c r="B17" s="105"/>
      <c r="C17" s="44">
        <f>SUM(C11:C15)</f>
        <v>72</v>
      </c>
      <c r="D17" s="44">
        <f t="shared" ref="D17:E17" si="1">SUM(D11:D15)</f>
        <v>944</v>
      </c>
      <c r="E17" s="44">
        <f t="shared" si="1"/>
        <v>2700</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31">
        <v>1</v>
      </c>
      <c r="G20" s="24"/>
      <c r="H20" s="40"/>
      <c r="I20" s="36"/>
      <c r="J20" s="36"/>
      <c r="K20" s="36"/>
      <c r="L20" s="36"/>
      <c r="M20" s="36"/>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5</v>
      </c>
      <c r="K27" s="42">
        <v>130</v>
      </c>
      <c r="L27" s="42">
        <v>250</v>
      </c>
      <c r="M27" s="43">
        <f>L27/L$30</f>
        <v>0.34106412005457026</v>
      </c>
    </row>
    <row r="28" spans="1:13">
      <c r="A28" s="104"/>
      <c r="B28" s="104"/>
      <c r="C28" s="42"/>
      <c r="D28" s="42"/>
      <c r="E28" s="42"/>
      <c r="F28" s="43"/>
      <c r="G28" s="24"/>
      <c r="H28" s="104" t="s">
        <v>68</v>
      </c>
      <c r="I28" s="104"/>
      <c r="J28" s="42">
        <v>4</v>
      </c>
      <c r="K28" s="42">
        <v>168</v>
      </c>
      <c r="L28" s="42">
        <v>313</v>
      </c>
      <c r="M28" s="43">
        <f t="shared" ref="M28:M29" si="2">L28/L$30</f>
        <v>0.42701227830832195</v>
      </c>
    </row>
    <row r="29" spans="1:13">
      <c r="A29" s="104" t="s">
        <v>67</v>
      </c>
      <c r="B29" s="104"/>
      <c r="C29" s="42">
        <v>3</v>
      </c>
      <c r="D29" s="42">
        <v>142</v>
      </c>
      <c r="E29" s="42">
        <v>304</v>
      </c>
      <c r="F29" s="43">
        <f>E29/$E$37</f>
        <v>0.10666666666666667</v>
      </c>
      <c r="G29" s="24"/>
      <c r="H29" s="104" t="s">
        <v>70</v>
      </c>
      <c r="I29" s="104"/>
      <c r="J29" s="42">
        <v>2</v>
      </c>
      <c r="K29" s="42">
        <v>86</v>
      </c>
      <c r="L29" s="42">
        <v>170</v>
      </c>
      <c r="M29" s="43">
        <f t="shared" si="2"/>
        <v>0.23192360163710776</v>
      </c>
    </row>
    <row r="30" spans="1:13">
      <c r="A30" s="104" t="s">
        <v>69</v>
      </c>
      <c r="B30" s="104"/>
      <c r="C30" s="42">
        <v>5</v>
      </c>
      <c r="D30" s="42">
        <v>183</v>
      </c>
      <c r="E30" s="42">
        <v>347</v>
      </c>
      <c r="F30" s="43">
        <f t="shared" ref="F30:F34" si="3">E30/$E$37</f>
        <v>0.12175438596491228</v>
      </c>
      <c r="G30" s="24"/>
      <c r="H30" s="105" t="s">
        <v>72</v>
      </c>
      <c r="I30" s="105"/>
      <c r="J30" s="44">
        <f>SUM(J27:J29)</f>
        <v>11</v>
      </c>
      <c r="K30" s="44">
        <f>SUM(K27:K29)</f>
        <v>384</v>
      </c>
      <c r="L30" s="44">
        <f>SUM(L27:L29)</f>
        <v>733</v>
      </c>
      <c r="M30" s="45">
        <v>1</v>
      </c>
    </row>
    <row r="31" spans="1:13">
      <c r="A31" s="104" t="s">
        <v>71</v>
      </c>
      <c r="B31" s="104"/>
      <c r="C31" s="42">
        <v>4</v>
      </c>
      <c r="D31" s="42">
        <v>191</v>
      </c>
      <c r="E31" s="42">
        <v>380</v>
      </c>
      <c r="F31" s="43">
        <f t="shared" si="3"/>
        <v>0.13333333333333333</v>
      </c>
      <c r="G31" s="24"/>
      <c r="H31" s="104"/>
      <c r="I31" s="104"/>
      <c r="J31" s="42"/>
      <c r="K31" s="42"/>
      <c r="L31" s="42"/>
      <c r="M31" s="42"/>
    </row>
    <row r="32" spans="1:13">
      <c r="A32" s="104" t="s">
        <v>73</v>
      </c>
      <c r="B32" s="104"/>
      <c r="C32" s="42"/>
      <c r="D32" s="42"/>
      <c r="E32" s="42"/>
      <c r="F32" s="43"/>
      <c r="G32" s="24"/>
      <c r="H32" s="104" t="s">
        <v>74</v>
      </c>
      <c r="I32" s="104"/>
      <c r="J32" s="42">
        <v>5</v>
      </c>
      <c r="K32" s="42">
        <v>126</v>
      </c>
      <c r="L32" s="42">
        <v>258</v>
      </c>
      <c r="M32" s="43">
        <f>L32/L$35</f>
        <v>0.82958199356913187</v>
      </c>
    </row>
    <row r="33" spans="1:13">
      <c r="A33" s="104" t="s">
        <v>226</v>
      </c>
      <c r="B33" s="104"/>
      <c r="C33" s="42">
        <v>5</v>
      </c>
      <c r="D33" s="42">
        <v>926</v>
      </c>
      <c r="E33" s="42">
        <v>1783</v>
      </c>
      <c r="F33" s="43">
        <f t="shared" si="3"/>
        <v>0.62561403508771929</v>
      </c>
      <c r="G33" s="24"/>
      <c r="H33" s="104" t="s">
        <v>76</v>
      </c>
      <c r="I33" s="104"/>
      <c r="J33" s="42">
        <v>2</v>
      </c>
      <c r="K33" s="42">
        <v>28</v>
      </c>
      <c r="L33" s="42">
        <v>53</v>
      </c>
      <c r="M33" s="43">
        <f>L33/L$35</f>
        <v>0.17041800643086816</v>
      </c>
    </row>
    <row r="34" spans="1:13">
      <c r="A34" s="104" t="s">
        <v>75</v>
      </c>
      <c r="B34" s="104"/>
      <c r="C34" s="42">
        <v>1</v>
      </c>
      <c r="D34" s="42">
        <v>18</v>
      </c>
      <c r="E34" s="42">
        <v>36</v>
      </c>
      <c r="F34" s="43">
        <f t="shared" si="3"/>
        <v>1.2631578947368421E-2</v>
      </c>
      <c r="G34" s="24"/>
      <c r="H34" s="104" t="s">
        <v>78</v>
      </c>
      <c r="I34" s="104"/>
      <c r="J34" s="42"/>
      <c r="K34" s="42"/>
      <c r="L34" s="42"/>
      <c r="M34" s="43"/>
    </row>
    <row r="35" spans="1:13">
      <c r="A35" s="104" t="s">
        <v>77</v>
      </c>
      <c r="B35" s="104"/>
      <c r="C35" s="42"/>
      <c r="D35" s="42"/>
      <c r="E35" s="42"/>
      <c r="F35" s="43"/>
      <c r="G35" s="24"/>
      <c r="H35" s="105" t="s">
        <v>80</v>
      </c>
      <c r="I35" s="105"/>
      <c r="J35" s="44">
        <f>SUM(J32:J34)</f>
        <v>7</v>
      </c>
      <c r="K35" s="44">
        <f>SUM(K32:K34)</f>
        <v>154</v>
      </c>
      <c r="L35" s="44">
        <f>SUM(L32:L34)</f>
        <v>311</v>
      </c>
      <c r="M35" s="45">
        <v>1</v>
      </c>
    </row>
    <row r="36" spans="1:13">
      <c r="A36" s="104" t="s">
        <v>79</v>
      </c>
      <c r="B36" s="104"/>
      <c r="C36" s="42"/>
      <c r="D36" s="42"/>
      <c r="E36" s="42"/>
      <c r="F36" s="43"/>
      <c r="G36" s="24"/>
      <c r="H36" s="104"/>
      <c r="I36" s="104"/>
      <c r="J36" s="36"/>
      <c r="K36" s="36"/>
      <c r="L36" s="36"/>
      <c r="M36" s="36"/>
    </row>
    <row r="37" spans="1:13">
      <c r="A37" s="105" t="s">
        <v>81</v>
      </c>
      <c r="B37" s="105"/>
      <c r="C37" s="44">
        <f>SUM(C29:C36)</f>
        <v>18</v>
      </c>
      <c r="D37" s="44">
        <f>SUM(D29:D36)</f>
        <v>1460</v>
      </c>
      <c r="E37" s="44">
        <f>SUM(E29:E36)</f>
        <v>2850</v>
      </c>
      <c r="F37" s="45">
        <v>1</v>
      </c>
      <c r="G37" s="24"/>
      <c r="H37" s="105" t="s">
        <v>82</v>
      </c>
      <c r="I37" s="105"/>
      <c r="J37" s="44">
        <v>8</v>
      </c>
      <c r="K37" s="44">
        <v>73</v>
      </c>
      <c r="L37" s="44">
        <v>125</v>
      </c>
      <c r="M37" s="45">
        <v>1</v>
      </c>
    </row>
    <row r="38" spans="1:13">
      <c r="A38" s="104"/>
      <c r="B38" s="104"/>
      <c r="C38" s="28"/>
      <c r="D38" s="28"/>
      <c r="E38" s="28"/>
      <c r="F38" s="29"/>
      <c r="G38" s="24"/>
      <c r="H38" s="105" t="s">
        <v>84</v>
      </c>
      <c r="I38" s="105"/>
      <c r="J38" s="44">
        <v>1</v>
      </c>
      <c r="K38" s="44">
        <v>15</v>
      </c>
      <c r="L38" s="44">
        <v>30</v>
      </c>
      <c r="M38" s="45">
        <v>1</v>
      </c>
    </row>
    <row r="39" spans="1:13">
      <c r="A39" s="104" t="s">
        <v>83</v>
      </c>
      <c r="B39" s="104"/>
      <c r="C39" s="28"/>
      <c r="D39" s="28"/>
      <c r="E39" s="28"/>
      <c r="F39" s="29"/>
      <c r="G39" s="24"/>
      <c r="H39" s="105" t="s">
        <v>86</v>
      </c>
      <c r="I39" s="105"/>
      <c r="J39" s="38"/>
      <c r="K39" s="38"/>
      <c r="L39" s="38"/>
      <c r="M39" s="41"/>
    </row>
    <row r="40" spans="1:13">
      <c r="A40" s="104" t="s">
        <v>85</v>
      </c>
      <c r="B40" s="104"/>
      <c r="C40" s="28"/>
      <c r="D40" s="28"/>
      <c r="E40" s="28"/>
      <c r="F40" s="29"/>
      <c r="G40" s="24"/>
      <c r="H40" s="105" t="s">
        <v>141</v>
      </c>
      <c r="I40" s="105"/>
      <c r="J40" s="38"/>
      <c r="K40" s="38"/>
      <c r="L40" s="38"/>
      <c r="M40" s="41"/>
    </row>
    <row r="41" spans="1:13">
      <c r="A41" s="104" t="s">
        <v>87</v>
      </c>
      <c r="B41" s="104"/>
      <c r="C41" s="28"/>
      <c r="D41" s="28"/>
      <c r="E41" s="28"/>
      <c r="F41" s="29"/>
      <c r="G41" s="24"/>
      <c r="H41" s="104"/>
      <c r="I41" s="104"/>
      <c r="J41" s="36"/>
      <c r="K41" s="36"/>
      <c r="L41" s="36"/>
      <c r="M41" s="36"/>
    </row>
    <row r="42" spans="1:13">
      <c r="A42" s="104" t="s">
        <v>227</v>
      </c>
      <c r="B42" s="104"/>
      <c r="C42" s="28"/>
      <c r="D42" s="28"/>
      <c r="E42" s="28"/>
      <c r="F42" s="29"/>
      <c r="G42" s="24"/>
      <c r="H42" s="105" t="s">
        <v>90</v>
      </c>
      <c r="I42" s="105"/>
      <c r="J42" s="44">
        <f>C17+C20+C27+C37+J30+J35+J37+J38</f>
        <v>120</v>
      </c>
      <c r="K42" s="44">
        <f>D17+D20+D27+D37+K30+K35+K37+K38</f>
        <v>3455</v>
      </c>
      <c r="L42" s="44">
        <f>E17+E20+E27+E37+L30+L35+L37+L38</f>
        <v>7954</v>
      </c>
      <c r="M42" s="36"/>
    </row>
    <row r="43" spans="1:13">
      <c r="A43" s="104" t="s">
        <v>88</v>
      </c>
      <c r="B43" s="104"/>
      <c r="C43" s="28"/>
      <c r="D43" s="28"/>
      <c r="E43" s="28"/>
      <c r="F43" s="29"/>
      <c r="G43" s="24"/>
      <c r="H43" s="27"/>
      <c r="I43" s="27"/>
      <c r="J43" s="28"/>
      <c r="K43" s="28"/>
      <c r="L43" s="28"/>
      <c r="M43" s="34"/>
    </row>
    <row r="44" spans="1:13">
      <c r="A44" s="105" t="s">
        <v>89</v>
      </c>
      <c r="B44" s="105"/>
      <c r="C44" s="30"/>
      <c r="D44" s="30"/>
      <c r="E44" s="30"/>
      <c r="F44" s="31"/>
      <c r="G44" s="24"/>
      <c r="H44" s="27"/>
      <c r="I44" s="27"/>
      <c r="J44" s="34"/>
      <c r="K44" s="34"/>
      <c r="L44" s="34"/>
      <c r="M44" s="34"/>
    </row>
    <row r="45" spans="1:13">
      <c r="A45" s="104"/>
      <c r="B45" s="104"/>
      <c r="C45" s="32"/>
      <c r="D45" s="32"/>
      <c r="E45" s="32"/>
      <c r="F45" s="32"/>
      <c r="G45" s="24"/>
      <c r="H45" s="27"/>
      <c r="I45" s="27"/>
      <c r="J45" s="34"/>
      <c r="K45" s="34"/>
      <c r="L45" s="34"/>
      <c r="M45" s="34"/>
    </row>
    <row r="46" spans="1:13">
      <c r="A46" s="104"/>
      <c r="B46" s="104"/>
      <c r="C46" s="28"/>
      <c r="D46" s="28"/>
      <c r="E46" s="28"/>
      <c r="F46" s="33"/>
      <c r="G46" s="24"/>
      <c r="H46" s="35"/>
      <c r="I46" s="35"/>
      <c r="J46" s="24"/>
      <c r="K46" s="24"/>
      <c r="L46" s="24"/>
      <c r="M46" s="24"/>
    </row>
    <row r="47" spans="1:13">
      <c r="A47" s="104"/>
      <c r="B47" s="104"/>
      <c r="C47" s="28"/>
      <c r="D47" s="28"/>
      <c r="E47" s="28"/>
      <c r="F47" s="33"/>
    </row>
    <row r="48" spans="1:13">
      <c r="A48" s="104"/>
      <c r="B48" s="104"/>
      <c r="C48" s="28"/>
      <c r="D48" s="28"/>
      <c r="E48" s="28"/>
      <c r="F48" s="33"/>
    </row>
    <row r="49" spans="1:6">
      <c r="A49" s="104"/>
      <c r="B49" s="104"/>
      <c r="C49" s="28"/>
      <c r="D49" s="28"/>
      <c r="E49" s="28"/>
      <c r="F49" s="33"/>
    </row>
    <row r="50" spans="1:6">
      <c r="A50" s="104"/>
      <c r="B50" s="104"/>
      <c r="C50" s="28"/>
      <c r="D50" s="28"/>
      <c r="E50" s="28"/>
      <c r="F50" s="33"/>
    </row>
    <row r="51" spans="1:6">
      <c r="A51" s="104"/>
      <c r="B51" s="104"/>
      <c r="C51" s="28"/>
      <c r="D51" s="28"/>
      <c r="E51" s="28"/>
      <c r="F51" s="33"/>
    </row>
    <row r="52" spans="1:6">
      <c r="A52" s="104"/>
      <c r="B52" s="104"/>
      <c r="C52" s="28"/>
      <c r="D52" s="28"/>
      <c r="E52" s="28"/>
      <c r="F52" s="33"/>
    </row>
    <row r="53" spans="1:6">
      <c r="A53" s="104"/>
      <c r="B53" s="104"/>
      <c r="C53" s="28"/>
      <c r="D53" s="28"/>
      <c r="E53" s="28"/>
      <c r="F53" s="33"/>
    </row>
    <row r="54" spans="1:6">
      <c r="C54" s="18"/>
      <c r="D54" s="18"/>
      <c r="E54" s="18"/>
      <c r="F54" s="18"/>
    </row>
    <row r="55" spans="1:6">
      <c r="C55" s="18"/>
      <c r="D55" s="18"/>
      <c r="E55" s="18"/>
      <c r="F55" s="18"/>
    </row>
  </sheetData>
  <sheetProtection algorithmName="SHA-512" hashValue="TyI58pfLnD2xx9zejEFrq+DCb0cHzcnIPL4kQzuMqO/ZwDLZmOAEgij/0vfhxIB1SmX6oDw8FQJv7s1vP52pVQ==" saltValue="qlVMQxYWX0iC15HXcNUk2w==" spinCount="100000" sheet="1" objects="1" scenarios="1"/>
  <mergeCells count="79">
    <mergeCell ref="A53:B53"/>
    <mergeCell ref="A46:B46"/>
    <mergeCell ref="A47:B47"/>
    <mergeCell ref="A48:B48"/>
    <mergeCell ref="A49:B49"/>
    <mergeCell ref="A51:B51"/>
    <mergeCell ref="A44:B44"/>
    <mergeCell ref="A45:B45"/>
    <mergeCell ref="H42:I42"/>
    <mergeCell ref="A52:B52"/>
    <mergeCell ref="H35:I35"/>
    <mergeCell ref="H36:I36"/>
    <mergeCell ref="A37:B37"/>
    <mergeCell ref="A50:B50"/>
    <mergeCell ref="A41:B41"/>
    <mergeCell ref="H39:I39"/>
    <mergeCell ref="A42:B42"/>
    <mergeCell ref="H40:I40"/>
    <mergeCell ref="A43:B43"/>
    <mergeCell ref="H41:I41"/>
    <mergeCell ref="A38:B38"/>
    <mergeCell ref="A39:B39"/>
    <mergeCell ref="H37:I37"/>
    <mergeCell ref="A40:B40"/>
    <mergeCell ref="H38:I38"/>
    <mergeCell ref="H34:I34"/>
    <mergeCell ref="A27:B27"/>
    <mergeCell ref="A36:B36"/>
    <mergeCell ref="H29:I29"/>
    <mergeCell ref="H28:I28"/>
    <mergeCell ref="A29:B29"/>
    <mergeCell ref="A30:B30"/>
    <mergeCell ref="H30:I30"/>
    <mergeCell ref="H31:I31"/>
    <mergeCell ref="A35:B35"/>
    <mergeCell ref="H32:I32"/>
    <mergeCell ref="A31:B31"/>
    <mergeCell ref="A32:B32"/>
    <mergeCell ref="A33:B33"/>
    <mergeCell ref="A34:B34"/>
    <mergeCell ref="H33:I33"/>
    <mergeCell ref="H27:I27"/>
    <mergeCell ref="A20:B20"/>
    <mergeCell ref="A25:B25"/>
    <mergeCell ref="A21:B21"/>
    <mergeCell ref="H25:I25"/>
    <mergeCell ref="A28:B28"/>
    <mergeCell ref="A23:B23"/>
    <mergeCell ref="H24:I24"/>
    <mergeCell ref="A24:B24"/>
    <mergeCell ref="A26:B26"/>
    <mergeCell ref="H26:I26"/>
    <mergeCell ref="A22:B22"/>
    <mergeCell ref="H23:I23"/>
    <mergeCell ref="A15:B15"/>
    <mergeCell ref="A17:B17"/>
    <mergeCell ref="H15:I15"/>
    <mergeCell ref="H16:I16"/>
    <mergeCell ref="H17:I17"/>
    <mergeCell ref="A18:B18"/>
    <mergeCell ref="H22:I22"/>
    <mergeCell ref="H19:I19"/>
    <mergeCell ref="H18:I18"/>
    <mergeCell ref="H21:I21"/>
    <mergeCell ref="A19:B19"/>
    <mergeCell ref="A8:B8"/>
    <mergeCell ref="H8:I8"/>
    <mergeCell ref="A9:B9"/>
    <mergeCell ref="H9:I9"/>
    <mergeCell ref="A10:B10"/>
    <mergeCell ref="A11:B11"/>
    <mergeCell ref="A12:B12"/>
    <mergeCell ref="A13:B13"/>
    <mergeCell ref="H10:I10"/>
    <mergeCell ref="A14:B14"/>
    <mergeCell ref="H11:I11"/>
    <mergeCell ref="H12:I12"/>
    <mergeCell ref="H13:I13"/>
    <mergeCell ref="H14:I14"/>
  </mergeCells>
  <pageMargins left="0.7" right="0.7" top="0.75" bottom="0.75" header="0.3" footer="0.3"/>
  <pageSetup paperSize="9" scale="70"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N55"/>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94</v>
      </c>
    </row>
    <row r="4" spans="1:14" ht="16.5">
      <c r="A4" s="19" t="s">
        <v>95</v>
      </c>
      <c r="B4" s="20"/>
      <c r="C4" s="21"/>
      <c r="D4" s="21"/>
      <c r="E4" s="21"/>
      <c r="F4" s="21"/>
      <c r="G4" s="21"/>
      <c r="H4" s="20"/>
      <c r="I4" s="20"/>
      <c r="J4" s="21"/>
      <c r="K4" s="21"/>
      <c r="L4" s="22"/>
      <c r="M4" s="21"/>
      <c r="N4" s="21"/>
    </row>
    <row r="5" spans="1:14" ht="16.5">
      <c r="A5" s="19" t="s">
        <v>96</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57</v>
      </c>
      <c r="D11" s="42">
        <v>608</v>
      </c>
      <c r="E11" s="42">
        <v>1834</v>
      </c>
      <c r="F11" s="43">
        <f>E11/E$17</f>
        <v>0.61605643265031906</v>
      </c>
      <c r="G11" s="24"/>
      <c r="H11" s="104" t="s">
        <v>37</v>
      </c>
      <c r="I11" s="104"/>
      <c r="J11" s="28"/>
      <c r="K11" s="28"/>
      <c r="L11" s="28"/>
      <c r="M11" s="33"/>
    </row>
    <row r="12" spans="1:14">
      <c r="A12" s="104" t="s">
        <v>38</v>
      </c>
      <c r="B12" s="104"/>
      <c r="C12" s="42">
        <v>11</v>
      </c>
      <c r="D12" s="42">
        <v>311</v>
      </c>
      <c r="E12" s="42">
        <v>852</v>
      </c>
      <c r="F12" s="43">
        <f>E12/E$17</f>
        <v>0.28619415518978836</v>
      </c>
      <c r="G12" s="24"/>
      <c r="H12" s="104" t="s">
        <v>39</v>
      </c>
      <c r="I12" s="104"/>
      <c r="J12" s="28"/>
      <c r="K12" s="28"/>
      <c r="L12" s="28"/>
      <c r="M12" s="33"/>
    </row>
    <row r="13" spans="1:14">
      <c r="A13" s="104" t="s">
        <v>40</v>
      </c>
      <c r="B13" s="104"/>
      <c r="C13" s="42">
        <v>6</v>
      </c>
      <c r="D13" s="42">
        <v>119</v>
      </c>
      <c r="E13" s="42">
        <v>291</v>
      </c>
      <c r="F13" s="43">
        <f>E13/E$17</f>
        <v>9.774941215989251E-2</v>
      </c>
      <c r="G13" s="24"/>
      <c r="H13" s="104" t="s">
        <v>41</v>
      </c>
      <c r="I13" s="104"/>
      <c r="J13" s="28"/>
      <c r="K13" s="28"/>
      <c r="L13" s="28"/>
      <c r="M13" s="33"/>
    </row>
    <row r="14" spans="1:14">
      <c r="A14" s="104" t="s">
        <v>42</v>
      </c>
      <c r="B14" s="104"/>
      <c r="C14" s="42"/>
      <c r="D14" s="42"/>
      <c r="E14" s="42"/>
      <c r="F14" s="43"/>
      <c r="G14" s="24"/>
      <c r="H14" s="104" t="s">
        <v>43</v>
      </c>
      <c r="I14" s="104"/>
      <c r="J14" s="28"/>
      <c r="K14" s="28"/>
      <c r="L14" s="28"/>
      <c r="M14" s="33"/>
    </row>
    <row r="15" spans="1:14">
      <c r="A15" s="104" t="s">
        <v>44</v>
      </c>
      <c r="B15" s="104"/>
      <c r="C15" s="42"/>
      <c r="D15" s="42"/>
      <c r="E15" s="42"/>
      <c r="F15" s="43"/>
      <c r="G15" s="24"/>
      <c r="H15" s="104" t="s">
        <v>45</v>
      </c>
      <c r="I15" s="104"/>
      <c r="J15" s="28"/>
      <c r="K15" s="28"/>
      <c r="L15" s="28"/>
      <c r="M15" s="33"/>
    </row>
    <row r="16" spans="1:14">
      <c r="A16" s="27"/>
      <c r="B16" s="27"/>
      <c r="C16" s="42"/>
      <c r="D16" s="42"/>
      <c r="E16" s="42"/>
      <c r="F16" s="43"/>
      <c r="G16" s="24"/>
      <c r="H16" s="104" t="s">
        <v>47</v>
      </c>
      <c r="I16" s="104"/>
      <c r="J16" s="28"/>
      <c r="K16" s="28"/>
      <c r="L16" s="28"/>
      <c r="M16" s="33"/>
    </row>
    <row r="17" spans="1:13">
      <c r="A17" s="105" t="s">
        <v>48</v>
      </c>
      <c r="B17" s="105"/>
      <c r="C17" s="44">
        <f>SUM(C11:C15)</f>
        <v>74</v>
      </c>
      <c r="D17" s="44">
        <f t="shared" ref="D17:E17" si="0">SUM(D11:D15)</f>
        <v>1038</v>
      </c>
      <c r="E17" s="44">
        <f t="shared" si="0"/>
        <v>2977</v>
      </c>
      <c r="F17" s="45">
        <v>1</v>
      </c>
      <c r="G17" s="24"/>
      <c r="H17" s="104" t="s">
        <v>49</v>
      </c>
      <c r="I17" s="104"/>
      <c r="J17" s="28"/>
      <c r="K17" s="28"/>
      <c r="L17" s="28"/>
      <c r="M17" s="33"/>
    </row>
    <row r="18" spans="1:13">
      <c r="A18" s="104"/>
      <c r="B18" s="104"/>
      <c r="C18" s="36"/>
      <c r="D18" s="36"/>
      <c r="E18" s="36"/>
      <c r="F18" s="37"/>
      <c r="G18" s="24"/>
      <c r="H18" s="104" t="s">
        <v>50</v>
      </c>
      <c r="I18" s="104"/>
      <c r="J18" s="28"/>
      <c r="K18" s="28"/>
      <c r="L18" s="28"/>
      <c r="M18" s="33"/>
    </row>
    <row r="19" spans="1:13">
      <c r="A19" s="105" t="s">
        <v>51</v>
      </c>
      <c r="B19" s="105"/>
      <c r="C19" s="38"/>
      <c r="D19" s="38"/>
      <c r="E19" s="38"/>
      <c r="F19" s="39"/>
      <c r="G19" s="24"/>
      <c r="H19" s="105" t="s">
        <v>52</v>
      </c>
      <c r="I19" s="105"/>
      <c r="J19" s="30"/>
      <c r="K19" s="30"/>
      <c r="L19" s="30"/>
      <c r="M19" s="31"/>
    </row>
    <row r="20" spans="1:13">
      <c r="A20" s="105" t="s">
        <v>53</v>
      </c>
      <c r="B20" s="105"/>
      <c r="C20" s="30">
        <v>1</v>
      </c>
      <c r="D20" s="30">
        <v>6</v>
      </c>
      <c r="E20" s="30">
        <v>12</v>
      </c>
      <c r="F20" s="45">
        <v>1</v>
      </c>
      <c r="G20" s="24"/>
      <c r="H20" s="36"/>
      <c r="I20" s="36"/>
      <c r="J20" s="36"/>
      <c r="K20" s="36"/>
      <c r="L20" s="36"/>
      <c r="M20" s="36"/>
    </row>
    <row r="21" spans="1:13">
      <c r="A21" s="105" t="s">
        <v>54</v>
      </c>
      <c r="B21" s="105"/>
      <c r="C21" s="38"/>
      <c r="D21" s="38"/>
      <c r="E21" s="38"/>
      <c r="F21" s="39"/>
      <c r="G21" s="24"/>
      <c r="H21" s="104" t="s">
        <v>55</v>
      </c>
      <c r="I21" s="104"/>
      <c r="J21" s="36"/>
      <c r="K21" s="36"/>
      <c r="L21" s="36"/>
      <c r="M21" s="40"/>
    </row>
    <row r="22" spans="1:13">
      <c r="A22" s="105" t="s">
        <v>56</v>
      </c>
      <c r="B22" s="105"/>
      <c r="C22" s="38"/>
      <c r="D22" s="38"/>
      <c r="E22" s="38"/>
      <c r="F22" s="39"/>
      <c r="G22" s="24"/>
      <c r="H22" s="104" t="s">
        <v>57</v>
      </c>
      <c r="I22" s="104"/>
      <c r="J22" s="36"/>
      <c r="K22" s="36"/>
      <c r="L22" s="36"/>
      <c r="M22" s="40"/>
    </row>
    <row r="23" spans="1:13">
      <c r="A23" s="104"/>
      <c r="B23" s="104"/>
      <c r="C23" s="36"/>
      <c r="D23" s="36"/>
      <c r="E23" s="36"/>
      <c r="F23" s="37"/>
      <c r="G23" s="24"/>
      <c r="H23" s="104" t="s">
        <v>58</v>
      </c>
      <c r="I23" s="104"/>
      <c r="J23" s="36"/>
      <c r="K23" s="36"/>
      <c r="L23" s="36"/>
      <c r="M23" s="40"/>
    </row>
    <row r="24" spans="1:13">
      <c r="A24" s="104" t="s">
        <v>59</v>
      </c>
      <c r="B24" s="104"/>
      <c r="C24" s="36"/>
      <c r="D24" s="36"/>
      <c r="E24" s="36"/>
      <c r="F24" s="37"/>
      <c r="G24" s="24"/>
      <c r="H24" s="104" t="s">
        <v>60</v>
      </c>
      <c r="I24" s="104"/>
      <c r="J24" s="36"/>
      <c r="K24" s="36"/>
      <c r="L24" s="36"/>
      <c r="M24" s="40"/>
    </row>
    <row r="25" spans="1:13">
      <c r="A25" s="104" t="s">
        <v>61</v>
      </c>
      <c r="B25" s="104"/>
      <c r="C25" s="36"/>
      <c r="D25" s="36"/>
      <c r="E25" s="36"/>
      <c r="F25" s="37"/>
      <c r="G25" s="24"/>
      <c r="H25" s="105" t="s">
        <v>64</v>
      </c>
      <c r="I25" s="105"/>
      <c r="J25" s="38"/>
      <c r="K25" s="38"/>
      <c r="L25" s="38"/>
      <c r="M25" s="39"/>
    </row>
    <row r="26" spans="1:13">
      <c r="A26" s="104" t="s">
        <v>63</v>
      </c>
      <c r="B26" s="104"/>
      <c r="C26" s="42">
        <v>2</v>
      </c>
      <c r="D26" s="42">
        <v>419</v>
      </c>
      <c r="E26" s="42">
        <v>1193</v>
      </c>
      <c r="F26" s="46">
        <v>1</v>
      </c>
      <c r="G26" s="24"/>
      <c r="H26" s="104"/>
      <c r="I26" s="104"/>
      <c r="J26" s="36"/>
      <c r="K26" s="36"/>
      <c r="L26" s="36"/>
      <c r="M26" s="36"/>
    </row>
    <row r="27" spans="1:13">
      <c r="A27" s="105" t="s">
        <v>65</v>
      </c>
      <c r="B27" s="105"/>
      <c r="C27" s="44">
        <v>2</v>
      </c>
      <c r="D27" s="44">
        <v>419</v>
      </c>
      <c r="E27" s="44">
        <v>1193</v>
      </c>
      <c r="F27" s="45">
        <v>1</v>
      </c>
      <c r="G27" s="24"/>
      <c r="H27" s="104" t="s">
        <v>66</v>
      </c>
      <c r="I27" s="104"/>
      <c r="J27" s="42">
        <v>6</v>
      </c>
      <c r="K27" s="42">
        <v>160</v>
      </c>
      <c r="L27" s="42">
        <v>294</v>
      </c>
      <c r="M27" s="43">
        <f>L27/L$30</f>
        <v>0.3783783783783784</v>
      </c>
    </row>
    <row r="28" spans="1:13">
      <c r="A28" s="104"/>
      <c r="B28" s="104"/>
      <c r="C28" s="42"/>
      <c r="D28" s="42"/>
      <c r="E28" s="42"/>
      <c r="F28" s="43"/>
      <c r="G28" s="24"/>
      <c r="H28" s="104" t="s">
        <v>68</v>
      </c>
      <c r="I28" s="104"/>
      <c r="J28" s="42">
        <v>4</v>
      </c>
      <c r="K28" s="42">
        <v>168</v>
      </c>
      <c r="L28" s="42">
        <v>313</v>
      </c>
      <c r="M28" s="43">
        <f t="shared" ref="M28:M29" si="1">L28/L$30</f>
        <v>0.40283140283140284</v>
      </c>
    </row>
    <row r="29" spans="1:13">
      <c r="A29" s="104" t="s">
        <v>67</v>
      </c>
      <c r="B29" s="104"/>
      <c r="C29" s="42">
        <v>3</v>
      </c>
      <c r="D29" s="42">
        <v>133</v>
      </c>
      <c r="E29" s="42">
        <v>254</v>
      </c>
      <c r="F29" s="43">
        <f>E29/E$37</f>
        <v>0.10565723793677205</v>
      </c>
      <c r="G29" s="24"/>
      <c r="H29" s="104" t="s">
        <v>70</v>
      </c>
      <c r="I29" s="104"/>
      <c r="J29" s="42">
        <v>2</v>
      </c>
      <c r="K29" s="42">
        <v>86</v>
      </c>
      <c r="L29" s="42">
        <v>170</v>
      </c>
      <c r="M29" s="43">
        <f t="shared" si="1"/>
        <v>0.21879021879021879</v>
      </c>
    </row>
    <row r="30" spans="1:13">
      <c r="A30" s="104" t="s">
        <v>69</v>
      </c>
      <c r="B30" s="104"/>
      <c r="C30" s="42">
        <v>5</v>
      </c>
      <c r="D30" s="42">
        <v>183</v>
      </c>
      <c r="E30" s="42">
        <v>327</v>
      </c>
      <c r="F30" s="43">
        <f t="shared" ref="F30:F31" si="2">E30/E$37</f>
        <v>0.1360232945091514</v>
      </c>
      <c r="G30" s="24"/>
      <c r="H30" s="105" t="s">
        <v>72</v>
      </c>
      <c r="I30" s="105"/>
      <c r="J30" s="44">
        <v>12</v>
      </c>
      <c r="K30" s="44">
        <v>414</v>
      </c>
      <c r="L30" s="44">
        <v>777</v>
      </c>
      <c r="M30" s="45">
        <v>1</v>
      </c>
    </row>
    <row r="31" spans="1:13">
      <c r="A31" s="104" t="s">
        <v>71</v>
      </c>
      <c r="B31" s="104"/>
      <c r="C31" s="42">
        <v>4</v>
      </c>
      <c r="D31" s="42">
        <v>159</v>
      </c>
      <c r="E31" s="42">
        <v>287</v>
      </c>
      <c r="F31" s="43">
        <f t="shared" si="2"/>
        <v>0.11938435940099834</v>
      </c>
      <c r="G31" s="24"/>
      <c r="H31" s="104"/>
      <c r="I31" s="104"/>
      <c r="J31" s="42"/>
      <c r="K31" s="42"/>
      <c r="L31" s="42"/>
      <c r="M31" s="42"/>
    </row>
    <row r="32" spans="1:13">
      <c r="A32" s="104" t="s">
        <v>73</v>
      </c>
      <c r="B32" s="104"/>
      <c r="C32" s="42"/>
      <c r="D32" s="42"/>
      <c r="E32" s="42"/>
      <c r="F32" s="43"/>
      <c r="G32" s="24"/>
      <c r="H32" s="104" t="s">
        <v>74</v>
      </c>
      <c r="I32" s="104"/>
      <c r="J32" s="42">
        <v>5</v>
      </c>
      <c r="K32" s="42">
        <v>119</v>
      </c>
      <c r="L32" s="42">
        <v>227</v>
      </c>
      <c r="M32" s="43">
        <f>L32/L$35</f>
        <v>0.81071428571428572</v>
      </c>
    </row>
    <row r="33" spans="1:13">
      <c r="A33" s="104" t="s">
        <v>226</v>
      </c>
      <c r="B33" s="104"/>
      <c r="C33" s="42">
        <v>4</v>
      </c>
      <c r="D33" s="42">
        <v>804</v>
      </c>
      <c r="E33" s="42">
        <v>1500</v>
      </c>
      <c r="F33" s="43">
        <f>E33/E$37</f>
        <v>0.62396006655574043</v>
      </c>
      <c r="G33" s="24"/>
      <c r="H33" s="104" t="s">
        <v>76</v>
      </c>
      <c r="I33" s="104"/>
      <c r="J33" s="42">
        <v>2</v>
      </c>
      <c r="K33" s="42">
        <v>28</v>
      </c>
      <c r="L33" s="42">
        <v>53</v>
      </c>
      <c r="M33" s="43">
        <f>L33/L$35</f>
        <v>0.18928571428571428</v>
      </c>
    </row>
    <row r="34" spans="1:13">
      <c r="A34" s="104" t="s">
        <v>75</v>
      </c>
      <c r="B34" s="104"/>
      <c r="C34" s="42">
        <v>1</v>
      </c>
      <c r="D34" s="42">
        <v>18</v>
      </c>
      <c r="E34" s="42">
        <v>36</v>
      </c>
      <c r="F34" s="43">
        <f>E34/E$37</f>
        <v>1.4975041597337771E-2</v>
      </c>
      <c r="G34" s="24"/>
      <c r="H34" s="104" t="s">
        <v>78</v>
      </c>
      <c r="I34" s="104"/>
      <c r="J34" s="42"/>
      <c r="K34" s="42"/>
      <c r="L34" s="42"/>
      <c r="M34" s="43"/>
    </row>
    <row r="35" spans="1:13">
      <c r="A35" s="104" t="s">
        <v>77</v>
      </c>
      <c r="B35" s="104"/>
      <c r="C35" s="42"/>
      <c r="D35" s="42"/>
      <c r="E35" s="42"/>
      <c r="F35" s="43"/>
      <c r="G35" s="24"/>
      <c r="H35" s="105" t="s">
        <v>80</v>
      </c>
      <c r="I35" s="105"/>
      <c r="J35" s="44">
        <f>SUM(J32:J34)</f>
        <v>7</v>
      </c>
      <c r="K35" s="44">
        <f t="shared" ref="K35:L35" si="3">SUM(K32:K34)</f>
        <v>147</v>
      </c>
      <c r="L35" s="44">
        <f t="shared" si="3"/>
        <v>280</v>
      </c>
      <c r="M35" s="45">
        <v>1</v>
      </c>
    </row>
    <row r="36" spans="1:13">
      <c r="A36" s="104" t="s">
        <v>79</v>
      </c>
      <c r="B36" s="104"/>
      <c r="C36" s="42"/>
      <c r="D36" s="42"/>
      <c r="E36" s="42"/>
      <c r="F36" s="43"/>
      <c r="G36" s="24"/>
      <c r="H36" s="104"/>
      <c r="I36" s="104"/>
      <c r="J36" s="36"/>
      <c r="K36" s="36"/>
      <c r="L36" s="36"/>
      <c r="M36" s="36"/>
    </row>
    <row r="37" spans="1:13">
      <c r="A37" s="105" t="s">
        <v>81</v>
      </c>
      <c r="B37" s="105"/>
      <c r="C37" s="44">
        <f>SUM(C29:C36)</f>
        <v>17</v>
      </c>
      <c r="D37" s="44">
        <f t="shared" ref="D37:E37" si="4">SUM(D29:D36)</f>
        <v>1297</v>
      </c>
      <c r="E37" s="44">
        <f t="shared" si="4"/>
        <v>2404</v>
      </c>
      <c r="F37" s="45">
        <v>1</v>
      </c>
      <c r="G37" s="24"/>
      <c r="H37" s="105" t="s">
        <v>82</v>
      </c>
      <c r="I37" s="105"/>
      <c r="J37" s="44">
        <v>8</v>
      </c>
      <c r="K37" s="44">
        <v>73</v>
      </c>
      <c r="L37" s="44">
        <v>125</v>
      </c>
      <c r="M37" s="45">
        <v>1</v>
      </c>
    </row>
    <row r="38" spans="1:13">
      <c r="A38" s="104"/>
      <c r="B38" s="104"/>
      <c r="C38" s="28"/>
      <c r="D38" s="28"/>
      <c r="E38" s="28"/>
      <c r="F38" s="29"/>
      <c r="G38" s="24"/>
      <c r="H38" s="105" t="s">
        <v>84</v>
      </c>
      <c r="I38" s="105"/>
      <c r="J38" s="44">
        <v>1</v>
      </c>
      <c r="K38" s="44">
        <v>15</v>
      </c>
      <c r="L38" s="44">
        <v>30</v>
      </c>
      <c r="M38" s="45">
        <v>1</v>
      </c>
    </row>
    <row r="39" spans="1:13">
      <c r="A39" s="104" t="s">
        <v>83</v>
      </c>
      <c r="B39" s="104"/>
      <c r="C39" s="28"/>
      <c r="D39" s="28"/>
      <c r="E39" s="28"/>
      <c r="F39" s="29"/>
      <c r="G39" s="24"/>
      <c r="H39" s="105" t="s">
        <v>86</v>
      </c>
      <c r="I39" s="105"/>
      <c r="J39" s="38"/>
      <c r="K39" s="38"/>
      <c r="L39" s="38"/>
      <c r="M39" s="41"/>
    </row>
    <row r="40" spans="1:13">
      <c r="A40" s="104" t="s">
        <v>85</v>
      </c>
      <c r="B40" s="104"/>
      <c r="C40" s="28"/>
      <c r="D40" s="28"/>
      <c r="E40" s="28"/>
      <c r="F40" s="29"/>
      <c r="G40" s="24"/>
      <c r="H40" s="105" t="s">
        <v>141</v>
      </c>
      <c r="I40" s="105"/>
      <c r="J40" s="38"/>
      <c r="K40" s="38"/>
      <c r="L40" s="38"/>
      <c r="M40" s="41"/>
    </row>
    <row r="41" spans="1:13">
      <c r="A41" s="104" t="s">
        <v>87</v>
      </c>
      <c r="B41" s="104"/>
      <c r="C41" s="28"/>
      <c r="D41" s="28"/>
      <c r="E41" s="28"/>
      <c r="F41" s="29"/>
      <c r="G41" s="24"/>
      <c r="H41" s="104"/>
      <c r="I41" s="104"/>
      <c r="J41" s="36"/>
      <c r="K41" s="36"/>
      <c r="L41" s="36"/>
      <c r="M41" s="36"/>
    </row>
    <row r="42" spans="1:13">
      <c r="A42" s="104" t="s">
        <v>227</v>
      </c>
      <c r="B42" s="104"/>
      <c r="C42" s="28"/>
      <c r="D42" s="28"/>
      <c r="E42" s="28"/>
      <c r="F42" s="29"/>
      <c r="G42" s="24"/>
      <c r="H42" s="105" t="s">
        <v>90</v>
      </c>
      <c r="I42" s="105"/>
      <c r="J42" s="44">
        <f>C17+C20+C27+C37+J30+J35+J37+J38</f>
        <v>122</v>
      </c>
      <c r="K42" s="44">
        <f>D17+D20+D27+D37+K30+K35+K37+K38</f>
        <v>3409</v>
      </c>
      <c r="L42" s="44">
        <f>E17+E20+E27+E37+L30+L35+L37+L38</f>
        <v>7798</v>
      </c>
      <c r="M42" s="36"/>
    </row>
    <row r="43" spans="1:13">
      <c r="A43" s="104" t="s">
        <v>88</v>
      </c>
      <c r="B43" s="104"/>
      <c r="C43" s="28"/>
      <c r="D43" s="28"/>
      <c r="E43" s="28"/>
      <c r="F43" s="29"/>
      <c r="G43" s="24"/>
      <c r="H43" s="27"/>
      <c r="I43" s="27"/>
      <c r="J43" s="28"/>
      <c r="K43" s="28"/>
      <c r="L43" s="28"/>
      <c r="M43" s="34"/>
    </row>
    <row r="44" spans="1:13">
      <c r="A44" s="105" t="s">
        <v>89</v>
      </c>
      <c r="B44" s="105"/>
      <c r="C44" s="30"/>
      <c r="D44" s="30"/>
      <c r="E44" s="30"/>
      <c r="F44" s="31"/>
      <c r="G44" s="24"/>
      <c r="H44" s="27"/>
      <c r="I44" s="27"/>
      <c r="J44" s="34"/>
      <c r="K44" s="34"/>
      <c r="L44" s="34"/>
      <c r="M44" s="34"/>
    </row>
    <row r="45" spans="1:13">
      <c r="A45" s="104"/>
      <c r="B45" s="104"/>
      <c r="C45" s="32"/>
      <c r="D45" s="32"/>
      <c r="E45" s="32"/>
      <c r="F45" s="32"/>
      <c r="G45" s="24"/>
      <c r="H45" s="27"/>
      <c r="I45" s="27"/>
      <c r="J45" s="34"/>
      <c r="K45" s="34"/>
      <c r="L45" s="34"/>
      <c r="M45" s="34"/>
    </row>
    <row r="46" spans="1:13">
      <c r="A46" s="104"/>
      <c r="B46" s="104"/>
      <c r="C46" s="28"/>
      <c r="D46" s="28"/>
      <c r="E46" s="28"/>
      <c r="F46" s="33"/>
      <c r="G46" s="24"/>
      <c r="H46" s="35"/>
      <c r="I46" s="35"/>
      <c r="J46" s="24"/>
      <c r="K46" s="24"/>
      <c r="L46" s="24"/>
      <c r="M46" s="24"/>
    </row>
    <row r="47" spans="1:13">
      <c r="A47" s="104"/>
      <c r="B47" s="104"/>
      <c r="C47" s="28"/>
      <c r="D47" s="28"/>
      <c r="E47" s="28"/>
      <c r="F47" s="33"/>
    </row>
    <row r="48" spans="1:13">
      <c r="A48" s="104"/>
      <c r="B48" s="104"/>
      <c r="C48" s="28"/>
      <c r="D48" s="28"/>
      <c r="E48" s="28"/>
      <c r="F48" s="33"/>
    </row>
    <row r="49" spans="1:6">
      <c r="A49" s="104"/>
      <c r="B49" s="104"/>
      <c r="C49" s="28"/>
      <c r="D49" s="28"/>
      <c r="E49" s="28"/>
      <c r="F49" s="33"/>
    </row>
    <row r="50" spans="1:6">
      <c r="A50" s="104"/>
      <c r="B50" s="104"/>
      <c r="C50" s="28"/>
      <c r="D50" s="28"/>
      <c r="E50" s="28"/>
      <c r="F50" s="33"/>
    </row>
    <row r="51" spans="1:6">
      <c r="A51" s="104"/>
      <c r="B51" s="104"/>
      <c r="C51" s="28"/>
      <c r="D51" s="28"/>
      <c r="E51" s="28"/>
      <c r="F51" s="33"/>
    </row>
    <row r="52" spans="1:6">
      <c r="A52" s="104"/>
      <c r="B52" s="104"/>
      <c r="C52" s="28"/>
      <c r="D52" s="28"/>
      <c r="E52" s="28"/>
      <c r="F52" s="33"/>
    </row>
    <row r="53" spans="1:6">
      <c r="A53" s="104"/>
      <c r="B53" s="104"/>
      <c r="C53" s="28"/>
      <c r="D53" s="28"/>
      <c r="E53" s="28"/>
      <c r="F53" s="33"/>
    </row>
    <row r="54" spans="1:6">
      <c r="C54" s="18"/>
      <c r="D54" s="18"/>
      <c r="E54" s="18"/>
      <c r="F54" s="18"/>
    </row>
    <row r="55" spans="1:6">
      <c r="C55" s="18"/>
      <c r="D55" s="18"/>
      <c r="E55" s="18"/>
      <c r="F55" s="18"/>
    </row>
  </sheetData>
  <sheetProtection algorithmName="SHA-512" hashValue="tmpv6yearcrqxbZOsugtUrifWqi9icZ5KDUFbIrmVKjrodtnshsZANuzWsZvtYd0Tj03dbtoQk95RSNalU4pQg==" saltValue="PdW+Vuz/skHZwLOEbRWY5w==" spinCount="100000" sheet="1" objects="1" scenarios="1"/>
  <mergeCells count="79">
    <mergeCell ref="A8:B8"/>
    <mergeCell ref="H8:I8"/>
    <mergeCell ref="A9:B9"/>
    <mergeCell ref="H9:I9"/>
    <mergeCell ref="A10:B10"/>
    <mergeCell ref="H10:I10"/>
    <mergeCell ref="H15:I15"/>
    <mergeCell ref="H16:I16"/>
    <mergeCell ref="A11:B11"/>
    <mergeCell ref="H21:I21"/>
    <mergeCell ref="A12:B12"/>
    <mergeCell ref="A13:B13"/>
    <mergeCell ref="H11:I11"/>
    <mergeCell ref="H12:I12"/>
    <mergeCell ref="A15:B15"/>
    <mergeCell ref="H13:I13"/>
    <mergeCell ref="A14:B14"/>
    <mergeCell ref="H14:I14"/>
    <mergeCell ref="H18:I18"/>
    <mergeCell ref="H19:I19"/>
    <mergeCell ref="A17:B17"/>
    <mergeCell ref="A18:B18"/>
    <mergeCell ref="A19:B19"/>
    <mergeCell ref="H17:I17"/>
    <mergeCell ref="A20:B20"/>
    <mergeCell ref="A21:B21"/>
    <mergeCell ref="A22:B22"/>
    <mergeCell ref="A27:B27"/>
    <mergeCell ref="H28:I28"/>
    <mergeCell ref="H25:I25"/>
    <mergeCell ref="H26:I26"/>
    <mergeCell ref="H22:I22"/>
    <mergeCell ref="H23:I23"/>
    <mergeCell ref="A25:B25"/>
    <mergeCell ref="A23:B23"/>
    <mergeCell ref="H24:I24"/>
    <mergeCell ref="A24:B24"/>
    <mergeCell ref="A26:B26"/>
    <mergeCell ref="H27:I27"/>
    <mergeCell ref="H29:I29"/>
    <mergeCell ref="A35:B35"/>
    <mergeCell ref="H30:I30"/>
    <mergeCell ref="H31:I31"/>
    <mergeCell ref="A28:B28"/>
    <mergeCell ref="A29:B29"/>
    <mergeCell ref="A30:B30"/>
    <mergeCell ref="H37:I37"/>
    <mergeCell ref="A31:B31"/>
    <mergeCell ref="A32:B32"/>
    <mergeCell ref="A33:B33"/>
    <mergeCell ref="H38:I38"/>
    <mergeCell ref="H35:I35"/>
    <mergeCell ref="H36:I36"/>
    <mergeCell ref="H32:I32"/>
    <mergeCell ref="H34:I34"/>
    <mergeCell ref="A37:B37"/>
    <mergeCell ref="A36:B36"/>
    <mergeCell ref="H33:I33"/>
    <mergeCell ref="A34:B34"/>
    <mergeCell ref="H40:I40"/>
    <mergeCell ref="A42:B42"/>
    <mergeCell ref="H39:I39"/>
    <mergeCell ref="A38:B38"/>
    <mergeCell ref="A39:B39"/>
    <mergeCell ref="A40:B40"/>
    <mergeCell ref="A44:B44"/>
    <mergeCell ref="H41:I41"/>
    <mergeCell ref="A45:B45"/>
    <mergeCell ref="A46:B46"/>
    <mergeCell ref="H42:I42"/>
    <mergeCell ref="A41:B41"/>
    <mergeCell ref="A43:B43"/>
    <mergeCell ref="A53:B53"/>
    <mergeCell ref="A47:B47"/>
    <mergeCell ref="A48:B48"/>
    <mergeCell ref="A49:B49"/>
    <mergeCell ref="A50:B50"/>
    <mergeCell ref="A51:B51"/>
    <mergeCell ref="A52:B52"/>
  </mergeCells>
  <pageMargins left="0.7" right="0.7" top="0.75" bottom="0.75" header="0.3" footer="0.3"/>
  <pageSetup paperSize="9" scale="7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N53"/>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97</v>
      </c>
    </row>
    <row r="4" spans="1:14" ht="16.5">
      <c r="A4" s="19" t="s">
        <v>98</v>
      </c>
      <c r="B4" s="20"/>
      <c r="C4" s="21"/>
      <c r="D4" s="21"/>
      <c r="E4" s="21"/>
      <c r="F4" s="21"/>
      <c r="G4" s="21"/>
      <c r="H4" s="20"/>
      <c r="I4" s="20"/>
      <c r="J4" s="21"/>
      <c r="K4" s="21"/>
      <c r="L4" s="22"/>
      <c r="M4" s="21"/>
      <c r="N4" s="21"/>
    </row>
    <row r="5" spans="1:14" ht="16.5">
      <c r="A5" s="19" t="s">
        <v>99</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57</v>
      </c>
      <c r="D11" s="42">
        <v>605</v>
      </c>
      <c r="E11" s="42">
        <v>1834</v>
      </c>
      <c r="F11" s="43">
        <f>E11/E$15</f>
        <v>0.61605643265031906</v>
      </c>
      <c r="G11" s="24"/>
      <c r="H11" s="104" t="s">
        <v>37</v>
      </c>
      <c r="I11" s="104"/>
      <c r="J11" s="28"/>
      <c r="K11" s="28"/>
      <c r="L11" s="28"/>
      <c r="M11" s="33"/>
    </row>
    <row r="12" spans="1:14">
      <c r="A12" s="104" t="s">
        <v>38</v>
      </c>
      <c r="B12" s="104"/>
      <c r="C12" s="42">
        <v>11</v>
      </c>
      <c r="D12" s="42">
        <v>311</v>
      </c>
      <c r="E12" s="42">
        <v>852</v>
      </c>
      <c r="F12" s="43">
        <f t="shared" ref="F12:F13" si="0">E12/E$15</f>
        <v>0.28619415518978836</v>
      </c>
      <c r="G12" s="24"/>
      <c r="H12" s="104" t="s">
        <v>39</v>
      </c>
      <c r="I12" s="104"/>
      <c r="J12" s="28"/>
      <c r="K12" s="28"/>
      <c r="L12" s="28"/>
      <c r="M12" s="33"/>
    </row>
    <row r="13" spans="1:14">
      <c r="A13" s="104" t="s">
        <v>40</v>
      </c>
      <c r="B13" s="104"/>
      <c r="C13" s="42">
        <v>6</v>
      </c>
      <c r="D13" s="42">
        <v>119</v>
      </c>
      <c r="E13" s="42">
        <v>291</v>
      </c>
      <c r="F13" s="43">
        <f t="shared" si="0"/>
        <v>9.774941215989251E-2</v>
      </c>
      <c r="G13" s="24"/>
      <c r="H13" s="104" t="s">
        <v>41</v>
      </c>
      <c r="I13" s="104"/>
      <c r="J13" s="28"/>
      <c r="K13" s="28"/>
      <c r="L13" s="28"/>
      <c r="M13" s="33"/>
    </row>
    <row r="14" spans="1:14">
      <c r="A14" s="104" t="s">
        <v>44</v>
      </c>
      <c r="B14" s="104"/>
      <c r="C14" s="42"/>
      <c r="D14" s="42"/>
      <c r="E14" s="42"/>
      <c r="F14" s="43"/>
      <c r="G14" s="24"/>
      <c r="H14" s="104" t="s">
        <v>43</v>
      </c>
      <c r="I14" s="104"/>
      <c r="J14" s="28"/>
      <c r="K14" s="28"/>
      <c r="L14" s="28"/>
      <c r="M14" s="33"/>
    </row>
    <row r="15" spans="1:14">
      <c r="A15" s="105" t="s">
        <v>48</v>
      </c>
      <c r="B15" s="105"/>
      <c r="C15" s="44">
        <f>SUM(C11:C14)</f>
        <v>74</v>
      </c>
      <c r="D15" s="44">
        <f t="shared" ref="D15:E15" si="1">SUM(D11:D14)</f>
        <v>1035</v>
      </c>
      <c r="E15" s="44">
        <f t="shared" si="1"/>
        <v>2977</v>
      </c>
      <c r="F15" s="45">
        <v>1</v>
      </c>
      <c r="G15" s="24"/>
      <c r="H15" s="104" t="s">
        <v>45</v>
      </c>
      <c r="I15" s="104"/>
      <c r="J15" s="28"/>
      <c r="K15" s="28"/>
      <c r="L15" s="28"/>
      <c r="M15" s="33"/>
    </row>
    <row r="16" spans="1:14">
      <c r="A16" s="104"/>
      <c r="B16" s="104"/>
      <c r="C16" s="36"/>
      <c r="D16" s="36"/>
      <c r="E16" s="36"/>
      <c r="F16" s="37"/>
      <c r="G16" s="24"/>
      <c r="H16" s="104" t="s">
        <v>47</v>
      </c>
      <c r="I16" s="104"/>
      <c r="J16" s="28"/>
      <c r="K16" s="28"/>
      <c r="L16" s="28"/>
      <c r="M16" s="33"/>
    </row>
    <row r="17" spans="1:13">
      <c r="A17" s="105" t="s">
        <v>51</v>
      </c>
      <c r="B17" s="105"/>
      <c r="C17" s="38"/>
      <c r="D17" s="38"/>
      <c r="E17" s="38"/>
      <c r="F17" s="39"/>
      <c r="G17" s="24"/>
      <c r="H17" s="104" t="s">
        <v>49</v>
      </c>
      <c r="I17" s="104"/>
      <c r="J17" s="28"/>
      <c r="K17" s="28"/>
      <c r="L17" s="28"/>
      <c r="M17" s="33"/>
    </row>
    <row r="18" spans="1:13">
      <c r="A18" s="105" t="s">
        <v>53</v>
      </c>
      <c r="B18" s="105"/>
      <c r="C18" s="30">
        <v>1</v>
      </c>
      <c r="D18" s="30">
        <v>6</v>
      </c>
      <c r="E18" s="30">
        <v>12</v>
      </c>
      <c r="F18" s="45">
        <v>1</v>
      </c>
      <c r="G18" s="24"/>
      <c r="H18" s="104" t="s">
        <v>50</v>
      </c>
      <c r="I18" s="104"/>
      <c r="J18" s="28"/>
      <c r="K18" s="28"/>
      <c r="L18" s="28"/>
      <c r="M18" s="33"/>
    </row>
    <row r="19" spans="1:13">
      <c r="A19" s="105" t="s">
        <v>54</v>
      </c>
      <c r="B19" s="105"/>
      <c r="C19" s="38"/>
      <c r="D19" s="38"/>
      <c r="E19" s="38"/>
      <c r="F19" s="39"/>
      <c r="G19" s="24"/>
      <c r="H19" s="105" t="s">
        <v>52</v>
      </c>
      <c r="I19" s="105"/>
      <c r="J19" s="30"/>
      <c r="K19" s="30"/>
      <c r="L19" s="30"/>
      <c r="M19" s="31"/>
    </row>
    <row r="20" spans="1:13">
      <c r="A20" s="105" t="s">
        <v>56</v>
      </c>
      <c r="B20" s="105"/>
      <c r="C20" s="38"/>
      <c r="D20" s="38"/>
      <c r="E20" s="38"/>
      <c r="F20" s="39"/>
      <c r="G20" s="24"/>
      <c r="H20" s="36"/>
      <c r="I20" s="36"/>
      <c r="J20" s="36"/>
      <c r="K20" s="36"/>
      <c r="L20" s="36"/>
      <c r="M20" s="36"/>
    </row>
    <row r="21" spans="1:13">
      <c r="A21" s="104"/>
      <c r="B21" s="104"/>
      <c r="C21" s="36"/>
      <c r="D21" s="36"/>
      <c r="E21" s="36"/>
      <c r="F21" s="37"/>
      <c r="G21" s="24"/>
      <c r="H21" s="104" t="s">
        <v>55</v>
      </c>
      <c r="I21" s="104"/>
      <c r="J21" s="36"/>
      <c r="K21" s="36"/>
      <c r="L21" s="36"/>
      <c r="M21" s="40"/>
    </row>
    <row r="22" spans="1:13">
      <c r="A22" s="104" t="s">
        <v>59</v>
      </c>
      <c r="B22" s="104"/>
      <c r="C22" s="36"/>
      <c r="D22" s="36"/>
      <c r="E22" s="36"/>
      <c r="F22" s="37"/>
      <c r="G22" s="24"/>
      <c r="H22" s="104" t="s">
        <v>57</v>
      </c>
      <c r="I22" s="104"/>
      <c r="J22" s="36"/>
      <c r="K22" s="36"/>
      <c r="L22" s="36"/>
      <c r="M22" s="40"/>
    </row>
    <row r="23" spans="1:13">
      <c r="A23" s="104" t="s">
        <v>61</v>
      </c>
      <c r="B23" s="104"/>
      <c r="C23" s="36"/>
      <c r="D23" s="36"/>
      <c r="E23" s="36"/>
      <c r="F23" s="37"/>
      <c r="G23" s="24"/>
      <c r="H23" s="104" t="s">
        <v>58</v>
      </c>
      <c r="I23" s="104"/>
      <c r="J23" s="36"/>
      <c r="K23" s="36"/>
      <c r="L23" s="36"/>
      <c r="M23" s="40"/>
    </row>
    <row r="24" spans="1:13">
      <c r="A24" s="104" t="s">
        <v>63</v>
      </c>
      <c r="B24" s="104"/>
      <c r="C24" s="42">
        <v>2</v>
      </c>
      <c r="D24" s="42">
        <v>419</v>
      </c>
      <c r="E24" s="42">
        <v>1193</v>
      </c>
      <c r="F24" s="46">
        <v>1</v>
      </c>
      <c r="G24" s="24"/>
      <c r="H24" s="104" t="s">
        <v>60</v>
      </c>
      <c r="I24" s="104"/>
      <c r="J24" s="36"/>
      <c r="K24" s="36"/>
      <c r="L24" s="36"/>
      <c r="M24" s="40"/>
    </row>
    <row r="25" spans="1:13">
      <c r="A25" s="105" t="s">
        <v>65</v>
      </c>
      <c r="B25" s="105"/>
      <c r="C25" s="44">
        <v>2</v>
      </c>
      <c r="D25" s="44">
        <v>419</v>
      </c>
      <c r="E25" s="44">
        <v>1193</v>
      </c>
      <c r="F25" s="45">
        <v>1</v>
      </c>
      <c r="G25" s="24"/>
      <c r="H25" s="105" t="s">
        <v>64</v>
      </c>
      <c r="I25" s="105"/>
      <c r="J25" s="38"/>
      <c r="K25" s="38"/>
      <c r="L25" s="38"/>
      <c r="M25" s="39"/>
    </row>
    <row r="26" spans="1:13">
      <c r="A26" s="104"/>
      <c r="B26" s="104"/>
      <c r="C26" s="42"/>
      <c r="D26" s="42"/>
      <c r="E26" s="42"/>
      <c r="F26" s="43"/>
      <c r="G26" s="24"/>
      <c r="H26" s="104"/>
      <c r="I26" s="104"/>
      <c r="J26" s="36"/>
      <c r="K26" s="36"/>
      <c r="L26" s="36"/>
      <c r="M26" s="36"/>
    </row>
    <row r="27" spans="1:13">
      <c r="A27" s="104" t="s">
        <v>67</v>
      </c>
      <c r="B27" s="104"/>
      <c r="C27" s="42">
        <v>3</v>
      </c>
      <c r="D27" s="42">
        <v>133</v>
      </c>
      <c r="E27" s="42">
        <v>254</v>
      </c>
      <c r="F27" s="43">
        <f>E27/E$35</f>
        <v>0.10565723793677205</v>
      </c>
      <c r="G27" s="24"/>
      <c r="H27" s="104" t="s">
        <v>66</v>
      </c>
      <c r="I27" s="104"/>
      <c r="J27" s="42">
        <v>6</v>
      </c>
      <c r="K27" s="42">
        <v>160</v>
      </c>
      <c r="L27" s="42">
        <v>294</v>
      </c>
      <c r="M27" s="43">
        <f>L27/L$30</f>
        <v>0.3783783783783784</v>
      </c>
    </row>
    <row r="28" spans="1:13">
      <c r="A28" s="104" t="s">
        <v>69</v>
      </c>
      <c r="B28" s="104"/>
      <c r="C28" s="42">
        <v>5</v>
      </c>
      <c r="D28" s="42">
        <v>176</v>
      </c>
      <c r="E28" s="42">
        <v>327</v>
      </c>
      <c r="F28" s="43">
        <f t="shared" ref="F28:F32" si="2">E28/E$35</f>
        <v>0.1360232945091514</v>
      </c>
      <c r="G28" s="24"/>
      <c r="H28" s="104" t="s">
        <v>68</v>
      </c>
      <c r="I28" s="104"/>
      <c r="J28" s="42">
        <v>4</v>
      </c>
      <c r="K28" s="42">
        <v>168</v>
      </c>
      <c r="L28" s="42">
        <v>313</v>
      </c>
      <c r="M28" s="43">
        <f t="shared" ref="M28:M29" si="3">L28/L$30</f>
        <v>0.40283140283140284</v>
      </c>
    </row>
    <row r="29" spans="1:13">
      <c r="A29" s="104" t="s">
        <v>71</v>
      </c>
      <c r="B29" s="104"/>
      <c r="C29" s="42">
        <v>4</v>
      </c>
      <c r="D29" s="42">
        <v>159</v>
      </c>
      <c r="E29" s="42">
        <v>287</v>
      </c>
      <c r="F29" s="43">
        <f t="shared" si="2"/>
        <v>0.11938435940099834</v>
      </c>
      <c r="G29" s="24"/>
      <c r="H29" s="104" t="s">
        <v>70</v>
      </c>
      <c r="I29" s="104"/>
      <c r="J29" s="42">
        <v>2</v>
      </c>
      <c r="K29" s="42">
        <v>86</v>
      </c>
      <c r="L29" s="42">
        <v>170</v>
      </c>
      <c r="M29" s="43">
        <f t="shared" si="3"/>
        <v>0.21879021879021879</v>
      </c>
    </row>
    <row r="30" spans="1:13">
      <c r="A30" s="104" t="s">
        <v>73</v>
      </c>
      <c r="B30" s="104"/>
      <c r="C30" s="42"/>
      <c r="D30" s="42"/>
      <c r="E30" s="42"/>
      <c r="F30" s="43"/>
      <c r="G30" s="24"/>
      <c r="H30" s="105" t="s">
        <v>72</v>
      </c>
      <c r="I30" s="105"/>
      <c r="J30" s="44">
        <f>SUM(J27:J29)</f>
        <v>12</v>
      </c>
      <c r="K30" s="44">
        <f t="shared" ref="K30:L30" si="4">SUM(K27:K29)</f>
        <v>414</v>
      </c>
      <c r="L30" s="44">
        <f t="shared" si="4"/>
        <v>777</v>
      </c>
      <c r="M30" s="45">
        <v>1</v>
      </c>
    </row>
    <row r="31" spans="1:13">
      <c r="A31" s="104" t="s">
        <v>226</v>
      </c>
      <c r="B31" s="104"/>
      <c r="C31" s="42">
        <v>4</v>
      </c>
      <c r="D31" s="42">
        <v>804</v>
      </c>
      <c r="E31" s="42">
        <v>1500</v>
      </c>
      <c r="F31" s="43">
        <f t="shared" si="2"/>
        <v>0.62396006655574043</v>
      </c>
      <c r="G31" s="24"/>
      <c r="H31" s="104"/>
      <c r="I31" s="104"/>
      <c r="J31" s="42"/>
      <c r="K31" s="42"/>
      <c r="L31" s="42"/>
      <c r="M31" s="42"/>
    </row>
    <row r="32" spans="1:13">
      <c r="A32" s="104" t="s">
        <v>75</v>
      </c>
      <c r="B32" s="104"/>
      <c r="C32" s="42">
        <v>1</v>
      </c>
      <c r="D32" s="42">
        <v>18</v>
      </c>
      <c r="E32" s="42">
        <v>36</v>
      </c>
      <c r="F32" s="43">
        <f t="shared" si="2"/>
        <v>1.4975041597337771E-2</v>
      </c>
      <c r="G32" s="24"/>
      <c r="H32" s="104" t="s">
        <v>74</v>
      </c>
      <c r="I32" s="104"/>
      <c r="J32" s="42">
        <v>5</v>
      </c>
      <c r="K32" s="42">
        <v>119</v>
      </c>
      <c r="L32" s="42">
        <v>227</v>
      </c>
      <c r="M32" s="43">
        <f>L32/L$35</f>
        <v>0.81071428571428572</v>
      </c>
    </row>
    <row r="33" spans="1:13">
      <c r="A33" s="104" t="s">
        <v>77</v>
      </c>
      <c r="B33" s="104"/>
      <c r="C33" s="42"/>
      <c r="D33" s="42"/>
      <c r="E33" s="42"/>
      <c r="F33" s="43"/>
      <c r="G33" s="24"/>
      <c r="H33" s="104" t="s">
        <v>76</v>
      </c>
      <c r="I33" s="104"/>
      <c r="J33" s="42">
        <v>2</v>
      </c>
      <c r="K33" s="42">
        <v>28</v>
      </c>
      <c r="L33" s="42">
        <v>53</v>
      </c>
      <c r="M33" s="43">
        <f>L33/L$35</f>
        <v>0.18928571428571428</v>
      </c>
    </row>
    <row r="34" spans="1:13">
      <c r="A34" s="104" t="s">
        <v>79</v>
      </c>
      <c r="B34" s="104"/>
      <c r="C34" s="42"/>
      <c r="D34" s="42"/>
      <c r="E34" s="42"/>
      <c r="F34" s="43"/>
      <c r="G34" s="24"/>
      <c r="H34" s="104" t="s">
        <v>78</v>
      </c>
      <c r="I34" s="104"/>
      <c r="J34" s="42"/>
      <c r="K34" s="42"/>
      <c r="L34" s="42"/>
      <c r="M34" s="43"/>
    </row>
    <row r="35" spans="1:13">
      <c r="A35" s="105" t="s">
        <v>81</v>
      </c>
      <c r="B35" s="105"/>
      <c r="C35" s="44">
        <f>SUM(C27:C34)</f>
        <v>17</v>
      </c>
      <c r="D35" s="44">
        <f t="shared" ref="D35:E35" si="5">SUM(D27:D34)</f>
        <v>1290</v>
      </c>
      <c r="E35" s="44">
        <f t="shared" si="5"/>
        <v>2404</v>
      </c>
      <c r="F35" s="45">
        <v>1</v>
      </c>
      <c r="G35" s="24"/>
      <c r="H35" s="105" t="s">
        <v>80</v>
      </c>
      <c r="I35" s="105"/>
      <c r="J35" s="44">
        <f>SUM(J32:J34)</f>
        <v>7</v>
      </c>
      <c r="K35" s="44">
        <f t="shared" ref="K35:L35" si="6">SUM(K32:K34)</f>
        <v>147</v>
      </c>
      <c r="L35" s="44">
        <f t="shared" si="6"/>
        <v>280</v>
      </c>
      <c r="M35" s="45">
        <v>1</v>
      </c>
    </row>
    <row r="36" spans="1:13">
      <c r="A36" s="104"/>
      <c r="B36" s="104"/>
      <c r="C36" s="28"/>
      <c r="D36" s="28"/>
      <c r="E36" s="28"/>
      <c r="F36" s="29"/>
      <c r="G36" s="24"/>
      <c r="H36" s="104"/>
      <c r="I36" s="104"/>
      <c r="J36" s="36"/>
      <c r="K36" s="36"/>
      <c r="L36" s="36"/>
      <c r="M36" s="36"/>
    </row>
    <row r="37" spans="1:13">
      <c r="A37" s="104" t="s">
        <v>83</v>
      </c>
      <c r="B37" s="104"/>
      <c r="C37" s="28"/>
      <c r="D37" s="28"/>
      <c r="E37" s="28"/>
      <c r="F37" s="29"/>
      <c r="G37" s="24"/>
      <c r="H37" s="105" t="s">
        <v>82</v>
      </c>
      <c r="I37" s="105"/>
      <c r="J37" s="44">
        <v>8</v>
      </c>
      <c r="K37" s="44">
        <v>73</v>
      </c>
      <c r="L37" s="44">
        <v>125</v>
      </c>
      <c r="M37" s="45">
        <v>1</v>
      </c>
    </row>
    <row r="38" spans="1:13">
      <c r="A38" s="104" t="s">
        <v>85</v>
      </c>
      <c r="B38" s="104"/>
      <c r="C38" s="28"/>
      <c r="D38" s="28"/>
      <c r="E38" s="28"/>
      <c r="F38" s="29"/>
      <c r="G38" s="24"/>
      <c r="H38" s="105" t="s">
        <v>84</v>
      </c>
      <c r="I38" s="105"/>
      <c r="J38" s="44">
        <v>1</v>
      </c>
      <c r="K38" s="44">
        <v>15</v>
      </c>
      <c r="L38" s="44">
        <v>30</v>
      </c>
      <c r="M38" s="45">
        <v>1</v>
      </c>
    </row>
    <row r="39" spans="1:13">
      <c r="A39" s="104" t="s">
        <v>87</v>
      </c>
      <c r="B39" s="104"/>
      <c r="C39" s="28"/>
      <c r="D39" s="28"/>
      <c r="E39" s="28"/>
      <c r="F39" s="29"/>
      <c r="G39" s="24"/>
      <c r="H39" s="105" t="s">
        <v>86</v>
      </c>
      <c r="I39" s="105"/>
      <c r="J39" s="38"/>
      <c r="K39" s="38"/>
      <c r="L39" s="38"/>
      <c r="M39" s="41"/>
    </row>
    <row r="40" spans="1:13">
      <c r="A40" s="104" t="s">
        <v>227</v>
      </c>
      <c r="B40" s="104"/>
      <c r="C40" s="28"/>
      <c r="D40" s="28"/>
      <c r="E40" s="28"/>
      <c r="F40" s="29"/>
      <c r="G40" s="24"/>
      <c r="H40" s="105" t="s">
        <v>141</v>
      </c>
      <c r="I40" s="105"/>
      <c r="J40" s="38"/>
      <c r="K40" s="38"/>
      <c r="L40" s="38"/>
      <c r="M40" s="41"/>
    </row>
    <row r="41" spans="1:13">
      <c r="A41" s="104" t="s">
        <v>88</v>
      </c>
      <c r="B41" s="104"/>
      <c r="C41" s="28"/>
      <c r="D41" s="28"/>
      <c r="E41" s="28"/>
      <c r="F41" s="29"/>
      <c r="G41" s="24"/>
      <c r="H41" s="27"/>
      <c r="I41" s="27"/>
      <c r="J41" s="36"/>
      <c r="K41" s="36"/>
      <c r="L41" s="36"/>
      <c r="M41" s="36"/>
    </row>
    <row r="42" spans="1:13">
      <c r="A42" s="105" t="s">
        <v>89</v>
      </c>
      <c r="B42" s="105"/>
      <c r="C42" s="30"/>
      <c r="D42" s="30"/>
      <c r="E42" s="30"/>
      <c r="F42" s="31"/>
      <c r="G42" s="24"/>
      <c r="H42" s="105" t="s">
        <v>90</v>
      </c>
      <c r="I42" s="105"/>
      <c r="J42" s="44">
        <f>C15+C18+C25+C35+J30+J35+J37+J38</f>
        <v>122</v>
      </c>
      <c r="K42" s="44">
        <f>D15+D18+D25+D35+K30+K35+K37+K38</f>
        <v>3399</v>
      </c>
      <c r="L42" s="44">
        <f>E15+E18+E25+E35+L30+L35+L37+L38</f>
        <v>7798</v>
      </c>
      <c r="M42" s="36"/>
    </row>
    <row r="43" spans="1:13">
      <c r="A43" s="104"/>
      <c r="B43" s="104"/>
      <c r="C43" s="32"/>
      <c r="D43" s="32"/>
      <c r="E43" s="32"/>
      <c r="F43" s="32"/>
      <c r="G43" s="24"/>
      <c r="H43" s="27"/>
      <c r="I43" s="27"/>
      <c r="J43" s="28"/>
      <c r="K43" s="28"/>
      <c r="L43" s="28"/>
      <c r="M43" s="34"/>
    </row>
    <row r="44" spans="1:13">
      <c r="A44" s="104"/>
      <c r="B44" s="104"/>
      <c r="C44" s="28"/>
      <c r="D44" s="28"/>
      <c r="E44" s="28"/>
      <c r="F44" s="33"/>
      <c r="G44" s="24"/>
      <c r="H44" s="27"/>
      <c r="I44" s="27"/>
      <c r="J44" s="34"/>
      <c r="K44" s="34"/>
      <c r="L44" s="34"/>
      <c r="M44" s="34"/>
    </row>
    <row r="45" spans="1:13">
      <c r="A45" s="104"/>
      <c r="B45" s="104"/>
      <c r="C45" s="28"/>
      <c r="D45" s="28"/>
      <c r="E45" s="28"/>
      <c r="F45" s="33"/>
      <c r="G45" s="24"/>
      <c r="H45" s="27"/>
      <c r="I45" s="27"/>
      <c r="J45" s="34"/>
      <c r="K45" s="34"/>
      <c r="L45" s="34"/>
      <c r="M45" s="34"/>
    </row>
    <row r="46" spans="1:13">
      <c r="A46" s="104"/>
      <c r="B46" s="104"/>
      <c r="C46" s="28"/>
      <c r="D46" s="28"/>
      <c r="E46" s="28"/>
      <c r="F46" s="33"/>
      <c r="G46" s="24"/>
      <c r="H46" s="35"/>
      <c r="I46" s="35"/>
      <c r="J46" s="24"/>
      <c r="K46" s="24"/>
      <c r="L46" s="24"/>
      <c r="M46" s="24"/>
    </row>
    <row r="47" spans="1:13">
      <c r="A47" s="104"/>
      <c r="B47" s="104"/>
      <c r="C47" s="28"/>
      <c r="D47" s="28"/>
      <c r="E47" s="28"/>
      <c r="F47" s="33"/>
    </row>
    <row r="48" spans="1:13">
      <c r="A48" s="104"/>
      <c r="B48" s="104"/>
      <c r="C48" s="28"/>
      <c r="D48" s="28"/>
      <c r="E48" s="28"/>
      <c r="F48" s="33"/>
    </row>
    <row r="49" spans="1:6">
      <c r="A49" s="104"/>
      <c r="B49" s="104"/>
      <c r="C49" s="28"/>
      <c r="D49" s="28"/>
      <c r="E49" s="28"/>
      <c r="F49" s="33"/>
    </row>
    <row r="50" spans="1:6">
      <c r="A50" s="104"/>
      <c r="B50" s="104"/>
      <c r="C50" s="28"/>
      <c r="D50" s="28"/>
      <c r="E50" s="28"/>
      <c r="F50" s="33"/>
    </row>
    <row r="51" spans="1:6">
      <c r="A51" s="104"/>
      <c r="B51" s="104"/>
      <c r="C51" s="28"/>
      <c r="D51" s="28"/>
      <c r="E51" s="28"/>
      <c r="F51" s="33"/>
    </row>
    <row r="52" spans="1:6">
      <c r="A52" s="47"/>
      <c r="B52" s="47"/>
    </row>
    <row r="53" spans="1:6">
      <c r="A53" s="47"/>
      <c r="B53" s="47"/>
    </row>
  </sheetData>
  <sheetProtection algorithmName="SHA-512" hashValue="FLN8anUpSDbdiM7fptmwGGtdBHGn0KcHorMO7AQ7EbO00TFFIpK0eQNiyHEUjBqk1YdRel+ERqRt9JEudukplA==" saltValue="p3UDVcO+FTld1oYYh7cP2w==" spinCount="100000" sheet="1" objects="1" scenarios="1"/>
  <mergeCells count="77">
    <mergeCell ref="A51:B51"/>
    <mergeCell ref="A45:B45"/>
    <mergeCell ref="A46:B46"/>
    <mergeCell ref="A47:B47"/>
    <mergeCell ref="A48:B48"/>
    <mergeCell ref="A49:B49"/>
    <mergeCell ref="A50:B50"/>
    <mergeCell ref="A41:B41"/>
    <mergeCell ref="H40:I40"/>
    <mergeCell ref="A42:B42"/>
    <mergeCell ref="A43:B43"/>
    <mergeCell ref="A44:B44"/>
    <mergeCell ref="H42:I42"/>
    <mergeCell ref="H33:I33"/>
    <mergeCell ref="H35:I35"/>
    <mergeCell ref="H36:I36"/>
    <mergeCell ref="A36:B36"/>
    <mergeCell ref="A40:B40"/>
    <mergeCell ref="H39:I39"/>
    <mergeCell ref="A37:B37"/>
    <mergeCell ref="A38:B38"/>
    <mergeCell ref="H37:I37"/>
    <mergeCell ref="A39:B39"/>
    <mergeCell ref="H38:I38"/>
    <mergeCell ref="H19:I19"/>
    <mergeCell ref="H34:I34"/>
    <mergeCell ref="A26:B26"/>
    <mergeCell ref="A35:B35"/>
    <mergeCell ref="H29:I29"/>
    <mergeCell ref="H28:I28"/>
    <mergeCell ref="A28:B28"/>
    <mergeCell ref="A29:B29"/>
    <mergeCell ref="H30:I30"/>
    <mergeCell ref="H31:I31"/>
    <mergeCell ref="A34:B34"/>
    <mergeCell ref="H32:I32"/>
    <mergeCell ref="A30:B30"/>
    <mergeCell ref="A31:B31"/>
    <mergeCell ref="A32:B32"/>
    <mergeCell ref="A33:B33"/>
    <mergeCell ref="H17:I17"/>
    <mergeCell ref="A17:B17"/>
    <mergeCell ref="H27:I27"/>
    <mergeCell ref="A19:B19"/>
    <mergeCell ref="A24:B24"/>
    <mergeCell ref="A20:B20"/>
    <mergeCell ref="H25:I25"/>
    <mergeCell ref="A27:B27"/>
    <mergeCell ref="A22:B22"/>
    <mergeCell ref="H24:I24"/>
    <mergeCell ref="A23:B23"/>
    <mergeCell ref="A25:B25"/>
    <mergeCell ref="H26:I26"/>
    <mergeCell ref="A21:B21"/>
    <mergeCell ref="H23:I23"/>
    <mergeCell ref="H22:I22"/>
    <mergeCell ref="A15:B15"/>
    <mergeCell ref="A16:B16"/>
    <mergeCell ref="H15:I15"/>
    <mergeCell ref="H16:I16"/>
    <mergeCell ref="H14:I14"/>
    <mergeCell ref="H18:I18"/>
    <mergeCell ref="H21:I21"/>
    <mergeCell ref="A18:B18"/>
    <mergeCell ref="A8:B8"/>
    <mergeCell ref="H8:I8"/>
    <mergeCell ref="A9:B9"/>
    <mergeCell ref="H9:I9"/>
    <mergeCell ref="A10:B10"/>
    <mergeCell ref="A11:B11"/>
    <mergeCell ref="A12:B12"/>
    <mergeCell ref="A13:B13"/>
    <mergeCell ref="H10:I10"/>
    <mergeCell ref="A14:B14"/>
    <mergeCell ref="H11:I11"/>
    <mergeCell ref="H12:I12"/>
    <mergeCell ref="H13:I13"/>
  </mergeCells>
  <pageMargins left="0.7" right="0.7" top="0.75" bottom="0.75" header="0.3" footer="0.3"/>
  <pageSetup paperSize="9" scale="7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100</v>
      </c>
    </row>
    <row r="4" spans="1:14" ht="16.5">
      <c r="A4" s="19" t="s">
        <v>101</v>
      </c>
      <c r="B4" s="20"/>
      <c r="C4" s="21"/>
      <c r="D4" s="21"/>
      <c r="E4" s="21"/>
      <c r="F4" s="21"/>
      <c r="G4" s="21"/>
      <c r="H4" s="20"/>
      <c r="I4" s="20"/>
      <c r="J4" s="21"/>
      <c r="K4" s="21"/>
      <c r="L4" s="22"/>
      <c r="M4" s="21"/>
      <c r="N4" s="21"/>
    </row>
    <row r="5" spans="1:14" ht="16.5">
      <c r="A5" s="19" t="s">
        <v>102</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42">
        <v>57</v>
      </c>
      <c r="D11" s="42">
        <v>605</v>
      </c>
      <c r="E11" s="42">
        <v>1834</v>
      </c>
      <c r="F11" s="43">
        <f>E11/E$15</f>
        <v>0.61605643265031906</v>
      </c>
      <c r="G11" s="24"/>
      <c r="H11" s="104" t="s">
        <v>37</v>
      </c>
      <c r="I11" s="104"/>
      <c r="J11" s="28"/>
      <c r="K11" s="28"/>
      <c r="L11" s="28"/>
      <c r="M11" s="33"/>
    </row>
    <row r="12" spans="1:14">
      <c r="A12" s="104" t="s">
        <v>38</v>
      </c>
      <c r="B12" s="104"/>
      <c r="C12" s="42">
        <v>11</v>
      </c>
      <c r="D12" s="42">
        <v>311</v>
      </c>
      <c r="E12" s="42">
        <v>852</v>
      </c>
      <c r="F12" s="43">
        <f t="shared" ref="F12:F13" si="0">E12/E$15</f>
        <v>0.28619415518978836</v>
      </c>
      <c r="G12" s="24"/>
      <c r="H12" s="104" t="s">
        <v>39</v>
      </c>
      <c r="I12" s="104"/>
      <c r="J12" s="28"/>
      <c r="K12" s="28"/>
      <c r="L12" s="28"/>
      <c r="M12" s="33"/>
    </row>
    <row r="13" spans="1:14">
      <c r="A13" s="104" t="s">
        <v>40</v>
      </c>
      <c r="B13" s="104"/>
      <c r="C13" s="42">
        <v>6</v>
      </c>
      <c r="D13" s="42">
        <v>119</v>
      </c>
      <c r="E13" s="42">
        <v>291</v>
      </c>
      <c r="F13" s="43">
        <f t="shared" si="0"/>
        <v>9.774941215989251E-2</v>
      </c>
      <c r="G13" s="24"/>
      <c r="H13" s="104" t="s">
        <v>41</v>
      </c>
      <c r="I13" s="104"/>
      <c r="J13" s="28"/>
      <c r="K13" s="28"/>
      <c r="L13" s="28"/>
      <c r="M13" s="33"/>
    </row>
    <row r="14" spans="1:14">
      <c r="A14" s="104" t="s">
        <v>44</v>
      </c>
      <c r="B14" s="104"/>
      <c r="C14" s="42"/>
      <c r="D14" s="42"/>
      <c r="E14" s="42"/>
      <c r="F14" s="43"/>
      <c r="G14" s="24"/>
      <c r="H14" s="104" t="s">
        <v>43</v>
      </c>
      <c r="I14" s="104"/>
      <c r="J14" s="28"/>
      <c r="K14" s="28"/>
      <c r="L14" s="28"/>
      <c r="M14" s="33"/>
    </row>
    <row r="15" spans="1:14">
      <c r="A15" s="105" t="s">
        <v>48</v>
      </c>
      <c r="B15" s="105"/>
      <c r="C15" s="44">
        <f>SUM(C11:C14)</f>
        <v>74</v>
      </c>
      <c r="D15" s="44">
        <f t="shared" ref="D15:E15" si="1">SUM(D11:D14)</f>
        <v>1035</v>
      </c>
      <c r="E15" s="44">
        <f t="shared" si="1"/>
        <v>2977</v>
      </c>
      <c r="F15" s="45">
        <v>1</v>
      </c>
      <c r="G15" s="24"/>
      <c r="H15" s="104" t="s">
        <v>45</v>
      </c>
      <c r="I15" s="104"/>
      <c r="J15" s="28"/>
      <c r="K15" s="28"/>
      <c r="L15" s="28"/>
      <c r="M15" s="33"/>
    </row>
    <row r="16" spans="1:14">
      <c r="A16" s="104"/>
      <c r="B16" s="104"/>
      <c r="C16" s="36"/>
      <c r="D16" s="36"/>
      <c r="E16" s="36"/>
      <c r="F16" s="37"/>
      <c r="G16" s="24"/>
      <c r="H16" s="104" t="s">
        <v>47</v>
      </c>
      <c r="I16" s="104"/>
      <c r="J16" s="28"/>
      <c r="K16" s="28"/>
      <c r="L16" s="28"/>
      <c r="M16" s="33"/>
    </row>
    <row r="17" spans="1:13">
      <c r="A17" s="105" t="s">
        <v>51</v>
      </c>
      <c r="B17" s="105"/>
      <c r="C17" s="38"/>
      <c r="D17" s="38"/>
      <c r="E17" s="38"/>
      <c r="F17" s="39"/>
      <c r="G17" s="24"/>
      <c r="H17" s="104" t="s">
        <v>49</v>
      </c>
      <c r="I17" s="104"/>
      <c r="J17" s="28"/>
      <c r="K17" s="28"/>
      <c r="L17" s="28"/>
      <c r="M17" s="33"/>
    </row>
    <row r="18" spans="1:13">
      <c r="A18" s="105" t="s">
        <v>53</v>
      </c>
      <c r="B18" s="105"/>
      <c r="C18" s="30">
        <v>1</v>
      </c>
      <c r="D18" s="30">
        <v>6</v>
      </c>
      <c r="E18" s="30">
        <v>12</v>
      </c>
      <c r="F18" s="45">
        <v>1</v>
      </c>
      <c r="G18" s="24"/>
      <c r="H18" s="104" t="s">
        <v>50</v>
      </c>
      <c r="I18" s="104"/>
      <c r="J18" s="28"/>
      <c r="K18" s="28"/>
      <c r="L18" s="28"/>
      <c r="M18" s="33"/>
    </row>
    <row r="19" spans="1:13">
      <c r="A19" s="105" t="s">
        <v>54</v>
      </c>
      <c r="B19" s="105"/>
      <c r="C19" s="38"/>
      <c r="D19" s="38"/>
      <c r="E19" s="38"/>
      <c r="F19" s="39"/>
      <c r="G19" s="24"/>
      <c r="H19" s="105" t="s">
        <v>52</v>
      </c>
      <c r="I19" s="105"/>
      <c r="J19" s="30"/>
      <c r="K19" s="30"/>
      <c r="L19" s="30"/>
      <c r="M19" s="31"/>
    </row>
    <row r="20" spans="1:13">
      <c r="A20" s="105" t="s">
        <v>56</v>
      </c>
      <c r="B20" s="105"/>
      <c r="C20" s="38"/>
      <c r="D20" s="38"/>
      <c r="E20" s="38"/>
      <c r="F20" s="39"/>
      <c r="G20" s="24"/>
      <c r="H20" s="36"/>
      <c r="I20" s="36"/>
      <c r="J20" s="36"/>
      <c r="K20" s="36"/>
      <c r="L20" s="36"/>
      <c r="M20" s="36"/>
    </row>
    <row r="21" spans="1:13">
      <c r="A21" s="104"/>
      <c r="B21" s="104"/>
      <c r="C21" s="36"/>
      <c r="D21" s="36"/>
      <c r="E21" s="36"/>
      <c r="F21" s="37"/>
      <c r="G21" s="24"/>
      <c r="H21" s="104" t="s">
        <v>55</v>
      </c>
      <c r="I21" s="104"/>
      <c r="J21" s="36"/>
      <c r="K21" s="36"/>
      <c r="L21" s="36"/>
      <c r="M21" s="40"/>
    </row>
    <row r="22" spans="1:13">
      <c r="A22" s="104" t="s">
        <v>59</v>
      </c>
      <c r="B22" s="104"/>
      <c r="C22" s="36"/>
      <c r="D22" s="36"/>
      <c r="E22" s="36"/>
      <c r="F22" s="37"/>
      <c r="G22" s="24"/>
      <c r="H22" s="104" t="s">
        <v>57</v>
      </c>
      <c r="I22" s="104"/>
      <c r="J22" s="36"/>
      <c r="K22" s="36"/>
      <c r="L22" s="36"/>
      <c r="M22" s="40"/>
    </row>
    <row r="23" spans="1:13">
      <c r="A23" s="104" t="s">
        <v>61</v>
      </c>
      <c r="B23" s="104"/>
      <c r="C23" s="36"/>
      <c r="D23" s="36"/>
      <c r="E23" s="36"/>
      <c r="F23" s="37"/>
      <c r="G23" s="24"/>
      <c r="H23" s="104" t="s">
        <v>58</v>
      </c>
      <c r="I23" s="104"/>
      <c r="J23" s="36"/>
      <c r="K23" s="36"/>
      <c r="L23" s="36"/>
      <c r="M23" s="40"/>
    </row>
    <row r="24" spans="1:13">
      <c r="A24" s="104" t="s">
        <v>63</v>
      </c>
      <c r="B24" s="104"/>
      <c r="C24" s="42">
        <v>2</v>
      </c>
      <c r="D24" s="42">
        <v>419</v>
      </c>
      <c r="E24" s="42">
        <v>1193</v>
      </c>
      <c r="F24" s="46">
        <v>1</v>
      </c>
      <c r="G24" s="24"/>
      <c r="H24" s="104" t="s">
        <v>60</v>
      </c>
      <c r="I24" s="104"/>
      <c r="J24" s="36"/>
      <c r="K24" s="36"/>
      <c r="L24" s="36"/>
      <c r="M24" s="40"/>
    </row>
    <row r="25" spans="1:13">
      <c r="A25" s="105" t="s">
        <v>65</v>
      </c>
      <c r="B25" s="105"/>
      <c r="C25" s="44">
        <v>2</v>
      </c>
      <c r="D25" s="44">
        <v>419</v>
      </c>
      <c r="E25" s="44">
        <v>1193</v>
      </c>
      <c r="F25" s="45">
        <v>1</v>
      </c>
      <c r="G25" s="24"/>
      <c r="H25" s="105" t="s">
        <v>64</v>
      </c>
      <c r="I25" s="105"/>
      <c r="J25" s="38"/>
      <c r="K25" s="38"/>
      <c r="L25" s="38"/>
      <c r="M25" s="39"/>
    </row>
    <row r="26" spans="1:13">
      <c r="A26" s="104"/>
      <c r="B26" s="104"/>
      <c r="C26" s="42"/>
      <c r="D26" s="42"/>
      <c r="E26" s="42"/>
      <c r="F26" s="43"/>
      <c r="G26" s="24"/>
      <c r="H26" s="104"/>
      <c r="I26" s="104"/>
      <c r="J26" s="36"/>
      <c r="K26" s="36"/>
      <c r="L26" s="36"/>
      <c r="M26" s="36"/>
    </row>
    <row r="27" spans="1:13">
      <c r="A27" s="104" t="s">
        <v>67</v>
      </c>
      <c r="B27" s="104"/>
      <c r="C27" s="42">
        <v>3</v>
      </c>
      <c r="D27" s="42">
        <v>133</v>
      </c>
      <c r="E27" s="42">
        <v>254</v>
      </c>
      <c r="F27" s="43">
        <f>E27/E$35</f>
        <v>0.10565723793677205</v>
      </c>
      <c r="G27" s="24"/>
      <c r="H27" s="104" t="s">
        <v>66</v>
      </c>
      <c r="I27" s="104"/>
      <c r="J27" s="42">
        <v>6</v>
      </c>
      <c r="K27" s="42">
        <v>160</v>
      </c>
      <c r="L27" s="42">
        <v>294</v>
      </c>
      <c r="M27" s="43">
        <f>L27/L$30</f>
        <v>0.3783783783783784</v>
      </c>
    </row>
    <row r="28" spans="1:13">
      <c r="A28" s="104" t="s">
        <v>69</v>
      </c>
      <c r="B28" s="104"/>
      <c r="C28" s="42">
        <v>5</v>
      </c>
      <c r="D28" s="42">
        <v>176</v>
      </c>
      <c r="E28" s="42">
        <v>327</v>
      </c>
      <c r="F28" s="43">
        <f t="shared" ref="F28:F32" si="2">E28/E$35</f>
        <v>0.1360232945091514</v>
      </c>
      <c r="G28" s="24"/>
      <c r="H28" s="104" t="s">
        <v>68</v>
      </c>
      <c r="I28" s="104"/>
      <c r="J28" s="42">
        <v>4</v>
      </c>
      <c r="K28" s="42">
        <v>168</v>
      </c>
      <c r="L28" s="42">
        <v>313</v>
      </c>
      <c r="M28" s="43">
        <f t="shared" ref="M28:M29" si="3">L28/L$30</f>
        <v>0.40283140283140284</v>
      </c>
    </row>
    <row r="29" spans="1:13">
      <c r="A29" s="104" t="s">
        <v>71</v>
      </c>
      <c r="B29" s="104"/>
      <c r="C29" s="42">
        <v>4</v>
      </c>
      <c r="D29" s="42">
        <v>159</v>
      </c>
      <c r="E29" s="42">
        <v>287</v>
      </c>
      <c r="F29" s="43">
        <f t="shared" si="2"/>
        <v>0.11938435940099834</v>
      </c>
      <c r="G29" s="24"/>
      <c r="H29" s="104" t="s">
        <v>70</v>
      </c>
      <c r="I29" s="104"/>
      <c r="J29" s="42">
        <v>2</v>
      </c>
      <c r="K29" s="42">
        <v>86</v>
      </c>
      <c r="L29" s="42">
        <v>170</v>
      </c>
      <c r="M29" s="43">
        <f t="shared" si="3"/>
        <v>0.21879021879021879</v>
      </c>
    </row>
    <row r="30" spans="1:13">
      <c r="A30" s="104" t="s">
        <v>73</v>
      </c>
      <c r="B30" s="104"/>
      <c r="C30" s="42"/>
      <c r="D30" s="42"/>
      <c r="E30" s="42"/>
      <c r="F30" s="43"/>
      <c r="G30" s="24"/>
      <c r="H30" s="105" t="s">
        <v>72</v>
      </c>
      <c r="I30" s="105"/>
      <c r="J30" s="44">
        <f>SUM(J27:J29)</f>
        <v>12</v>
      </c>
      <c r="K30" s="44">
        <f>SUM(K27:K29)</f>
        <v>414</v>
      </c>
      <c r="L30" s="44">
        <f>SUM(L27:L29)</f>
        <v>777</v>
      </c>
      <c r="M30" s="45">
        <v>1</v>
      </c>
    </row>
    <row r="31" spans="1:13">
      <c r="A31" s="104" t="s">
        <v>226</v>
      </c>
      <c r="B31" s="104"/>
      <c r="C31" s="42">
        <v>4</v>
      </c>
      <c r="D31" s="42">
        <v>804</v>
      </c>
      <c r="E31" s="42">
        <v>1500</v>
      </c>
      <c r="F31" s="43">
        <f t="shared" si="2"/>
        <v>0.62396006655574043</v>
      </c>
      <c r="G31" s="24"/>
      <c r="H31" s="104"/>
      <c r="I31" s="104"/>
      <c r="J31" s="42"/>
      <c r="K31" s="42"/>
      <c r="L31" s="42"/>
      <c r="M31" s="42"/>
    </row>
    <row r="32" spans="1:13">
      <c r="A32" s="104" t="s">
        <v>75</v>
      </c>
      <c r="B32" s="104"/>
      <c r="C32" s="42">
        <v>1</v>
      </c>
      <c r="D32" s="42">
        <v>18</v>
      </c>
      <c r="E32" s="42">
        <v>36</v>
      </c>
      <c r="F32" s="43">
        <f t="shared" si="2"/>
        <v>1.4975041597337771E-2</v>
      </c>
      <c r="G32" s="24"/>
      <c r="H32" s="104" t="s">
        <v>74</v>
      </c>
      <c r="I32" s="104"/>
      <c r="J32" s="42">
        <v>5</v>
      </c>
      <c r="K32" s="42">
        <v>119</v>
      </c>
      <c r="L32" s="42">
        <v>227</v>
      </c>
      <c r="M32" s="43">
        <f>L32/L$35</f>
        <v>0.81071428571428572</v>
      </c>
    </row>
    <row r="33" spans="1:13">
      <c r="A33" s="104" t="s">
        <v>77</v>
      </c>
      <c r="B33" s="104"/>
      <c r="C33" s="42"/>
      <c r="D33" s="42"/>
      <c r="E33" s="42"/>
      <c r="F33" s="43"/>
      <c r="G33" s="24"/>
      <c r="H33" s="104" t="s">
        <v>76</v>
      </c>
      <c r="I33" s="104"/>
      <c r="J33" s="42">
        <v>2</v>
      </c>
      <c r="K33" s="42">
        <v>28</v>
      </c>
      <c r="L33" s="42">
        <v>53</v>
      </c>
      <c r="M33" s="43">
        <f>L33/L$35</f>
        <v>0.18928571428571428</v>
      </c>
    </row>
    <row r="34" spans="1:13">
      <c r="A34" s="104" t="s">
        <v>79</v>
      </c>
      <c r="B34" s="104"/>
      <c r="C34" s="42"/>
      <c r="D34" s="42"/>
      <c r="E34" s="42"/>
      <c r="F34" s="43"/>
      <c r="G34" s="24"/>
      <c r="H34" s="104" t="s">
        <v>78</v>
      </c>
      <c r="I34" s="104"/>
      <c r="J34" s="42"/>
      <c r="K34" s="42"/>
      <c r="L34" s="42"/>
      <c r="M34" s="43"/>
    </row>
    <row r="35" spans="1:13">
      <c r="A35" s="105" t="s">
        <v>81</v>
      </c>
      <c r="B35" s="105"/>
      <c r="C35" s="44">
        <f>SUM(C27:C34)</f>
        <v>17</v>
      </c>
      <c r="D35" s="44">
        <f>SUM(D27:D34)</f>
        <v>1290</v>
      </c>
      <c r="E35" s="44">
        <f>SUM(E27:E34)</f>
        <v>2404</v>
      </c>
      <c r="F35" s="45">
        <v>1</v>
      </c>
      <c r="G35" s="24"/>
      <c r="H35" s="105" t="s">
        <v>80</v>
      </c>
      <c r="I35" s="105"/>
      <c r="J35" s="44">
        <f>SUM(J32:J34)</f>
        <v>7</v>
      </c>
      <c r="K35" s="44">
        <f t="shared" ref="K35:L35" si="4">SUM(K32:K34)</f>
        <v>147</v>
      </c>
      <c r="L35" s="44">
        <f t="shared" si="4"/>
        <v>280</v>
      </c>
      <c r="M35" s="45">
        <v>1</v>
      </c>
    </row>
    <row r="36" spans="1:13">
      <c r="A36" s="104"/>
      <c r="B36" s="104"/>
      <c r="C36" s="28"/>
      <c r="D36" s="28"/>
      <c r="E36" s="28"/>
      <c r="F36" s="29"/>
      <c r="G36" s="24"/>
      <c r="H36" s="104"/>
      <c r="I36" s="104"/>
      <c r="J36" s="36"/>
      <c r="K36" s="36"/>
      <c r="L36" s="36"/>
      <c r="M36" s="36"/>
    </row>
    <row r="37" spans="1:13">
      <c r="A37" s="104" t="s">
        <v>83</v>
      </c>
      <c r="B37" s="104"/>
      <c r="C37" s="28"/>
      <c r="D37" s="28"/>
      <c r="E37" s="28"/>
      <c r="F37" s="29"/>
      <c r="G37" s="24"/>
      <c r="H37" s="105" t="s">
        <v>82</v>
      </c>
      <c r="I37" s="105"/>
      <c r="J37" s="44">
        <v>8</v>
      </c>
      <c r="K37" s="44">
        <v>73</v>
      </c>
      <c r="L37" s="44">
        <v>125</v>
      </c>
      <c r="M37" s="45">
        <v>1</v>
      </c>
    </row>
    <row r="38" spans="1:13">
      <c r="A38" s="104" t="s">
        <v>85</v>
      </c>
      <c r="B38" s="104"/>
      <c r="C38" s="28"/>
      <c r="D38" s="28"/>
      <c r="E38" s="28"/>
      <c r="F38" s="29"/>
      <c r="G38" s="24"/>
      <c r="H38" s="105" t="s">
        <v>84</v>
      </c>
      <c r="I38" s="105"/>
      <c r="J38" s="44">
        <v>1</v>
      </c>
      <c r="K38" s="44">
        <v>15</v>
      </c>
      <c r="L38" s="44">
        <v>30</v>
      </c>
      <c r="M38" s="45">
        <v>1</v>
      </c>
    </row>
    <row r="39" spans="1:13">
      <c r="A39" s="104" t="s">
        <v>87</v>
      </c>
      <c r="B39" s="104"/>
      <c r="C39" s="28"/>
      <c r="D39" s="28"/>
      <c r="E39" s="28"/>
      <c r="F39" s="29"/>
      <c r="G39" s="24"/>
      <c r="H39" s="105" t="s">
        <v>86</v>
      </c>
      <c r="I39" s="105"/>
      <c r="J39" s="38"/>
      <c r="K39" s="38"/>
      <c r="L39" s="38"/>
      <c r="M39" s="41"/>
    </row>
    <row r="40" spans="1:13">
      <c r="A40" s="104" t="s">
        <v>227</v>
      </c>
      <c r="B40" s="104"/>
      <c r="C40" s="28"/>
      <c r="D40" s="28"/>
      <c r="E40" s="28"/>
      <c r="F40" s="29"/>
      <c r="G40" s="24"/>
      <c r="H40" s="104"/>
      <c r="I40" s="104"/>
      <c r="J40" s="36"/>
      <c r="K40" s="36"/>
      <c r="L40" s="36"/>
      <c r="M40" s="36"/>
    </row>
    <row r="41" spans="1:13">
      <c r="A41" s="104" t="s">
        <v>88</v>
      </c>
      <c r="B41" s="104"/>
      <c r="C41" s="28"/>
      <c r="D41" s="28"/>
      <c r="E41" s="28"/>
      <c r="F41" s="29"/>
      <c r="G41" s="24"/>
      <c r="H41" s="27"/>
      <c r="I41" s="27"/>
      <c r="J41" s="36"/>
      <c r="K41" s="36"/>
      <c r="L41" s="36"/>
      <c r="M41" s="36"/>
    </row>
    <row r="42" spans="1:13">
      <c r="A42" s="105" t="s">
        <v>89</v>
      </c>
      <c r="B42" s="105"/>
      <c r="C42" s="30"/>
      <c r="D42" s="30"/>
      <c r="E42" s="30"/>
      <c r="F42" s="31"/>
      <c r="G42" s="24"/>
      <c r="H42" s="105" t="s">
        <v>90</v>
      </c>
      <c r="I42" s="105"/>
      <c r="J42" s="44">
        <f>C15+C18+C25+C35+J30+J35+J37+J38</f>
        <v>122</v>
      </c>
      <c r="K42" s="44">
        <f>D15+D18+D25+D35+K30+K35+K37+K38</f>
        <v>3399</v>
      </c>
      <c r="L42" s="44">
        <f>E15+E18+E25+E35+L30+L35+L37+L38</f>
        <v>7798</v>
      </c>
      <c r="M42" s="36"/>
    </row>
    <row r="43" spans="1:13">
      <c r="A43" s="104"/>
      <c r="B43" s="104"/>
      <c r="C43" s="32"/>
      <c r="D43" s="32"/>
      <c r="E43" s="32"/>
      <c r="F43" s="32"/>
      <c r="G43" s="24"/>
      <c r="H43" s="27"/>
      <c r="I43" s="27"/>
      <c r="J43" s="28"/>
      <c r="K43" s="28"/>
      <c r="L43" s="28"/>
      <c r="M43" s="34"/>
    </row>
    <row r="44" spans="1:13">
      <c r="A44" s="104"/>
      <c r="B44" s="104"/>
      <c r="C44" s="28"/>
      <c r="D44" s="28"/>
      <c r="E44" s="28"/>
      <c r="F44" s="33"/>
      <c r="G44" s="24"/>
      <c r="H44" s="27"/>
      <c r="I44" s="27"/>
      <c r="J44" s="34"/>
      <c r="K44" s="34"/>
      <c r="L44" s="34"/>
      <c r="M44" s="34"/>
    </row>
    <row r="45" spans="1:13">
      <c r="A45" s="104"/>
      <c r="B45" s="104"/>
      <c r="C45" s="28"/>
      <c r="D45" s="28"/>
      <c r="E45" s="28"/>
      <c r="F45" s="33"/>
      <c r="G45" s="24"/>
      <c r="H45" s="27"/>
      <c r="I45" s="27"/>
      <c r="J45" s="34"/>
      <c r="K45" s="34"/>
      <c r="L45" s="34"/>
      <c r="M45" s="34"/>
    </row>
    <row r="46" spans="1:13">
      <c r="A46" s="104"/>
      <c r="B46" s="104"/>
      <c r="C46" s="28"/>
      <c r="D46" s="28"/>
      <c r="E46" s="28"/>
      <c r="F46" s="33"/>
      <c r="G46" s="24"/>
      <c r="H46" s="35"/>
      <c r="I46" s="35"/>
      <c r="J46" s="24"/>
      <c r="K46" s="24"/>
      <c r="L46" s="24"/>
      <c r="M46" s="24"/>
    </row>
    <row r="47" spans="1:13">
      <c r="A47" s="104"/>
      <c r="B47" s="104"/>
      <c r="C47" s="28"/>
      <c r="D47" s="28"/>
      <c r="E47" s="28"/>
      <c r="F47" s="33"/>
    </row>
    <row r="48" spans="1:13">
      <c r="A48" s="104"/>
      <c r="B48" s="104"/>
      <c r="C48" s="28"/>
      <c r="D48" s="28"/>
      <c r="E48" s="28"/>
      <c r="F48" s="33"/>
    </row>
    <row r="49" spans="1:6">
      <c r="A49" s="104"/>
      <c r="B49" s="104"/>
      <c r="C49" s="28"/>
      <c r="D49" s="28"/>
      <c r="E49" s="28"/>
      <c r="F49" s="33"/>
    </row>
    <row r="50" spans="1:6">
      <c r="A50" s="104"/>
      <c r="B50" s="104"/>
      <c r="C50" s="28"/>
      <c r="D50" s="28"/>
      <c r="E50" s="28"/>
      <c r="F50" s="33"/>
    </row>
    <row r="51" spans="1:6">
      <c r="A51" s="104"/>
      <c r="B51" s="104"/>
      <c r="C51" s="28"/>
      <c r="D51" s="28"/>
      <c r="E51" s="28"/>
      <c r="F51" s="33"/>
    </row>
    <row r="52" spans="1:6">
      <c r="A52" s="47"/>
      <c r="B52" s="47"/>
    </row>
    <row r="53" spans="1:6">
      <c r="A53" s="47"/>
      <c r="B53" s="47"/>
    </row>
    <row r="54" spans="1:6">
      <c r="A54" s="47"/>
      <c r="B54" s="47"/>
    </row>
    <row r="55" spans="1:6">
      <c r="A55" s="47"/>
      <c r="B55" s="47"/>
    </row>
    <row r="56" spans="1:6">
      <c r="A56" s="47"/>
      <c r="B56" s="47"/>
    </row>
  </sheetData>
  <sheetProtection algorithmName="SHA-512" hashValue="1sRwQuHHHJVYTEpDu+WZE6edTse4RqUP6kVYZjinQj5DHq/NsiW56hWHJimjYRKJVLvrRCMsFz4qO1+j4nGVmA==" saltValue="CG+kPzRxEMzrXmeRNMHgjw==" spinCount="100000" sheet="1" objects="1" scenarios="1"/>
  <mergeCells count="77">
    <mergeCell ref="A51:B51"/>
    <mergeCell ref="A45:B45"/>
    <mergeCell ref="A46:B46"/>
    <mergeCell ref="A47:B47"/>
    <mergeCell ref="A48:B48"/>
    <mergeCell ref="A49:B49"/>
    <mergeCell ref="A50:B50"/>
    <mergeCell ref="A41:B41"/>
    <mergeCell ref="H40:I40"/>
    <mergeCell ref="A42:B42"/>
    <mergeCell ref="A43:B43"/>
    <mergeCell ref="A44:B44"/>
    <mergeCell ref="H42:I42"/>
    <mergeCell ref="H33:I33"/>
    <mergeCell ref="H35:I35"/>
    <mergeCell ref="H36:I36"/>
    <mergeCell ref="A36:B36"/>
    <mergeCell ref="A40:B40"/>
    <mergeCell ref="H39:I39"/>
    <mergeCell ref="A37:B37"/>
    <mergeCell ref="A38:B38"/>
    <mergeCell ref="H37:I37"/>
    <mergeCell ref="A39:B39"/>
    <mergeCell ref="H38:I38"/>
    <mergeCell ref="H19:I19"/>
    <mergeCell ref="H34:I34"/>
    <mergeCell ref="A26:B26"/>
    <mergeCell ref="A35:B35"/>
    <mergeCell ref="H29:I29"/>
    <mergeCell ref="H28:I28"/>
    <mergeCell ref="A28:B28"/>
    <mergeCell ref="A29:B29"/>
    <mergeCell ref="H30:I30"/>
    <mergeCell ref="H31:I31"/>
    <mergeCell ref="A34:B34"/>
    <mergeCell ref="H32:I32"/>
    <mergeCell ref="A30:B30"/>
    <mergeCell ref="A31:B31"/>
    <mergeCell ref="A32:B32"/>
    <mergeCell ref="A33:B33"/>
    <mergeCell ref="H17:I17"/>
    <mergeCell ref="A17:B17"/>
    <mergeCell ref="H27:I27"/>
    <mergeCell ref="A19:B19"/>
    <mergeCell ref="A24:B24"/>
    <mergeCell ref="A20:B20"/>
    <mergeCell ref="H25:I25"/>
    <mergeCell ref="A27:B27"/>
    <mergeCell ref="A22:B22"/>
    <mergeCell ref="H24:I24"/>
    <mergeCell ref="A23:B23"/>
    <mergeCell ref="A25:B25"/>
    <mergeCell ref="H26:I26"/>
    <mergeCell ref="A21:B21"/>
    <mergeCell ref="H23:I23"/>
    <mergeCell ref="H22:I22"/>
    <mergeCell ref="A15:B15"/>
    <mergeCell ref="A16:B16"/>
    <mergeCell ref="H15:I15"/>
    <mergeCell ref="H16:I16"/>
    <mergeCell ref="H14:I14"/>
    <mergeCell ref="H18:I18"/>
    <mergeCell ref="H21:I21"/>
    <mergeCell ref="A18:B18"/>
    <mergeCell ref="A8:B8"/>
    <mergeCell ref="H8:I8"/>
    <mergeCell ref="A9:B9"/>
    <mergeCell ref="H9:I9"/>
    <mergeCell ref="A10:B10"/>
    <mergeCell ref="A11:B11"/>
    <mergeCell ref="A12:B12"/>
    <mergeCell ref="A13:B13"/>
    <mergeCell ref="H10:I10"/>
    <mergeCell ref="A14:B14"/>
    <mergeCell ref="H11:I11"/>
    <mergeCell ref="H12:I12"/>
    <mergeCell ref="H13:I13"/>
  </mergeCells>
  <pageMargins left="0.7" right="0.7" top="0.75" bottom="0.75" header="0.3" footer="0.3"/>
  <pageSetup paperSize="9" scale="70"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N53"/>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17"/>
    </row>
    <row r="3" spans="1:14" ht="16.5">
      <c r="A3" s="17" t="s">
        <v>103</v>
      </c>
    </row>
    <row r="4" spans="1:14" ht="16.5">
      <c r="A4" s="19" t="s">
        <v>104</v>
      </c>
      <c r="B4" s="20"/>
      <c r="C4" s="21"/>
      <c r="D4" s="21"/>
      <c r="E4" s="21"/>
      <c r="F4" s="21"/>
      <c r="G4" s="21"/>
      <c r="H4" s="20"/>
      <c r="I4" s="20"/>
      <c r="J4" s="21"/>
      <c r="K4" s="21"/>
      <c r="L4" s="22"/>
      <c r="M4" s="21"/>
      <c r="N4" s="21"/>
    </row>
    <row r="5" spans="1:14" ht="16.5">
      <c r="A5" s="19" t="s">
        <v>105</v>
      </c>
      <c r="B5" s="20"/>
      <c r="C5" s="21"/>
      <c r="D5" s="21"/>
      <c r="E5" s="21"/>
      <c r="F5" s="21"/>
      <c r="G5" s="21"/>
      <c r="H5" s="20"/>
      <c r="I5" s="20"/>
      <c r="J5" s="21"/>
      <c r="K5" s="21"/>
      <c r="L5" s="21"/>
      <c r="M5" s="21"/>
      <c r="N5" s="21"/>
    </row>
    <row r="8" spans="1:14">
      <c r="A8" s="102" t="s">
        <v>21</v>
      </c>
      <c r="B8" s="102"/>
      <c r="C8" s="23" t="s">
        <v>22</v>
      </c>
      <c r="D8" s="23" t="s">
        <v>23</v>
      </c>
      <c r="E8" s="23" t="s">
        <v>24</v>
      </c>
      <c r="F8" s="23" t="s">
        <v>25</v>
      </c>
      <c r="G8" s="24"/>
      <c r="H8" s="102" t="s">
        <v>21</v>
      </c>
      <c r="I8" s="102"/>
      <c r="J8" s="23" t="s">
        <v>22</v>
      </c>
      <c r="K8" s="23" t="s">
        <v>23</v>
      </c>
      <c r="L8" s="23" t="s">
        <v>24</v>
      </c>
      <c r="M8" s="23" t="s">
        <v>25</v>
      </c>
    </row>
    <row r="9" spans="1:14">
      <c r="A9" s="103" t="s">
        <v>26</v>
      </c>
      <c r="B9" s="103"/>
      <c r="C9" s="25" t="s">
        <v>27</v>
      </c>
      <c r="D9" s="25" t="s">
        <v>28</v>
      </c>
      <c r="E9" s="25" t="s">
        <v>29</v>
      </c>
      <c r="F9" s="25" t="s">
        <v>30</v>
      </c>
      <c r="G9" s="26"/>
      <c r="H9" s="103" t="s">
        <v>26</v>
      </c>
      <c r="I9" s="103"/>
      <c r="J9" s="25" t="s">
        <v>27</v>
      </c>
      <c r="K9" s="25" t="s">
        <v>28</v>
      </c>
      <c r="L9" s="25" t="s">
        <v>29</v>
      </c>
      <c r="M9" s="25" t="s">
        <v>30</v>
      </c>
      <c r="N9" s="21"/>
    </row>
    <row r="10" spans="1:14">
      <c r="A10" s="103" t="s">
        <v>31</v>
      </c>
      <c r="B10" s="103"/>
      <c r="C10" s="25" t="s">
        <v>32</v>
      </c>
      <c r="D10" s="25" t="s">
        <v>33</v>
      </c>
      <c r="E10" s="25" t="s">
        <v>34</v>
      </c>
      <c r="F10" s="25" t="s">
        <v>35</v>
      </c>
      <c r="G10" s="26"/>
      <c r="H10" s="103" t="s">
        <v>31</v>
      </c>
      <c r="I10" s="103"/>
      <c r="J10" s="25" t="s">
        <v>32</v>
      </c>
      <c r="K10" s="25" t="s">
        <v>33</v>
      </c>
      <c r="L10" s="25" t="s">
        <v>34</v>
      </c>
      <c r="M10" s="25" t="s">
        <v>35</v>
      </c>
      <c r="N10" s="21"/>
    </row>
    <row r="11" spans="1:14">
      <c r="A11" s="104" t="s">
        <v>36</v>
      </c>
      <c r="B11" s="104"/>
      <c r="C11" s="28">
        <v>58</v>
      </c>
      <c r="D11" s="28">
        <v>619</v>
      </c>
      <c r="E11" s="28">
        <v>1876</v>
      </c>
      <c r="F11" s="29">
        <f>E11/E$15</f>
        <v>0.6213978138456443</v>
      </c>
      <c r="G11" s="24"/>
      <c r="H11" s="104" t="s">
        <v>37</v>
      </c>
      <c r="I11" s="104"/>
      <c r="J11" s="28"/>
      <c r="K11" s="28"/>
      <c r="L11" s="28"/>
      <c r="M11" s="33"/>
    </row>
    <row r="12" spans="1:14">
      <c r="A12" s="104" t="s">
        <v>38</v>
      </c>
      <c r="B12" s="104"/>
      <c r="C12" s="28">
        <v>11</v>
      </c>
      <c r="D12" s="28">
        <v>311</v>
      </c>
      <c r="E12" s="28">
        <v>852</v>
      </c>
      <c r="F12" s="29">
        <f t="shared" ref="F12:F13" si="0">E12/E$15</f>
        <v>0.28221265319642264</v>
      </c>
      <c r="G12" s="24"/>
      <c r="H12" s="104" t="s">
        <v>39</v>
      </c>
      <c r="I12" s="104"/>
      <c r="J12" s="28"/>
      <c r="K12" s="28"/>
      <c r="L12" s="28"/>
      <c r="M12" s="33"/>
    </row>
    <row r="13" spans="1:14">
      <c r="A13" s="104" t="s">
        <v>40</v>
      </c>
      <c r="B13" s="104"/>
      <c r="C13" s="28">
        <v>6</v>
      </c>
      <c r="D13" s="28">
        <v>119</v>
      </c>
      <c r="E13" s="28">
        <v>291</v>
      </c>
      <c r="F13" s="29">
        <f t="shared" si="0"/>
        <v>9.6389532957933094E-2</v>
      </c>
      <c r="G13" s="24"/>
      <c r="H13" s="104" t="s">
        <v>41</v>
      </c>
      <c r="I13" s="104"/>
      <c r="J13" s="28"/>
      <c r="K13" s="28"/>
      <c r="L13" s="28"/>
      <c r="M13" s="33"/>
    </row>
    <row r="14" spans="1:14">
      <c r="A14" s="104" t="s">
        <v>44</v>
      </c>
      <c r="B14" s="104"/>
      <c r="C14" s="28"/>
      <c r="D14" s="28"/>
      <c r="E14" s="28"/>
      <c r="F14" s="29"/>
      <c r="G14" s="24"/>
      <c r="H14" s="104" t="s">
        <v>43</v>
      </c>
      <c r="I14" s="104"/>
      <c r="J14" s="28"/>
      <c r="K14" s="28"/>
      <c r="L14" s="28"/>
      <c r="M14" s="33"/>
    </row>
    <row r="15" spans="1:14">
      <c r="A15" s="105" t="s">
        <v>48</v>
      </c>
      <c r="B15" s="105"/>
      <c r="C15" s="30">
        <f>SUM(C11:C14)</f>
        <v>75</v>
      </c>
      <c r="D15" s="30">
        <f>SUM(D11:D14)</f>
        <v>1049</v>
      </c>
      <c r="E15" s="30">
        <f>SUM(E11:E14)</f>
        <v>3019</v>
      </c>
      <c r="F15" s="31">
        <v>1</v>
      </c>
      <c r="G15" s="24"/>
      <c r="H15" s="104" t="s">
        <v>45</v>
      </c>
      <c r="I15" s="104"/>
      <c r="J15" s="28"/>
      <c r="K15" s="28"/>
      <c r="L15" s="28"/>
      <c r="M15" s="33"/>
    </row>
    <row r="16" spans="1:14">
      <c r="A16" s="104"/>
      <c r="B16" s="104"/>
      <c r="C16" s="28"/>
      <c r="D16" s="28"/>
      <c r="E16" s="28"/>
      <c r="F16" s="29"/>
      <c r="G16" s="24"/>
      <c r="H16" s="104" t="s">
        <v>47</v>
      </c>
      <c r="I16" s="104"/>
      <c r="J16" s="28"/>
      <c r="K16" s="28"/>
      <c r="L16" s="28"/>
      <c r="M16" s="33"/>
    </row>
    <row r="17" spans="1:13">
      <c r="A17" s="105" t="s">
        <v>51</v>
      </c>
      <c r="B17" s="105"/>
      <c r="C17" s="30"/>
      <c r="D17" s="30"/>
      <c r="E17" s="30"/>
      <c r="F17" s="31"/>
      <c r="G17" s="24"/>
      <c r="H17" s="104" t="s">
        <v>49</v>
      </c>
      <c r="I17" s="104"/>
      <c r="J17" s="28"/>
      <c r="K17" s="28"/>
      <c r="L17" s="28"/>
      <c r="M17" s="33"/>
    </row>
    <row r="18" spans="1:13">
      <c r="A18" s="105" t="s">
        <v>53</v>
      </c>
      <c r="B18" s="105"/>
      <c r="C18" s="30">
        <v>1</v>
      </c>
      <c r="D18" s="30">
        <v>6</v>
      </c>
      <c r="E18" s="30">
        <v>12</v>
      </c>
      <c r="F18" s="45">
        <v>1</v>
      </c>
      <c r="G18" s="24"/>
      <c r="H18" s="104" t="s">
        <v>50</v>
      </c>
      <c r="I18" s="104"/>
      <c r="J18" s="28"/>
      <c r="K18" s="28"/>
      <c r="L18" s="28"/>
      <c r="M18" s="33"/>
    </row>
    <row r="19" spans="1:13">
      <c r="A19" s="105" t="s">
        <v>54</v>
      </c>
      <c r="B19" s="105"/>
      <c r="C19" s="30"/>
      <c r="D19" s="30"/>
      <c r="E19" s="30"/>
      <c r="F19" s="31"/>
      <c r="G19" s="24"/>
      <c r="H19" s="105" t="s">
        <v>52</v>
      </c>
      <c r="I19" s="105"/>
      <c r="J19" s="30"/>
      <c r="K19" s="30"/>
      <c r="L19" s="30"/>
      <c r="M19" s="31"/>
    </row>
    <row r="20" spans="1:13">
      <c r="A20" s="105" t="s">
        <v>56</v>
      </c>
      <c r="B20" s="105"/>
      <c r="C20" s="30"/>
      <c r="D20" s="30"/>
      <c r="E20" s="30"/>
      <c r="F20" s="31"/>
      <c r="G20" s="24"/>
      <c r="H20" s="27"/>
      <c r="I20" s="27"/>
      <c r="J20" s="27"/>
      <c r="K20" s="27"/>
      <c r="L20" s="27"/>
      <c r="M20" s="27"/>
    </row>
    <row r="21" spans="1:13">
      <c r="A21" s="104"/>
      <c r="B21" s="104"/>
      <c r="C21" s="28"/>
      <c r="D21" s="28"/>
      <c r="E21" s="28"/>
      <c r="F21" s="29"/>
      <c r="G21" s="24"/>
      <c r="H21" s="104" t="s">
        <v>55</v>
      </c>
      <c r="I21" s="104"/>
      <c r="J21" s="28"/>
      <c r="K21" s="28"/>
      <c r="L21" s="28"/>
      <c r="M21" s="48"/>
    </row>
    <row r="22" spans="1:13">
      <c r="A22" s="104" t="s">
        <v>59</v>
      </c>
      <c r="B22" s="104"/>
      <c r="C22" s="28"/>
      <c r="D22" s="28"/>
      <c r="E22" s="28"/>
      <c r="F22" s="29"/>
      <c r="G22" s="24"/>
      <c r="H22" s="104" t="s">
        <v>57</v>
      </c>
      <c r="I22" s="104"/>
      <c r="J22" s="28"/>
      <c r="K22" s="28"/>
      <c r="L22" s="28"/>
      <c r="M22" s="48"/>
    </row>
    <row r="23" spans="1:13">
      <c r="A23" s="104" t="s">
        <v>61</v>
      </c>
      <c r="B23" s="104"/>
      <c r="C23" s="28"/>
      <c r="D23" s="28"/>
      <c r="E23" s="28"/>
      <c r="F23" s="29"/>
      <c r="G23" s="24"/>
      <c r="H23" s="104" t="s">
        <v>58</v>
      </c>
      <c r="I23" s="104"/>
      <c r="J23" s="28"/>
      <c r="K23" s="28"/>
      <c r="L23" s="28"/>
      <c r="M23" s="48"/>
    </row>
    <row r="24" spans="1:13">
      <c r="A24" s="104" t="s">
        <v>63</v>
      </c>
      <c r="B24" s="104"/>
      <c r="C24" s="28">
        <v>2</v>
      </c>
      <c r="D24" s="28">
        <v>419</v>
      </c>
      <c r="E24" s="28">
        <v>1193</v>
      </c>
      <c r="F24" s="49">
        <v>1</v>
      </c>
      <c r="G24" s="24"/>
      <c r="H24" s="104" t="s">
        <v>60</v>
      </c>
      <c r="I24" s="104"/>
      <c r="J24" s="28"/>
      <c r="K24" s="28"/>
      <c r="L24" s="28"/>
      <c r="M24" s="48"/>
    </row>
    <row r="25" spans="1:13">
      <c r="A25" s="105" t="s">
        <v>65</v>
      </c>
      <c r="B25" s="105"/>
      <c r="C25" s="30">
        <v>2</v>
      </c>
      <c r="D25" s="30">
        <v>419</v>
      </c>
      <c r="E25" s="30">
        <v>1193</v>
      </c>
      <c r="F25" s="31">
        <v>1</v>
      </c>
      <c r="G25" s="24"/>
      <c r="H25" s="105" t="s">
        <v>64</v>
      </c>
      <c r="I25" s="105"/>
      <c r="J25" s="30"/>
      <c r="K25" s="30"/>
      <c r="L25" s="30"/>
      <c r="M25" s="31"/>
    </row>
    <row r="26" spans="1:13">
      <c r="A26" s="104"/>
      <c r="B26" s="104"/>
      <c r="C26" s="28"/>
      <c r="D26" s="28"/>
      <c r="E26" s="28"/>
      <c r="F26" s="29"/>
      <c r="G26" s="24"/>
      <c r="H26" s="104"/>
      <c r="I26" s="104"/>
      <c r="J26" s="28"/>
      <c r="K26" s="28"/>
      <c r="L26" s="28"/>
      <c r="M26" s="28"/>
    </row>
    <row r="27" spans="1:13">
      <c r="A27" s="104" t="s">
        <v>67</v>
      </c>
      <c r="B27" s="104"/>
      <c r="C27" s="28">
        <v>3</v>
      </c>
      <c r="D27" s="28">
        <v>133</v>
      </c>
      <c r="E27" s="28">
        <v>254</v>
      </c>
      <c r="F27" s="29">
        <f>E27/E$35</f>
        <v>0.10694736842105264</v>
      </c>
      <c r="G27" s="24"/>
      <c r="H27" s="104" t="s">
        <v>66</v>
      </c>
      <c r="I27" s="104"/>
      <c r="J27" s="28">
        <v>7</v>
      </c>
      <c r="K27" s="28">
        <v>199</v>
      </c>
      <c r="L27" s="28">
        <v>372</v>
      </c>
      <c r="M27" s="29">
        <f>L27/L$30</f>
        <v>0.46153846153846156</v>
      </c>
    </row>
    <row r="28" spans="1:13">
      <c r="A28" s="104" t="s">
        <v>69</v>
      </c>
      <c r="B28" s="104"/>
      <c r="C28" s="28">
        <v>6</v>
      </c>
      <c r="D28" s="28">
        <v>202</v>
      </c>
      <c r="E28" s="28">
        <v>376</v>
      </c>
      <c r="F28" s="29">
        <f t="shared" ref="F28:F32" si="1">E28/E$35</f>
        <v>0.15831578947368422</v>
      </c>
      <c r="G28" s="24"/>
      <c r="H28" s="104" t="s">
        <v>68</v>
      </c>
      <c r="I28" s="104"/>
      <c r="J28" s="28">
        <v>3</v>
      </c>
      <c r="K28" s="28">
        <v>142</v>
      </c>
      <c r="L28" s="28">
        <v>264</v>
      </c>
      <c r="M28" s="29">
        <f t="shared" ref="M28:M29" si="2">L28/L$30</f>
        <v>0.32754342431761785</v>
      </c>
    </row>
    <row r="29" spans="1:13">
      <c r="A29" s="104" t="s">
        <v>71</v>
      </c>
      <c r="B29" s="104"/>
      <c r="C29" s="28">
        <v>4</v>
      </c>
      <c r="D29" s="28">
        <v>236</v>
      </c>
      <c r="E29" s="28">
        <v>423</v>
      </c>
      <c r="F29" s="29">
        <f t="shared" si="1"/>
        <v>0.17810526315789474</v>
      </c>
      <c r="G29" s="24"/>
      <c r="H29" s="104" t="s">
        <v>70</v>
      </c>
      <c r="I29" s="104"/>
      <c r="J29" s="28">
        <v>2</v>
      </c>
      <c r="K29" s="28">
        <v>86</v>
      </c>
      <c r="L29" s="28">
        <v>170</v>
      </c>
      <c r="M29" s="29">
        <f t="shared" si="2"/>
        <v>0.21091811414392059</v>
      </c>
    </row>
    <row r="30" spans="1:13">
      <c r="A30" s="104" t="s">
        <v>73</v>
      </c>
      <c r="B30" s="104"/>
      <c r="C30" s="28"/>
      <c r="D30" s="28"/>
      <c r="E30" s="28"/>
      <c r="F30" s="29"/>
      <c r="G30" s="24"/>
      <c r="H30" s="105" t="s">
        <v>72</v>
      </c>
      <c r="I30" s="105"/>
      <c r="J30" s="30">
        <f>SUM(J27:J29)</f>
        <v>12</v>
      </c>
      <c r="K30" s="30">
        <f t="shared" ref="K30:L30" si="3">SUM(K27:K29)</f>
        <v>427</v>
      </c>
      <c r="L30" s="30">
        <f t="shared" si="3"/>
        <v>806</v>
      </c>
      <c r="M30" s="31">
        <v>1</v>
      </c>
    </row>
    <row r="31" spans="1:13">
      <c r="A31" s="104" t="s">
        <v>226</v>
      </c>
      <c r="B31" s="104"/>
      <c r="C31" s="28">
        <v>3</v>
      </c>
      <c r="D31" s="28">
        <v>688</v>
      </c>
      <c r="E31" s="28">
        <v>1286</v>
      </c>
      <c r="F31" s="29">
        <f t="shared" si="1"/>
        <v>0.54147368421052633</v>
      </c>
      <c r="G31" s="24"/>
      <c r="H31" s="104"/>
      <c r="I31" s="104"/>
      <c r="J31" s="28"/>
      <c r="K31" s="28"/>
      <c r="L31" s="28"/>
      <c r="M31" s="28"/>
    </row>
    <row r="32" spans="1:13">
      <c r="A32" s="104" t="s">
        <v>75</v>
      </c>
      <c r="B32" s="104"/>
      <c r="C32" s="28">
        <v>1</v>
      </c>
      <c r="D32" s="28">
        <v>18</v>
      </c>
      <c r="E32" s="28">
        <v>36</v>
      </c>
      <c r="F32" s="29">
        <f t="shared" si="1"/>
        <v>1.5157894736842105E-2</v>
      </c>
      <c r="G32" s="24"/>
      <c r="H32" s="104" t="s">
        <v>74</v>
      </c>
      <c r="I32" s="104"/>
      <c r="J32" s="28">
        <v>5</v>
      </c>
      <c r="K32" s="28">
        <v>119</v>
      </c>
      <c r="L32" s="28">
        <v>227</v>
      </c>
      <c r="M32" s="29">
        <f>L32/L$35</f>
        <v>0.93032786885245899</v>
      </c>
    </row>
    <row r="33" spans="1:13">
      <c r="A33" s="104" t="s">
        <v>77</v>
      </c>
      <c r="B33" s="104"/>
      <c r="C33" s="28"/>
      <c r="D33" s="28"/>
      <c r="E33" s="28"/>
      <c r="F33" s="29"/>
      <c r="G33" s="24"/>
      <c r="H33" s="104" t="s">
        <v>76</v>
      </c>
      <c r="I33" s="104"/>
      <c r="J33" s="28">
        <v>2</v>
      </c>
      <c r="K33" s="28">
        <v>25</v>
      </c>
      <c r="L33" s="28">
        <v>17</v>
      </c>
      <c r="M33" s="29">
        <f>L33/L$35</f>
        <v>6.9672131147540978E-2</v>
      </c>
    </row>
    <row r="34" spans="1:13">
      <c r="A34" s="104" t="s">
        <v>79</v>
      </c>
      <c r="B34" s="104"/>
      <c r="C34" s="28"/>
      <c r="D34" s="28"/>
      <c r="E34" s="28"/>
      <c r="F34" s="29"/>
      <c r="G34" s="24"/>
      <c r="H34" s="104" t="s">
        <v>78</v>
      </c>
      <c r="I34" s="104"/>
      <c r="J34" s="28"/>
      <c r="K34" s="28"/>
      <c r="L34" s="28"/>
      <c r="M34" s="29"/>
    </row>
    <row r="35" spans="1:13">
      <c r="A35" s="105" t="s">
        <v>81</v>
      </c>
      <c r="B35" s="105"/>
      <c r="C35" s="30">
        <f>SUM(C27:C34)</f>
        <v>17</v>
      </c>
      <c r="D35" s="30">
        <f>SUM(D27:D34)</f>
        <v>1277</v>
      </c>
      <c r="E35" s="30">
        <f>SUM(E27:E34)</f>
        <v>2375</v>
      </c>
      <c r="F35" s="31">
        <v>1</v>
      </c>
      <c r="G35" s="24"/>
      <c r="H35" s="105" t="s">
        <v>80</v>
      </c>
      <c r="I35" s="105"/>
      <c r="J35" s="30">
        <f>SUM(J32:J34)</f>
        <v>7</v>
      </c>
      <c r="K35" s="30">
        <f>SUM(K32:K34)</f>
        <v>144</v>
      </c>
      <c r="L35" s="30">
        <f>SUM(L32:L34)</f>
        <v>244</v>
      </c>
      <c r="M35" s="31">
        <v>1</v>
      </c>
    </row>
    <row r="36" spans="1:13">
      <c r="A36" s="104"/>
      <c r="B36" s="104"/>
      <c r="C36" s="28"/>
      <c r="D36" s="28"/>
      <c r="E36" s="28"/>
      <c r="F36" s="29"/>
      <c r="G36" s="24"/>
      <c r="H36" s="104"/>
      <c r="I36" s="104"/>
      <c r="J36" s="28"/>
      <c r="K36" s="28"/>
      <c r="L36" s="28"/>
      <c r="M36" s="28"/>
    </row>
    <row r="37" spans="1:13">
      <c r="A37" s="104" t="s">
        <v>83</v>
      </c>
      <c r="B37" s="104"/>
      <c r="C37" s="28"/>
      <c r="D37" s="28"/>
      <c r="E37" s="28"/>
      <c r="F37" s="29"/>
      <c r="G37" s="24"/>
      <c r="H37" s="105" t="s">
        <v>82</v>
      </c>
      <c r="I37" s="105"/>
      <c r="J37" s="30">
        <v>8</v>
      </c>
      <c r="K37" s="30">
        <v>73</v>
      </c>
      <c r="L37" s="30">
        <v>125</v>
      </c>
      <c r="M37" s="31">
        <v>1</v>
      </c>
    </row>
    <row r="38" spans="1:13">
      <c r="A38" s="104" t="s">
        <v>85</v>
      </c>
      <c r="B38" s="104"/>
      <c r="C38" s="28"/>
      <c r="D38" s="28"/>
      <c r="E38" s="28"/>
      <c r="F38" s="29"/>
      <c r="G38" s="24"/>
      <c r="H38" s="105" t="s">
        <v>84</v>
      </c>
      <c r="I38" s="105"/>
      <c r="J38" s="30">
        <v>1</v>
      </c>
      <c r="K38" s="30">
        <v>15</v>
      </c>
      <c r="L38" s="30">
        <v>30</v>
      </c>
      <c r="M38" s="31">
        <v>1</v>
      </c>
    </row>
    <row r="39" spans="1:13">
      <c r="A39" s="104" t="s">
        <v>87</v>
      </c>
      <c r="B39" s="104"/>
      <c r="C39" s="28"/>
      <c r="D39" s="28"/>
      <c r="E39" s="28"/>
      <c r="F39" s="29"/>
      <c r="G39" s="24"/>
      <c r="H39" s="105" t="s">
        <v>86</v>
      </c>
      <c r="I39" s="105"/>
      <c r="J39" s="30"/>
      <c r="K39" s="30"/>
      <c r="L39" s="30"/>
      <c r="M39" s="50"/>
    </row>
    <row r="40" spans="1:13">
      <c r="A40" s="104" t="s">
        <v>227</v>
      </c>
      <c r="B40" s="104"/>
      <c r="C40" s="28"/>
      <c r="D40" s="28"/>
      <c r="E40" s="28"/>
      <c r="F40" s="29"/>
      <c r="G40" s="24"/>
      <c r="H40" s="104"/>
      <c r="I40" s="104"/>
      <c r="J40" s="28"/>
      <c r="K40" s="28"/>
      <c r="L40" s="28"/>
      <c r="M40" s="28"/>
    </row>
    <row r="41" spans="1:13">
      <c r="A41" s="104" t="s">
        <v>88</v>
      </c>
      <c r="B41" s="104"/>
      <c r="C41" s="28"/>
      <c r="D41" s="28"/>
      <c r="E41" s="28"/>
      <c r="F41" s="29"/>
      <c r="G41" s="24"/>
      <c r="H41" s="27"/>
      <c r="I41" s="27"/>
      <c r="J41" s="28"/>
      <c r="K41" s="28"/>
      <c r="L41" s="28"/>
      <c r="M41" s="28"/>
    </row>
    <row r="42" spans="1:13">
      <c r="A42" s="105" t="s">
        <v>89</v>
      </c>
      <c r="B42" s="105"/>
      <c r="C42" s="30"/>
      <c r="D42" s="30"/>
      <c r="E42" s="30"/>
      <c r="F42" s="31"/>
      <c r="G42" s="24"/>
      <c r="H42" s="105" t="s">
        <v>90</v>
      </c>
      <c r="I42" s="105"/>
      <c r="J42" s="30">
        <f>C15+C18+C25+C35+J30+J35+J37+J38</f>
        <v>123</v>
      </c>
      <c r="K42" s="30">
        <f>D15+D18+D25+D35+K30+K35+K37+K38</f>
        <v>3410</v>
      </c>
      <c r="L42" s="30">
        <f>E15+E18+E25+E35+L30+L35+L37+L38</f>
        <v>7804</v>
      </c>
      <c r="M42" s="28"/>
    </row>
    <row r="43" spans="1:13">
      <c r="A43" s="104"/>
      <c r="B43" s="104"/>
      <c r="C43" s="32"/>
      <c r="D43" s="32"/>
      <c r="E43" s="32"/>
      <c r="F43" s="32"/>
      <c r="G43" s="24"/>
      <c r="H43" s="27"/>
      <c r="I43" s="27"/>
      <c r="J43" s="28"/>
      <c r="K43" s="28"/>
      <c r="L43" s="28"/>
      <c r="M43" s="34"/>
    </row>
    <row r="44" spans="1:13">
      <c r="C44" s="18"/>
      <c r="D44" s="18"/>
      <c r="E44" s="18"/>
      <c r="F44" s="18"/>
      <c r="G44" s="24"/>
      <c r="H44" s="27"/>
      <c r="I44" s="27"/>
      <c r="J44" s="34"/>
      <c r="K44" s="34"/>
      <c r="L44" s="34"/>
      <c r="M44" s="34"/>
    </row>
    <row r="45" spans="1:13">
      <c r="C45" s="18"/>
      <c r="D45" s="18"/>
      <c r="E45" s="18"/>
      <c r="F45" s="18"/>
      <c r="G45" s="24"/>
      <c r="H45" s="27"/>
      <c r="I45" s="27"/>
      <c r="J45" s="34"/>
      <c r="K45" s="34"/>
      <c r="L45" s="34"/>
      <c r="M45" s="34"/>
    </row>
    <row r="46" spans="1:13">
      <c r="C46" s="18"/>
      <c r="D46" s="18"/>
      <c r="E46" s="18"/>
      <c r="F46" s="18"/>
      <c r="G46" s="24"/>
      <c r="H46" s="35"/>
      <c r="I46" s="35"/>
      <c r="J46" s="24"/>
      <c r="K46" s="24"/>
      <c r="L46" s="24"/>
      <c r="M46" s="24"/>
    </row>
    <row r="47" spans="1:13">
      <c r="C47" s="18"/>
      <c r="D47" s="18"/>
      <c r="E47" s="18"/>
      <c r="F47" s="18"/>
    </row>
    <row r="48" spans="1:13">
      <c r="C48" s="18"/>
      <c r="D48" s="18"/>
      <c r="E48" s="18"/>
      <c r="F48" s="18"/>
    </row>
    <row r="49" spans="3:6">
      <c r="C49" s="18"/>
      <c r="D49" s="18"/>
      <c r="E49" s="18"/>
      <c r="F49" s="18"/>
    </row>
    <row r="50" spans="3:6">
      <c r="C50" s="18"/>
      <c r="D50" s="18"/>
      <c r="E50" s="18"/>
      <c r="F50" s="18"/>
    </row>
    <row r="51" spans="3:6">
      <c r="C51" s="18"/>
      <c r="D51" s="18"/>
      <c r="E51" s="18"/>
      <c r="F51" s="18"/>
    </row>
    <row r="52" spans="3:6">
      <c r="C52" s="18"/>
      <c r="D52" s="18"/>
      <c r="E52" s="18"/>
      <c r="F52" s="18"/>
    </row>
    <row r="53" spans="3:6">
      <c r="C53" s="18"/>
      <c r="D53" s="18"/>
      <c r="E53" s="18"/>
      <c r="F53" s="18"/>
    </row>
  </sheetData>
  <sheetProtection algorithmName="SHA-512" hashValue="B1+6PaBtRbJItNsKCzM04SOZrDC7Q148XdfKbIVshkUEHkeEv/O1zoGKdQzV6oeBOhe+0bdzuwUdWJykrJXvWQ==" saltValue="9EX8zz+pQjOXoYDYjcTKPA==" spinCount="100000" sheet="1" objects="1" scenarios="1"/>
  <mergeCells count="69">
    <mergeCell ref="A8:B8"/>
    <mergeCell ref="H8:I8"/>
    <mergeCell ref="A9:B9"/>
    <mergeCell ref="H9:I9"/>
    <mergeCell ref="A10:B10"/>
    <mergeCell ref="H10:I10"/>
    <mergeCell ref="A11:B11"/>
    <mergeCell ref="H21:I21"/>
    <mergeCell ref="A12:B12"/>
    <mergeCell ref="H22:I22"/>
    <mergeCell ref="A13:B13"/>
    <mergeCell ref="A14:B14"/>
    <mergeCell ref="H11:I11"/>
    <mergeCell ref="H12:I12"/>
    <mergeCell ref="H13:I13"/>
    <mergeCell ref="A15:B15"/>
    <mergeCell ref="H14:I14"/>
    <mergeCell ref="H15:I15"/>
    <mergeCell ref="A16:B16"/>
    <mergeCell ref="H16:I16"/>
    <mergeCell ref="A17:B17"/>
    <mergeCell ref="A18:B18"/>
    <mergeCell ref="A19:B19"/>
    <mergeCell ref="H17:I17"/>
    <mergeCell ref="H18:I18"/>
    <mergeCell ref="H28:I28"/>
    <mergeCell ref="H19:I19"/>
    <mergeCell ref="A20:B20"/>
    <mergeCell ref="H24:I24"/>
    <mergeCell ref="H23:I23"/>
    <mergeCell ref="A21:B21"/>
    <mergeCell ref="A22:B22"/>
    <mergeCell ref="A23:B23"/>
    <mergeCell ref="H25:I25"/>
    <mergeCell ref="A28:B28"/>
    <mergeCell ref="H32:I32"/>
    <mergeCell ref="A24:B24"/>
    <mergeCell ref="H33:I33"/>
    <mergeCell ref="A25:B25"/>
    <mergeCell ref="A32:B32"/>
    <mergeCell ref="H29:I29"/>
    <mergeCell ref="A29:B29"/>
    <mergeCell ref="H30:I30"/>
    <mergeCell ref="A33:B33"/>
    <mergeCell ref="H31:I31"/>
    <mergeCell ref="A26:B26"/>
    <mergeCell ref="H26:I26"/>
    <mergeCell ref="A27:B27"/>
    <mergeCell ref="A30:B30"/>
    <mergeCell ref="A31:B31"/>
    <mergeCell ref="H27:I27"/>
    <mergeCell ref="H35:I35"/>
    <mergeCell ref="H37:I37"/>
    <mergeCell ref="H34:I34"/>
    <mergeCell ref="H36:I36"/>
    <mergeCell ref="A42:B42"/>
    <mergeCell ref="A34:B34"/>
    <mergeCell ref="A35:B35"/>
    <mergeCell ref="A36:B36"/>
    <mergeCell ref="A37:B37"/>
    <mergeCell ref="A38:B38"/>
    <mergeCell ref="A43:B43"/>
    <mergeCell ref="H42:I42"/>
    <mergeCell ref="A39:B39"/>
    <mergeCell ref="H38:I38"/>
    <mergeCell ref="A40:B40"/>
    <mergeCell ref="H40:I40"/>
    <mergeCell ref="H39:I39"/>
    <mergeCell ref="A41:B41"/>
  </mergeCells>
  <pageMargins left="0.7" right="0.7" top="0.75" bottom="0.75" header="0.3" footer="0.3"/>
  <pageSetup paperSize="9" scale="70"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5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1" spans="1:14" ht="16.5">
      <c r="A1" s="17"/>
    </row>
    <row r="2" spans="1:14" ht="16.5">
      <c r="A2" s="17" t="s">
        <v>106</v>
      </c>
    </row>
    <row r="3" spans="1:14" ht="16.5">
      <c r="A3" s="19" t="s">
        <v>107</v>
      </c>
      <c r="B3" s="20"/>
      <c r="C3" s="21"/>
      <c r="D3" s="21"/>
      <c r="E3" s="21"/>
      <c r="F3" s="21"/>
      <c r="G3" s="21"/>
      <c r="H3" s="20"/>
      <c r="I3" s="20"/>
      <c r="J3" s="21"/>
      <c r="K3" s="21"/>
      <c r="L3" s="22"/>
      <c r="M3" s="21"/>
      <c r="N3" s="21"/>
    </row>
    <row r="4" spans="1:14" ht="16.5">
      <c r="A4" s="19" t="s">
        <v>108</v>
      </c>
      <c r="B4" s="20"/>
      <c r="C4" s="21"/>
      <c r="D4" s="21"/>
      <c r="E4" s="21"/>
      <c r="F4" s="21"/>
      <c r="G4" s="21"/>
      <c r="H4" s="20"/>
      <c r="I4" s="20"/>
      <c r="J4" s="21"/>
      <c r="K4" s="21"/>
      <c r="L4" s="21"/>
      <c r="M4" s="21"/>
      <c r="N4" s="21"/>
    </row>
    <row r="7" spans="1:14">
      <c r="A7" s="102" t="s">
        <v>21</v>
      </c>
      <c r="B7" s="102"/>
      <c r="C7" s="23" t="s">
        <v>22</v>
      </c>
      <c r="D7" s="23" t="s">
        <v>23</v>
      </c>
      <c r="E7" s="23" t="s">
        <v>24</v>
      </c>
      <c r="F7" s="23" t="s">
        <v>25</v>
      </c>
      <c r="G7" s="24"/>
      <c r="H7" s="102" t="s">
        <v>21</v>
      </c>
      <c r="I7" s="102"/>
      <c r="J7" s="23" t="s">
        <v>22</v>
      </c>
      <c r="K7" s="23" t="s">
        <v>23</v>
      </c>
      <c r="L7" s="23" t="s">
        <v>24</v>
      </c>
      <c r="M7" s="23" t="s">
        <v>25</v>
      </c>
    </row>
    <row r="8" spans="1:14">
      <c r="A8" s="103" t="s">
        <v>26</v>
      </c>
      <c r="B8" s="103"/>
      <c r="C8" s="25" t="s">
        <v>27</v>
      </c>
      <c r="D8" s="25" t="s">
        <v>28</v>
      </c>
      <c r="E8" s="25" t="s">
        <v>29</v>
      </c>
      <c r="F8" s="25" t="s">
        <v>30</v>
      </c>
      <c r="G8" s="26"/>
      <c r="H8" s="103" t="s">
        <v>26</v>
      </c>
      <c r="I8" s="103"/>
      <c r="J8" s="25" t="s">
        <v>27</v>
      </c>
      <c r="K8" s="25" t="s">
        <v>28</v>
      </c>
      <c r="L8" s="25" t="s">
        <v>29</v>
      </c>
      <c r="M8" s="25" t="s">
        <v>30</v>
      </c>
      <c r="N8" s="21"/>
    </row>
    <row r="9" spans="1:14">
      <c r="A9" s="103" t="s">
        <v>31</v>
      </c>
      <c r="B9" s="103"/>
      <c r="C9" s="25" t="s">
        <v>32</v>
      </c>
      <c r="D9" s="25" t="s">
        <v>33</v>
      </c>
      <c r="E9" s="25" t="s">
        <v>34</v>
      </c>
      <c r="F9" s="25" t="s">
        <v>35</v>
      </c>
      <c r="G9" s="26"/>
      <c r="H9" s="103" t="s">
        <v>31</v>
      </c>
      <c r="I9" s="103"/>
      <c r="J9" s="25" t="s">
        <v>32</v>
      </c>
      <c r="K9" s="25" t="s">
        <v>33</v>
      </c>
      <c r="L9" s="25" t="s">
        <v>34</v>
      </c>
      <c r="M9" s="25" t="s">
        <v>35</v>
      </c>
      <c r="N9" s="21"/>
    </row>
    <row r="10" spans="1:14">
      <c r="A10" s="104" t="s">
        <v>36</v>
      </c>
      <c r="B10" s="104"/>
      <c r="C10" s="28">
        <v>61</v>
      </c>
      <c r="D10" s="28">
        <v>637</v>
      </c>
      <c r="E10" s="28">
        <v>1934</v>
      </c>
      <c r="F10" s="29">
        <f>E10/E$14</f>
        <v>0.64060947333554152</v>
      </c>
      <c r="G10" s="24"/>
      <c r="H10" s="104" t="s">
        <v>37</v>
      </c>
      <c r="I10" s="104"/>
      <c r="J10" s="28"/>
      <c r="K10" s="28"/>
      <c r="L10" s="28"/>
      <c r="M10" s="33"/>
    </row>
    <row r="11" spans="1:14">
      <c r="A11" s="104" t="s">
        <v>38</v>
      </c>
      <c r="B11" s="104"/>
      <c r="C11" s="28">
        <v>8</v>
      </c>
      <c r="D11" s="28">
        <v>293</v>
      </c>
      <c r="E11" s="28">
        <v>794</v>
      </c>
      <c r="F11" s="29">
        <f t="shared" ref="F11:F12" si="0">E11/E$14</f>
        <v>0.26300099370652535</v>
      </c>
      <c r="G11" s="24"/>
      <c r="H11" s="104" t="s">
        <v>39</v>
      </c>
      <c r="I11" s="104"/>
      <c r="J11" s="28"/>
      <c r="K11" s="28"/>
      <c r="L11" s="28"/>
      <c r="M11" s="33"/>
    </row>
    <row r="12" spans="1:14">
      <c r="A12" s="104" t="s">
        <v>40</v>
      </c>
      <c r="B12" s="104"/>
      <c r="C12" s="28">
        <v>6</v>
      </c>
      <c r="D12" s="28">
        <v>119</v>
      </c>
      <c r="E12" s="28">
        <v>291</v>
      </c>
      <c r="F12" s="29">
        <f t="shared" si="0"/>
        <v>9.6389532957933094E-2</v>
      </c>
      <c r="G12" s="24"/>
      <c r="H12" s="104" t="s">
        <v>41</v>
      </c>
      <c r="I12" s="104"/>
      <c r="J12" s="28"/>
      <c r="K12" s="28"/>
      <c r="L12" s="28"/>
      <c r="M12" s="33"/>
    </row>
    <row r="13" spans="1:14">
      <c r="A13" s="104" t="s">
        <v>44</v>
      </c>
      <c r="B13" s="104"/>
      <c r="C13" s="28"/>
      <c r="D13" s="28"/>
      <c r="E13" s="28"/>
      <c r="F13" s="29"/>
      <c r="G13" s="24"/>
      <c r="H13" s="104" t="s">
        <v>43</v>
      </c>
      <c r="I13" s="104"/>
      <c r="J13" s="28"/>
      <c r="K13" s="28"/>
      <c r="L13" s="28"/>
      <c r="M13" s="33"/>
    </row>
    <row r="14" spans="1:14">
      <c r="A14" s="105" t="s">
        <v>48</v>
      </c>
      <c r="B14" s="105"/>
      <c r="C14" s="30">
        <f>SUM(C10:C13)</f>
        <v>75</v>
      </c>
      <c r="D14" s="30">
        <f>SUM(D10:D13)</f>
        <v>1049</v>
      </c>
      <c r="E14" s="30">
        <f>SUM(E10:E13)</f>
        <v>3019</v>
      </c>
      <c r="F14" s="31">
        <v>0.99999999999999989</v>
      </c>
      <c r="G14" s="24"/>
      <c r="H14" s="104" t="s">
        <v>45</v>
      </c>
      <c r="I14" s="104"/>
      <c r="J14" s="28"/>
      <c r="K14" s="28"/>
      <c r="L14" s="28"/>
      <c r="M14" s="33"/>
    </row>
    <row r="15" spans="1:14">
      <c r="A15" s="104"/>
      <c r="B15" s="104"/>
      <c r="C15" s="28"/>
      <c r="D15" s="28"/>
      <c r="E15" s="28"/>
      <c r="F15" s="29"/>
      <c r="G15" s="24"/>
      <c r="H15" s="104" t="s">
        <v>47</v>
      </c>
      <c r="I15" s="104"/>
      <c r="J15" s="28"/>
      <c r="K15" s="28"/>
      <c r="L15" s="28"/>
      <c r="M15" s="33"/>
    </row>
    <row r="16" spans="1:14">
      <c r="A16" s="105" t="s">
        <v>51</v>
      </c>
      <c r="B16" s="105"/>
      <c r="C16" s="30"/>
      <c r="D16" s="30"/>
      <c r="E16" s="30"/>
      <c r="F16" s="31"/>
      <c r="G16" s="24"/>
      <c r="H16" s="104" t="s">
        <v>49</v>
      </c>
      <c r="I16" s="104"/>
      <c r="J16" s="28"/>
      <c r="K16" s="28"/>
      <c r="L16" s="28"/>
      <c r="M16" s="33"/>
    </row>
    <row r="17" spans="1:13">
      <c r="A17" s="105" t="s">
        <v>53</v>
      </c>
      <c r="B17" s="105"/>
      <c r="C17" s="30">
        <v>1</v>
      </c>
      <c r="D17" s="30">
        <v>6</v>
      </c>
      <c r="E17" s="30">
        <v>12</v>
      </c>
      <c r="F17" s="45">
        <v>1</v>
      </c>
      <c r="G17" s="24"/>
      <c r="H17" s="104" t="s">
        <v>50</v>
      </c>
      <c r="I17" s="104"/>
      <c r="J17" s="28"/>
      <c r="K17" s="28"/>
      <c r="L17" s="28"/>
      <c r="M17" s="33"/>
    </row>
    <row r="18" spans="1:13">
      <c r="A18" s="105" t="s">
        <v>54</v>
      </c>
      <c r="B18" s="105"/>
      <c r="C18" s="30"/>
      <c r="D18" s="30"/>
      <c r="E18" s="30"/>
      <c r="F18" s="31"/>
      <c r="G18" s="24"/>
      <c r="H18" s="105" t="s">
        <v>52</v>
      </c>
      <c r="I18" s="105"/>
      <c r="J18" s="30"/>
      <c r="K18" s="30"/>
      <c r="L18" s="30"/>
      <c r="M18" s="31"/>
    </row>
    <row r="19" spans="1:13">
      <c r="A19" s="105" t="s">
        <v>56</v>
      </c>
      <c r="B19" s="105"/>
      <c r="C19" s="30"/>
      <c r="D19" s="30"/>
      <c r="E19" s="30"/>
      <c r="F19" s="31"/>
      <c r="G19" s="24"/>
      <c r="H19" s="104"/>
      <c r="I19" s="104"/>
      <c r="J19" s="104"/>
      <c r="K19" s="104"/>
      <c r="L19" s="104"/>
      <c r="M19" s="104"/>
    </row>
    <row r="20" spans="1:13">
      <c r="A20" s="104"/>
      <c r="B20" s="104"/>
      <c r="C20" s="28"/>
      <c r="D20" s="28"/>
      <c r="E20" s="28"/>
      <c r="F20" s="29"/>
      <c r="G20" s="24"/>
      <c r="H20" s="104" t="s">
        <v>55</v>
      </c>
      <c r="I20" s="104"/>
      <c r="J20" s="28"/>
      <c r="K20" s="28"/>
      <c r="L20" s="28"/>
      <c r="M20" s="48"/>
    </row>
    <row r="21" spans="1:13">
      <c r="A21" s="104" t="s">
        <v>59</v>
      </c>
      <c r="B21" s="104"/>
      <c r="C21" s="28"/>
      <c r="D21" s="28"/>
      <c r="E21" s="28"/>
      <c r="F21" s="29"/>
      <c r="G21" s="24"/>
      <c r="H21" s="104" t="s">
        <v>57</v>
      </c>
      <c r="I21" s="104"/>
      <c r="J21" s="28"/>
      <c r="K21" s="28"/>
      <c r="L21" s="28"/>
      <c r="M21" s="48"/>
    </row>
    <row r="22" spans="1:13">
      <c r="A22" s="104" t="s">
        <v>61</v>
      </c>
      <c r="B22" s="104"/>
      <c r="C22" s="28"/>
      <c r="D22" s="28"/>
      <c r="E22" s="28"/>
      <c r="F22" s="29"/>
      <c r="G22" s="24"/>
      <c r="H22" s="104" t="s">
        <v>58</v>
      </c>
      <c r="I22" s="104"/>
      <c r="J22" s="28"/>
      <c r="K22" s="28"/>
      <c r="L22" s="28"/>
      <c r="M22" s="48"/>
    </row>
    <row r="23" spans="1:13">
      <c r="A23" s="104" t="s">
        <v>63</v>
      </c>
      <c r="B23" s="104"/>
      <c r="C23" s="28">
        <v>2</v>
      </c>
      <c r="D23" s="28">
        <v>419</v>
      </c>
      <c r="E23" s="28">
        <v>1193</v>
      </c>
      <c r="F23" s="49">
        <v>1</v>
      </c>
      <c r="G23" s="24"/>
      <c r="H23" s="104" t="s">
        <v>60</v>
      </c>
      <c r="I23" s="104"/>
      <c r="J23" s="28"/>
      <c r="K23" s="28"/>
      <c r="L23" s="28"/>
      <c r="M23" s="48"/>
    </row>
    <row r="24" spans="1:13">
      <c r="A24" s="105" t="s">
        <v>65</v>
      </c>
      <c r="B24" s="105"/>
      <c r="C24" s="30">
        <v>2</v>
      </c>
      <c r="D24" s="30">
        <v>419</v>
      </c>
      <c r="E24" s="30">
        <v>1193</v>
      </c>
      <c r="F24" s="31">
        <v>1</v>
      </c>
      <c r="G24" s="24"/>
      <c r="H24" s="105" t="s">
        <v>64</v>
      </c>
      <c r="I24" s="105"/>
      <c r="J24" s="30"/>
      <c r="K24" s="30"/>
      <c r="L24" s="30"/>
      <c r="M24" s="31"/>
    </row>
    <row r="25" spans="1:13">
      <c r="A25" s="104"/>
      <c r="B25" s="104"/>
      <c r="C25" s="28"/>
      <c r="D25" s="28"/>
      <c r="E25" s="28"/>
      <c r="F25" s="29"/>
      <c r="G25" s="24"/>
      <c r="H25" s="104"/>
      <c r="I25" s="104"/>
      <c r="J25" s="28"/>
      <c r="K25" s="28"/>
      <c r="L25" s="28"/>
      <c r="M25" s="28"/>
    </row>
    <row r="26" spans="1:13">
      <c r="A26" s="104" t="s">
        <v>67</v>
      </c>
      <c r="B26" s="104"/>
      <c r="C26" s="28">
        <v>3</v>
      </c>
      <c r="D26" s="28">
        <v>133</v>
      </c>
      <c r="E26" s="28">
        <v>254</v>
      </c>
      <c r="F26" s="29">
        <f>E26/E$34</f>
        <v>0.14245653393157601</v>
      </c>
      <c r="G26" s="24"/>
      <c r="H26" s="104" t="s">
        <v>66</v>
      </c>
      <c r="I26" s="104"/>
      <c r="J26" s="28">
        <v>12</v>
      </c>
      <c r="K26" s="28">
        <v>370</v>
      </c>
      <c r="L26" s="28">
        <v>677</v>
      </c>
      <c r="M26" s="29">
        <f>L26/L$29</f>
        <v>0.53349093774625689</v>
      </c>
    </row>
    <row r="27" spans="1:13">
      <c r="A27" s="104" t="s">
        <v>69</v>
      </c>
      <c r="B27" s="104"/>
      <c r="C27" s="28">
        <v>1</v>
      </c>
      <c r="D27" s="28">
        <v>26</v>
      </c>
      <c r="E27" s="28">
        <v>49</v>
      </c>
      <c r="F27" s="29">
        <f t="shared" ref="F27:F30" si="1">E27/E$34</f>
        <v>2.7481772293886708E-2</v>
      </c>
      <c r="G27" s="24"/>
      <c r="H27" s="104" t="s">
        <v>68</v>
      </c>
      <c r="I27" s="104"/>
      <c r="J27" s="28">
        <v>5</v>
      </c>
      <c r="K27" s="28">
        <v>228</v>
      </c>
      <c r="L27" s="28">
        <v>422</v>
      </c>
      <c r="M27" s="29">
        <f t="shared" ref="M27:M28" si="2">L27/L$29</f>
        <v>0.3325453112687155</v>
      </c>
    </row>
    <row r="28" spans="1:13">
      <c r="A28" s="104" t="s">
        <v>71</v>
      </c>
      <c r="B28" s="104"/>
      <c r="C28" s="28">
        <v>2</v>
      </c>
      <c r="D28" s="28">
        <v>134</v>
      </c>
      <c r="E28" s="28">
        <v>248</v>
      </c>
      <c r="F28" s="29">
        <f t="shared" si="1"/>
        <v>0.13909141895681434</v>
      </c>
      <c r="G28" s="24"/>
      <c r="H28" s="104" t="s">
        <v>70</v>
      </c>
      <c r="I28" s="104"/>
      <c r="J28" s="28">
        <v>2</v>
      </c>
      <c r="K28" s="28">
        <v>86</v>
      </c>
      <c r="L28" s="28">
        <v>170</v>
      </c>
      <c r="M28" s="29">
        <f t="shared" si="2"/>
        <v>0.13396375098502758</v>
      </c>
    </row>
    <row r="29" spans="1:13">
      <c r="A29" s="104" t="s">
        <v>73</v>
      </c>
      <c r="B29" s="104"/>
      <c r="C29" s="28"/>
      <c r="D29" s="28"/>
      <c r="E29" s="28"/>
      <c r="F29" s="29"/>
      <c r="G29" s="24"/>
      <c r="H29" s="105" t="s">
        <v>72</v>
      </c>
      <c r="I29" s="105"/>
      <c r="J29" s="30">
        <f>SUM(J26:J28)</f>
        <v>19</v>
      </c>
      <c r="K29" s="30">
        <f>SUM(K26:K28)</f>
        <v>684</v>
      </c>
      <c r="L29" s="30">
        <f>SUM(L26:L28)</f>
        <v>1269</v>
      </c>
      <c r="M29" s="31">
        <v>1</v>
      </c>
    </row>
    <row r="30" spans="1:13">
      <c r="A30" s="104" t="s">
        <v>226</v>
      </c>
      <c r="B30" s="104"/>
      <c r="C30" s="28">
        <v>2</v>
      </c>
      <c r="D30" s="28">
        <v>661</v>
      </c>
      <c r="E30" s="28">
        <v>1232</v>
      </c>
      <c r="F30" s="29">
        <f t="shared" si="1"/>
        <v>0.69097027481772288</v>
      </c>
      <c r="G30" s="24"/>
      <c r="H30" s="104"/>
      <c r="I30" s="104"/>
      <c r="J30" s="28"/>
      <c r="K30" s="28"/>
      <c r="L30" s="28"/>
      <c r="M30" s="28"/>
    </row>
    <row r="31" spans="1:13">
      <c r="A31" s="104" t="s">
        <v>75</v>
      </c>
      <c r="B31" s="104"/>
      <c r="C31" s="28"/>
      <c r="D31" s="28"/>
      <c r="E31" s="28"/>
      <c r="F31" s="29"/>
      <c r="G31" s="24"/>
      <c r="H31" s="104" t="s">
        <v>74</v>
      </c>
      <c r="I31" s="104"/>
      <c r="J31" s="28">
        <v>5</v>
      </c>
      <c r="K31" s="28">
        <v>119</v>
      </c>
      <c r="L31" s="28">
        <v>227</v>
      </c>
      <c r="M31" s="29">
        <f>L31/L$34</f>
        <v>0.64672364672364668</v>
      </c>
    </row>
    <row r="32" spans="1:13">
      <c r="A32" s="104" t="s">
        <v>77</v>
      </c>
      <c r="B32" s="104"/>
      <c r="C32" s="28"/>
      <c r="D32" s="28"/>
      <c r="E32" s="28"/>
      <c r="F32" s="29"/>
      <c r="G32" s="24"/>
      <c r="H32" s="104" t="s">
        <v>76</v>
      </c>
      <c r="I32" s="104"/>
      <c r="J32" s="28">
        <v>2</v>
      </c>
      <c r="K32" s="28">
        <v>25</v>
      </c>
      <c r="L32" s="28">
        <v>45</v>
      </c>
      <c r="M32" s="29">
        <f t="shared" ref="M32:M33" si="3">L32/L$34</f>
        <v>0.12820512820512819</v>
      </c>
    </row>
    <row r="33" spans="1:13">
      <c r="A33" s="104" t="s">
        <v>79</v>
      </c>
      <c r="B33" s="104"/>
      <c r="C33" s="28"/>
      <c r="D33" s="28"/>
      <c r="E33" s="28"/>
      <c r="F33" s="29"/>
      <c r="G33" s="24"/>
      <c r="H33" s="104" t="s">
        <v>78</v>
      </c>
      <c r="I33" s="104"/>
      <c r="J33" s="28">
        <v>1</v>
      </c>
      <c r="K33" s="28">
        <v>41</v>
      </c>
      <c r="L33" s="28">
        <v>79</v>
      </c>
      <c r="M33" s="29">
        <f t="shared" si="3"/>
        <v>0.22507122507122507</v>
      </c>
    </row>
    <row r="34" spans="1:13">
      <c r="A34" s="105" t="s">
        <v>81</v>
      </c>
      <c r="B34" s="105"/>
      <c r="C34" s="30">
        <f>SUM(C26:C33)</f>
        <v>8</v>
      </c>
      <c r="D34" s="30">
        <f>SUM(D26:D33)</f>
        <v>954</v>
      </c>
      <c r="E34" s="30">
        <f>SUM(E26:E33)</f>
        <v>1783</v>
      </c>
      <c r="F34" s="31">
        <v>1</v>
      </c>
      <c r="G34" s="24"/>
      <c r="H34" s="105" t="s">
        <v>80</v>
      </c>
      <c r="I34" s="105"/>
      <c r="J34" s="30">
        <f>SUM(J31:J33)</f>
        <v>8</v>
      </c>
      <c r="K34" s="30">
        <f>SUM(K31:K33)</f>
        <v>185</v>
      </c>
      <c r="L34" s="30">
        <f>SUM(L31:L33)</f>
        <v>351</v>
      </c>
      <c r="M34" s="31">
        <v>1</v>
      </c>
    </row>
    <row r="35" spans="1:13">
      <c r="A35" s="104"/>
      <c r="B35" s="104"/>
      <c r="C35" s="28"/>
      <c r="D35" s="28"/>
      <c r="E35" s="28"/>
      <c r="F35" s="29"/>
      <c r="G35" s="24"/>
      <c r="H35" s="104"/>
      <c r="I35" s="104"/>
      <c r="J35" s="28"/>
      <c r="K35" s="28"/>
      <c r="L35" s="28"/>
      <c r="M35" s="28"/>
    </row>
    <row r="36" spans="1:13">
      <c r="A36" s="104" t="s">
        <v>83</v>
      </c>
      <c r="B36" s="104"/>
      <c r="C36" s="28"/>
      <c r="D36" s="28"/>
      <c r="E36" s="28"/>
      <c r="F36" s="29"/>
      <c r="G36" s="24"/>
      <c r="H36" s="105" t="s">
        <v>82</v>
      </c>
      <c r="I36" s="105"/>
      <c r="J36" s="30">
        <v>8</v>
      </c>
      <c r="K36" s="30">
        <v>73</v>
      </c>
      <c r="L36" s="30">
        <v>125</v>
      </c>
      <c r="M36" s="31">
        <v>1</v>
      </c>
    </row>
    <row r="37" spans="1:13">
      <c r="A37" s="104" t="s">
        <v>85</v>
      </c>
      <c r="B37" s="104"/>
      <c r="C37" s="28"/>
      <c r="D37" s="28"/>
      <c r="E37" s="28"/>
      <c r="F37" s="29"/>
      <c r="G37" s="24"/>
      <c r="H37" s="105" t="s">
        <v>84</v>
      </c>
      <c r="I37" s="105"/>
      <c r="J37" s="30">
        <v>1</v>
      </c>
      <c r="K37" s="30">
        <v>15</v>
      </c>
      <c r="L37" s="30">
        <v>30</v>
      </c>
      <c r="M37" s="31">
        <v>1</v>
      </c>
    </row>
    <row r="38" spans="1:13">
      <c r="A38" s="104" t="s">
        <v>87</v>
      </c>
      <c r="B38" s="104"/>
      <c r="C38" s="28"/>
      <c r="D38" s="28"/>
      <c r="E38" s="28"/>
      <c r="F38" s="29"/>
      <c r="G38" s="24"/>
      <c r="H38" s="105" t="s">
        <v>86</v>
      </c>
      <c r="I38" s="105"/>
      <c r="J38" s="30"/>
      <c r="K38" s="30"/>
      <c r="L38" s="30"/>
      <c r="M38" s="50"/>
    </row>
    <row r="39" spans="1:13">
      <c r="A39" s="104" t="s">
        <v>227</v>
      </c>
      <c r="B39" s="104"/>
      <c r="C39" s="28"/>
      <c r="D39" s="28"/>
      <c r="E39" s="28"/>
      <c r="F39" s="29"/>
      <c r="G39" s="24"/>
      <c r="H39" s="104"/>
      <c r="I39" s="104"/>
      <c r="J39" s="28"/>
      <c r="K39" s="28"/>
      <c r="L39" s="28"/>
      <c r="M39" s="28"/>
    </row>
    <row r="40" spans="1:13">
      <c r="A40" s="104" t="s">
        <v>88</v>
      </c>
      <c r="B40" s="104"/>
      <c r="C40" s="28"/>
      <c r="D40" s="28"/>
      <c r="E40" s="28"/>
      <c r="F40" s="29"/>
      <c r="G40" s="24"/>
      <c r="H40" s="27"/>
      <c r="I40" s="27"/>
      <c r="J40" s="28"/>
      <c r="K40" s="28"/>
      <c r="L40" s="28"/>
      <c r="M40" s="28"/>
    </row>
    <row r="41" spans="1:13">
      <c r="A41" s="105" t="s">
        <v>89</v>
      </c>
      <c r="B41" s="105"/>
      <c r="C41" s="30"/>
      <c r="D41" s="30"/>
      <c r="E41" s="30"/>
      <c r="F41" s="31"/>
      <c r="G41" s="24"/>
      <c r="H41" s="105" t="s">
        <v>90</v>
      </c>
      <c r="I41" s="105"/>
      <c r="J41" s="30">
        <f>C14+C17+C24+C34+J29+J34+J36+J37</f>
        <v>122</v>
      </c>
      <c r="K41" s="30">
        <f>D14+D17+D24+D34+K29+K34+K36+K37</f>
        <v>3385</v>
      </c>
      <c r="L41" s="30">
        <f>E14+E17+E24+E34+L29+L34+L36+L37</f>
        <v>7782</v>
      </c>
      <c r="M41" s="28"/>
    </row>
    <row r="42" spans="1:13">
      <c r="A42" s="104"/>
      <c r="B42" s="104"/>
      <c r="C42" s="32"/>
      <c r="D42" s="32"/>
      <c r="E42" s="32"/>
      <c r="F42" s="32"/>
      <c r="G42" s="24"/>
      <c r="H42" s="27"/>
      <c r="I42" s="27"/>
      <c r="J42" s="28"/>
      <c r="K42" s="28"/>
      <c r="L42" s="28"/>
      <c r="M42" s="34"/>
    </row>
    <row r="43" spans="1:13">
      <c r="A43" s="104"/>
      <c r="B43" s="104"/>
      <c r="C43" s="28"/>
      <c r="D43" s="28"/>
      <c r="E43" s="28"/>
      <c r="F43" s="33"/>
      <c r="G43" s="24"/>
      <c r="H43" s="27"/>
      <c r="I43" s="27"/>
      <c r="J43" s="34"/>
      <c r="K43" s="34"/>
      <c r="L43" s="34"/>
      <c r="M43" s="34"/>
    </row>
    <row r="44" spans="1:13">
      <c r="A44" s="104"/>
      <c r="B44" s="104"/>
      <c r="C44" s="28"/>
      <c r="D44" s="28"/>
      <c r="E44" s="28"/>
      <c r="F44" s="33"/>
      <c r="G44" s="24"/>
      <c r="H44" s="27"/>
      <c r="I44" s="27"/>
      <c r="J44" s="34"/>
      <c r="K44" s="34"/>
      <c r="L44" s="34"/>
      <c r="M44" s="34"/>
    </row>
    <row r="45" spans="1:13">
      <c r="C45" s="18"/>
      <c r="D45" s="18"/>
      <c r="E45" s="18"/>
      <c r="F45" s="18"/>
      <c r="G45" s="24"/>
      <c r="H45" s="35"/>
      <c r="I45" s="35"/>
      <c r="J45" s="24"/>
      <c r="K45" s="24"/>
      <c r="L45" s="24"/>
      <c r="M45" s="24"/>
    </row>
    <row r="46" spans="1:13">
      <c r="C46" s="18"/>
      <c r="D46" s="18"/>
      <c r="E46" s="18"/>
      <c r="F46" s="18"/>
    </row>
    <row r="47" spans="1:13">
      <c r="C47" s="18"/>
      <c r="D47" s="18"/>
      <c r="E47" s="18"/>
      <c r="F47" s="18"/>
    </row>
    <row r="48" spans="1:13">
      <c r="C48" s="18"/>
      <c r="D48" s="18"/>
      <c r="E48" s="18"/>
      <c r="F48" s="18"/>
    </row>
    <row r="49" spans="3:6">
      <c r="C49" s="18"/>
      <c r="D49" s="18"/>
      <c r="E49" s="18"/>
      <c r="F49" s="18"/>
    </row>
    <row r="50" spans="3:6">
      <c r="C50" s="18"/>
      <c r="D50" s="18"/>
      <c r="E50" s="18"/>
      <c r="F50" s="18"/>
    </row>
    <row r="51" spans="3:6">
      <c r="C51" s="18"/>
      <c r="D51" s="18"/>
      <c r="E51" s="18"/>
      <c r="F51" s="18"/>
    </row>
    <row r="52" spans="3:6">
      <c r="C52" s="18"/>
      <c r="D52" s="18"/>
      <c r="E52" s="18"/>
      <c r="F52" s="18"/>
    </row>
    <row r="53" spans="3:6">
      <c r="C53" s="18"/>
      <c r="D53" s="18"/>
      <c r="E53" s="18"/>
      <c r="F53" s="18"/>
    </row>
    <row r="54" spans="3:6">
      <c r="C54" s="18"/>
      <c r="D54" s="18"/>
      <c r="E54" s="18"/>
      <c r="F54" s="18"/>
    </row>
    <row r="55" spans="3:6">
      <c r="C55" s="18"/>
      <c r="D55" s="18"/>
      <c r="E55" s="18"/>
      <c r="F55" s="18"/>
    </row>
    <row r="56" spans="3:6">
      <c r="C56" s="18"/>
      <c r="D56" s="18"/>
      <c r="E56" s="18"/>
      <c r="F56" s="18"/>
    </row>
  </sheetData>
  <sheetProtection algorithmName="SHA-512" hashValue="0Y99YmuWmQt3Wk0A+hW5Ypt1eGeR/zzCC6BsSpJVsBn+O1i4jqELc/ebI53/mefi74z1Fx2fDZODIs2Z42qr7Q==" saltValue="xrcZ5n8OJhg6aXS8yaHemA==" spinCount="100000" sheet="1" objects="1" scenarios="1"/>
  <mergeCells count="74">
    <mergeCell ref="A44:B44"/>
    <mergeCell ref="A39:B39"/>
    <mergeCell ref="H38:I38"/>
    <mergeCell ref="A40:B40"/>
    <mergeCell ref="H39:I39"/>
    <mergeCell ref="A41:B41"/>
    <mergeCell ref="A42:B42"/>
    <mergeCell ref="H34:I34"/>
    <mergeCell ref="H35:I35"/>
    <mergeCell ref="H33:I33"/>
    <mergeCell ref="A43:B43"/>
    <mergeCell ref="H41:I41"/>
    <mergeCell ref="A36:B36"/>
    <mergeCell ref="A37:B37"/>
    <mergeCell ref="H36:I36"/>
    <mergeCell ref="A38:B38"/>
    <mergeCell ref="H37:I37"/>
    <mergeCell ref="A34:B34"/>
    <mergeCell ref="H31:I31"/>
    <mergeCell ref="A35:B35"/>
    <mergeCell ref="H32:I32"/>
    <mergeCell ref="A24:B24"/>
    <mergeCell ref="A32:B32"/>
    <mergeCell ref="A33:B33"/>
    <mergeCell ref="H27:I27"/>
    <mergeCell ref="A25:B25"/>
    <mergeCell ref="H28:I28"/>
    <mergeCell ref="A27:B27"/>
    <mergeCell ref="A28:B28"/>
    <mergeCell ref="A29:B29"/>
    <mergeCell ref="A30:B30"/>
    <mergeCell ref="A31:B31"/>
    <mergeCell ref="H30:I30"/>
    <mergeCell ref="A26:B26"/>
    <mergeCell ref="H10:I10"/>
    <mergeCell ref="H11:I11"/>
    <mergeCell ref="A10:B10"/>
    <mergeCell ref="H29:I29"/>
    <mergeCell ref="A21:B21"/>
    <mergeCell ref="H24:I24"/>
    <mergeCell ref="A22:B22"/>
    <mergeCell ref="H25:I25"/>
    <mergeCell ref="A23:B23"/>
    <mergeCell ref="H26:I26"/>
    <mergeCell ref="H22:I22"/>
    <mergeCell ref="H23:I23"/>
    <mergeCell ref="H21:I21"/>
    <mergeCell ref="H20:I20"/>
    <mergeCell ref="A11:B11"/>
    <mergeCell ref="A19:B19"/>
    <mergeCell ref="A7:B7"/>
    <mergeCell ref="H7:I7"/>
    <mergeCell ref="A8:B8"/>
    <mergeCell ref="H8:I8"/>
    <mergeCell ref="A9:B9"/>
    <mergeCell ref="H9:I9"/>
    <mergeCell ref="A20:B20"/>
    <mergeCell ref="A12:B12"/>
    <mergeCell ref="H19:I19"/>
    <mergeCell ref="A13:B13"/>
    <mergeCell ref="A14:B14"/>
    <mergeCell ref="H12:I12"/>
    <mergeCell ref="H15:I15"/>
    <mergeCell ref="H18:I18"/>
    <mergeCell ref="A15:B15"/>
    <mergeCell ref="A16:B16"/>
    <mergeCell ref="A17:B17"/>
    <mergeCell ref="A18:B18"/>
    <mergeCell ref="J19:K19"/>
    <mergeCell ref="L19:M19"/>
    <mergeCell ref="H16:I16"/>
    <mergeCell ref="H17:I17"/>
    <mergeCell ref="H13:I13"/>
    <mergeCell ref="H14:I14"/>
  </mergeCells>
  <pageMargins left="0.7" right="0.7" top="0.75" bottom="0.75" header="0.3" footer="0.3"/>
  <pageSetup paperSize="9" scale="70"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T46"/>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20" ht="16.5">
      <c r="A2" s="15"/>
      <c r="P2" s="9"/>
      <c r="Q2" s="9"/>
      <c r="R2" s="9"/>
      <c r="S2" s="9"/>
      <c r="T2" s="9"/>
    </row>
    <row r="3" spans="1:20" ht="16.5">
      <c r="A3" s="52" t="s">
        <v>109</v>
      </c>
    </row>
    <row r="4" spans="1:20" ht="16.5">
      <c r="A4" s="53" t="s">
        <v>110</v>
      </c>
      <c r="B4" s="54"/>
      <c r="C4" s="9"/>
      <c r="D4" s="9"/>
      <c r="E4" s="9"/>
      <c r="F4" s="9"/>
      <c r="G4" s="9"/>
      <c r="H4" s="54"/>
      <c r="I4" s="54"/>
      <c r="J4" s="9"/>
      <c r="K4" s="9"/>
      <c r="L4" s="55"/>
      <c r="M4" s="9"/>
      <c r="N4" s="9"/>
      <c r="O4" s="9"/>
      <c r="P4" s="9"/>
      <c r="Q4" s="9"/>
      <c r="R4" s="9"/>
      <c r="S4" s="9"/>
      <c r="T4" s="9"/>
    </row>
    <row r="5" spans="1:20" ht="16.5">
      <c r="A5" s="53" t="s">
        <v>111</v>
      </c>
      <c r="B5" s="54"/>
      <c r="C5" s="9"/>
      <c r="D5" s="9"/>
      <c r="E5" s="9"/>
      <c r="F5" s="9"/>
      <c r="G5" s="9"/>
      <c r="H5" s="54"/>
      <c r="I5" s="54"/>
      <c r="J5" s="9"/>
      <c r="K5" s="9"/>
      <c r="L5" s="9"/>
      <c r="M5" s="9"/>
      <c r="N5" s="9"/>
      <c r="O5" s="9"/>
      <c r="P5" s="9"/>
      <c r="Q5" s="9"/>
      <c r="R5" s="9"/>
      <c r="S5" s="9"/>
      <c r="T5" s="9"/>
    </row>
    <row r="8" spans="1:20">
      <c r="A8" s="107" t="s">
        <v>21</v>
      </c>
      <c r="B8" s="107"/>
      <c r="C8" s="63" t="s">
        <v>22</v>
      </c>
      <c r="D8" s="63" t="s">
        <v>23</v>
      </c>
      <c r="E8" s="63" t="s">
        <v>24</v>
      </c>
      <c r="F8" s="63" t="s">
        <v>25</v>
      </c>
      <c r="G8" s="56"/>
      <c r="H8" s="107" t="s">
        <v>21</v>
      </c>
      <c r="I8" s="107"/>
      <c r="J8" s="63" t="s">
        <v>22</v>
      </c>
      <c r="K8" s="63" t="s">
        <v>23</v>
      </c>
      <c r="L8" s="63" t="s">
        <v>24</v>
      </c>
      <c r="M8" s="63" t="s">
        <v>25</v>
      </c>
    </row>
    <row r="9" spans="1:20">
      <c r="A9" s="108" t="s">
        <v>26</v>
      </c>
      <c r="B9" s="108"/>
      <c r="C9" s="64" t="s">
        <v>27</v>
      </c>
      <c r="D9" s="64" t="s">
        <v>28</v>
      </c>
      <c r="E9" s="64" t="s">
        <v>29</v>
      </c>
      <c r="F9" s="64" t="s">
        <v>30</v>
      </c>
      <c r="G9" s="65"/>
      <c r="H9" s="108" t="s">
        <v>26</v>
      </c>
      <c r="I9" s="108"/>
      <c r="J9" s="64" t="s">
        <v>27</v>
      </c>
      <c r="K9" s="64" t="s">
        <v>28</v>
      </c>
      <c r="L9" s="64" t="s">
        <v>29</v>
      </c>
      <c r="M9" s="64" t="s">
        <v>30</v>
      </c>
      <c r="N9" s="9"/>
      <c r="O9" s="9"/>
      <c r="P9" s="9"/>
      <c r="Q9" s="9"/>
      <c r="R9" s="9"/>
      <c r="S9" s="9"/>
      <c r="T9" s="9"/>
    </row>
    <row r="10" spans="1:20">
      <c r="A10" s="108" t="s">
        <v>31</v>
      </c>
      <c r="B10" s="108"/>
      <c r="C10" s="64" t="s">
        <v>32</v>
      </c>
      <c r="D10" s="64" t="s">
        <v>33</v>
      </c>
      <c r="E10" s="64" t="s">
        <v>34</v>
      </c>
      <c r="F10" s="64" t="s">
        <v>35</v>
      </c>
      <c r="G10" s="65"/>
      <c r="H10" s="108" t="s">
        <v>31</v>
      </c>
      <c r="I10" s="108"/>
      <c r="J10" s="64" t="s">
        <v>32</v>
      </c>
      <c r="K10" s="64" t="s">
        <v>33</v>
      </c>
      <c r="L10" s="64" t="s">
        <v>34</v>
      </c>
      <c r="M10" s="64" t="s">
        <v>35</v>
      </c>
      <c r="N10" s="9"/>
      <c r="O10" s="9"/>
      <c r="P10" s="9"/>
      <c r="Q10" s="9"/>
      <c r="R10" s="9"/>
      <c r="S10" s="9"/>
      <c r="T10" s="9"/>
    </row>
    <row r="11" spans="1:20">
      <c r="A11" s="109" t="s">
        <v>36</v>
      </c>
      <c r="B11" s="109"/>
      <c r="C11" s="58">
        <v>62</v>
      </c>
      <c r="D11" s="58">
        <v>652</v>
      </c>
      <c r="E11" s="58">
        <v>1979</v>
      </c>
      <c r="F11" s="59">
        <f>E11/E$15</f>
        <v>0.65551507121563435</v>
      </c>
      <c r="G11" s="56"/>
      <c r="H11" s="109" t="s">
        <v>37</v>
      </c>
      <c r="I11" s="109"/>
      <c r="J11" s="58"/>
      <c r="K11" s="58"/>
      <c r="L11" s="58"/>
      <c r="M11" s="59"/>
    </row>
    <row r="12" spans="1:20">
      <c r="A12" s="109" t="s">
        <v>38</v>
      </c>
      <c r="B12" s="109"/>
      <c r="C12" s="58">
        <v>8</v>
      </c>
      <c r="D12" s="58">
        <v>293</v>
      </c>
      <c r="E12" s="58">
        <v>794</v>
      </c>
      <c r="F12" s="59">
        <f t="shared" ref="F12:F13" si="0">E12/E$15</f>
        <v>0.26300099370652535</v>
      </c>
      <c r="G12" s="56"/>
      <c r="H12" s="109" t="s">
        <v>39</v>
      </c>
      <c r="I12" s="109"/>
      <c r="J12" s="58"/>
      <c r="K12" s="58"/>
      <c r="L12" s="58"/>
      <c r="M12" s="59"/>
    </row>
    <row r="13" spans="1:20">
      <c r="A13" s="109" t="s">
        <v>40</v>
      </c>
      <c r="B13" s="109"/>
      <c r="C13" s="58">
        <v>5</v>
      </c>
      <c r="D13" s="58">
        <v>104</v>
      </c>
      <c r="E13" s="58">
        <v>246</v>
      </c>
      <c r="F13" s="59">
        <f t="shared" si="0"/>
        <v>8.1483935077840339E-2</v>
      </c>
      <c r="G13" s="56"/>
      <c r="H13" s="109" t="s">
        <v>41</v>
      </c>
      <c r="I13" s="109"/>
      <c r="J13" s="58"/>
      <c r="K13" s="58"/>
      <c r="L13" s="58"/>
      <c r="M13" s="59"/>
    </row>
    <row r="14" spans="1:20">
      <c r="A14" s="109" t="s">
        <v>44</v>
      </c>
      <c r="B14" s="109"/>
      <c r="C14" s="58"/>
      <c r="D14" s="58"/>
      <c r="E14" s="58"/>
      <c r="F14" s="59"/>
      <c r="G14" s="56"/>
      <c r="H14" s="109" t="s">
        <v>45</v>
      </c>
      <c r="I14" s="109"/>
      <c r="J14" s="58"/>
      <c r="K14" s="58"/>
      <c r="L14" s="58"/>
      <c r="M14" s="59"/>
    </row>
    <row r="15" spans="1:20">
      <c r="A15" s="110" t="s">
        <v>48</v>
      </c>
      <c r="B15" s="110"/>
      <c r="C15" s="66">
        <f>SUM(C11:C14)</f>
        <v>75</v>
      </c>
      <c r="D15" s="66">
        <f>SUM(D11:D14)</f>
        <v>1049</v>
      </c>
      <c r="E15" s="66">
        <f>SUM(E11:E14)</f>
        <v>3019</v>
      </c>
      <c r="F15" s="67">
        <v>1</v>
      </c>
      <c r="G15" s="56"/>
      <c r="H15" s="109" t="s">
        <v>49</v>
      </c>
      <c r="I15" s="109"/>
      <c r="J15" s="58"/>
      <c r="K15" s="58"/>
      <c r="L15" s="58"/>
      <c r="M15" s="59"/>
    </row>
    <row r="16" spans="1:20">
      <c r="A16" s="109"/>
      <c r="B16" s="109"/>
      <c r="C16" s="58"/>
      <c r="D16" s="58"/>
      <c r="E16" s="58"/>
      <c r="F16" s="59"/>
      <c r="G16" s="56"/>
      <c r="H16" s="110" t="s">
        <v>52</v>
      </c>
      <c r="I16" s="110"/>
      <c r="J16" s="66"/>
      <c r="K16" s="66"/>
      <c r="L16" s="66"/>
      <c r="M16" s="67"/>
    </row>
    <row r="17" spans="1:13">
      <c r="A17" s="110" t="s">
        <v>51</v>
      </c>
      <c r="B17" s="110"/>
      <c r="C17" s="66"/>
      <c r="D17" s="66"/>
      <c r="E17" s="66"/>
      <c r="F17" s="67"/>
      <c r="G17" s="56"/>
      <c r="H17" s="109"/>
      <c r="I17" s="109"/>
      <c r="J17" s="58"/>
      <c r="K17" s="58"/>
      <c r="L17" s="58"/>
      <c r="M17" s="59"/>
    </row>
    <row r="18" spans="1:13">
      <c r="A18" s="110" t="s">
        <v>53</v>
      </c>
      <c r="B18" s="110"/>
      <c r="C18" s="30">
        <v>1</v>
      </c>
      <c r="D18" s="30">
        <v>6</v>
      </c>
      <c r="E18" s="30">
        <v>12</v>
      </c>
      <c r="F18" s="45">
        <v>1</v>
      </c>
      <c r="G18" s="56"/>
      <c r="H18" s="109" t="s">
        <v>55</v>
      </c>
      <c r="I18" s="109"/>
      <c r="J18" s="58"/>
      <c r="K18" s="58"/>
      <c r="L18" s="58"/>
      <c r="M18" s="59"/>
    </row>
    <row r="19" spans="1:13">
      <c r="A19" s="110" t="s">
        <v>54</v>
      </c>
      <c r="B19" s="110"/>
      <c r="C19" s="66"/>
      <c r="D19" s="66"/>
      <c r="E19" s="66"/>
      <c r="F19" s="67"/>
      <c r="G19" s="56"/>
      <c r="H19" s="109" t="s">
        <v>57</v>
      </c>
      <c r="I19" s="109"/>
      <c r="J19" s="58"/>
      <c r="K19" s="58"/>
      <c r="L19" s="58"/>
      <c r="M19" s="59"/>
    </row>
    <row r="20" spans="1:13">
      <c r="A20" s="111"/>
      <c r="B20" s="111"/>
      <c r="C20" s="58"/>
      <c r="D20" s="58"/>
      <c r="E20" s="58"/>
      <c r="F20" s="59"/>
      <c r="G20" s="56"/>
      <c r="H20" s="109" t="s">
        <v>58</v>
      </c>
      <c r="I20" s="109"/>
      <c r="J20" s="58"/>
      <c r="K20" s="58"/>
      <c r="L20" s="58"/>
      <c r="M20" s="59"/>
    </row>
    <row r="21" spans="1:13">
      <c r="A21" s="109" t="s">
        <v>112</v>
      </c>
      <c r="B21" s="109"/>
      <c r="C21" s="58"/>
      <c r="D21" s="51"/>
      <c r="E21" s="58"/>
      <c r="F21" s="59"/>
      <c r="G21" s="56"/>
      <c r="H21" s="109" t="s">
        <v>60</v>
      </c>
      <c r="I21" s="109"/>
      <c r="J21" s="58"/>
      <c r="K21" s="58"/>
      <c r="L21" s="58"/>
      <c r="M21" s="59"/>
    </row>
    <row r="22" spans="1:13">
      <c r="A22" s="109" t="s">
        <v>113</v>
      </c>
      <c r="B22" s="109"/>
      <c r="C22" s="58"/>
      <c r="D22" s="51"/>
      <c r="E22" s="58"/>
      <c r="F22" s="59"/>
      <c r="G22" s="56"/>
      <c r="H22" s="110" t="s">
        <v>64</v>
      </c>
      <c r="I22" s="110"/>
      <c r="J22" s="66"/>
      <c r="K22" s="66"/>
      <c r="L22" s="66"/>
      <c r="M22" s="68"/>
    </row>
    <row r="23" spans="1:13">
      <c r="A23" s="109" t="s">
        <v>114</v>
      </c>
      <c r="B23" s="109"/>
      <c r="C23" s="58"/>
      <c r="D23" s="58"/>
      <c r="E23" s="58"/>
      <c r="F23" s="59"/>
      <c r="G23" s="56"/>
      <c r="H23" s="109"/>
      <c r="I23" s="109"/>
      <c r="J23" s="58"/>
      <c r="K23" s="58"/>
      <c r="L23" s="58"/>
      <c r="M23" s="59"/>
    </row>
    <row r="24" spans="1:13">
      <c r="A24" s="109" t="s">
        <v>115</v>
      </c>
      <c r="B24" s="109"/>
      <c r="C24" s="58"/>
      <c r="D24" s="58"/>
      <c r="E24" s="58"/>
      <c r="F24" s="69"/>
      <c r="G24" s="56"/>
      <c r="H24" s="109" t="s">
        <v>66</v>
      </c>
      <c r="I24" s="109"/>
      <c r="J24" s="58">
        <v>11</v>
      </c>
      <c r="K24" s="58">
        <v>316</v>
      </c>
      <c r="L24" s="58">
        <v>595</v>
      </c>
      <c r="M24" s="59">
        <f>L24/L$27</f>
        <v>0.497907949790795</v>
      </c>
    </row>
    <row r="25" spans="1:13">
      <c r="A25" s="110" t="s">
        <v>116</v>
      </c>
      <c r="B25" s="110"/>
      <c r="C25" s="66"/>
      <c r="D25" s="66"/>
      <c r="E25" s="66"/>
      <c r="F25" s="67"/>
      <c r="G25" s="56"/>
      <c r="H25" s="109" t="s">
        <v>68</v>
      </c>
      <c r="I25" s="109"/>
      <c r="J25" s="58">
        <v>4</v>
      </c>
      <c r="K25" s="58">
        <v>189</v>
      </c>
      <c r="L25" s="58">
        <v>348</v>
      </c>
      <c r="M25" s="59">
        <f t="shared" ref="M25:M26" si="1">L25/L$27</f>
        <v>0.29121338912133893</v>
      </c>
    </row>
    <row r="26" spans="1:13">
      <c r="A26" s="109"/>
      <c r="B26" s="109"/>
      <c r="C26" s="58"/>
      <c r="D26" s="58"/>
      <c r="E26" s="58"/>
      <c r="F26" s="59"/>
      <c r="G26" s="56"/>
      <c r="H26" s="109" t="s">
        <v>70</v>
      </c>
      <c r="I26" s="109"/>
      <c r="J26" s="58">
        <v>3</v>
      </c>
      <c r="K26" s="58">
        <v>140</v>
      </c>
      <c r="L26" s="58">
        <v>252</v>
      </c>
      <c r="M26" s="59">
        <f t="shared" si="1"/>
        <v>0.2108786610878661</v>
      </c>
    </row>
    <row r="27" spans="1:13">
      <c r="A27" s="109" t="s">
        <v>59</v>
      </c>
      <c r="B27" s="109"/>
      <c r="C27" s="58"/>
      <c r="D27" s="58"/>
      <c r="E27" s="58"/>
      <c r="F27" s="59"/>
      <c r="G27" s="56"/>
      <c r="H27" s="110" t="s">
        <v>72</v>
      </c>
      <c r="I27" s="110"/>
      <c r="J27" s="66">
        <f>SUM(J24:J26)</f>
        <v>18</v>
      </c>
      <c r="K27" s="66">
        <f>SUM(K24:K26)</f>
        <v>645</v>
      </c>
      <c r="L27" s="66">
        <f>SUM(L24:L26)</f>
        <v>1195</v>
      </c>
      <c r="M27" s="67">
        <v>1</v>
      </c>
    </row>
    <row r="28" spans="1:13">
      <c r="A28" s="109" t="s">
        <v>61</v>
      </c>
      <c r="B28" s="109"/>
      <c r="C28" s="58"/>
      <c r="D28" s="58"/>
      <c r="E28" s="58"/>
      <c r="F28" s="59"/>
      <c r="G28" s="56"/>
      <c r="H28" s="109"/>
      <c r="I28" s="109"/>
      <c r="J28" s="58"/>
      <c r="K28" s="58"/>
      <c r="L28" s="58"/>
      <c r="M28" s="59"/>
    </row>
    <row r="29" spans="1:13">
      <c r="A29" s="109" t="s">
        <v>63</v>
      </c>
      <c r="B29" s="109"/>
      <c r="C29" s="58">
        <v>2</v>
      </c>
      <c r="D29" s="58">
        <v>419</v>
      </c>
      <c r="E29" s="58">
        <v>1193</v>
      </c>
      <c r="F29" s="69">
        <v>1</v>
      </c>
      <c r="G29" s="56"/>
      <c r="H29" s="109" t="s">
        <v>74</v>
      </c>
      <c r="I29" s="109"/>
      <c r="J29" s="58">
        <v>5</v>
      </c>
      <c r="K29" s="58">
        <v>119</v>
      </c>
      <c r="L29" s="58">
        <v>227</v>
      </c>
      <c r="M29" s="59">
        <f>L29/L$32</f>
        <v>0.58961038961038958</v>
      </c>
    </row>
    <row r="30" spans="1:13">
      <c r="A30" s="110" t="s">
        <v>65</v>
      </c>
      <c r="B30" s="110"/>
      <c r="C30" s="66">
        <v>2</v>
      </c>
      <c r="D30" s="66">
        <v>419</v>
      </c>
      <c r="E30" s="66">
        <v>1193</v>
      </c>
      <c r="F30" s="67">
        <v>1</v>
      </c>
      <c r="G30" s="56"/>
      <c r="H30" s="109" t="s">
        <v>76</v>
      </c>
      <c r="I30" s="109"/>
      <c r="J30" s="58">
        <v>2</v>
      </c>
      <c r="K30" s="58">
        <v>25</v>
      </c>
      <c r="L30" s="58">
        <v>45</v>
      </c>
      <c r="M30" s="59">
        <f t="shared" ref="M30:M31" si="2">L30/L$32</f>
        <v>0.11688311688311688</v>
      </c>
    </row>
    <row r="31" spans="1:13">
      <c r="A31" s="109"/>
      <c r="B31" s="109"/>
      <c r="C31" s="58"/>
      <c r="D31" s="58"/>
      <c r="E31" s="58"/>
      <c r="F31" s="59"/>
      <c r="G31" s="56"/>
      <c r="H31" s="109" t="s">
        <v>78</v>
      </c>
      <c r="I31" s="109"/>
      <c r="J31" s="58">
        <v>2</v>
      </c>
      <c r="K31" s="58">
        <v>59</v>
      </c>
      <c r="L31" s="58">
        <v>113</v>
      </c>
      <c r="M31" s="59">
        <f t="shared" si="2"/>
        <v>0.29350649350649349</v>
      </c>
    </row>
    <row r="32" spans="1:13">
      <c r="A32" s="109" t="s">
        <v>67</v>
      </c>
      <c r="B32" s="109"/>
      <c r="C32" s="58">
        <v>3</v>
      </c>
      <c r="D32" s="58">
        <v>133</v>
      </c>
      <c r="E32" s="58">
        <v>254</v>
      </c>
      <c r="F32" s="59">
        <f>E32/E$38</f>
        <v>0.14522584333905089</v>
      </c>
      <c r="G32" s="56"/>
      <c r="H32" s="110" t="s">
        <v>80</v>
      </c>
      <c r="I32" s="110"/>
      <c r="J32" s="66">
        <f>SUM(J29:J31)</f>
        <v>9</v>
      </c>
      <c r="K32" s="66">
        <f>SUM(K29:K31)</f>
        <v>203</v>
      </c>
      <c r="L32" s="66">
        <f>SUM(L29:L31)</f>
        <v>385</v>
      </c>
      <c r="M32" s="67">
        <v>1</v>
      </c>
    </row>
    <row r="33" spans="1:13">
      <c r="A33" s="109" t="s">
        <v>69</v>
      </c>
      <c r="B33" s="109"/>
      <c r="C33" s="58">
        <v>1</v>
      </c>
      <c r="D33" s="58">
        <v>26</v>
      </c>
      <c r="E33" s="58">
        <v>49</v>
      </c>
      <c r="F33" s="59">
        <f t="shared" ref="F33:F35" si="3">E33/E$38</f>
        <v>2.8016009148084619E-2</v>
      </c>
      <c r="G33" s="56"/>
      <c r="H33" s="109"/>
      <c r="I33" s="109"/>
    </row>
    <row r="34" spans="1:13">
      <c r="A34" s="109" t="s">
        <v>71</v>
      </c>
      <c r="B34" s="109"/>
      <c r="C34" s="58">
        <v>1</v>
      </c>
      <c r="D34" s="58">
        <v>116</v>
      </c>
      <c r="E34" s="58">
        <v>214</v>
      </c>
      <c r="F34" s="59">
        <f t="shared" si="3"/>
        <v>0.12235563178959405</v>
      </c>
      <c r="G34" s="56"/>
      <c r="H34" s="110" t="s">
        <v>82</v>
      </c>
      <c r="I34" s="110"/>
      <c r="J34" s="66">
        <v>8</v>
      </c>
      <c r="K34" s="66">
        <v>73</v>
      </c>
      <c r="L34" s="66">
        <v>125</v>
      </c>
      <c r="M34" s="67">
        <v>1</v>
      </c>
    </row>
    <row r="35" spans="1:13">
      <c r="A35" s="109" t="s">
        <v>226</v>
      </c>
      <c r="B35" s="109"/>
      <c r="C35" s="58">
        <v>2</v>
      </c>
      <c r="D35" s="58">
        <v>661</v>
      </c>
      <c r="E35" s="58">
        <v>1232</v>
      </c>
      <c r="F35" s="59">
        <f t="shared" si="3"/>
        <v>0.70440251572327039</v>
      </c>
      <c r="G35" s="56"/>
      <c r="H35" s="110" t="s">
        <v>84</v>
      </c>
      <c r="I35" s="110"/>
      <c r="J35" s="66">
        <v>1</v>
      </c>
      <c r="K35" s="66">
        <v>15</v>
      </c>
      <c r="L35" s="66">
        <v>30</v>
      </c>
      <c r="M35" s="67">
        <v>1</v>
      </c>
    </row>
    <row r="36" spans="1:13">
      <c r="A36" s="109" t="s">
        <v>77</v>
      </c>
      <c r="B36" s="109"/>
      <c r="C36" s="58"/>
      <c r="D36" s="58"/>
      <c r="E36" s="58"/>
      <c r="F36" s="59"/>
      <c r="G36" s="56"/>
      <c r="H36" s="110" t="s">
        <v>86</v>
      </c>
      <c r="I36" s="110"/>
      <c r="J36" s="66"/>
      <c r="K36" s="66"/>
      <c r="L36" s="66"/>
      <c r="M36" s="67"/>
    </row>
    <row r="37" spans="1:13">
      <c r="A37" s="109" t="s">
        <v>79</v>
      </c>
      <c r="B37" s="112"/>
      <c r="C37" s="58"/>
      <c r="D37" s="58"/>
      <c r="E37" s="58"/>
      <c r="F37" s="59"/>
      <c r="G37" s="56"/>
      <c r="H37" s="109"/>
      <c r="I37" s="109"/>
      <c r="J37" s="58"/>
      <c r="K37" s="58"/>
      <c r="L37" s="58"/>
      <c r="M37" s="58"/>
    </row>
    <row r="38" spans="1:13">
      <c r="A38" s="110" t="s">
        <v>81</v>
      </c>
      <c r="B38" s="110"/>
      <c r="C38" s="66">
        <f>SUM(C32:C37)</f>
        <v>7</v>
      </c>
      <c r="D38" s="66">
        <f>SUM(D32:D37)</f>
        <v>936</v>
      </c>
      <c r="E38" s="66">
        <f>SUM(E32:E37)</f>
        <v>1749</v>
      </c>
      <c r="F38" s="67">
        <v>1</v>
      </c>
      <c r="G38" s="56"/>
      <c r="H38" s="109"/>
      <c r="I38" s="109"/>
      <c r="J38" s="58"/>
      <c r="K38" s="58"/>
      <c r="L38" s="58"/>
      <c r="M38" s="58"/>
    </row>
    <row r="39" spans="1:13">
      <c r="A39" s="109"/>
      <c r="B39" s="109"/>
      <c r="C39" s="58"/>
      <c r="D39" s="58"/>
      <c r="E39" s="58"/>
      <c r="F39" s="59"/>
      <c r="G39" s="56"/>
      <c r="H39" s="111"/>
      <c r="I39" s="111"/>
      <c r="J39" s="58"/>
      <c r="K39" s="58"/>
      <c r="L39" s="58"/>
      <c r="M39" s="58"/>
    </row>
    <row r="40" spans="1:13">
      <c r="A40" s="109" t="s">
        <v>83</v>
      </c>
      <c r="B40" s="109"/>
      <c r="C40" s="58"/>
      <c r="D40" s="58"/>
      <c r="E40" s="58"/>
      <c r="F40" s="59"/>
      <c r="G40" s="56"/>
      <c r="H40" s="57"/>
      <c r="I40" s="57"/>
      <c r="J40" s="58"/>
      <c r="K40" s="58"/>
      <c r="L40" s="58"/>
      <c r="M40" s="60"/>
    </row>
    <row r="41" spans="1:13">
      <c r="A41" s="109" t="s">
        <v>85</v>
      </c>
      <c r="B41" s="109"/>
      <c r="C41" s="58"/>
      <c r="D41" s="58"/>
      <c r="E41" s="58"/>
      <c r="F41" s="59"/>
      <c r="G41" s="56"/>
      <c r="H41" s="110" t="s">
        <v>90</v>
      </c>
      <c r="I41" s="110"/>
      <c r="J41" s="66">
        <f>C15+C18+C30+C38+J27+J32+J34+J35</f>
        <v>121</v>
      </c>
      <c r="K41" s="66">
        <f>D15+D18+D30+D38+K27+K32+K34+K35</f>
        <v>3346</v>
      </c>
      <c r="L41" s="66">
        <f>E15+E18+E30+E38+L27+L32+L34+L35</f>
        <v>7708</v>
      </c>
      <c r="M41" s="58"/>
    </row>
    <row r="42" spans="1:13">
      <c r="A42" s="109" t="s">
        <v>87</v>
      </c>
      <c r="B42" s="109"/>
      <c r="C42" s="58"/>
      <c r="D42" s="58"/>
      <c r="E42" s="58"/>
      <c r="F42" s="59"/>
      <c r="G42" s="56"/>
      <c r="H42" s="57"/>
      <c r="I42" s="57"/>
      <c r="J42" s="58"/>
      <c r="K42" s="58"/>
      <c r="L42" s="58"/>
      <c r="M42" s="60"/>
    </row>
    <row r="43" spans="1:13">
      <c r="A43" s="109" t="s">
        <v>227</v>
      </c>
      <c r="B43" s="109"/>
      <c r="C43" s="58"/>
      <c r="D43" s="58"/>
      <c r="E43" s="58"/>
      <c r="F43" s="59"/>
      <c r="G43" s="56"/>
      <c r="H43" s="57"/>
      <c r="I43" s="57"/>
      <c r="J43" s="60"/>
      <c r="K43" s="60"/>
      <c r="L43" s="60"/>
      <c r="M43" s="60"/>
    </row>
    <row r="44" spans="1:13">
      <c r="A44" s="109" t="s">
        <v>88</v>
      </c>
      <c r="B44" s="109"/>
      <c r="C44" s="58"/>
      <c r="D44" s="58"/>
      <c r="E44" s="58"/>
      <c r="F44" s="59"/>
      <c r="G44" s="56"/>
      <c r="H44" s="57"/>
      <c r="I44" s="57"/>
      <c r="J44" s="60"/>
      <c r="K44" s="60"/>
      <c r="L44" s="60"/>
      <c r="M44" s="60"/>
    </row>
    <row r="45" spans="1:13">
      <c r="A45" s="110" t="s">
        <v>89</v>
      </c>
      <c r="B45" s="110"/>
      <c r="C45" s="66"/>
      <c r="D45" s="66"/>
      <c r="E45" s="66"/>
      <c r="F45" s="67"/>
      <c r="G45" s="56"/>
      <c r="H45" s="62"/>
      <c r="I45" s="62"/>
      <c r="J45" s="56"/>
      <c r="K45" s="56"/>
      <c r="L45" s="56"/>
      <c r="M45" s="56"/>
    </row>
    <row r="46" spans="1:13">
      <c r="A46" s="109"/>
      <c r="B46" s="109"/>
      <c r="C46" s="61"/>
      <c r="D46" s="61"/>
      <c r="E46" s="61"/>
      <c r="F46" s="61"/>
      <c r="G46" s="56"/>
    </row>
  </sheetData>
  <sheetProtection algorithmName="SHA-512" hashValue="1Cid0Frlt8VTKOZ0CEte5nNZmCPrHMvr7jjD4djb2I9W/Ta3YQ9zl/ORRLX3ko3huF2tmkwSQcbkgLsV8+47QQ==" saltValue="Qy3tXU/DJrsIlqeoxj80kA==" spinCount="100000" sheet="1" objects="1" scenarios="1"/>
  <mergeCells count="72">
    <mergeCell ref="A46:B46"/>
    <mergeCell ref="A41:B41"/>
    <mergeCell ref="A42:B42"/>
    <mergeCell ref="H41:I41"/>
    <mergeCell ref="A43:B43"/>
    <mergeCell ref="A44:B44"/>
    <mergeCell ref="A45:B45"/>
    <mergeCell ref="A38:B38"/>
    <mergeCell ref="H37:I37"/>
    <mergeCell ref="A39:B39"/>
    <mergeCell ref="H38:I38"/>
    <mergeCell ref="A40:B40"/>
    <mergeCell ref="H39:I39"/>
    <mergeCell ref="A35:B35"/>
    <mergeCell ref="H34:I34"/>
    <mergeCell ref="A36:B36"/>
    <mergeCell ref="H35:I35"/>
    <mergeCell ref="A37:B37"/>
    <mergeCell ref="H36:I36"/>
    <mergeCell ref="A32:B32"/>
    <mergeCell ref="H31:I31"/>
    <mergeCell ref="A33:B33"/>
    <mergeCell ref="H32:I32"/>
    <mergeCell ref="A34:B34"/>
    <mergeCell ref="H33:I33"/>
    <mergeCell ref="A29:B29"/>
    <mergeCell ref="H28:I28"/>
    <mergeCell ref="A30:B30"/>
    <mergeCell ref="H29:I29"/>
    <mergeCell ref="A31:B31"/>
    <mergeCell ref="H30:I30"/>
    <mergeCell ref="A26:B26"/>
    <mergeCell ref="H25:I25"/>
    <mergeCell ref="A27:B27"/>
    <mergeCell ref="H26:I26"/>
    <mergeCell ref="A28:B28"/>
    <mergeCell ref="H27:I27"/>
    <mergeCell ref="A23:B23"/>
    <mergeCell ref="H22:I22"/>
    <mergeCell ref="A24:B24"/>
    <mergeCell ref="H23:I23"/>
    <mergeCell ref="A25:B25"/>
    <mergeCell ref="H24:I24"/>
    <mergeCell ref="A20:B20"/>
    <mergeCell ref="H20:I20"/>
    <mergeCell ref="A21:B21"/>
    <mergeCell ref="H21:I21"/>
    <mergeCell ref="A22:B22"/>
    <mergeCell ref="A17:B17"/>
    <mergeCell ref="H17:I17"/>
    <mergeCell ref="A18:B18"/>
    <mergeCell ref="H18:I18"/>
    <mergeCell ref="A19:B19"/>
    <mergeCell ref="H19:I19"/>
    <mergeCell ref="A14:B14"/>
    <mergeCell ref="H14:I14"/>
    <mergeCell ref="A15:B15"/>
    <mergeCell ref="H15:I15"/>
    <mergeCell ref="A16:B16"/>
    <mergeCell ref="H16:I16"/>
    <mergeCell ref="A11:B11"/>
    <mergeCell ref="H11:I11"/>
    <mergeCell ref="A12:B12"/>
    <mergeCell ref="H12:I12"/>
    <mergeCell ref="A13:B13"/>
    <mergeCell ref="H13:I13"/>
    <mergeCell ref="A8:B8"/>
    <mergeCell ref="H8:I8"/>
    <mergeCell ref="A9:B9"/>
    <mergeCell ref="H9:I9"/>
    <mergeCell ref="A10:B10"/>
    <mergeCell ref="H10:I10"/>
  </mergeCells>
  <pageMargins left="0.7" right="0.7" top="0.75" bottom="0.75" header="0.3" footer="0.3"/>
  <pageSetup paperSize="9" scale="7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T45"/>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1" spans="1:20" ht="16.5">
      <c r="A1" s="15"/>
      <c r="P1" s="9"/>
      <c r="Q1" s="9"/>
      <c r="R1" s="9"/>
      <c r="S1" s="9"/>
      <c r="T1" s="9"/>
    </row>
    <row r="2" spans="1:20" ht="16.5">
      <c r="A2" s="52" t="s">
        <v>117</v>
      </c>
    </row>
    <row r="3" spans="1:20" ht="16.5">
      <c r="A3" s="53" t="s">
        <v>118</v>
      </c>
      <c r="B3" s="54"/>
      <c r="C3" s="9"/>
      <c r="D3" s="9"/>
      <c r="E3" s="9"/>
      <c r="F3" s="9"/>
      <c r="G3" s="9"/>
      <c r="H3" s="54"/>
      <c r="I3" s="54"/>
      <c r="J3" s="9"/>
      <c r="K3" s="9"/>
      <c r="L3" s="55"/>
      <c r="M3" s="9"/>
      <c r="N3" s="9"/>
      <c r="O3" s="9"/>
      <c r="P3" s="9"/>
      <c r="Q3" s="9"/>
      <c r="R3" s="9"/>
      <c r="S3" s="9"/>
      <c r="T3" s="9"/>
    </row>
    <row r="4" spans="1:20" ht="16.5">
      <c r="A4" s="53" t="s">
        <v>119</v>
      </c>
      <c r="B4" s="54"/>
      <c r="C4" s="9"/>
      <c r="D4" s="9"/>
      <c r="E4" s="9"/>
      <c r="F4" s="9"/>
      <c r="G4" s="9"/>
      <c r="H4" s="54"/>
      <c r="I4" s="54"/>
      <c r="J4" s="9"/>
      <c r="K4" s="9"/>
      <c r="L4" s="9"/>
      <c r="M4" s="9"/>
      <c r="N4" s="9"/>
      <c r="O4" s="9"/>
      <c r="P4" s="9"/>
      <c r="Q4" s="9"/>
      <c r="R4" s="9"/>
      <c r="S4" s="9"/>
      <c r="T4" s="9"/>
    </row>
    <row r="7" spans="1:20">
      <c r="A7" s="107" t="s">
        <v>21</v>
      </c>
      <c r="B7" s="107"/>
      <c r="C7" s="63" t="s">
        <v>22</v>
      </c>
      <c r="D7" s="63" t="s">
        <v>23</v>
      </c>
      <c r="E7" s="63" t="s">
        <v>24</v>
      </c>
      <c r="F7" s="63" t="s">
        <v>25</v>
      </c>
      <c r="G7" s="56"/>
      <c r="H7" s="107" t="s">
        <v>21</v>
      </c>
      <c r="I7" s="107"/>
      <c r="J7" s="63" t="s">
        <v>22</v>
      </c>
      <c r="K7" s="63" t="s">
        <v>23</v>
      </c>
      <c r="L7" s="63" t="s">
        <v>24</v>
      </c>
      <c r="M7" s="63" t="s">
        <v>25</v>
      </c>
    </row>
    <row r="8" spans="1:20">
      <c r="A8" s="108" t="s">
        <v>26</v>
      </c>
      <c r="B8" s="108"/>
      <c r="C8" s="64" t="s">
        <v>27</v>
      </c>
      <c r="D8" s="64" t="s">
        <v>28</v>
      </c>
      <c r="E8" s="64" t="s">
        <v>29</v>
      </c>
      <c r="F8" s="64" t="s">
        <v>30</v>
      </c>
      <c r="G8" s="65"/>
      <c r="H8" s="108" t="s">
        <v>26</v>
      </c>
      <c r="I8" s="108"/>
      <c r="J8" s="64" t="s">
        <v>27</v>
      </c>
      <c r="K8" s="64" t="s">
        <v>28</v>
      </c>
      <c r="L8" s="64" t="s">
        <v>29</v>
      </c>
      <c r="M8" s="64" t="s">
        <v>30</v>
      </c>
      <c r="N8" s="9"/>
      <c r="O8" s="9"/>
      <c r="P8" s="9"/>
      <c r="Q8" s="9"/>
      <c r="R8" s="9"/>
      <c r="S8" s="9"/>
      <c r="T8" s="9"/>
    </row>
    <row r="9" spans="1:20">
      <c r="A9" s="108" t="s">
        <v>31</v>
      </c>
      <c r="B9" s="108"/>
      <c r="C9" s="64" t="s">
        <v>32</v>
      </c>
      <c r="D9" s="64" t="s">
        <v>33</v>
      </c>
      <c r="E9" s="64" t="s">
        <v>34</v>
      </c>
      <c r="F9" s="64" t="s">
        <v>35</v>
      </c>
      <c r="G9" s="65"/>
      <c r="H9" s="108" t="s">
        <v>31</v>
      </c>
      <c r="I9" s="108"/>
      <c r="J9" s="64" t="s">
        <v>32</v>
      </c>
      <c r="K9" s="64" t="s">
        <v>33</v>
      </c>
      <c r="L9" s="64" t="s">
        <v>34</v>
      </c>
      <c r="M9" s="64" t="s">
        <v>35</v>
      </c>
      <c r="N9" s="9"/>
      <c r="O9" s="9"/>
      <c r="P9" s="9"/>
      <c r="Q9" s="9"/>
      <c r="R9" s="9"/>
      <c r="S9" s="9"/>
      <c r="T9" s="9"/>
    </row>
    <row r="10" spans="1:20">
      <c r="A10" s="109" t="s">
        <v>36</v>
      </c>
      <c r="B10" s="109"/>
      <c r="C10" s="58">
        <v>62</v>
      </c>
      <c r="D10" s="58">
        <v>652</v>
      </c>
      <c r="E10" s="58">
        <v>1979</v>
      </c>
      <c r="F10" s="59">
        <f>E10/E$14</f>
        <v>0.65551507121563435</v>
      </c>
      <c r="G10" s="56"/>
      <c r="H10" s="109" t="s">
        <v>37</v>
      </c>
      <c r="I10" s="109"/>
      <c r="J10" s="58"/>
      <c r="K10" s="58"/>
      <c r="L10" s="58"/>
      <c r="M10" s="59"/>
    </row>
    <row r="11" spans="1:20">
      <c r="A11" s="109" t="s">
        <v>38</v>
      </c>
      <c r="B11" s="109"/>
      <c r="C11" s="58">
        <v>8</v>
      </c>
      <c r="D11" s="58">
        <v>293</v>
      </c>
      <c r="E11" s="58">
        <v>794</v>
      </c>
      <c r="F11" s="59">
        <f t="shared" ref="F11:F12" si="0">E11/E$14</f>
        <v>0.26300099370652535</v>
      </c>
      <c r="G11" s="56"/>
      <c r="H11" s="109" t="s">
        <v>39</v>
      </c>
      <c r="I11" s="109"/>
      <c r="J11" s="58"/>
      <c r="K11" s="58"/>
      <c r="L11" s="58"/>
      <c r="M11" s="59"/>
    </row>
    <row r="12" spans="1:20">
      <c r="A12" s="109" t="s">
        <v>40</v>
      </c>
      <c r="B12" s="109"/>
      <c r="C12" s="58">
        <v>5</v>
      </c>
      <c r="D12" s="58">
        <v>104</v>
      </c>
      <c r="E12" s="58">
        <v>246</v>
      </c>
      <c r="F12" s="59">
        <f t="shared" si="0"/>
        <v>8.1483935077840339E-2</v>
      </c>
      <c r="G12" s="56"/>
      <c r="H12" s="109" t="s">
        <v>41</v>
      </c>
      <c r="I12" s="109"/>
      <c r="J12" s="58"/>
      <c r="K12" s="58"/>
      <c r="L12" s="58"/>
      <c r="M12" s="59"/>
    </row>
    <row r="13" spans="1:20">
      <c r="A13" s="109" t="s">
        <v>44</v>
      </c>
      <c r="B13" s="109"/>
      <c r="C13" s="58"/>
      <c r="D13" s="58"/>
      <c r="E13" s="58"/>
      <c r="F13" s="59"/>
      <c r="G13" s="56"/>
      <c r="H13" s="109" t="s">
        <v>45</v>
      </c>
      <c r="I13" s="109"/>
      <c r="J13" s="58"/>
      <c r="K13" s="58"/>
      <c r="L13" s="58"/>
      <c r="M13" s="59"/>
    </row>
    <row r="14" spans="1:20">
      <c r="A14" s="110" t="s">
        <v>48</v>
      </c>
      <c r="B14" s="110"/>
      <c r="C14" s="66">
        <f>SUM(C10:C13)</f>
        <v>75</v>
      </c>
      <c r="D14" s="66">
        <f>SUM(D10:D13)</f>
        <v>1049</v>
      </c>
      <c r="E14" s="66">
        <f>SUM(E10:E13)</f>
        <v>3019</v>
      </c>
      <c r="F14" s="67">
        <v>1</v>
      </c>
      <c r="G14" s="56"/>
      <c r="H14" s="109" t="s">
        <v>49</v>
      </c>
      <c r="I14" s="109"/>
      <c r="J14" s="58"/>
      <c r="K14" s="58"/>
      <c r="L14" s="58"/>
      <c r="M14" s="59"/>
    </row>
    <row r="15" spans="1:20">
      <c r="A15" s="109"/>
      <c r="B15" s="109"/>
      <c r="C15" s="58"/>
      <c r="D15" s="58"/>
      <c r="E15" s="58"/>
      <c r="F15" s="59"/>
      <c r="G15" s="56"/>
      <c r="H15" s="110" t="s">
        <v>52</v>
      </c>
      <c r="I15" s="110"/>
      <c r="J15" s="66"/>
      <c r="K15" s="66"/>
      <c r="L15" s="66"/>
      <c r="M15" s="67"/>
    </row>
    <row r="16" spans="1:20">
      <c r="A16" s="110" t="s">
        <v>51</v>
      </c>
      <c r="B16" s="110"/>
      <c r="C16" s="66"/>
      <c r="D16" s="66"/>
      <c r="E16" s="66"/>
      <c r="F16" s="67"/>
      <c r="G16" s="56"/>
      <c r="H16" s="109"/>
      <c r="I16" s="109"/>
      <c r="J16" s="58"/>
      <c r="K16" s="58"/>
      <c r="L16" s="58"/>
      <c r="M16" s="59"/>
    </row>
    <row r="17" spans="1:13">
      <c r="A17" s="110" t="s">
        <v>53</v>
      </c>
      <c r="B17" s="110"/>
      <c r="C17" s="66">
        <v>1</v>
      </c>
      <c r="D17" s="66">
        <v>6</v>
      </c>
      <c r="E17" s="66">
        <v>12</v>
      </c>
      <c r="F17" s="67">
        <v>1</v>
      </c>
      <c r="G17" s="56"/>
      <c r="H17" s="109" t="s">
        <v>55</v>
      </c>
      <c r="I17" s="109"/>
      <c r="J17" s="58"/>
      <c r="K17" s="58"/>
      <c r="L17" s="58"/>
      <c r="M17" s="59"/>
    </row>
    <row r="18" spans="1:13">
      <c r="A18" s="110" t="s">
        <v>54</v>
      </c>
      <c r="B18" s="110"/>
      <c r="C18" s="66"/>
      <c r="D18" s="66"/>
      <c r="E18" s="66"/>
      <c r="F18" s="67"/>
      <c r="G18" s="56"/>
      <c r="H18" s="109" t="s">
        <v>57</v>
      </c>
      <c r="I18" s="109"/>
      <c r="J18" s="58"/>
      <c r="K18" s="58"/>
      <c r="L18" s="58"/>
      <c r="M18" s="59"/>
    </row>
    <row r="19" spans="1:13">
      <c r="A19" s="111"/>
      <c r="B19" s="111"/>
      <c r="C19" s="58"/>
      <c r="D19" s="58"/>
      <c r="E19" s="58"/>
      <c r="F19" s="59"/>
      <c r="G19" s="56"/>
      <c r="H19" s="109" t="s">
        <v>58</v>
      </c>
      <c r="I19" s="109"/>
      <c r="J19" s="58"/>
      <c r="K19" s="58"/>
      <c r="L19" s="58"/>
      <c r="M19" s="59"/>
    </row>
    <row r="20" spans="1:13">
      <c r="A20" s="109" t="s">
        <v>112</v>
      </c>
      <c r="B20" s="109"/>
      <c r="C20" s="58"/>
      <c r="D20" s="51"/>
      <c r="E20" s="58"/>
      <c r="F20" s="59"/>
      <c r="G20" s="56"/>
      <c r="H20" s="109" t="s">
        <v>60</v>
      </c>
      <c r="I20" s="109"/>
      <c r="J20" s="58"/>
      <c r="K20" s="58"/>
      <c r="L20" s="58"/>
      <c r="M20" s="59"/>
    </row>
    <row r="21" spans="1:13">
      <c r="A21" s="109" t="s">
        <v>113</v>
      </c>
      <c r="B21" s="109"/>
      <c r="C21" s="58"/>
      <c r="D21" s="51"/>
      <c r="E21" s="58"/>
      <c r="F21" s="59"/>
      <c r="G21" s="56"/>
      <c r="H21" s="109" t="s">
        <v>62</v>
      </c>
      <c r="I21" s="109"/>
      <c r="J21" s="58"/>
      <c r="K21" s="58"/>
      <c r="L21" s="58"/>
      <c r="M21" s="59"/>
    </row>
    <row r="22" spans="1:13">
      <c r="A22" s="109" t="s">
        <v>114</v>
      </c>
      <c r="B22" s="109"/>
      <c r="C22" s="58"/>
      <c r="D22" s="58"/>
      <c r="E22" s="58"/>
      <c r="F22" s="59"/>
      <c r="G22" s="56"/>
      <c r="H22" s="110" t="s">
        <v>64</v>
      </c>
      <c r="I22" s="110"/>
      <c r="J22" s="66"/>
      <c r="K22" s="66"/>
      <c r="L22" s="66"/>
      <c r="M22" s="68"/>
    </row>
    <row r="23" spans="1:13">
      <c r="A23" s="109" t="s">
        <v>115</v>
      </c>
      <c r="B23" s="109"/>
      <c r="C23" s="58"/>
      <c r="D23" s="58"/>
      <c r="E23" s="58"/>
      <c r="F23" s="69"/>
      <c r="G23" s="56"/>
      <c r="H23" s="109"/>
      <c r="I23" s="109"/>
      <c r="J23" s="58"/>
      <c r="K23" s="58"/>
      <c r="L23" s="58"/>
      <c r="M23" s="59"/>
    </row>
    <row r="24" spans="1:13">
      <c r="A24" s="110" t="s">
        <v>116</v>
      </c>
      <c r="B24" s="110"/>
      <c r="C24" s="66"/>
      <c r="D24" s="66"/>
      <c r="E24" s="66"/>
      <c r="F24" s="67"/>
      <c r="G24" s="56"/>
      <c r="H24" s="109" t="s">
        <v>66</v>
      </c>
      <c r="I24" s="109"/>
      <c r="J24" s="58">
        <v>11</v>
      </c>
      <c r="K24" s="58">
        <v>316</v>
      </c>
      <c r="L24" s="58">
        <v>595</v>
      </c>
      <c r="M24" s="59">
        <f>L24/L$27</f>
        <v>0.497907949790795</v>
      </c>
    </row>
    <row r="25" spans="1:13">
      <c r="A25" s="109"/>
      <c r="B25" s="109"/>
      <c r="C25" s="58"/>
      <c r="D25" s="58"/>
      <c r="E25" s="58"/>
      <c r="F25" s="59"/>
      <c r="G25" s="56"/>
      <c r="H25" s="109" t="s">
        <v>68</v>
      </c>
      <c r="I25" s="109"/>
      <c r="J25" s="58">
        <v>4</v>
      </c>
      <c r="K25" s="58">
        <v>189</v>
      </c>
      <c r="L25" s="58">
        <v>348</v>
      </c>
      <c r="M25" s="59">
        <f t="shared" ref="M25:M26" si="1">L25/L$27</f>
        <v>0.29121338912133893</v>
      </c>
    </row>
    <row r="26" spans="1:13">
      <c r="A26" s="109" t="s">
        <v>59</v>
      </c>
      <c r="B26" s="109"/>
      <c r="C26" s="58"/>
      <c r="D26" s="58"/>
      <c r="E26" s="58"/>
      <c r="F26" s="59"/>
      <c r="G26" s="56"/>
      <c r="H26" s="109" t="s">
        <v>70</v>
      </c>
      <c r="I26" s="109"/>
      <c r="J26" s="58">
        <v>3</v>
      </c>
      <c r="K26" s="58">
        <v>140</v>
      </c>
      <c r="L26" s="58">
        <v>252</v>
      </c>
      <c r="M26" s="59">
        <f t="shared" si="1"/>
        <v>0.2108786610878661</v>
      </c>
    </row>
    <row r="27" spans="1:13">
      <c r="A27" s="109" t="s">
        <v>61</v>
      </c>
      <c r="B27" s="109"/>
      <c r="C27" s="58"/>
      <c r="D27" s="58"/>
      <c r="E27" s="58"/>
      <c r="F27" s="59"/>
      <c r="G27" s="56"/>
      <c r="H27" s="110" t="s">
        <v>72</v>
      </c>
      <c r="I27" s="110"/>
      <c r="J27" s="66">
        <f>SUM(J24:J26)</f>
        <v>18</v>
      </c>
      <c r="K27" s="66">
        <f t="shared" ref="K27:L27" si="2">SUM(K24:K26)</f>
        <v>645</v>
      </c>
      <c r="L27" s="66">
        <f t="shared" si="2"/>
        <v>1195</v>
      </c>
      <c r="M27" s="67">
        <v>1</v>
      </c>
    </row>
    <row r="28" spans="1:13">
      <c r="A28" s="109" t="s">
        <v>63</v>
      </c>
      <c r="B28" s="109"/>
      <c r="C28" s="58">
        <v>2</v>
      </c>
      <c r="D28" s="58">
        <v>419</v>
      </c>
      <c r="E28" s="58">
        <v>1193</v>
      </c>
      <c r="F28" s="69">
        <v>1</v>
      </c>
      <c r="G28" s="56"/>
      <c r="H28" s="109"/>
      <c r="I28" s="109"/>
      <c r="J28" s="58"/>
      <c r="K28" s="58"/>
      <c r="L28" s="58"/>
      <c r="M28" s="59"/>
    </row>
    <row r="29" spans="1:13">
      <c r="A29" s="110" t="s">
        <v>65</v>
      </c>
      <c r="B29" s="110"/>
      <c r="C29" s="66">
        <v>2</v>
      </c>
      <c r="D29" s="66">
        <v>419</v>
      </c>
      <c r="E29" s="66">
        <v>1193</v>
      </c>
      <c r="F29" s="67">
        <v>1</v>
      </c>
      <c r="G29" s="56"/>
      <c r="H29" s="109" t="s">
        <v>74</v>
      </c>
      <c r="I29" s="109"/>
      <c r="J29" s="58">
        <v>5</v>
      </c>
      <c r="K29" s="58">
        <v>119</v>
      </c>
      <c r="L29" s="58">
        <v>227</v>
      </c>
      <c r="M29" s="59">
        <f>L29/L$32</f>
        <v>0.58961038961038958</v>
      </c>
    </row>
    <row r="30" spans="1:13">
      <c r="A30" s="109"/>
      <c r="B30" s="109"/>
      <c r="C30" s="58"/>
      <c r="D30" s="58"/>
      <c r="E30" s="58"/>
      <c r="F30" s="59"/>
      <c r="G30" s="56"/>
      <c r="H30" s="109" t="s">
        <v>76</v>
      </c>
      <c r="I30" s="109"/>
      <c r="J30" s="58">
        <v>2</v>
      </c>
      <c r="K30" s="58">
        <v>25</v>
      </c>
      <c r="L30" s="58">
        <v>45</v>
      </c>
      <c r="M30" s="59">
        <f t="shared" ref="M30:M31" si="3">L30/L$32</f>
        <v>0.11688311688311688</v>
      </c>
    </row>
    <row r="31" spans="1:13">
      <c r="A31" s="109" t="s">
        <v>67</v>
      </c>
      <c r="B31" s="109"/>
      <c r="C31" s="58">
        <v>3</v>
      </c>
      <c r="D31" s="58">
        <v>133</v>
      </c>
      <c r="E31" s="58">
        <v>254</v>
      </c>
      <c r="F31" s="59">
        <f>E31/E$37</f>
        <v>0.14522584333905089</v>
      </c>
      <c r="G31" s="56"/>
      <c r="H31" s="109" t="s">
        <v>78</v>
      </c>
      <c r="I31" s="109"/>
      <c r="J31" s="58">
        <v>2</v>
      </c>
      <c r="K31" s="58">
        <v>59</v>
      </c>
      <c r="L31" s="58">
        <v>113</v>
      </c>
      <c r="M31" s="59">
        <f t="shared" si="3"/>
        <v>0.29350649350649349</v>
      </c>
    </row>
    <row r="32" spans="1:13">
      <c r="A32" s="109" t="s">
        <v>69</v>
      </c>
      <c r="B32" s="109"/>
      <c r="C32" s="58">
        <v>1</v>
      </c>
      <c r="D32" s="58">
        <v>26</v>
      </c>
      <c r="E32" s="58">
        <v>49</v>
      </c>
      <c r="F32" s="59">
        <f t="shared" ref="F32:F34" si="4">E32/E$37</f>
        <v>2.8016009148084619E-2</v>
      </c>
      <c r="G32" s="56"/>
      <c r="H32" s="110" t="s">
        <v>80</v>
      </c>
      <c r="I32" s="110"/>
      <c r="J32" s="66">
        <f>SUM(J29:J31)</f>
        <v>9</v>
      </c>
      <c r="K32" s="66">
        <f>SUM(K29:K31)</f>
        <v>203</v>
      </c>
      <c r="L32" s="66">
        <f>SUM(L29:L31)</f>
        <v>385</v>
      </c>
      <c r="M32" s="67">
        <v>1</v>
      </c>
    </row>
    <row r="33" spans="1:13">
      <c r="A33" s="109" t="s">
        <v>71</v>
      </c>
      <c r="B33" s="109"/>
      <c r="C33" s="58">
        <v>1</v>
      </c>
      <c r="D33" s="58">
        <v>116</v>
      </c>
      <c r="E33" s="58">
        <v>214</v>
      </c>
      <c r="F33" s="59">
        <f t="shared" si="4"/>
        <v>0.12235563178959405</v>
      </c>
      <c r="G33" s="56"/>
      <c r="H33" s="109"/>
      <c r="I33" s="109"/>
    </row>
    <row r="34" spans="1:13">
      <c r="A34" s="109" t="s">
        <v>226</v>
      </c>
      <c r="B34" s="109"/>
      <c r="C34" s="58">
        <v>2</v>
      </c>
      <c r="D34" s="58">
        <v>661</v>
      </c>
      <c r="E34" s="58">
        <v>1232</v>
      </c>
      <c r="F34" s="59">
        <f t="shared" si="4"/>
        <v>0.70440251572327039</v>
      </c>
      <c r="G34" s="56"/>
      <c r="H34" s="110" t="s">
        <v>82</v>
      </c>
      <c r="I34" s="110"/>
      <c r="J34" s="66">
        <v>8</v>
      </c>
      <c r="K34" s="66">
        <v>73</v>
      </c>
      <c r="L34" s="66">
        <v>125</v>
      </c>
      <c r="M34" s="67">
        <v>1</v>
      </c>
    </row>
    <row r="35" spans="1:13">
      <c r="A35" s="109" t="s">
        <v>77</v>
      </c>
      <c r="B35" s="109"/>
      <c r="C35" s="58"/>
      <c r="D35" s="58"/>
      <c r="E35" s="58"/>
      <c r="F35" s="59"/>
      <c r="G35" s="56"/>
      <c r="H35" s="110" t="s">
        <v>84</v>
      </c>
      <c r="I35" s="110"/>
      <c r="J35" s="66">
        <v>1</v>
      </c>
      <c r="K35" s="66">
        <v>15</v>
      </c>
      <c r="L35" s="66">
        <v>30</v>
      </c>
      <c r="M35" s="67">
        <v>1</v>
      </c>
    </row>
    <row r="36" spans="1:13">
      <c r="A36" s="109" t="s">
        <v>79</v>
      </c>
      <c r="B36" s="112"/>
      <c r="C36" s="58"/>
      <c r="D36" s="58"/>
      <c r="E36" s="58"/>
      <c r="F36" s="59"/>
      <c r="G36" s="56"/>
      <c r="H36" s="110" t="s">
        <v>86</v>
      </c>
      <c r="I36" s="110"/>
      <c r="J36" s="66"/>
      <c r="K36" s="66"/>
      <c r="L36" s="66"/>
      <c r="M36" s="67"/>
    </row>
    <row r="37" spans="1:13">
      <c r="A37" s="110" t="s">
        <v>81</v>
      </c>
      <c r="B37" s="110"/>
      <c r="C37" s="66">
        <f>SUM(C31:C36)</f>
        <v>7</v>
      </c>
      <c r="D37" s="66">
        <f>SUM(D31:D36)</f>
        <v>936</v>
      </c>
      <c r="E37" s="66">
        <f>SUM(E31:E36)</f>
        <v>1749</v>
      </c>
      <c r="F37" s="67">
        <v>1</v>
      </c>
      <c r="G37" s="56"/>
      <c r="H37" s="109"/>
      <c r="I37" s="109"/>
      <c r="J37" s="58"/>
      <c r="K37" s="58"/>
      <c r="L37" s="58"/>
      <c r="M37" s="58"/>
    </row>
    <row r="38" spans="1:13">
      <c r="A38" s="109"/>
      <c r="B38" s="109"/>
      <c r="C38" s="58"/>
      <c r="D38" s="58"/>
      <c r="E38" s="58"/>
      <c r="F38" s="59"/>
      <c r="G38" s="56"/>
      <c r="H38" s="109"/>
      <c r="I38" s="109"/>
      <c r="J38" s="58"/>
      <c r="K38" s="58"/>
      <c r="L38" s="58"/>
      <c r="M38" s="58"/>
    </row>
    <row r="39" spans="1:13">
      <c r="A39" s="109" t="s">
        <v>83</v>
      </c>
      <c r="B39" s="109"/>
      <c r="C39" s="58"/>
      <c r="D39" s="58"/>
      <c r="E39" s="58"/>
      <c r="F39" s="59"/>
      <c r="G39" s="56"/>
      <c r="H39" s="111"/>
      <c r="I39" s="111"/>
      <c r="J39" s="58"/>
      <c r="K39" s="58"/>
      <c r="L39" s="58"/>
      <c r="M39" s="58"/>
    </row>
    <row r="40" spans="1:13">
      <c r="A40" s="109" t="s">
        <v>85</v>
      </c>
      <c r="B40" s="109"/>
      <c r="C40" s="58"/>
      <c r="D40" s="58"/>
      <c r="E40" s="58"/>
      <c r="F40" s="59"/>
      <c r="G40" s="56"/>
      <c r="H40" s="57"/>
      <c r="I40" s="57"/>
      <c r="J40" s="58"/>
      <c r="K40" s="58"/>
      <c r="L40" s="58"/>
      <c r="M40" s="60"/>
    </row>
    <row r="41" spans="1:13">
      <c r="A41" s="109" t="s">
        <v>87</v>
      </c>
      <c r="B41" s="109"/>
      <c r="C41" s="58"/>
      <c r="D41" s="58"/>
      <c r="E41" s="58"/>
      <c r="F41" s="59"/>
      <c r="G41" s="56"/>
      <c r="H41" s="110" t="s">
        <v>90</v>
      </c>
      <c r="I41" s="110"/>
      <c r="J41" s="66">
        <f>C14+C17+C29+C37+J27+J32+J34+J35</f>
        <v>121</v>
      </c>
      <c r="K41" s="66">
        <f>D14+D17+D29+D37+K27+K32+K34+K35</f>
        <v>3346</v>
      </c>
      <c r="L41" s="66">
        <f>E14+E17+E29+E37+L27+L32+L34+L35</f>
        <v>7708</v>
      </c>
      <c r="M41" s="58"/>
    </row>
    <row r="42" spans="1:13">
      <c r="A42" s="109" t="s">
        <v>227</v>
      </c>
      <c r="B42" s="109"/>
      <c r="C42" s="58"/>
      <c r="D42" s="58"/>
      <c r="E42" s="58"/>
      <c r="F42" s="59"/>
      <c r="G42" s="56"/>
      <c r="H42" s="57"/>
      <c r="I42" s="57"/>
      <c r="J42" s="58"/>
      <c r="K42" s="58"/>
      <c r="L42" s="58"/>
      <c r="M42" s="60"/>
    </row>
    <row r="43" spans="1:13">
      <c r="A43" s="109" t="s">
        <v>88</v>
      </c>
      <c r="B43" s="109"/>
      <c r="C43" s="58"/>
      <c r="D43" s="58"/>
      <c r="E43" s="58"/>
      <c r="F43" s="59"/>
      <c r="G43" s="56"/>
      <c r="H43" s="57"/>
      <c r="I43" s="57"/>
      <c r="J43" s="60"/>
      <c r="K43" s="60"/>
      <c r="L43" s="60"/>
      <c r="M43" s="60"/>
    </row>
    <row r="44" spans="1:13">
      <c r="A44" s="110" t="s">
        <v>89</v>
      </c>
      <c r="B44" s="110"/>
      <c r="C44" s="66"/>
      <c r="D44" s="66"/>
      <c r="E44" s="66"/>
      <c r="F44" s="67"/>
      <c r="G44" s="56"/>
      <c r="H44" s="57"/>
      <c r="I44" s="57"/>
      <c r="J44" s="60"/>
      <c r="K44" s="60"/>
      <c r="L44" s="60"/>
      <c r="M44" s="60"/>
    </row>
    <row r="45" spans="1:13">
      <c r="A45" s="109"/>
      <c r="B45" s="109"/>
      <c r="C45" s="61"/>
      <c r="D45" s="61"/>
      <c r="E45" s="61"/>
      <c r="F45" s="61"/>
      <c r="G45" s="56"/>
      <c r="H45" s="62"/>
      <c r="I45" s="62"/>
      <c r="J45" s="56"/>
      <c r="K45" s="56"/>
      <c r="L45" s="56"/>
      <c r="M45" s="56"/>
    </row>
  </sheetData>
  <sheetProtection algorithmName="SHA-512" hashValue="XI46KSIoWBBgmGaLHeDqOUYwaTjyst1bBDQEkTJoCD71+uV2jBec+bal7c7Rv4h7oWUs5BJt29TR4K0aJGC61w==" saltValue="YFNerhxlkf7itZB+8oM9dQ==" spinCount="100000" sheet="1" objects="1" scenarios="1"/>
  <mergeCells count="73">
    <mergeCell ref="A45:B45"/>
    <mergeCell ref="A40:B40"/>
    <mergeCell ref="A41:B41"/>
    <mergeCell ref="H41:I41"/>
    <mergeCell ref="A42:B42"/>
    <mergeCell ref="A43:B43"/>
    <mergeCell ref="A44:B44"/>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scale="70"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N43"/>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2" spans="1:14" ht="16.5">
      <c r="A2" s="52" t="s">
        <v>120</v>
      </c>
      <c r="B2" s="8"/>
      <c r="C2" s="16"/>
      <c r="D2" s="16"/>
      <c r="E2" s="16"/>
      <c r="F2" s="16"/>
      <c r="G2" s="16"/>
      <c r="H2" s="8"/>
      <c r="I2" s="8"/>
      <c r="J2" s="16"/>
      <c r="K2" s="16"/>
      <c r="L2" s="16"/>
      <c r="M2" s="16"/>
      <c r="N2" s="16"/>
    </row>
    <row r="3" spans="1:14" ht="16.5">
      <c r="A3" s="53" t="s">
        <v>121</v>
      </c>
      <c r="B3" s="54"/>
      <c r="C3" s="9"/>
      <c r="D3" s="9"/>
      <c r="E3" s="9"/>
      <c r="F3" s="9"/>
      <c r="G3" s="9"/>
      <c r="H3" s="54"/>
      <c r="I3" s="54"/>
      <c r="J3" s="9"/>
      <c r="K3" s="9"/>
      <c r="L3" s="55"/>
      <c r="M3" s="9"/>
      <c r="N3" s="9"/>
    </row>
    <row r="4" spans="1:14" ht="16.5">
      <c r="A4" s="53" t="s">
        <v>122</v>
      </c>
      <c r="B4" s="54"/>
      <c r="C4" s="9"/>
      <c r="D4" s="9"/>
      <c r="E4" s="9"/>
      <c r="F4" s="9"/>
      <c r="G4" s="9"/>
      <c r="H4" s="54"/>
      <c r="I4" s="54"/>
      <c r="J4" s="9"/>
      <c r="K4" s="9"/>
      <c r="L4" s="9"/>
      <c r="M4" s="9"/>
      <c r="N4" s="9"/>
    </row>
    <row r="7" spans="1:14">
      <c r="A7" s="107" t="s">
        <v>21</v>
      </c>
      <c r="B7" s="107"/>
      <c r="C7" s="63" t="s">
        <v>22</v>
      </c>
      <c r="D7" s="63" t="s">
        <v>23</v>
      </c>
      <c r="E7" s="63" t="s">
        <v>24</v>
      </c>
      <c r="F7" s="63" t="s">
        <v>25</v>
      </c>
      <c r="H7" s="107" t="s">
        <v>21</v>
      </c>
      <c r="I7" s="107"/>
      <c r="J7" s="63" t="s">
        <v>22</v>
      </c>
      <c r="K7" s="63" t="s">
        <v>23</v>
      </c>
      <c r="L7" s="63" t="s">
        <v>24</v>
      </c>
      <c r="M7" s="63" t="s">
        <v>25</v>
      </c>
    </row>
    <row r="8" spans="1:14">
      <c r="A8" s="108" t="s">
        <v>26</v>
      </c>
      <c r="B8" s="108"/>
      <c r="C8" s="64" t="s">
        <v>27</v>
      </c>
      <c r="D8" s="64" t="s">
        <v>28</v>
      </c>
      <c r="E8" s="64" t="s">
        <v>29</v>
      </c>
      <c r="F8" s="64" t="s">
        <v>30</v>
      </c>
      <c r="G8" s="9"/>
      <c r="H8" s="108" t="s">
        <v>26</v>
      </c>
      <c r="I8" s="108"/>
      <c r="J8" s="64" t="s">
        <v>27</v>
      </c>
      <c r="K8" s="64" t="s">
        <v>28</v>
      </c>
      <c r="L8" s="64" t="s">
        <v>29</v>
      </c>
      <c r="M8" s="64" t="s">
        <v>30</v>
      </c>
    </row>
    <row r="9" spans="1:14">
      <c r="A9" s="108" t="s">
        <v>31</v>
      </c>
      <c r="B9" s="108"/>
      <c r="C9" s="64" t="s">
        <v>32</v>
      </c>
      <c r="D9" s="64" t="s">
        <v>33</v>
      </c>
      <c r="E9" s="64" t="s">
        <v>34</v>
      </c>
      <c r="F9" s="64" t="s">
        <v>35</v>
      </c>
      <c r="G9" s="9"/>
      <c r="H9" s="108" t="s">
        <v>31</v>
      </c>
      <c r="I9" s="108"/>
      <c r="J9" s="64" t="s">
        <v>32</v>
      </c>
      <c r="K9" s="64" t="s">
        <v>33</v>
      </c>
      <c r="L9" s="64" t="s">
        <v>34</v>
      </c>
      <c r="M9" s="64" t="s">
        <v>35</v>
      </c>
    </row>
    <row r="10" spans="1:14">
      <c r="A10" s="113" t="s">
        <v>36</v>
      </c>
      <c r="B10" s="113"/>
      <c r="C10" s="58">
        <v>62</v>
      </c>
      <c r="D10" s="58">
        <v>652</v>
      </c>
      <c r="E10" s="58">
        <v>1979</v>
      </c>
      <c r="F10" s="59">
        <f>E10/E$14</f>
        <v>0.65551507121563435</v>
      </c>
      <c r="G10" s="9"/>
      <c r="H10" s="113" t="s">
        <v>37</v>
      </c>
      <c r="I10" s="113"/>
      <c r="J10" s="58"/>
      <c r="K10" s="58"/>
      <c r="L10" s="58"/>
      <c r="M10" s="69"/>
    </row>
    <row r="11" spans="1:14">
      <c r="A11" s="109" t="s">
        <v>38</v>
      </c>
      <c r="B11" s="109"/>
      <c r="C11" s="58">
        <v>8</v>
      </c>
      <c r="D11" s="58">
        <v>293</v>
      </c>
      <c r="E11" s="58">
        <v>794</v>
      </c>
      <c r="F11" s="59">
        <f t="shared" ref="F11:F12" si="0">E11/E$14</f>
        <v>0.26300099370652535</v>
      </c>
      <c r="H11" s="109" t="s">
        <v>39</v>
      </c>
      <c r="I11" s="109"/>
      <c r="J11" s="58"/>
      <c r="K11" s="58"/>
      <c r="L11" s="58"/>
      <c r="M11" s="69"/>
    </row>
    <row r="12" spans="1:14">
      <c r="A12" s="109" t="s">
        <v>40</v>
      </c>
      <c r="B12" s="109"/>
      <c r="C12" s="58">
        <v>5</v>
      </c>
      <c r="D12" s="58">
        <v>104</v>
      </c>
      <c r="E12" s="58">
        <v>246</v>
      </c>
      <c r="F12" s="59">
        <f t="shared" si="0"/>
        <v>8.1483935077840339E-2</v>
      </c>
      <c r="H12" s="109" t="s">
        <v>41</v>
      </c>
      <c r="I12" s="109"/>
      <c r="J12" s="58"/>
      <c r="K12" s="58"/>
      <c r="L12" s="58"/>
      <c r="M12" s="69"/>
    </row>
    <row r="13" spans="1:14">
      <c r="A13" s="109" t="s">
        <v>44</v>
      </c>
      <c r="B13" s="109"/>
      <c r="C13" s="58"/>
      <c r="D13" s="58"/>
      <c r="E13" s="58"/>
      <c r="F13" s="59"/>
      <c r="H13" s="109" t="s">
        <v>45</v>
      </c>
      <c r="I13" s="109"/>
      <c r="J13" s="58"/>
      <c r="K13" s="58"/>
      <c r="L13" s="58"/>
      <c r="M13" s="69"/>
    </row>
    <row r="14" spans="1:14">
      <c r="A14" s="110" t="s">
        <v>48</v>
      </c>
      <c r="B14" s="110"/>
      <c r="C14" s="66">
        <f>SUM(C10:C13)</f>
        <v>75</v>
      </c>
      <c r="D14" s="66">
        <f t="shared" ref="D14:E14" si="1">SUM(D10:D13)</f>
        <v>1049</v>
      </c>
      <c r="E14" s="66">
        <f t="shared" si="1"/>
        <v>3019</v>
      </c>
      <c r="F14" s="71">
        <v>1</v>
      </c>
      <c r="H14" s="109" t="s">
        <v>49</v>
      </c>
      <c r="I14" s="109"/>
      <c r="J14" s="58"/>
      <c r="K14" s="58"/>
      <c r="L14" s="58"/>
      <c r="M14" s="69"/>
    </row>
    <row r="15" spans="1:14">
      <c r="A15" s="111"/>
      <c r="B15" s="111"/>
      <c r="C15" s="57"/>
      <c r="D15" s="61"/>
      <c r="E15" s="61"/>
      <c r="F15" s="72"/>
      <c r="H15" s="110" t="s">
        <v>52</v>
      </c>
      <c r="I15" s="110"/>
      <c r="J15" s="66"/>
      <c r="K15" s="66"/>
      <c r="L15" s="66"/>
      <c r="M15" s="67"/>
    </row>
    <row r="16" spans="1:14">
      <c r="A16" s="110" t="s">
        <v>51</v>
      </c>
      <c r="B16" s="110"/>
      <c r="C16" s="66"/>
      <c r="D16" s="66"/>
      <c r="E16" s="66"/>
      <c r="F16" s="71"/>
      <c r="H16" s="111"/>
      <c r="I16" s="111"/>
      <c r="J16" s="61"/>
      <c r="K16" s="61"/>
      <c r="L16" s="61"/>
    </row>
    <row r="17" spans="1:13">
      <c r="A17" s="110" t="s">
        <v>53</v>
      </c>
      <c r="B17" s="110"/>
      <c r="C17" s="66">
        <v>1</v>
      </c>
      <c r="D17" s="66">
        <v>6</v>
      </c>
      <c r="E17" s="66">
        <v>12</v>
      </c>
      <c r="F17" s="71">
        <v>1</v>
      </c>
      <c r="H17" s="109" t="s">
        <v>55</v>
      </c>
      <c r="I17" s="109"/>
      <c r="J17" s="58"/>
      <c r="K17" s="58"/>
      <c r="L17" s="58"/>
      <c r="M17" s="76"/>
    </row>
    <row r="18" spans="1:13">
      <c r="A18" s="110" t="s">
        <v>54</v>
      </c>
      <c r="B18" s="110"/>
      <c r="C18" s="66"/>
      <c r="D18" s="66"/>
      <c r="E18" s="66"/>
      <c r="F18" s="71"/>
      <c r="H18" s="109" t="s">
        <v>57</v>
      </c>
      <c r="I18" s="109"/>
      <c r="J18" s="58"/>
      <c r="K18" s="58"/>
      <c r="L18" s="58"/>
      <c r="M18" s="76"/>
    </row>
    <row r="19" spans="1:13">
      <c r="A19" s="109"/>
      <c r="B19" s="109"/>
      <c r="C19" s="61"/>
      <c r="D19" s="61"/>
      <c r="E19" s="61"/>
      <c r="F19" s="72"/>
      <c r="H19" s="109" t="s">
        <v>58</v>
      </c>
      <c r="I19" s="109"/>
      <c r="J19" s="58"/>
      <c r="K19" s="58"/>
      <c r="L19" s="58"/>
      <c r="M19" s="76"/>
    </row>
    <row r="20" spans="1:13">
      <c r="A20" s="109" t="s">
        <v>112</v>
      </c>
      <c r="B20" s="109"/>
      <c r="C20" s="58"/>
      <c r="D20" s="58"/>
      <c r="E20" s="58"/>
      <c r="F20" s="70"/>
      <c r="H20" s="109" t="s">
        <v>60</v>
      </c>
      <c r="I20" s="109"/>
      <c r="J20" s="58"/>
      <c r="K20" s="58"/>
      <c r="L20" s="58"/>
      <c r="M20" s="76"/>
    </row>
    <row r="21" spans="1:13">
      <c r="A21" s="109" t="s">
        <v>113</v>
      </c>
      <c r="B21" s="109"/>
      <c r="C21" s="58"/>
      <c r="D21" s="51"/>
      <c r="E21" s="58"/>
      <c r="F21" s="70"/>
      <c r="H21" s="109" t="s">
        <v>62</v>
      </c>
      <c r="I21" s="109"/>
      <c r="J21" s="58"/>
      <c r="K21" s="58"/>
      <c r="L21" s="58"/>
      <c r="M21" s="76"/>
    </row>
    <row r="22" spans="1:13">
      <c r="A22" s="109" t="s">
        <v>114</v>
      </c>
      <c r="B22" s="109"/>
      <c r="C22" s="58"/>
      <c r="D22" s="51"/>
      <c r="E22" s="58"/>
      <c r="F22" s="70"/>
      <c r="H22" s="110" t="s">
        <v>64</v>
      </c>
      <c r="I22" s="110"/>
      <c r="J22" s="66"/>
      <c r="K22" s="66"/>
      <c r="L22" s="66"/>
      <c r="M22" s="71"/>
    </row>
    <row r="23" spans="1:13">
      <c r="A23" s="109" t="s">
        <v>115</v>
      </c>
      <c r="B23" s="109"/>
      <c r="C23" s="58"/>
      <c r="D23" s="58"/>
      <c r="E23" s="58"/>
      <c r="F23" s="70"/>
      <c r="H23" s="111"/>
      <c r="I23" s="111"/>
      <c r="J23" s="61"/>
      <c r="K23" s="61"/>
      <c r="L23" s="61"/>
      <c r="M23" s="72"/>
    </row>
    <row r="24" spans="1:13">
      <c r="A24" s="110" t="s">
        <v>116</v>
      </c>
      <c r="B24" s="110"/>
      <c r="C24" s="66"/>
      <c r="D24" s="66"/>
      <c r="E24" s="66"/>
      <c r="F24" s="71"/>
      <c r="H24" s="109" t="s">
        <v>66</v>
      </c>
      <c r="I24" s="109"/>
      <c r="J24" s="58">
        <v>11</v>
      </c>
      <c r="K24" s="58">
        <v>316</v>
      </c>
      <c r="L24" s="58">
        <v>595</v>
      </c>
      <c r="M24" s="59">
        <f>L24/L$27</f>
        <v>0.497907949790795</v>
      </c>
    </row>
    <row r="25" spans="1:13">
      <c r="A25" s="111"/>
      <c r="B25" s="111"/>
      <c r="C25" s="61"/>
      <c r="D25" s="61"/>
      <c r="E25" s="61"/>
      <c r="F25" s="72"/>
      <c r="H25" s="109" t="s">
        <v>68</v>
      </c>
      <c r="I25" s="109"/>
      <c r="J25" s="58">
        <v>4</v>
      </c>
      <c r="K25" s="58">
        <v>189</v>
      </c>
      <c r="L25" s="58">
        <v>348</v>
      </c>
      <c r="M25" s="59">
        <f t="shared" ref="M25:M26" si="2">L25/L$27</f>
        <v>0.29121338912133893</v>
      </c>
    </row>
    <row r="26" spans="1:13">
      <c r="A26" s="109" t="s">
        <v>59</v>
      </c>
      <c r="B26" s="109"/>
      <c r="C26" s="58"/>
      <c r="D26" s="58"/>
      <c r="E26" s="58"/>
      <c r="F26" s="70"/>
      <c r="H26" s="109" t="s">
        <v>70</v>
      </c>
      <c r="I26" s="109"/>
      <c r="J26" s="58">
        <v>3</v>
      </c>
      <c r="K26" s="58">
        <v>140</v>
      </c>
      <c r="L26" s="58">
        <v>252</v>
      </c>
      <c r="M26" s="59">
        <f t="shared" si="2"/>
        <v>0.2108786610878661</v>
      </c>
    </row>
    <row r="27" spans="1:13">
      <c r="A27" s="109" t="s">
        <v>61</v>
      </c>
      <c r="B27" s="109"/>
      <c r="C27" s="58"/>
      <c r="D27" s="58"/>
      <c r="E27" s="58"/>
      <c r="F27" s="70"/>
      <c r="H27" s="110" t="s">
        <v>72</v>
      </c>
      <c r="I27" s="110"/>
      <c r="J27" s="66">
        <f>SUM(J24:J26)</f>
        <v>18</v>
      </c>
      <c r="K27" s="66">
        <f>SUM(K24:K26)</f>
        <v>645</v>
      </c>
      <c r="L27" s="66">
        <f>SUM(L24:L26)</f>
        <v>1195</v>
      </c>
      <c r="M27" s="67">
        <v>1</v>
      </c>
    </row>
    <row r="28" spans="1:13">
      <c r="A28" s="109" t="s">
        <v>63</v>
      </c>
      <c r="B28" s="109"/>
      <c r="C28" s="58">
        <v>2</v>
      </c>
      <c r="D28" s="58">
        <v>419</v>
      </c>
      <c r="E28" s="58">
        <v>1193</v>
      </c>
      <c r="F28" s="70">
        <v>1</v>
      </c>
      <c r="H28" s="111"/>
      <c r="I28" s="111"/>
      <c r="J28" s="61"/>
      <c r="K28" s="61"/>
      <c r="L28" s="61"/>
      <c r="M28" s="73"/>
    </row>
    <row r="29" spans="1:13">
      <c r="A29" s="110" t="s">
        <v>65</v>
      </c>
      <c r="B29" s="110"/>
      <c r="C29" s="66">
        <v>2</v>
      </c>
      <c r="D29" s="66">
        <v>419</v>
      </c>
      <c r="E29" s="66">
        <v>1193</v>
      </c>
      <c r="F29" s="71">
        <v>1</v>
      </c>
      <c r="H29" s="109" t="s">
        <v>74</v>
      </c>
      <c r="I29" s="109"/>
      <c r="J29" s="58">
        <v>5</v>
      </c>
      <c r="K29" s="58">
        <v>119</v>
      </c>
      <c r="L29" s="58">
        <v>227</v>
      </c>
      <c r="M29" s="59">
        <f>L29/L$33</f>
        <v>0.58961038961038958</v>
      </c>
    </row>
    <row r="30" spans="1:13">
      <c r="A30" s="111"/>
      <c r="B30" s="111"/>
      <c r="C30" s="61"/>
      <c r="D30" s="61"/>
      <c r="E30" s="61"/>
      <c r="F30" s="72"/>
      <c r="H30" s="109" t="s">
        <v>76</v>
      </c>
      <c r="I30" s="109"/>
      <c r="J30" s="58">
        <v>2</v>
      </c>
      <c r="K30" s="58">
        <v>25</v>
      </c>
      <c r="L30" s="58">
        <v>45</v>
      </c>
      <c r="M30" s="59">
        <f t="shared" ref="M30:M31" si="3">L30/L$33</f>
        <v>0.11688311688311688</v>
      </c>
    </row>
    <row r="31" spans="1:13">
      <c r="A31" s="109" t="s">
        <v>67</v>
      </c>
      <c r="B31" s="109"/>
      <c r="C31" s="58">
        <v>3</v>
      </c>
      <c r="D31" s="58">
        <v>133</v>
      </c>
      <c r="E31" s="58">
        <v>254</v>
      </c>
      <c r="F31" s="74">
        <f>E31/E$36</f>
        <v>0.14522584333905089</v>
      </c>
      <c r="H31" s="109" t="s">
        <v>78</v>
      </c>
      <c r="I31" s="109"/>
      <c r="J31" s="58">
        <v>2</v>
      </c>
      <c r="K31" s="58">
        <v>59</v>
      </c>
      <c r="L31" s="58">
        <v>113</v>
      </c>
      <c r="M31" s="59">
        <f t="shared" si="3"/>
        <v>0.29350649350649349</v>
      </c>
    </row>
    <row r="32" spans="1:13">
      <c r="A32" s="109" t="s">
        <v>69</v>
      </c>
      <c r="B32" s="109"/>
      <c r="C32" s="58">
        <v>1</v>
      </c>
      <c r="D32" s="58">
        <v>26</v>
      </c>
      <c r="E32" s="58">
        <v>49</v>
      </c>
      <c r="F32" s="74">
        <f t="shared" ref="F32:F34" si="4">E32/E$36</f>
        <v>2.8016009148084619E-2</v>
      </c>
      <c r="H32" s="109"/>
      <c r="I32" s="109"/>
      <c r="J32" s="58"/>
      <c r="K32" s="58"/>
      <c r="L32" s="58"/>
      <c r="M32" s="59"/>
    </row>
    <row r="33" spans="1:13">
      <c r="A33" s="109" t="s">
        <v>71</v>
      </c>
      <c r="B33" s="109"/>
      <c r="C33" s="58">
        <v>1</v>
      </c>
      <c r="D33" s="58">
        <v>116</v>
      </c>
      <c r="E33" s="58">
        <v>214</v>
      </c>
      <c r="F33" s="74">
        <f t="shared" si="4"/>
        <v>0.12235563178959405</v>
      </c>
      <c r="H33" s="110" t="s">
        <v>80</v>
      </c>
      <c r="I33" s="110"/>
      <c r="J33" s="66">
        <f>SUM(J29:J31)</f>
        <v>9</v>
      </c>
      <c r="K33" s="66">
        <f t="shared" ref="K33:L33" si="5">SUM(K29:K31)</f>
        <v>203</v>
      </c>
      <c r="L33" s="66">
        <f t="shared" si="5"/>
        <v>385</v>
      </c>
      <c r="M33" s="67">
        <v>1</v>
      </c>
    </row>
    <row r="34" spans="1:13">
      <c r="A34" s="109" t="s">
        <v>226</v>
      </c>
      <c r="B34" s="109"/>
      <c r="C34" s="58">
        <v>2</v>
      </c>
      <c r="D34" s="58">
        <v>661</v>
      </c>
      <c r="E34" s="58">
        <v>1232</v>
      </c>
      <c r="F34" s="74">
        <f t="shared" si="4"/>
        <v>0.70440251572327039</v>
      </c>
      <c r="H34" s="111"/>
      <c r="I34" s="111"/>
      <c r="J34" s="61"/>
      <c r="K34" s="61"/>
      <c r="L34" s="61"/>
      <c r="M34" s="73"/>
    </row>
    <row r="35" spans="1:13">
      <c r="A35" s="109" t="s">
        <v>77</v>
      </c>
      <c r="B35" s="109"/>
      <c r="C35" s="58"/>
      <c r="D35" s="58"/>
      <c r="E35" s="58"/>
      <c r="F35" s="70"/>
      <c r="H35" s="110" t="s">
        <v>82</v>
      </c>
      <c r="I35" s="110"/>
      <c r="J35" s="66">
        <v>8</v>
      </c>
      <c r="K35" s="66">
        <v>73</v>
      </c>
      <c r="L35" s="66">
        <v>125</v>
      </c>
      <c r="M35" s="67">
        <v>1</v>
      </c>
    </row>
    <row r="36" spans="1:13">
      <c r="A36" s="110" t="s">
        <v>81</v>
      </c>
      <c r="B36" s="110"/>
      <c r="C36" s="66">
        <f>SUM(C31:C35)</f>
        <v>7</v>
      </c>
      <c r="D36" s="66">
        <f>SUM(D31:D35)</f>
        <v>936</v>
      </c>
      <c r="E36" s="66">
        <f>SUM(E31:E35)</f>
        <v>1749</v>
      </c>
      <c r="F36" s="71">
        <v>1</v>
      </c>
      <c r="H36" s="110" t="s">
        <v>84</v>
      </c>
      <c r="I36" s="110"/>
      <c r="J36" s="66">
        <v>1</v>
      </c>
      <c r="K36" s="66">
        <v>15</v>
      </c>
      <c r="L36" s="66">
        <v>30</v>
      </c>
      <c r="M36" s="67">
        <v>1</v>
      </c>
    </row>
    <row r="37" spans="1:13">
      <c r="A37" s="111"/>
      <c r="B37" s="111"/>
      <c r="C37" s="61"/>
      <c r="D37" s="61"/>
      <c r="E37" s="61"/>
      <c r="F37" s="72"/>
      <c r="H37" s="110" t="s">
        <v>86</v>
      </c>
      <c r="I37" s="110"/>
      <c r="J37" s="66"/>
      <c r="K37" s="66"/>
      <c r="L37" s="66"/>
      <c r="M37" s="67"/>
    </row>
    <row r="38" spans="1:13">
      <c r="A38" s="109" t="s">
        <v>83</v>
      </c>
      <c r="B38" s="109"/>
      <c r="C38" s="61"/>
      <c r="D38" s="61"/>
      <c r="E38" s="61"/>
      <c r="F38" s="75"/>
      <c r="H38" s="109"/>
      <c r="I38" s="109"/>
      <c r="J38" s="58"/>
      <c r="K38" s="58"/>
      <c r="L38" s="58"/>
      <c r="M38" s="73"/>
    </row>
    <row r="39" spans="1:13">
      <c r="A39" s="109" t="s">
        <v>85</v>
      </c>
      <c r="B39" s="109"/>
      <c r="C39" s="58"/>
      <c r="D39" s="58"/>
      <c r="E39" s="58"/>
      <c r="F39" s="74"/>
      <c r="H39" s="109"/>
      <c r="I39" s="109"/>
      <c r="J39" s="58"/>
      <c r="K39" s="58"/>
      <c r="L39" s="58"/>
      <c r="M39" s="58"/>
    </row>
    <row r="40" spans="1:13">
      <c r="A40" s="109" t="s">
        <v>87</v>
      </c>
      <c r="B40" s="109"/>
      <c r="C40" s="58"/>
      <c r="D40" s="58"/>
      <c r="E40" s="58"/>
      <c r="F40" s="74"/>
      <c r="H40" s="111"/>
      <c r="I40" s="111"/>
      <c r="J40" s="58"/>
      <c r="K40" s="58"/>
      <c r="L40" s="58"/>
      <c r="M40" s="58"/>
    </row>
    <row r="41" spans="1:13">
      <c r="A41" s="109" t="s">
        <v>227</v>
      </c>
      <c r="B41" s="109"/>
      <c r="C41" s="58"/>
      <c r="D41" s="58"/>
      <c r="E41" s="58"/>
      <c r="F41" s="74"/>
      <c r="H41" s="57"/>
      <c r="I41" s="57"/>
      <c r="J41" s="58"/>
      <c r="K41" s="58"/>
      <c r="L41" s="58"/>
      <c r="M41" s="60"/>
    </row>
    <row r="42" spans="1:13">
      <c r="A42" s="109" t="s">
        <v>88</v>
      </c>
      <c r="B42" s="109"/>
      <c r="C42" s="58"/>
      <c r="D42" s="58"/>
      <c r="E42" s="58"/>
      <c r="F42" s="74"/>
      <c r="H42" s="110" t="s">
        <v>90</v>
      </c>
      <c r="I42" s="110"/>
      <c r="J42" s="66">
        <f>C14+C17+C29+C36+J27+J33+J35+J36</f>
        <v>121</v>
      </c>
      <c r="K42" s="66">
        <f>D14+D17+D29+D36+K27+K33+K35+K36</f>
        <v>3346</v>
      </c>
      <c r="L42" s="66">
        <f>E14+E17+E29+E36+L27+L33+L35+L36</f>
        <v>7708</v>
      </c>
      <c r="M42" s="58"/>
    </row>
    <row r="43" spans="1:13">
      <c r="A43" s="110" t="s">
        <v>89</v>
      </c>
      <c r="B43" s="110"/>
      <c r="C43" s="66"/>
      <c r="D43" s="66"/>
      <c r="E43" s="66"/>
      <c r="F43" s="67"/>
      <c r="H43" s="111"/>
      <c r="I43" s="111"/>
      <c r="J43" s="61"/>
      <c r="K43" s="61"/>
      <c r="L43" s="61"/>
      <c r="M43" s="59"/>
    </row>
  </sheetData>
  <sheetProtection algorithmName="SHA-512" hashValue="9gMZZ+8x8XbaLsU+s2ECwdt4W76E/J3ZXf2UnkryJnQU8R3/hWoEpsoTYSOPsbWgWv2WfvCp2Y61MR9R4UwAOA==" saltValue="toR6Mgxj6+ukNgh68Db7PA==" spinCount="100000" sheet="1" objects="1" scenarios="1"/>
  <mergeCells count="73">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A36:B36"/>
    <mergeCell ref="A37:B37"/>
    <mergeCell ref="H37:I37"/>
    <mergeCell ref="H35:I35"/>
    <mergeCell ref="H36:I36"/>
    <mergeCell ref="A38:B38"/>
    <mergeCell ref="H38:I38"/>
    <mergeCell ref="A39:B39"/>
    <mergeCell ref="H39:I39"/>
    <mergeCell ref="A40:B40"/>
    <mergeCell ref="H40:I40"/>
    <mergeCell ref="A41:B41"/>
    <mergeCell ref="A42:B42"/>
    <mergeCell ref="H42:I42"/>
    <mergeCell ref="A43:B43"/>
    <mergeCell ref="H43:I43"/>
  </mergeCells>
  <pageMargins left="0.7" right="0.7" top="0.75" bottom="0.75" header="0.3" footer="0.3"/>
  <pageSetup paperSize="9" scale="70"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44"/>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1" spans="1:13" ht="16.5">
      <c r="A1" s="15"/>
    </row>
    <row r="2" spans="1:13" ht="16.5">
      <c r="A2" s="52" t="s">
        <v>123</v>
      </c>
    </row>
    <row r="3" spans="1:13" ht="16.5">
      <c r="A3" s="53" t="s">
        <v>124</v>
      </c>
      <c r="B3" s="54"/>
      <c r="C3" s="9"/>
      <c r="D3" s="9"/>
      <c r="E3" s="9"/>
      <c r="F3" s="9"/>
      <c r="G3" s="9"/>
      <c r="H3" s="54"/>
      <c r="I3" s="54"/>
      <c r="J3" s="9"/>
      <c r="K3" s="9"/>
      <c r="L3" s="55"/>
      <c r="M3" s="9"/>
    </row>
    <row r="4" spans="1:13" ht="16.5">
      <c r="A4" s="53" t="s">
        <v>125</v>
      </c>
      <c r="B4" s="54"/>
      <c r="C4" s="9"/>
      <c r="D4" s="9"/>
      <c r="E4" s="9"/>
      <c r="F4" s="9"/>
      <c r="G4" s="9"/>
      <c r="H4" s="54"/>
      <c r="I4" s="54"/>
      <c r="J4" s="9"/>
      <c r="K4" s="9"/>
      <c r="L4" s="9"/>
      <c r="M4" s="9"/>
    </row>
    <row r="7" spans="1:13">
      <c r="A7" s="107" t="s">
        <v>21</v>
      </c>
      <c r="B7" s="107"/>
      <c r="C7" s="63" t="s">
        <v>22</v>
      </c>
      <c r="D7" s="63" t="s">
        <v>23</v>
      </c>
      <c r="E7" s="63" t="s">
        <v>24</v>
      </c>
      <c r="F7" s="63" t="s">
        <v>25</v>
      </c>
      <c r="G7" s="56"/>
      <c r="H7" s="107" t="s">
        <v>21</v>
      </c>
      <c r="I7" s="107"/>
      <c r="J7" s="63" t="s">
        <v>22</v>
      </c>
      <c r="K7" s="63" t="s">
        <v>23</v>
      </c>
      <c r="L7" s="63" t="s">
        <v>24</v>
      </c>
      <c r="M7" s="63" t="s">
        <v>25</v>
      </c>
    </row>
    <row r="8" spans="1:13">
      <c r="A8" s="108" t="s">
        <v>26</v>
      </c>
      <c r="B8" s="108"/>
      <c r="C8" s="64" t="s">
        <v>27</v>
      </c>
      <c r="D8" s="64" t="s">
        <v>28</v>
      </c>
      <c r="E8" s="64" t="s">
        <v>29</v>
      </c>
      <c r="F8" s="64" t="s">
        <v>30</v>
      </c>
      <c r="G8" s="65"/>
      <c r="H8" s="108" t="s">
        <v>26</v>
      </c>
      <c r="I8" s="108"/>
      <c r="J8" s="64" t="s">
        <v>27</v>
      </c>
      <c r="K8" s="64" t="s">
        <v>28</v>
      </c>
      <c r="L8" s="64" t="s">
        <v>29</v>
      </c>
      <c r="M8" s="64" t="s">
        <v>30</v>
      </c>
    </row>
    <row r="9" spans="1:13">
      <c r="A9" s="108" t="s">
        <v>31</v>
      </c>
      <c r="B9" s="108"/>
      <c r="C9" s="64" t="s">
        <v>32</v>
      </c>
      <c r="D9" s="64" t="s">
        <v>33</v>
      </c>
      <c r="E9" s="64" t="s">
        <v>34</v>
      </c>
      <c r="F9" s="64" t="s">
        <v>35</v>
      </c>
      <c r="G9" s="65"/>
      <c r="H9" s="108" t="s">
        <v>31</v>
      </c>
      <c r="I9" s="108"/>
      <c r="J9" s="64" t="s">
        <v>32</v>
      </c>
      <c r="K9" s="64" t="s">
        <v>33</v>
      </c>
      <c r="L9" s="64" t="s">
        <v>34</v>
      </c>
      <c r="M9" s="64" t="s">
        <v>35</v>
      </c>
    </row>
    <row r="10" spans="1:13">
      <c r="A10" s="109" t="s">
        <v>36</v>
      </c>
      <c r="B10" s="109"/>
      <c r="C10" s="58">
        <v>62</v>
      </c>
      <c r="D10" s="58">
        <v>652</v>
      </c>
      <c r="E10" s="58">
        <v>1979</v>
      </c>
      <c r="F10" s="59">
        <f>E10/E$14</f>
        <v>0.65551507121563435</v>
      </c>
      <c r="G10" s="56"/>
      <c r="H10" s="109" t="s">
        <v>37</v>
      </c>
      <c r="I10" s="109"/>
      <c r="J10" s="58"/>
      <c r="K10" s="58"/>
      <c r="L10" s="58"/>
      <c r="M10" s="59"/>
    </row>
    <row r="11" spans="1:13">
      <c r="A11" s="109" t="s">
        <v>38</v>
      </c>
      <c r="B11" s="109"/>
      <c r="C11" s="58">
        <v>8</v>
      </c>
      <c r="D11" s="58">
        <v>293</v>
      </c>
      <c r="E11" s="58">
        <v>794</v>
      </c>
      <c r="F11" s="59">
        <f t="shared" ref="F11:F12" si="0">E11/E$14</f>
        <v>0.26300099370652535</v>
      </c>
      <c r="G11" s="56"/>
      <c r="H11" s="109" t="s">
        <v>39</v>
      </c>
      <c r="I11" s="109"/>
      <c r="J11" s="58"/>
      <c r="K11" s="58"/>
      <c r="L11" s="58"/>
      <c r="M11" s="59"/>
    </row>
    <row r="12" spans="1:13">
      <c r="A12" s="109" t="s">
        <v>40</v>
      </c>
      <c r="B12" s="109"/>
      <c r="C12" s="58">
        <v>5</v>
      </c>
      <c r="D12" s="58">
        <v>104</v>
      </c>
      <c r="E12" s="58">
        <v>246</v>
      </c>
      <c r="F12" s="59">
        <f t="shared" si="0"/>
        <v>8.1483935077840339E-2</v>
      </c>
      <c r="G12" s="56"/>
      <c r="H12" s="109" t="s">
        <v>41</v>
      </c>
      <c r="I12" s="109"/>
      <c r="J12" s="58"/>
      <c r="K12" s="58"/>
      <c r="L12" s="58"/>
      <c r="M12" s="59"/>
    </row>
    <row r="13" spans="1:13">
      <c r="A13" s="109" t="s">
        <v>44</v>
      </c>
      <c r="B13" s="109"/>
      <c r="C13" s="58"/>
      <c r="D13" s="58"/>
      <c r="E13" s="58"/>
      <c r="F13" s="59"/>
      <c r="G13" s="56"/>
      <c r="H13" s="109" t="s">
        <v>45</v>
      </c>
      <c r="I13" s="109"/>
      <c r="J13" s="58"/>
      <c r="K13" s="58"/>
      <c r="L13" s="58"/>
      <c r="M13" s="59"/>
    </row>
    <row r="14" spans="1:13">
      <c r="A14" s="110" t="s">
        <v>48</v>
      </c>
      <c r="B14" s="110"/>
      <c r="C14" s="66">
        <f>SUM(C10:C13)</f>
        <v>75</v>
      </c>
      <c r="D14" s="66">
        <f t="shared" ref="D14:E14" si="1">SUM(D10:D13)</f>
        <v>1049</v>
      </c>
      <c r="E14" s="66">
        <f t="shared" si="1"/>
        <v>3019</v>
      </c>
      <c r="F14" s="67">
        <v>1</v>
      </c>
      <c r="G14" s="56"/>
      <c r="H14" s="109" t="s">
        <v>49</v>
      </c>
      <c r="I14" s="109"/>
      <c r="J14" s="58"/>
      <c r="K14" s="58"/>
      <c r="L14" s="58"/>
      <c r="M14" s="59"/>
    </row>
    <row r="15" spans="1:13">
      <c r="A15" s="109"/>
      <c r="B15" s="109"/>
      <c r="C15" s="58"/>
      <c r="D15" s="58"/>
      <c r="E15" s="58"/>
      <c r="F15" s="59"/>
      <c r="G15" s="56"/>
      <c r="H15" s="110" t="s">
        <v>52</v>
      </c>
      <c r="I15" s="110"/>
      <c r="J15" s="66"/>
      <c r="K15" s="66"/>
      <c r="L15" s="66"/>
      <c r="M15" s="67"/>
    </row>
    <row r="16" spans="1:13">
      <c r="A16" s="110" t="s">
        <v>51</v>
      </c>
      <c r="B16" s="110"/>
      <c r="C16" s="66"/>
      <c r="D16" s="66"/>
      <c r="E16" s="66"/>
      <c r="F16" s="67"/>
      <c r="G16" s="56"/>
      <c r="H16" s="109"/>
      <c r="I16" s="109"/>
      <c r="J16" s="58"/>
      <c r="K16" s="58"/>
      <c r="L16" s="58"/>
      <c r="M16" s="59"/>
    </row>
    <row r="17" spans="1:13">
      <c r="A17" s="110" t="s">
        <v>53</v>
      </c>
      <c r="B17" s="110"/>
      <c r="C17" s="66">
        <v>1</v>
      </c>
      <c r="D17" s="66">
        <v>6</v>
      </c>
      <c r="E17" s="66">
        <v>12</v>
      </c>
      <c r="F17" s="67">
        <v>1</v>
      </c>
      <c r="G17" s="56"/>
      <c r="H17" s="109" t="s">
        <v>55</v>
      </c>
      <c r="I17" s="109"/>
      <c r="J17" s="58"/>
      <c r="K17" s="58"/>
      <c r="L17" s="58"/>
      <c r="M17" s="59"/>
    </row>
    <row r="18" spans="1:13">
      <c r="A18" s="110" t="s">
        <v>54</v>
      </c>
      <c r="B18" s="110"/>
      <c r="C18" s="66"/>
      <c r="D18" s="66"/>
      <c r="E18" s="66"/>
      <c r="F18" s="67"/>
      <c r="G18" s="56"/>
      <c r="H18" s="109" t="s">
        <v>57</v>
      </c>
      <c r="I18" s="109"/>
      <c r="J18" s="58"/>
      <c r="K18" s="58"/>
      <c r="L18" s="58"/>
      <c r="M18" s="59"/>
    </row>
    <row r="19" spans="1:13">
      <c r="A19" s="111"/>
      <c r="B19" s="111"/>
      <c r="C19" s="58"/>
      <c r="D19" s="58"/>
      <c r="E19" s="58"/>
      <c r="F19" s="59"/>
      <c r="G19" s="56"/>
      <c r="H19" s="109" t="s">
        <v>58</v>
      </c>
      <c r="I19" s="109"/>
      <c r="J19" s="58"/>
      <c r="K19" s="58"/>
      <c r="L19" s="58"/>
      <c r="M19" s="59"/>
    </row>
    <row r="20" spans="1:13">
      <c r="A20" s="109" t="s">
        <v>112</v>
      </c>
      <c r="B20" s="109"/>
      <c r="C20" s="58"/>
      <c r="D20" s="51"/>
      <c r="E20" s="58"/>
      <c r="F20" s="59"/>
      <c r="G20" s="56"/>
      <c r="H20" s="109" t="s">
        <v>60</v>
      </c>
      <c r="I20" s="109"/>
      <c r="J20" s="58"/>
      <c r="K20" s="58"/>
      <c r="L20" s="58"/>
      <c r="M20" s="59"/>
    </row>
    <row r="21" spans="1:13">
      <c r="A21" s="109" t="s">
        <v>113</v>
      </c>
      <c r="B21" s="109"/>
      <c r="C21" s="58"/>
      <c r="D21" s="51"/>
      <c r="E21" s="58"/>
      <c r="F21" s="59"/>
      <c r="G21" s="56"/>
      <c r="H21" s="109" t="s">
        <v>62</v>
      </c>
      <c r="I21" s="109"/>
      <c r="J21" s="58"/>
      <c r="K21" s="58"/>
      <c r="L21" s="58"/>
      <c r="M21" s="59"/>
    </row>
    <row r="22" spans="1:13">
      <c r="A22" s="109" t="s">
        <v>114</v>
      </c>
      <c r="B22" s="109"/>
      <c r="C22" s="58"/>
      <c r="D22" s="58"/>
      <c r="E22" s="58"/>
      <c r="F22" s="59"/>
      <c r="G22" s="56"/>
      <c r="H22" s="110" t="s">
        <v>64</v>
      </c>
      <c r="I22" s="110"/>
      <c r="J22" s="66"/>
      <c r="K22" s="66"/>
      <c r="L22" s="66"/>
      <c r="M22" s="68"/>
    </row>
    <row r="23" spans="1:13">
      <c r="A23" s="109" t="s">
        <v>115</v>
      </c>
      <c r="B23" s="109"/>
      <c r="C23" s="58"/>
      <c r="D23" s="58"/>
      <c r="E23" s="58"/>
      <c r="F23" s="69"/>
      <c r="G23" s="56"/>
      <c r="H23" s="109"/>
      <c r="I23" s="109"/>
      <c r="J23" s="58"/>
      <c r="K23" s="58"/>
      <c r="L23" s="58"/>
      <c r="M23" s="59"/>
    </row>
    <row r="24" spans="1:13">
      <c r="A24" s="110" t="s">
        <v>116</v>
      </c>
      <c r="B24" s="110"/>
      <c r="C24" s="66"/>
      <c r="D24" s="66"/>
      <c r="E24" s="66"/>
      <c r="F24" s="67"/>
      <c r="G24" s="56"/>
      <c r="H24" s="109" t="s">
        <v>66</v>
      </c>
      <c r="I24" s="109"/>
      <c r="J24" s="58">
        <v>11</v>
      </c>
      <c r="K24" s="58">
        <v>316</v>
      </c>
      <c r="L24" s="58">
        <v>595</v>
      </c>
      <c r="M24" s="59">
        <f>L24/L$27</f>
        <v>0.497907949790795</v>
      </c>
    </row>
    <row r="25" spans="1:13">
      <c r="A25" s="109"/>
      <c r="B25" s="109"/>
      <c r="C25" s="58"/>
      <c r="D25" s="58"/>
      <c r="E25" s="58"/>
      <c r="F25" s="59"/>
      <c r="G25" s="56"/>
      <c r="H25" s="109" t="s">
        <v>68</v>
      </c>
      <c r="I25" s="109"/>
      <c r="J25" s="58">
        <v>4</v>
      </c>
      <c r="K25" s="58">
        <v>189</v>
      </c>
      <c r="L25" s="58">
        <v>348</v>
      </c>
      <c r="M25" s="59">
        <f t="shared" ref="M25:M26" si="2">L25/L$27</f>
        <v>0.29121338912133893</v>
      </c>
    </row>
    <row r="26" spans="1:13">
      <c r="A26" s="109" t="s">
        <v>59</v>
      </c>
      <c r="B26" s="109"/>
      <c r="C26" s="58"/>
      <c r="D26" s="58"/>
      <c r="E26" s="58"/>
      <c r="F26" s="59"/>
      <c r="G26" s="56"/>
      <c r="H26" s="109" t="s">
        <v>70</v>
      </c>
      <c r="I26" s="109"/>
      <c r="J26" s="58">
        <v>3</v>
      </c>
      <c r="K26" s="58">
        <v>140</v>
      </c>
      <c r="L26" s="58">
        <v>252</v>
      </c>
      <c r="M26" s="59">
        <f t="shared" si="2"/>
        <v>0.2108786610878661</v>
      </c>
    </row>
    <row r="27" spans="1:13">
      <c r="A27" s="109" t="s">
        <v>61</v>
      </c>
      <c r="B27" s="109"/>
      <c r="C27" s="58"/>
      <c r="D27" s="58"/>
      <c r="E27" s="58"/>
      <c r="F27" s="59"/>
      <c r="G27" s="56"/>
      <c r="H27" s="110" t="s">
        <v>72</v>
      </c>
      <c r="I27" s="110"/>
      <c r="J27" s="66">
        <f>SUM(J24:J26)</f>
        <v>18</v>
      </c>
      <c r="K27" s="66">
        <f t="shared" ref="K27:L27" si="3">SUM(K24:K26)</f>
        <v>645</v>
      </c>
      <c r="L27" s="66">
        <f t="shared" si="3"/>
        <v>1195</v>
      </c>
      <c r="M27" s="67">
        <v>1</v>
      </c>
    </row>
    <row r="28" spans="1:13">
      <c r="A28" s="109" t="s">
        <v>63</v>
      </c>
      <c r="B28" s="109"/>
      <c r="C28" s="58">
        <v>2</v>
      </c>
      <c r="D28" s="58">
        <v>419</v>
      </c>
      <c r="E28" s="58">
        <v>1193</v>
      </c>
      <c r="F28" s="69">
        <v>1</v>
      </c>
      <c r="G28" s="56"/>
      <c r="H28" s="109"/>
      <c r="I28" s="109"/>
      <c r="J28" s="58"/>
      <c r="K28" s="58"/>
      <c r="L28" s="58"/>
      <c r="M28" s="59"/>
    </row>
    <row r="29" spans="1:13">
      <c r="A29" s="110" t="s">
        <v>65</v>
      </c>
      <c r="B29" s="110"/>
      <c r="C29" s="66">
        <v>2</v>
      </c>
      <c r="D29" s="66">
        <v>419</v>
      </c>
      <c r="E29" s="66">
        <v>1193</v>
      </c>
      <c r="F29" s="67">
        <v>1</v>
      </c>
      <c r="G29" s="56"/>
      <c r="H29" s="109" t="s">
        <v>74</v>
      </c>
      <c r="I29" s="109"/>
      <c r="J29" s="58">
        <v>5</v>
      </c>
      <c r="K29" s="58">
        <v>119</v>
      </c>
      <c r="L29" s="58">
        <v>227</v>
      </c>
      <c r="M29" s="59">
        <f>L29/L$32</f>
        <v>0.58961038961038958</v>
      </c>
    </row>
    <row r="30" spans="1:13">
      <c r="A30" s="109"/>
      <c r="B30" s="109"/>
      <c r="C30" s="58"/>
      <c r="D30" s="58"/>
      <c r="E30" s="58"/>
      <c r="F30" s="59"/>
      <c r="G30" s="56"/>
      <c r="H30" s="109" t="s">
        <v>76</v>
      </c>
      <c r="I30" s="109"/>
      <c r="J30" s="58">
        <v>2</v>
      </c>
      <c r="K30" s="58">
        <v>25</v>
      </c>
      <c r="L30" s="58">
        <v>45</v>
      </c>
      <c r="M30" s="59">
        <f t="shared" ref="M30:M31" si="4">L30/L$32</f>
        <v>0.11688311688311688</v>
      </c>
    </row>
    <row r="31" spans="1:13">
      <c r="A31" s="109" t="s">
        <v>67</v>
      </c>
      <c r="B31" s="109"/>
      <c r="C31" s="58">
        <v>3</v>
      </c>
      <c r="D31" s="58">
        <v>133</v>
      </c>
      <c r="E31" s="58">
        <v>254</v>
      </c>
      <c r="F31" s="59">
        <f>E31/E$37</f>
        <v>0.14522584333905089</v>
      </c>
      <c r="G31" s="56"/>
      <c r="H31" s="109" t="s">
        <v>78</v>
      </c>
      <c r="I31" s="109"/>
      <c r="J31" s="58">
        <v>2</v>
      </c>
      <c r="K31" s="58">
        <v>59</v>
      </c>
      <c r="L31" s="58">
        <v>113</v>
      </c>
      <c r="M31" s="59">
        <f t="shared" si="4"/>
        <v>0.29350649350649349</v>
      </c>
    </row>
    <row r="32" spans="1:13">
      <c r="A32" s="109" t="s">
        <v>69</v>
      </c>
      <c r="B32" s="109"/>
      <c r="C32" s="58">
        <v>1</v>
      </c>
      <c r="D32" s="58">
        <v>26</v>
      </c>
      <c r="E32" s="58">
        <v>49</v>
      </c>
      <c r="F32" s="59">
        <f t="shared" ref="F32:F34" si="5">E32/E$37</f>
        <v>2.8016009148084619E-2</v>
      </c>
      <c r="G32" s="56"/>
      <c r="H32" s="110" t="s">
        <v>80</v>
      </c>
      <c r="I32" s="110"/>
      <c r="J32" s="66">
        <f>SUM(J29:J31)</f>
        <v>9</v>
      </c>
      <c r="K32" s="66">
        <f>SUM(K29:K31)</f>
        <v>203</v>
      </c>
      <c r="L32" s="66">
        <f>SUM(L29:L31)</f>
        <v>385</v>
      </c>
      <c r="M32" s="67">
        <v>1</v>
      </c>
    </row>
    <row r="33" spans="1:13">
      <c r="A33" s="109" t="s">
        <v>71</v>
      </c>
      <c r="B33" s="109"/>
      <c r="C33" s="58">
        <v>1</v>
      </c>
      <c r="D33" s="58">
        <v>116</v>
      </c>
      <c r="E33" s="58">
        <v>214</v>
      </c>
      <c r="F33" s="59">
        <f t="shared" si="5"/>
        <v>0.12235563178959405</v>
      </c>
      <c r="G33" s="56"/>
      <c r="H33" s="109"/>
      <c r="I33" s="109"/>
    </row>
    <row r="34" spans="1:13">
      <c r="A34" s="109" t="s">
        <v>226</v>
      </c>
      <c r="B34" s="109"/>
      <c r="C34" s="58">
        <v>2</v>
      </c>
      <c r="D34" s="58">
        <v>661</v>
      </c>
      <c r="E34" s="58">
        <v>1232</v>
      </c>
      <c r="F34" s="59">
        <f t="shared" si="5"/>
        <v>0.70440251572327039</v>
      </c>
      <c r="G34" s="56"/>
      <c r="H34" s="110" t="s">
        <v>82</v>
      </c>
      <c r="I34" s="110"/>
      <c r="J34" s="66">
        <v>8</v>
      </c>
      <c r="K34" s="66">
        <v>73</v>
      </c>
      <c r="L34" s="66">
        <v>125</v>
      </c>
      <c r="M34" s="67">
        <v>1</v>
      </c>
    </row>
    <row r="35" spans="1:13">
      <c r="A35" s="109" t="s">
        <v>77</v>
      </c>
      <c r="B35" s="109"/>
      <c r="C35" s="58"/>
      <c r="D35" s="58"/>
      <c r="E35" s="58"/>
      <c r="F35" s="59"/>
      <c r="G35" s="56"/>
      <c r="H35" s="110" t="s">
        <v>84</v>
      </c>
      <c r="I35" s="110"/>
      <c r="J35" s="66">
        <v>1</v>
      </c>
      <c r="K35" s="66">
        <v>15</v>
      </c>
      <c r="L35" s="66">
        <v>30</v>
      </c>
      <c r="M35" s="67">
        <v>1</v>
      </c>
    </row>
    <row r="36" spans="1:13">
      <c r="A36" s="109" t="s">
        <v>79</v>
      </c>
      <c r="B36" s="112"/>
      <c r="C36" s="58"/>
      <c r="D36" s="58"/>
      <c r="E36" s="58"/>
      <c r="F36" s="59"/>
      <c r="G36" s="56"/>
      <c r="H36" s="110" t="s">
        <v>86</v>
      </c>
      <c r="I36" s="110"/>
      <c r="J36" s="66"/>
      <c r="K36" s="66"/>
      <c r="L36" s="66"/>
      <c r="M36" s="67"/>
    </row>
    <row r="37" spans="1:13">
      <c r="A37" s="110" t="s">
        <v>81</v>
      </c>
      <c r="B37" s="110"/>
      <c r="C37" s="66">
        <f>SUM(C31:C36)</f>
        <v>7</v>
      </c>
      <c r="D37" s="66">
        <f>SUM(D31:D36)</f>
        <v>936</v>
      </c>
      <c r="E37" s="66">
        <f>SUM(E31:E36)</f>
        <v>1749</v>
      </c>
      <c r="F37" s="67">
        <v>1</v>
      </c>
      <c r="G37" s="56"/>
      <c r="H37" s="109"/>
      <c r="I37" s="109"/>
      <c r="J37" s="58"/>
      <c r="K37" s="58"/>
      <c r="L37" s="58"/>
      <c r="M37" s="58"/>
    </row>
    <row r="38" spans="1:13">
      <c r="A38" s="109"/>
      <c r="B38" s="109"/>
      <c r="C38" s="58"/>
      <c r="D38" s="58"/>
      <c r="E38" s="58"/>
      <c r="F38" s="59"/>
      <c r="G38" s="56"/>
      <c r="H38" s="109"/>
      <c r="I38" s="109"/>
      <c r="J38" s="58"/>
      <c r="K38" s="58"/>
      <c r="L38" s="58"/>
      <c r="M38" s="58"/>
    </row>
    <row r="39" spans="1:13">
      <c r="A39" s="109" t="s">
        <v>83</v>
      </c>
      <c r="B39" s="109"/>
      <c r="C39" s="58"/>
      <c r="D39" s="58"/>
      <c r="E39" s="58"/>
      <c r="F39" s="59"/>
      <c r="G39" s="56"/>
      <c r="H39" s="111"/>
      <c r="I39" s="111"/>
      <c r="J39" s="58"/>
      <c r="K39" s="58"/>
      <c r="L39" s="58"/>
      <c r="M39" s="58"/>
    </row>
    <row r="40" spans="1:13">
      <c r="A40" s="109" t="s">
        <v>85</v>
      </c>
      <c r="B40" s="109"/>
      <c r="C40" s="58"/>
      <c r="D40" s="58"/>
      <c r="E40" s="58"/>
      <c r="F40" s="59"/>
      <c r="G40" s="56"/>
      <c r="H40" s="57"/>
      <c r="I40" s="57"/>
      <c r="J40" s="58"/>
      <c r="K40" s="58"/>
      <c r="L40" s="58"/>
      <c r="M40" s="60"/>
    </row>
    <row r="41" spans="1:13">
      <c r="A41" s="109" t="s">
        <v>87</v>
      </c>
      <c r="B41" s="109"/>
      <c r="C41" s="58"/>
      <c r="D41" s="58"/>
      <c r="E41" s="58"/>
      <c r="F41" s="59"/>
      <c r="G41" s="56"/>
      <c r="H41" s="110" t="s">
        <v>90</v>
      </c>
      <c r="I41" s="110"/>
      <c r="J41" s="66">
        <f>C14+C17+C29+C37+J27+J32+J34+J35</f>
        <v>121</v>
      </c>
      <c r="K41" s="66">
        <f>D14+D17+D29+D37+K27+K32+K34+K35</f>
        <v>3346</v>
      </c>
      <c r="L41" s="66">
        <f>E14+E17+E29+E37+L27+L32+L34+L35</f>
        <v>7708</v>
      </c>
      <c r="M41" s="58"/>
    </row>
    <row r="42" spans="1:13">
      <c r="A42" s="109" t="s">
        <v>227</v>
      </c>
      <c r="B42" s="109"/>
      <c r="C42" s="58"/>
      <c r="D42" s="58"/>
      <c r="E42" s="58"/>
      <c r="F42" s="59"/>
      <c r="G42" s="56"/>
      <c r="H42" s="57"/>
      <c r="I42" s="57"/>
      <c r="J42" s="58"/>
      <c r="K42" s="58"/>
      <c r="L42" s="58"/>
      <c r="M42" s="60"/>
    </row>
    <row r="43" spans="1:13">
      <c r="A43" s="109" t="s">
        <v>88</v>
      </c>
      <c r="B43" s="109"/>
      <c r="C43" s="58"/>
      <c r="D43" s="58"/>
      <c r="E43" s="58"/>
      <c r="F43" s="59"/>
      <c r="G43" s="56"/>
      <c r="H43" s="57"/>
      <c r="I43" s="57"/>
      <c r="J43" s="60"/>
      <c r="K43" s="60"/>
      <c r="L43" s="60"/>
      <c r="M43" s="60"/>
    </row>
    <row r="44" spans="1:13">
      <c r="A44" s="110" t="s">
        <v>89</v>
      </c>
      <c r="B44" s="110"/>
      <c r="C44" s="66"/>
      <c r="D44" s="66"/>
      <c r="E44" s="66"/>
      <c r="F44" s="67"/>
      <c r="G44" s="56"/>
      <c r="H44" s="57"/>
      <c r="I44" s="57"/>
      <c r="J44" s="60"/>
      <c r="K44" s="60"/>
      <c r="L44" s="60"/>
      <c r="M44" s="60"/>
    </row>
  </sheetData>
  <sheetProtection algorithmName="SHA-512" hashValue="0ue631vA4oqtK6deyldzvBUyyh9zQYYgGk9RPhn8c3TXj+GpS4/5Cx+2ubPdH+hbKx6fALhGa0ZRoeZRL0UJ8w==" saltValue="YKlS9q03mreZDfu5KGU7nQ==" spinCount="100000" sheet="1" objects="1" scenarios="1"/>
  <mergeCells count="72">
    <mergeCell ref="A44:B44"/>
    <mergeCell ref="A40:B40"/>
    <mergeCell ref="A41:B41"/>
    <mergeCell ref="H41:I41"/>
    <mergeCell ref="A42:B42"/>
    <mergeCell ref="A43:B43"/>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T44"/>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1" spans="1:20" ht="16.5">
      <c r="A1" s="15"/>
      <c r="P1" s="9"/>
      <c r="Q1" s="9"/>
      <c r="R1" s="9"/>
      <c r="S1" s="9"/>
      <c r="T1" s="9"/>
    </row>
    <row r="2" spans="1:20" ht="16.5">
      <c r="A2" s="52" t="s">
        <v>126</v>
      </c>
    </row>
    <row r="3" spans="1:20" ht="16.5">
      <c r="A3" s="53" t="s">
        <v>127</v>
      </c>
      <c r="B3" s="54"/>
      <c r="C3" s="9"/>
      <c r="D3" s="9"/>
      <c r="E3" s="9"/>
      <c r="F3" s="9"/>
      <c r="G3" s="9"/>
      <c r="H3" s="54"/>
      <c r="I3" s="54"/>
      <c r="J3" s="9"/>
      <c r="K3" s="9"/>
      <c r="L3" s="55"/>
      <c r="M3" s="9"/>
      <c r="N3" s="9"/>
      <c r="O3" s="9"/>
      <c r="P3" s="9"/>
      <c r="Q3" s="9"/>
      <c r="R3" s="9"/>
      <c r="S3" s="9"/>
      <c r="T3" s="9"/>
    </row>
    <row r="4" spans="1:20" ht="16.5">
      <c r="A4" s="53" t="s">
        <v>128</v>
      </c>
      <c r="B4" s="54"/>
      <c r="C4" s="9"/>
      <c r="D4" s="9"/>
      <c r="E4" s="9"/>
      <c r="F4" s="9"/>
      <c r="G4" s="9"/>
      <c r="H4" s="54"/>
      <c r="I4" s="54"/>
      <c r="J4" s="9"/>
      <c r="K4" s="9"/>
      <c r="L4" s="9"/>
      <c r="M4" s="9"/>
      <c r="N4" s="9"/>
      <c r="O4" s="9"/>
      <c r="P4" s="9"/>
      <c r="Q4" s="9"/>
      <c r="R4" s="9"/>
      <c r="S4" s="9"/>
      <c r="T4" s="9"/>
    </row>
    <row r="7" spans="1:20">
      <c r="A7" s="107" t="s">
        <v>21</v>
      </c>
      <c r="B7" s="107"/>
      <c r="C7" s="63" t="s">
        <v>22</v>
      </c>
      <c r="D7" s="63" t="s">
        <v>23</v>
      </c>
      <c r="E7" s="63" t="s">
        <v>24</v>
      </c>
      <c r="F7" s="63" t="s">
        <v>25</v>
      </c>
      <c r="G7" s="56"/>
      <c r="H7" s="107" t="s">
        <v>21</v>
      </c>
      <c r="I7" s="107"/>
      <c r="J7" s="63" t="s">
        <v>22</v>
      </c>
      <c r="K7" s="63" t="s">
        <v>23</v>
      </c>
      <c r="L7" s="63" t="s">
        <v>24</v>
      </c>
      <c r="M7" s="63" t="s">
        <v>25</v>
      </c>
    </row>
    <row r="8" spans="1:20">
      <c r="A8" s="108" t="s">
        <v>26</v>
      </c>
      <c r="B8" s="108"/>
      <c r="C8" s="64" t="s">
        <v>27</v>
      </c>
      <c r="D8" s="64" t="s">
        <v>28</v>
      </c>
      <c r="E8" s="64" t="s">
        <v>29</v>
      </c>
      <c r="F8" s="64" t="s">
        <v>30</v>
      </c>
      <c r="G8" s="65"/>
      <c r="H8" s="108" t="s">
        <v>26</v>
      </c>
      <c r="I8" s="108"/>
      <c r="J8" s="64" t="s">
        <v>27</v>
      </c>
      <c r="K8" s="64" t="s">
        <v>28</v>
      </c>
      <c r="L8" s="64" t="s">
        <v>29</v>
      </c>
      <c r="M8" s="64" t="s">
        <v>30</v>
      </c>
      <c r="N8" s="9"/>
      <c r="O8" s="9"/>
      <c r="P8" s="9"/>
      <c r="Q8" s="9"/>
      <c r="R8" s="9"/>
      <c r="S8" s="9"/>
      <c r="T8" s="9"/>
    </row>
    <row r="9" spans="1:20">
      <c r="A9" s="108" t="s">
        <v>31</v>
      </c>
      <c r="B9" s="108"/>
      <c r="C9" s="64" t="s">
        <v>32</v>
      </c>
      <c r="D9" s="64" t="s">
        <v>33</v>
      </c>
      <c r="E9" s="64" t="s">
        <v>34</v>
      </c>
      <c r="F9" s="64" t="s">
        <v>35</v>
      </c>
      <c r="G9" s="65"/>
      <c r="H9" s="108" t="s">
        <v>31</v>
      </c>
      <c r="I9" s="108"/>
      <c r="J9" s="64" t="s">
        <v>32</v>
      </c>
      <c r="K9" s="64" t="s">
        <v>33</v>
      </c>
      <c r="L9" s="64" t="s">
        <v>34</v>
      </c>
      <c r="M9" s="64" t="s">
        <v>35</v>
      </c>
      <c r="N9" s="9"/>
      <c r="O9" s="9"/>
      <c r="P9" s="9"/>
      <c r="Q9" s="9"/>
      <c r="R9" s="9"/>
      <c r="S9" s="9"/>
      <c r="T9" s="9"/>
    </row>
    <row r="10" spans="1:20">
      <c r="A10" s="109" t="s">
        <v>36</v>
      </c>
      <c r="B10" s="109"/>
      <c r="C10" s="58">
        <v>62</v>
      </c>
      <c r="D10" s="58">
        <v>652</v>
      </c>
      <c r="E10" s="58">
        <v>1979</v>
      </c>
      <c r="F10" s="59">
        <f>E10/E$14</f>
        <v>0.65551507121563435</v>
      </c>
      <c r="G10" s="56"/>
      <c r="H10" s="109" t="s">
        <v>37</v>
      </c>
      <c r="I10" s="109"/>
      <c r="J10" s="58"/>
      <c r="K10" s="58"/>
      <c r="L10" s="58"/>
      <c r="M10" s="59"/>
    </row>
    <row r="11" spans="1:20">
      <c r="A11" s="109" t="s">
        <v>38</v>
      </c>
      <c r="B11" s="109"/>
      <c r="C11" s="58">
        <v>8</v>
      </c>
      <c r="D11" s="58">
        <v>293</v>
      </c>
      <c r="E11" s="58">
        <v>794</v>
      </c>
      <c r="F11" s="59">
        <f t="shared" ref="F11:F12" si="0">E11/E$14</f>
        <v>0.26300099370652535</v>
      </c>
      <c r="G11" s="56"/>
      <c r="H11" s="109" t="s">
        <v>39</v>
      </c>
      <c r="I11" s="109"/>
      <c r="J11" s="58"/>
      <c r="K11" s="58"/>
      <c r="L11" s="58"/>
      <c r="M11" s="59"/>
    </row>
    <row r="12" spans="1:20">
      <c r="A12" s="109" t="s">
        <v>40</v>
      </c>
      <c r="B12" s="109"/>
      <c r="C12" s="58">
        <v>5</v>
      </c>
      <c r="D12" s="58">
        <v>104</v>
      </c>
      <c r="E12" s="58">
        <v>246</v>
      </c>
      <c r="F12" s="59">
        <f t="shared" si="0"/>
        <v>8.1483935077840339E-2</v>
      </c>
      <c r="G12" s="56"/>
      <c r="H12" s="109" t="s">
        <v>41</v>
      </c>
      <c r="I12" s="109"/>
      <c r="J12" s="58"/>
      <c r="K12" s="58"/>
      <c r="L12" s="58"/>
      <c r="M12" s="59"/>
    </row>
    <row r="13" spans="1:20">
      <c r="A13" s="109" t="s">
        <v>44</v>
      </c>
      <c r="B13" s="109"/>
      <c r="C13" s="58"/>
      <c r="D13" s="58"/>
      <c r="E13" s="58"/>
      <c r="F13" s="59"/>
      <c r="G13" s="56"/>
      <c r="H13" s="109" t="s">
        <v>45</v>
      </c>
      <c r="I13" s="109"/>
      <c r="J13" s="58"/>
      <c r="K13" s="58"/>
      <c r="L13" s="58"/>
      <c r="M13" s="59"/>
    </row>
    <row r="14" spans="1:20">
      <c r="A14" s="110" t="s">
        <v>48</v>
      </c>
      <c r="B14" s="110"/>
      <c r="C14" s="66">
        <f>SUM(C10:C13)</f>
        <v>75</v>
      </c>
      <c r="D14" s="66">
        <f>SUM(D10:D13)</f>
        <v>1049</v>
      </c>
      <c r="E14" s="66">
        <f>SUM(E10:E13)</f>
        <v>3019</v>
      </c>
      <c r="F14" s="67">
        <v>1</v>
      </c>
      <c r="G14" s="56"/>
      <c r="H14" s="109" t="s">
        <v>49</v>
      </c>
      <c r="I14" s="109"/>
      <c r="J14" s="58"/>
      <c r="K14" s="58"/>
      <c r="L14" s="58"/>
      <c r="M14" s="59"/>
    </row>
    <row r="15" spans="1:20">
      <c r="A15" s="109"/>
      <c r="B15" s="109"/>
      <c r="C15" s="58"/>
      <c r="D15" s="58"/>
      <c r="E15" s="58"/>
      <c r="F15" s="59"/>
      <c r="G15" s="56"/>
      <c r="H15" s="110" t="s">
        <v>52</v>
      </c>
      <c r="I15" s="110"/>
      <c r="J15" s="66"/>
      <c r="K15" s="66"/>
      <c r="L15" s="66"/>
      <c r="M15" s="67"/>
    </row>
    <row r="16" spans="1:20">
      <c r="A16" s="110" t="s">
        <v>51</v>
      </c>
      <c r="B16" s="110"/>
      <c r="C16" s="66"/>
      <c r="D16" s="66"/>
      <c r="E16" s="66"/>
      <c r="F16" s="67"/>
      <c r="G16" s="56"/>
      <c r="H16" s="109"/>
      <c r="I16" s="109"/>
      <c r="J16" s="58"/>
      <c r="K16" s="58"/>
      <c r="L16" s="58"/>
      <c r="M16" s="59"/>
    </row>
    <row r="17" spans="1:13">
      <c r="A17" s="110" t="s">
        <v>53</v>
      </c>
      <c r="B17" s="110"/>
      <c r="C17" s="66"/>
      <c r="D17" s="66"/>
      <c r="E17" s="66"/>
      <c r="F17" s="67"/>
      <c r="G17" s="56"/>
      <c r="H17" s="109" t="s">
        <v>55</v>
      </c>
      <c r="I17" s="109"/>
      <c r="J17" s="58"/>
      <c r="K17" s="58"/>
      <c r="L17" s="58"/>
      <c r="M17" s="59"/>
    </row>
    <row r="18" spans="1:13">
      <c r="A18" s="110" t="s">
        <v>54</v>
      </c>
      <c r="B18" s="110"/>
      <c r="C18" s="66"/>
      <c r="D18" s="66"/>
      <c r="E18" s="66"/>
      <c r="F18" s="67"/>
      <c r="G18" s="56"/>
      <c r="H18" s="109" t="s">
        <v>57</v>
      </c>
      <c r="I18" s="109"/>
      <c r="J18" s="58"/>
      <c r="K18" s="58"/>
      <c r="L18" s="58"/>
      <c r="M18" s="59"/>
    </row>
    <row r="19" spans="1:13">
      <c r="A19" s="111"/>
      <c r="B19" s="111"/>
      <c r="C19" s="58"/>
      <c r="D19" s="58"/>
      <c r="E19" s="58"/>
      <c r="F19" s="59"/>
      <c r="G19" s="56"/>
      <c r="H19" s="109" t="s">
        <v>58</v>
      </c>
      <c r="I19" s="109"/>
      <c r="J19" s="58"/>
      <c r="K19" s="58"/>
      <c r="L19" s="58"/>
      <c r="M19" s="59"/>
    </row>
    <row r="20" spans="1:13">
      <c r="A20" s="109" t="s">
        <v>112</v>
      </c>
      <c r="B20" s="109"/>
      <c r="C20" s="58"/>
      <c r="D20" s="51"/>
      <c r="E20" s="58"/>
      <c r="F20" s="59"/>
      <c r="G20" s="56"/>
      <c r="H20" s="109" t="s">
        <v>60</v>
      </c>
      <c r="I20" s="109"/>
      <c r="J20" s="58"/>
      <c r="K20" s="58"/>
      <c r="L20" s="58"/>
      <c r="M20" s="59"/>
    </row>
    <row r="21" spans="1:13">
      <c r="A21" s="109" t="s">
        <v>113</v>
      </c>
      <c r="B21" s="109"/>
      <c r="C21" s="58"/>
      <c r="D21" s="51"/>
      <c r="E21" s="58"/>
      <c r="F21" s="59"/>
      <c r="G21" s="56"/>
      <c r="H21" s="109" t="s">
        <v>62</v>
      </c>
      <c r="I21" s="109"/>
      <c r="J21" s="58"/>
      <c r="K21" s="58"/>
      <c r="L21" s="58"/>
      <c r="M21" s="59"/>
    </row>
    <row r="22" spans="1:13">
      <c r="A22" s="109" t="s">
        <v>114</v>
      </c>
      <c r="B22" s="109"/>
      <c r="C22" s="58"/>
      <c r="D22" s="58"/>
      <c r="E22" s="58"/>
      <c r="F22" s="59"/>
      <c r="G22" s="56"/>
      <c r="H22" s="110" t="s">
        <v>64</v>
      </c>
      <c r="I22" s="110"/>
      <c r="J22" s="66"/>
      <c r="K22" s="66"/>
      <c r="L22" s="66"/>
      <c r="M22" s="68"/>
    </row>
    <row r="23" spans="1:13">
      <c r="A23" s="109" t="s">
        <v>115</v>
      </c>
      <c r="B23" s="109"/>
      <c r="C23" s="58"/>
      <c r="D23" s="58"/>
      <c r="E23" s="58"/>
      <c r="F23" s="69"/>
      <c r="G23" s="56"/>
      <c r="H23" s="109"/>
      <c r="I23" s="109"/>
      <c r="J23" s="58"/>
      <c r="K23" s="58"/>
      <c r="L23" s="58"/>
      <c r="M23" s="59"/>
    </row>
    <row r="24" spans="1:13">
      <c r="A24" s="110" t="s">
        <v>116</v>
      </c>
      <c r="B24" s="110"/>
      <c r="C24" s="66"/>
      <c r="D24" s="66"/>
      <c r="E24" s="66"/>
      <c r="F24" s="67"/>
      <c r="G24" s="56"/>
      <c r="H24" s="109" t="s">
        <v>66</v>
      </c>
      <c r="I24" s="109"/>
      <c r="J24" s="58">
        <v>11</v>
      </c>
      <c r="K24" s="58">
        <v>316</v>
      </c>
      <c r="L24" s="58">
        <v>595</v>
      </c>
      <c r="M24" s="59">
        <f>L24/L$27</f>
        <v>0.497907949790795</v>
      </c>
    </row>
    <row r="25" spans="1:13">
      <c r="A25" s="109"/>
      <c r="B25" s="109"/>
      <c r="C25" s="58"/>
      <c r="D25" s="58"/>
      <c r="E25" s="58"/>
      <c r="F25" s="59"/>
      <c r="G25" s="56"/>
      <c r="H25" s="109" t="s">
        <v>68</v>
      </c>
      <c r="I25" s="109"/>
      <c r="J25" s="58">
        <v>4</v>
      </c>
      <c r="K25" s="58">
        <v>189</v>
      </c>
      <c r="L25" s="58">
        <v>348</v>
      </c>
      <c r="M25" s="59">
        <f t="shared" ref="M25:M26" si="1">L25/L$27</f>
        <v>0.29121338912133893</v>
      </c>
    </row>
    <row r="26" spans="1:13">
      <c r="A26" s="109" t="s">
        <v>59</v>
      </c>
      <c r="B26" s="109"/>
      <c r="C26" s="58"/>
      <c r="D26" s="58"/>
      <c r="E26" s="58"/>
      <c r="F26" s="59"/>
      <c r="G26" s="56"/>
      <c r="H26" s="109" t="s">
        <v>70</v>
      </c>
      <c r="I26" s="109"/>
      <c r="J26" s="58">
        <v>3</v>
      </c>
      <c r="K26" s="58">
        <v>140</v>
      </c>
      <c r="L26" s="58">
        <v>252</v>
      </c>
      <c r="M26" s="59">
        <f t="shared" si="1"/>
        <v>0.2108786610878661</v>
      </c>
    </row>
    <row r="27" spans="1:13">
      <c r="A27" s="109" t="s">
        <v>61</v>
      </c>
      <c r="B27" s="109"/>
      <c r="C27" s="58"/>
      <c r="D27" s="58"/>
      <c r="E27" s="58"/>
      <c r="F27" s="59"/>
      <c r="G27" s="56"/>
      <c r="H27" s="110" t="s">
        <v>72</v>
      </c>
      <c r="I27" s="110"/>
      <c r="J27" s="66">
        <f>SUM(J24:J26)</f>
        <v>18</v>
      </c>
      <c r="K27" s="66">
        <f>SUM(K24:K26)</f>
        <v>645</v>
      </c>
      <c r="L27" s="66">
        <f>SUM(L24:L26)</f>
        <v>1195</v>
      </c>
      <c r="M27" s="67">
        <v>1</v>
      </c>
    </row>
    <row r="28" spans="1:13">
      <c r="A28" s="109" t="s">
        <v>63</v>
      </c>
      <c r="B28" s="109"/>
      <c r="C28" s="58">
        <v>2</v>
      </c>
      <c r="D28" s="58">
        <v>419</v>
      </c>
      <c r="E28" s="58">
        <v>1193</v>
      </c>
      <c r="F28" s="69">
        <v>1</v>
      </c>
      <c r="G28" s="56"/>
      <c r="H28" s="109"/>
      <c r="I28" s="109"/>
      <c r="J28" s="58"/>
      <c r="K28" s="58"/>
      <c r="L28" s="58"/>
      <c r="M28" s="59"/>
    </row>
    <row r="29" spans="1:13">
      <c r="A29" s="110" t="s">
        <v>65</v>
      </c>
      <c r="B29" s="110"/>
      <c r="C29" s="66">
        <v>2</v>
      </c>
      <c r="D29" s="66">
        <v>419</v>
      </c>
      <c r="E29" s="66">
        <v>1193</v>
      </c>
      <c r="F29" s="67">
        <v>1</v>
      </c>
      <c r="G29" s="56"/>
      <c r="H29" s="109" t="s">
        <v>74</v>
      </c>
      <c r="I29" s="109"/>
      <c r="J29" s="58">
        <v>5</v>
      </c>
      <c r="K29" s="58">
        <v>119</v>
      </c>
      <c r="L29" s="58">
        <v>227</v>
      </c>
      <c r="M29" s="59">
        <f>L29/L$32</f>
        <v>0.58961038961038958</v>
      </c>
    </row>
    <row r="30" spans="1:13">
      <c r="A30" s="109"/>
      <c r="B30" s="109"/>
      <c r="C30" s="58"/>
      <c r="D30" s="58"/>
      <c r="E30" s="58"/>
      <c r="F30" s="59"/>
      <c r="G30" s="56"/>
      <c r="H30" s="109" t="s">
        <v>76</v>
      </c>
      <c r="I30" s="109"/>
      <c r="J30" s="58">
        <v>2</v>
      </c>
      <c r="K30" s="58">
        <v>25</v>
      </c>
      <c r="L30" s="58">
        <v>45</v>
      </c>
      <c r="M30" s="59">
        <f t="shared" ref="M30:M31" si="2">L30/L$32</f>
        <v>0.11688311688311688</v>
      </c>
    </row>
    <row r="31" spans="1:13">
      <c r="A31" s="109" t="s">
        <v>67</v>
      </c>
      <c r="B31" s="109"/>
      <c r="C31" s="58">
        <v>3</v>
      </c>
      <c r="D31" s="58">
        <v>133</v>
      </c>
      <c r="E31" s="58">
        <v>254</v>
      </c>
      <c r="F31" s="59">
        <f>E31/E$37</f>
        <v>0.14522584333905089</v>
      </c>
      <c r="G31" s="56"/>
      <c r="H31" s="109" t="s">
        <v>78</v>
      </c>
      <c r="I31" s="109"/>
      <c r="J31" s="58">
        <v>2</v>
      </c>
      <c r="K31" s="58">
        <v>59</v>
      </c>
      <c r="L31" s="58">
        <v>113</v>
      </c>
      <c r="M31" s="59">
        <f t="shared" si="2"/>
        <v>0.29350649350649349</v>
      </c>
    </row>
    <row r="32" spans="1:13">
      <c r="A32" s="109" t="s">
        <v>69</v>
      </c>
      <c r="B32" s="109"/>
      <c r="C32" s="58">
        <v>1</v>
      </c>
      <c r="D32" s="58">
        <v>26</v>
      </c>
      <c r="E32" s="58">
        <v>49</v>
      </c>
      <c r="F32" s="59">
        <f t="shared" ref="F32:F34" si="3">E32/E$37</f>
        <v>2.8016009148084619E-2</v>
      </c>
      <c r="G32" s="56"/>
      <c r="H32" s="110" t="s">
        <v>80</v>
      </c>
      <c r="I32" s="110"/>
      <c r="J32" s="66">
        <f>SUM(J29:J31)</f>
        <v>9</v>
      </c>
      <c r="K32" s="66">
        <f t="shared" ref="K32:L32" si="4">SUM(K29:K31)</f>
        <v>203</v>
      </c>
      <c r="L32" s="66">
        <f t="shared" si="4"/>
        <v>385</v>
      </c>
      <c r="M32" s="67">
        <v>1</v>
      </c>
    </row>
    <row r="33" spans="1:13">
      <c r="A33" s="109" t="s">
        <v>71</v>
      </c>
      <c r="B33" s="109"/>
      <c r="C33" s="58">
        <v>1</v>
      </c>
      <c r="D33" s="58">
        <v>116</v>
      </c>
      <c r="E33" s="58">
        <v>214</v>
      </c>
      <c r="F33" s="59">
        <f t="shared" si="3"/>
        <v>0.12235563178959405</v>
      </c>
      <c r="G33" s="56"/>
      <c r="H33" s="109"/>
      <c r="I33" s="109"/>
    </row>
    <row r="34" spans="1:13">
      <c r="A34" s="109" t="s">
        <v>226</v>
      </c>
      <c r="B34" s="109"/>
      <c r="C34" s="58">
        <v>2</v>
      </c>
      <c r="D34" s="58">
        <v>661</v>
      </c>
      <c r="E34" s="58">
        <v>1232</v>
      </c>
      <c r="F34" s="59">
        <f t="shared" si="3"/>
        <v>0.70440251572327039</v>
      </c>
      <c r="G34" s="56"/>
      <c r="H34" s="110" t="s">
        <v>82</v>
      </c>
      <c r="I34" s="110"/>
      <c r="J34" s="66">
        <v>8</v>
      </c>
      <c r="K34" s="66">
        <v>73</v>
      </c>
      <c r="L34" s="66">
        <v>125</v>
      </c>
      <c r="M34" s="67">
        <v>1</v>
      </c>
    </row>
    <row r="35" spans="1:13">
      <c r="A35" s="109" t="s">
        <v>77</v>
      </c>
      <c r="B35" s="109"/>
      <c r="C35" s="58"/>
      <c r="D35" s="58"/>
      <c r="E35" s="58"/>
      <c r="F35" s="59"/>
      <c r="G35" s="56"/>
      <c r="H35" s="110" t="s">
        <v>84</v>
      </c>
      <c r="I35" s="110"/>
      <c r="J35" s="66">
        <v>1</v>
      </c>
      <c r="K35" s="66">
        <v>15</v>
      </c>
      <c r="L35" s="66">
        <v>30</v>
      </c>
      <c r="M35" s="67">
        <v>1</v>
      </c>
    </row>
    <row r="36" spans="1:13">
      <c r="A36" s="109" t="s">
        <v>79</v>
      </c>
      <c r="B36" s="112"/>
      <c r="C36" s="58"/>
      <c r="D36" s="58"/>
      <c r="E36" s="58"/>
      <c r="F36" s="59"/>
      <c r="G36" s="56"/>
      <c r="H36" s="110" t="s">
        <v>86</v>
      </c>
      <c r="I36" s="110"/>
      <c r="J36" s="66"/>
      <c r="K36" s="66"/>
      <c r="L36" s="66"/>
      <c r="M36" s="67"/>
    </row>
    <row r="37" spans="1:13">
      <c r="A37" s="110" t="s">
        <v>81</v>
      </c>
      <c r="B37" s="110"/>
      <c r="C37" s="66">
        <f>SUM(C31:C36)</f>
        <v>7</v>
      </c>
      <c r="D37" s="66">
        <f>SUM(D31:D36)</f>
        <v>936</v>
      </c>
      <c r="E37" s="66">
        <f>SUM(E31:E36)</f>
        <v>1749</v>
      </c>
      <c r="F37" s="67">
        <v>1</v>
      </c>
      <c r="G37" s="56"/>
      <c r="H37" s="109"/>
      <c r="I37" s="109"/>
      <c r="J37" s="58"/>
      <c r="K37" s="58"/>
      <c r="L37" s="58"/>
      <c r="M37" s="58"/>
    </row>
    <row r="38" spans="1:13">
      <c r="A38" s="109"/>
      <c r="B38" s="109"/>
      <c r="C38" s="58"/>
      <c r="D38" s="58"/>
      <c r="E38" s="58"/>
      <c r="F38" s="59"/>
      <c r="G38" s="56"/>
      <c r="H38" s="109"/>
      <c r="I38" s="109"/>
      <c r="J38" s="58"/>
      <c r="K38" s="58"/>
      <c r="L38" s="58"/>
      <c r="M38" s="58"/>
    </row>
    <row r="39" spans="1:13">
      <c r="A39" s="109" t="s">
        <v>83</v>
      </c>
      <c r="B39" s="109"/>
      <c r="C39" s="58"/>
      <c r="D39" s="58"/>
      <c r="E39" s="58"/>
      <c r="F39" s="59"/>
      <c r="G39" s="56"/>
      <c r="H39" s="111"/>
      <c r="I39" s="111"/>
      <c r="J39" s="58"/>
      <c r="K39" s="58"/>
      <c r="L39" s="58"/>
      <c r="M39" s="58"/>
    </row>
    <row r="40" spans="1:13">
      <c r="A40" s="109" t="s">
        <v>85</v>
      </c>
      <c r="B40" s="109"/>
      <c r="C40" s="58"/>
      <c r="D40" s="58"/>
      <c r="E40" s="58"/>
      <c r="F40" s="59"/>
      <c r="G40" s="56"/>
      <c r="H40" s="57"/>
      <c r="I40" s="57"/>
      <c r="J40" s="58"/>
      <c r="K40" s="58"/>
      <c r="L40" s="58"/>
      <c r="M40" s="60"/>
    </row>
    <row r="41" spans="1:13">
      <c r="A41" s="109" t="s">
        <v>87</v>
      </c>
      <c r="B41" s="109"/>
      <c r="C41" s="58"/>
      <c r="D41" s="58"/>
      <c r="E41" s="58"/>
      <c r="F41" s="59"/>
      <c r="G41" s="56"/>
      <c r="H41" s="110" t="s">
        <v>90</v>
      </c>
      <c r="I41" s="110"/>
      <c r="J41" s="66">
        <f>C14+C29+C37+J27+J32+J34+J35</f>
        <v>120</v>
      </c>
      <c r="K41" s="66">
        <f t="shared" ref="K41:L41" si="5">D14+D29+D37+K27+K32+K34+K35</f>
        <v>3340</v>
      </c>
      <c r="L41" s="66">
        <f t="shared" si="5"/>
        <v>7696</v>
      </c>
      <c r="M41" s="58"/>
    </row>
    <row r="42" spans="1:13">
      <c r="A42" s="109" t="s">
        <v>227</v>
      </c>
      <c r="B42" s="109"/>
      <c r="C42" s="58"/>
      <c r="D42" s="58"/>
      <c r="E42" s="58"/>
      <c r="F42" s="59"/>
      <c r="G42" s="56"/>
      <c r="H42" s="57"/>
      <c r="I42" s="57"/>
      <c r="J42" s="58"/>
      <c r="K42" s="58"/>
      <c r="L42" s="58"/>
      <c r="M42" s="60"/>
    </row>
    <row r="43" spans="1:13">
      <c r="A43" s="109" t="s">
        <v>88</v>
      </c>
      <c r="B43" s="109"/>
      <c r="C43" s="58"/>
      <c r="D43" s="58"/>
      <c r="E43" s="58"/>
      <c r="F43" s="59"/>
      <c r="G43" s="56"/>
      <c r="H43" s="57"/>
      <c r="I43" s="57"/>
      <c r="J43" s="60"/>
      <c r="K43" s="60"/>
      <c r="L43" s="60"/>
      <c r="M43" s="60"/>
    </row>
    <row r="44" spans="1:13">
      <c r="A44" s="110" t="s">
        <v>89</v>
      </c>
      <c r="B44" s="110"/>
      <c r="C44" s="66"/>
      <c r="D44" s="66"/>
      <c r="E44" s="66"/>
      <c r="F44" s="67"/>
      <c r="G44" s="56"/>
      <c r="H44" s="57"/>
      <c r="I44" s="57"/>
      <c r="J44" s="60"/>
      <c r="K44" s="60"/>
      <c r="L44" s="60"/>
      <c r="M44" s="60"/>
    </row>
  </sheetData>
  <sheetProtection algorithmName="SHA-512" hashValue="JHf68bYCI8vk43IQb+y2L0gH1aA8PP1i4WuNOuI9T6IAnI/aLR8gWy1PjgPVbUPzvUGMkDCwo6Ne8As3C50EUA==" saltValue="IePgCD1jzVH+9sI0gdNsKA==" spinCount="100000" sheet="1" objects="1" scenarios="1"/>
  <mergeCells count="72">
    <mergeCell ref="A44:B44"/>
    <mergeCell ref="A40:B40"/>
    <mergeCell ref="A41:B41"/>
    <mergeCell ref="H41:I41"/>
    <mergeCell ref="A42:B42"/>
    <mergeCell ref="A43:B43"/>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scale="70"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M44"/>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6" max="6" width="11.42578125" customWidth="1"/>
    <col min="8" max="8" width="21.7109375" customWidth="1"/>
    <col min="9" max="9" width="7.7109375" customWidth="1"/>
    <col min="10" max="10" width="17" customWidth="1"/>
    <col min="11" max="11" width="15.140625" customWidth="1"/>
    <col min="12" max="12" width="14" customWidth="1"/>
  </cols>
  <sheetData>
    <row r="1" spans="1:13" ht="16.5">
      <c r="A1" s="15"/>
    </row>
    <row r="2" spans="1:13" ht="16.5">
      <c r="A2" s="52" t="s">
        <v>129</v>
      </c>
    </row>
    <row r="3" spans="1:13" ht="16.5">
      <c r="A3" s="53" t="s">
        <v>130</v>
      </c>
      <c r="B3" s="54"/>
      <c r="C3" s="9"/>
      <c r="D3" s="9"/>
      <c r="E3" s="9"/>
      <c r="F3" s="9"/>
      <c r="G3" s="9"/>
      <c r="H3" s="54"/>
      <c r="I3" s="54"/>
      <c r="J3" s="9"/>
      <c r="K3" s="9"/>
      <c r="L3" s="55"/>
      <c r="M3" s="9"/>
    </row>
    <row r="4" spans="1:13" ht="16.5">
      <c r="A4" s="53" t="s">
        <v>131</v>
      </c>
      <c r="B4" s="54"/>
      <c r="C4" s="9"/>
      <c r="D4" s="9"/>
      <c r="E4" s="9"/>
      <c r="F4" s="9"/>
      <c r="G4" s="9"/>
      <c r="H4" s="54"/>
      <c r="I4" s="54"/>
      <c r="J4" s="9"/>
      <c r="K4" s="9"/>
      <c r="L4" s="9"/>
      <c r="M4" s="9"/>
    </row>
    <row r="5" spans="1:13" ht="16.5">
      <c r="A5" s="53"/>
      <c r="B5" s="54"/>
      <c r="C5" s="9"/>
      <c r="D5" s="9"/>
      <c r="E5" s="9"/>
      <c r="F5" s="9"/>
      <c r="G5" s="9"/>
      <c r="H5" s="54"/>
      <c r="I5" s="54"/>
      <c r="J5" s="9"/>
      <c r="K5" s="9"/>
      <c r="L5" s="9"/>
      <c r="M5" s="9"/>
    </row>
    <row r="7" spans="1:13">
      <c r="A7" s="107" t="s">
        <v>21</v>
      </c>
      <c r="B7" s="107"/>
      <c r="C7" s="63" t="s">
        <v>22</v>
      </c>
      <c r="D7" s="63" t="s">
        <v>23</v>
      </c>
      <c r="E7" s="63" t="s">
        <v>24</v>
      </c>
      <c r="F7" s="63" t="s">
        <v>25</v>
      </c>
      <c r="G7" s="56"/>
      <c r="H7" s="107" t="s">
        <v>21</v>
      </c>
      <c r="I7" s="107"/>
      <c r="J7" s="63" t="s">
        <v>22</v>
      </c>
      <c r="K7" s="63" t="s">
        <v>23</v>
      </c>
      <c r="L7" s="63" t="s">
        <v>24</v>
      </c>
      <c r="M7" s="63" t="s">
        <v>25</v>
      </c>
    </row>
    <row r="8" spans="1:13">
      <c r="A8" s="108" t="s">
        <v>26</v>
      </c>
      <c r="B8" s="108"/>
      <c r="C8" s="64" t="s">
        <v>27</v>
      </c>
      <c r="D8" s="64" t="s">
        <v>28</v>
      </c>
      <c r="E8" s="64" t="s">
        <v>29</v>
      </c>
      <c r="F8" s="64" t="s">
        <v>30</v>
      </c>
      <c r="G8" s="65"/>
      <c r="H8" s="108" t="s">
        <v>26</v>
      </c>
      <c r="I8" s="108"/>
      <c r="J8" s="64" t="s">
        <v>27</v>
      </c>
      <c r="K8" s="64" t="s">
        <v>28</v>
      </c>
      <c r="L8" s="64" t="s">
        <v>29</v>
      </c>
      <c r="M8" s="64" t="s">
        <v>30</v>
      </c>
    </row>
    <row r="9" spans="1:13">
      <c r="A9" s="108" t="s">
        <v>31</v>
      </c>
      <c r="B9" s="108"/>
      <c r="C9" s="64" t="s">
        <v>32</v>
      </c>
      <c r="D9" s="64" t="s">
        <v>33</v>
      </c>
      <c r="E9" s="64" t="s">
        <v>34</v>
      </c>
      <c r="F9" s="64" t="s">
        <v>35</v>
      </c>
      <c r="G9" s="65"/>
      <c r="H9" s="108" t="s">
        <v>31</v>
      </c>
      <c r="I9" s="108"/>
      <c r="J9" s="64" t="s">
        <v>32</v>
      </c>
      <c r="K9" s="64" t="s">
        <v>33</v>
      </c>
      <c r="L9" s="64" t="s">
        <v>34</v>
      </c>
      <c r="M9" s="64" t="s">
        <v>35</v>
      </c>
    </row>
    <row r="10" spans="1:13">
      <c r="A10" s="109" t="s">
        <v>36</v>
      </c>
      <c r="B10" s="109"/>
      <c r="C10" s="58">
        <v>62</v>
      </c>
      <c r="D10" s="58">
        <v>652</v>
      </c>
      <c r="E10" s="58">
        <v>1979</v>
      </c>
      <c r="F10" s="59">
        <f>E10/E$14</f>
        <v>0.65551507121563435</v>
      </c>
      <c r="G10" s="56"/>
      <c r="H10" s="109" t="s">
        <v>37</v>
      </c>
      <c r="I10" s="109"/>
      <c r="J10" s="58"/>
      <c r="K10" s="58"/>
      <c r="L10" s="58"/>
      <c r="M10" s="59"/>
    </row>
    <row r="11" spans="1:13">
      <c r="A11" s="109" t="s">
        <v>38</v>
      </c>
      <c r="B11" s="109"/>
      <c r="C11" s="58">
        <v>8</v>
      </c>
      <c r="D11" s="58">
        <v>293</v>
      </c>
      <c r="E11" s="58">
        <v>794</v>
      </c>
      <c r="F11" s="59">
        <f t="shared" ref="F11:F12" si="0">E11/E$14</f>
        <v>0.26300099370652535</v>
      </c>
      <c r="G11" s="56"/>
      <c r="H11" s="109" t="s">
        <v>39</v>
      </c>
      <c r="I11" s="109"/>
      <c r="J11" s="58"/>
      <c r="K11" s="58"/>
      <c r="L11" s="58"/>
      <c r="M11" s="59"/>
    </row>
    <row r="12" spans="1:13">
      <c r="A12" s="109" t="s">
        <v>40</v>
      </c>
      <c r="B12" s="109"/>
      <c r="C12" s="58">
        <v>5</v>
      </c>
      <c r="D12" s="58">
        <v>104</v>
      </c>
      <c r="E12" s="58">
        <v>246</v>
      </c>
      <c r="F12" s="59">
        <f t="shared" si="0"/>
        <v>8.1483935077840339E-2</v>
      </c>
      <c r="G12" s="56"/>
      <c r="H12" s="109" t="s">
        <v>41</v>
      </c>
      <c r="I12" s="109"/>
      <c r="J12" s="58"/>
      <c r="K12" s="58"/>
      <c r="L12" s="58"/>
      <c r="M12" s="59"/>
    </row>
    <row r="13" spans="1:13">
      <c r="A13" s="109" t="s">
        <v>44</v>
      </c>
      <c r="B13" s="109"/>
      <c r="C13" s="58"/>
      <c r="D13" s="58"/>
      <c r="E13" s="58"/>
      <c r="F13" s="59"/>
      <c r="G13" s="56"/>
      <c r="H13" s="109" t="s">
        <v>45</v>
      </c>
      <c r="I13" s="109"/>
      <c r="J13" s="58"/>
      <c r="K13" s="58"/>
      <c r="L13" s="58"/>
      <c r="M13" s="59"/>
    </row>
    <row r="14" spans="1:13">
      <c r="A14" s="110" t="s">
        <v>48</v>
      </c>
      <c r="B14" s="110"/>
      <c r="C14" s="66">
        <f>SUM(C10:C13)</f>
        <v>75</v>
      </c>
      <c r="D14" s="66">
        <f>SUM(D10:D13)</f>
        <v>1049</v>
      </c>
      <c r="E14" s="66">
        <f>SUM(E10:E13)</f>
        <v>3019</v>
      </c>
      <c r="F14" s="67">
        <v>1</v>
      </c>
      <c r="G14" s="56"/>
      <c r="H14" s="109" t="s">
        <v>49</v>
      </c>
      <c r="I14" s="109"/>
      <c r="J14" s="58"/>
      <c r="K14" s="58"/>
      <c r="L14" s="58"/>
      <c r="M14" s="59"/>
    </row>
    <row r="15" spans="1:13">
      <c r="A15" s="109"/>
      <c r="B15" s="109"/>
      <c r="C15" s="58"/>
      <c r="D15" s="58"/>
      <c r="E15" s="58"/>
      <c r="F15" s="59"/>
      <c r="G15" s="56"/>
      <c r="H15" s="110" t="s">
        <v>52</v>
      </c>
      <c r="I15" s="110"/>
      <c r="J15" s="66"/>
      <c r="K15" s="66"/>
      <c r="L15" s="66"/>
      <c r="M15" s="67"/>
    </row>
    <row r="16" spans="1:13">
      <c r="A16" s="114" t="s">
        <v>51</v>
      </c>
      <c r="B16" s="114"/>
      <c r="C16" s="66"/>
      <c r="D16" s="66"/>
      <c r="E16" s="66"/>
      <c r="F16" s="67"/>
      <c r="G16" s="56"/>
      <c r="H16" s="109"/>
      <c r="I16" s="109"/>
      <c r="J16" s="58"/>
      <c r="K16" s="58"/>
      <c r="L16" s="58"/>
      <c r="M16" s="59"/>
    </row>
    <row r="17" spans="1:13">
      <c r="A17" s="114" t="s">
        <v>53</v>
      </c>
      <c r="B17" s="114"/>
      <c r="C17" s="66"/>
      <c r="D17" s="66"/>
      <c r="E17" s="66"/>
      <c r="F17" s="67"/>
      <c r="G17" s="56"/>
      <c r="H17" s="109" t="s">
        <v>55</v>
      </c>
      <c r="I17" s="109"/>
      <c r="J17" s="58"/>
      <c r="K17" s="58"/>
      <c r="L17" s="58"/>
      <c r="M17" s="59"/>
    </row>
    <row r="18" spans="1:13">
      <c r="A18" s="114" t="s">
        <v>54</v>
      </c>
      <c r="B18" s="114"/>
      <c r="C18" s="66"/>
      <c r="D18" s="66"/>
      <c r="E18" s="66"/>
      <c r="F18" s="67"/>
      <c r="G18" s="56"/>
      <c r="H18" s="109" t="s">
        <v>57</v>
      </c>
      <c r="I18" s="109"/>
      <c r="J18" s="58"/>
      <c r="K18" s="58"/>
      <c r="L18" s="58"/>
      <c r="M18" s="59"/>
    </row>
    <row r="19" spans="1:13">
      <c r="A19" s="111"/>
      <c r="B19" s="111"/>
      <c r="C19" s="58"/>
      <c r="D19" s="58"/>
      <c r="E19" s="58"/>
      <c r="F19" s="59"/>
      <c r="G19" s="56"/>
      <c r="H19" s="109" t="s">
        <v>58</v>
      </c>
      <c r="I19" s="109"/>
      <c r="J19" s="58"/>
      <c r="K19" s="58"/>
      <c r="L19" s="58"/>
      <c r="M19" s="59"/>
    </row>
    <row r="20" spans="1:13">
      <c r="A20" s="109" t="s">
        <v>112</v>
      </c>
      <c r="B20" s="109"/>
      <c r="C20" s="58"/>
      <c r="D20" s="51"/>
      <c r="E20" s="58"/>
      <c r="F20" s="59"/>
      <c r="G20" s="56"/>
      <c r="H20" s="109" t="s">
        <v>60</v>
      </c>
      <c r="I20" s="109"/>
      <c r="J20" s="58"/>
      <c r="K20" s="58"/>
      <c r="L20" s="58"/>
      <c r="M20" s="59"/>
    </row>
    <row r="21" spans="1:13">
      <c r="A21" s="109" t="s">
        <v>113</v>
      </c>
      <c r="B21" s="109"/>
      <c r="C21" s="58"/>
      <c r="D21" s="51"/>
      <c r="E21" s="58"/>
      <c r="F21" s="59"/>
      <c r="G21" s="56"/>
      <c r="H21" s="109" t="s">
        <v>62</v>
      </c>
      <c r="I21" s="109"/>
      <c r="J21" s="58"/>
      <c r="K21" s="58"/>
      <c r="L21" s="58"/>
      <c r="M21" s="59"/>
    </row>
    <row r="22" spans="1:13">
      <c r="A22" s="109" t="s">
        <v>114</v>
      </c>
      <c r="B22" s="109"/>
      <c r="C22" s="58"/>
      <c r="D22" s="58"/>
      <c r="E22" s="58"/>
      <c r="F22" s="59"/>
      <c r="G22" s="56"/>
      <c r="H22" s="110" t="s">
        <v>64</v>
      </c>
      <c r="I22" s="110"/>
      <c r="J22" s="66"/>
      <c r="K22" s="66"/>
      <c r="L22" s="66"/>
      <c r="M22" s="68"/>
    </row>
    <row r="23" spans="1:13">
      <c r="A23" s="109" t="s">
        <v>115</v>
      </c>
      <c r="B23" s="109"/>
      <c r="C23" s="58"/>
      <c r="D23" s="58"/>
      <c r="E23" s="58"/>
      <c r="F23" s="69"/>
      <c r="G23" s="56"/>
      <c r="H23" s="109"/>
      <c r="I23" s="109"/>
      <c r="J23" s="58"/>
      <c r="K23" s="58"/>
      <c r="L23" s="58"/>
      <c r="M23" s="59"/>
    </row>
    <row r="24" spans="1:13">
      <c r="A24" s="110" t="s">
        <v>116</v>
      </c>
      <c r="B24" s="110"/>
      <c r="C24" s="66"/>
      <c r="D24" s="66"/>
      <c r="E24" s="66"/>
      <c r="F24" s="67"/>
      <c r="G24" s="56"/>
      <c r="H24" s="109" t="s">
        <v>66</v>
      </c>
      <c r="I24" s="109"/>
      <c r="J24" s="58">
        <v>11</v>
      </c>
      <c r="K24" s="58">
        <v>316</v>
      </c>
      <c r="L24" s="58">
        <v>595</v>
      </c>
      <c r="M24" s="59">
        <f>L24/L$27</f>
        <v>0.497907949790795</v>
      </c>
    </row>
    <row r="25" spans="1:13">
      <c r="A25" s="109"/>
      <c r="B25" s="109"/>
      <c r="C25" s="58"/>
      <c r="D25" s="58"/>
      <c r="E25" s="58"/>
      <c r="F25" s="59"/>
      <c r="G25" s="56"/>
      <c r="H25" s="109" t="s">
        <v>68</v>
      </c>
      <c r="I25" s="109"/>
      <c r="J25" s="58">
        <v>4</v>
      </c>
      <c r="K25" s="58">
        <v>189</v>
      </c>
      <c r="L25" s="58">
        <v>348</v>
      </c>
      <c r="M25" s="59">
        <f t="shared" ref="M25:M26" si="1">L25/L$27</f>
        <v>0.29121338912133893</v>
      </c>
    </row>
    <row r="26" spans="1:13">
      <c r="A26" s="109" t="s">
        <v>59</v>
      </c>
      <c r="B26" s="109"/>
      <c r="C26" s="58"/>
      <c r="D26" s="58"/>
      <c r="E26" s="58"/>
      <c r="F26" s="59"/>
      <c r="G26" s="56"/>
      <c r="H26" s="109" t="s">
        <v>70</v>
      </c>
      <c r="I26" s="109"/>
      <c r="J26" s="58">
        <v>3</v>
      </c>
      <c r="K26" s="58">
        <v>140</v>
      </c>
      <c r="L26" s="58">
        <v>252</v>
      </c>
      <c r="M26" s="59">
        <f t="shared" si="1"/>
        <v>0.2108786610878661</v>
      </c>
    </row>
    <row r="27" spans="1:13">
      <c r="A27" s="109" t="s">
        <v>61</v>
      </c>
      <c r="B27" s="109"/>
      <c r="C27" s="58"/>
      <c r="D27" s="58"/>
      <c r="E27" s="58"/>
      <c r="F27" s="59"/>
      <c r="G27" s="56"/>
      <c r="H27" s="110" t="s">
        <v>72</v>
      </c>
      <c r="I27" s="110"/>
      <c r="J27" s="66">
        <f>SUM(J24:J26)</f>
        <v>18</v>
      </c>
      <c r="K27" s="66">
        <f>SUM(K24:K26)</f>
        <v>645</v>
      </c>
      <c r="L27" s="66">
        <f>SUM(L24:L26)</f>
        <v>1195</v>
      </c>
      <c r="M27" s="67">
        <v>1</v>
      </c>
    </row>
    <row r="28" spans="1:13">
      <c r="A28" s="109" t="s">
        <v>63</v>
      </c>
      <c r="B28" s="109"/>
      <c r="C28" s="58">
        <v>2</v>
      </c>
      <c r="D28" s="58">
        <v>419</v>
      </c>
      <c r="E28" s="58">
        <v>1193</v>
      </c>
      <c r="F28" s="69">
        <v>1</v>
      </c>
      <c r="G28" s="56"/>
      <c r="H28" s="109"/>
      <c r="I28" s="109"/>
      <c r="J28" s="58"/>
      <c r="K28" s="58"/>
      <c r="L28" s="58"/>
      <c r="M28" s="59"/>
    </row>
    <row r="29" spans="1:13">
      <c r="A29" s="110" t="s">
        <v>65</v>
      </c>
      <c r="B29" s="110"/>
      <c r="C29" s="66">
        <v>2</v>
      </c>
      <c r="D29" s="66">
        <v>419</v>
      </c>
      <c r="E29" s="66">
        <v>1193</v>
      </c>
      <c r="F29" s="67">
        <v>1</v>
      </c>
      <c r="G29" s="56"/>
      <c r="H29" s="109" t="s">
        <v>74</v>
      </c>
      <c r="I29" s="109"/>
      <c r="J29" s="58">
        <v>5</v>
      </c>
      <c r="K29" s="58">
        <v>119</v>
      </c>
      <c r="L29" s="58">
        <v>227</v>
      </c>
      <c r="M29" s="59">
        <f>L29/L$32</f>
        <v>0.63585434173669464</v>
      </c>
    </row>
    <row r="30" spans="1:13">
      <c r="A30" s="109"/>
      <c r="B30" s="109"/>
      <c r="C30" s="58"/>
      <c r="D30" s="58"/>
      <c r="E30" s="58"/>
      <c r="F30" s="59"/>
      <c r="G30" s="56"/>
      <c r="H30" s="109" t="s">
        <v>76</v>
      </c>
      <c r="I30" s="109"/>
      <c r="J30" s="58">
        <v>1</v>
      </c>
      <c r="K30" s="58">
        <v>10</v>
      </c>
      <c r="L30" s="58">
        <v>17</v>
      </c>
      <c r="M30" s="59">
        <f t="shared" ref="M30:M31" si="2">L30/L$32</f>
        <v>4.7619047619047616E-2</v>
      </c>
    </row>
    <row r="31" spans="1:13">
      <c r="A31" s="109" t="s">
        <v>67</v>
      </c>
      <c r="B31" s="109"/>
      <c r="C31" s="58">
        <v>3</v>
      </c>
      <c r="D31" s="58">
        <v>133</v>
      </c>
      <c r="E31" s="58">
        <v>254</v>
      </c>
      <c r="F31" s="59">
        <f>E31/E$37</f>
        <v>0.14522584333905089</v>
      </c>
      <c r="G31" s="56"/>
      <c r="H31" s="109" t="s">
        <v>78</v>
      </c>
      <c r="I31" s="109"/>
      <c r="J31" s="58">
        <v>2</v>
      </c>
      <c r="K31" s="58">
        <v>59</v>
      </c>
      <c r="L31" s="58">
        <v>113</v>
      </c>
      <c r="M31" s="59">
        <f t="shared" si="2"/>
        <v>0.31652661064425769</v>
      </c>
    </row>
    <row r="32" spans="1:13">
      <c r="A32" s="109" t="s">
        <v>69</v>
      </c>
      <c r="B32" s="109"/>
      <c r="C32" s="58">
        <v>1</v>
      </c>
      <c r="D32" s="58">
        <v>26</v>
      </c>
      <c r="E32" s="58">
        <v>49</v>
      </c>
      <c r="F32" s="59">
        <f t="shared" ref="F32:F34" si="3">E32/E$37</f>
        <v>2.8016009148084619E-2</v>
      </c>
      <c r="G32" s="56"/>
      <c r="H32" s="110" t="s">
        <v>80</v>
      </c>
      <c r="I32" s="110"/>
      <c r="J32" s="66">
        <f>SUM(J29:J31)</f>
        <v>8</v>
      </c>
      <c r="K32" s="66">
        <f>SUM(K29:K31)</f>
        <v>188</v>
      </c>
      <c r="L32" s="66">
        <f>SUM(L29:L31)</f>
        <v>357</v>
      </c>
      <c r="M32" s="67">
        <v>1</v>
      </c>
    </row>
    <row r="33" spans="1:13">
      <c r="A33" s="109" t="s">
        <v>71</v>
      </c>
      <c r="B33" s="109"/>
      <c r="C33" s="58">
        <v>1</v>
      </c>
      <c r="D33" s="58">
        <v>116</v>
      </c>
      <c r="E33" s="58">
        <v>214</v>
      </c>
      <c r="F33" s="59">
        <f t="shared" si="3"/>
        <v>0.12235563178959405</v>
      </c>
      <c r="G33" s="56"/>
      <c r="H33" s="109"/>
      <c r="I33" s="109"/>
    </row>
    <row r="34" spans="1:13">
      <c r="A34" s="109" t="s">
        <v>226</v>
      </c>
      <c r="B34" s="109"/>
      <c r="C34" s="58">
        <v>2</v>
      </c>
      <c r="D34" s="58">
        <v>661</v>
      </c>
      <c r="E34" s="58">
        <v>1232</v>
      </c>
      <c r="F34" s="59">
        <f t="shared" si="3"/>
        <v>0.70440251572327039</v>
      </c>
      <c r="G34" s="56"/>
      <c r="H34" s="110" t="s">
        <v>82</v>
      </c>
      <c r="I34" s="110"/>
      <c r="J34" s="66">
        <v>8</v>
      </c>
      <c r="K34" s="66">
        <v>73</v>
      </c>
      <c r="L34" s="66">
        <v>125</v>
      </c>
      <c r="M34" s="67">
        <v>1</v>
      </c>
    </row>
    <row r="35" spans="1:13">
      <c r="A35" s="109" t="s">
        <v>77</v>
      </c>
      <c r="B35" s="109"/>
      <c r="C35" s="58"/>
      <c r="D35" s="58"/>
      <c r="E35" s="58"/>
      <c r="F35" s="59"/>
      <c r="G35" s="56"/>
      <c r="H35" s="110" t="s">
        <v>84</v>
      </c>
      <c r="I35" s="110"/>
      <c r="J35" s="66">
        <v>1</v>
      </c>
      <c r="K35" s="66">
        <v>15</v>
      </c>
      <c r="L35" s="66">
        <v>30</v>
      </c>
      <c r="M35" s="67">
        <v>1</v>
      </c>
    </row>
    <row r="36" spans="1:13">
      <c r="A36" s="109" t="s">
        <v>79</v>
      </c>
      <c r="B36" s="112"/>
      <c r="C36" s="58"/>
      <c r="D36" s="58"/>
      <c r="E36" s="58"/>
      <c r="F36" s="59"/>
      <c r="G36" s="56"/>
      <c r="H36" s="110" t="s">
        <v>86</v>
      </c>
      <c r="I36" s="110"/>
      <c r="J36" s="66"/>
      <c r="K36" s="66"/>
      <c r="L36" s="66"/>
      <c r="M36" s="67"/>
    </row>
    <row r="37" spans="1:13">
      <c r="A37" s="110" t="s">
        <v>81</v>
      </c>
      <c r="B37" s="110"/>
      <c r="C37" s="66">
        <f>SUM(C31:C36)</f>
        <v>7</v>
      </c>
      <c r="D37" s="66">
        <f>SUM(D31:D36)</f>
        <v>936</v>
      </c>
      <c r="E37" s="66">
        <f>SUM(E31:E36)</f>
        <v>1749</v>
      </c>
      <c r="F37" s="67">
        <v>1</v>
      </c>
      <c r="G37" s="56"/>
      <c r="H37" s="109"/>
      <c r="I37" s="109"/>
      <c r="J37" s="58"/>
      <c r="K37" s="58"/>
      <c r="L37" s="58"/>
      <c r="M37" s="58"/>
    </row>
    <row r="38" spans="1:13">
      <c r="A38" s="109"/>
      <c r="B38" s="109"/>
      <c r="C38" s="58"/>
      <c r="D38" s="58"/>
      <c r="E38" s="58"/>
      <c r="F38" s="59"/>
      <c r="G38" s="56"/>
      <c r="H38" s="109"/>
      <c r="I38" s="109"/>
      <c r="J38" s="58"/>
      <c r="K38" s="58"/>
      <c r="L38" s="58"/>
      <c r="M38" s="58"/>
    </row>
    <row r="39" spans="1:13">
      <c r="A39" s="109" t="s">
        <v>83</v>
      </c>
      <c r="B39" s="109"/>
      <c r="C39" s="58"/>
      <c r="D39" s="58"/>
      <c r="E39" s="58"/>
      <c r="F39" s="59"/>
      <c r="G39" s="56"/>
      <c r="H39" s="111"/>
      <c r="I39" s="111"/>
      <c r="J39" s="58"/>
      <c r="K39" s="58"/>
      <c r="L39" s="58"/>
      <c r="M39" s="58"/>
    </row>
    <row r="40" spans="1:13">
      <c r="A40" s="109" t="s">
        <v>85</v>
      </c>
      <c r="B40" s="109"/>
      <c r="C40" s="58"/>
      <c r="D40" s="58"/>
      <c r="E40" s="58"/>
      <c r="F40" s="59"/>
      <c r="G40" s="56"/>
      <c r="H40" s="57"/>
      <c r="I40" s="57"/>
      <c r="J40" s="58"/>
      <c r="K40" s="58"/>
      <c r="L40" s="58"/>
      <c r="M40" s="60"/>
    </row>
    <row r="41" spans="1:13">
      <c r="A41" s="109" t="s">
        <v>87</v>
      </c>
      <c r="B41" s="109"/>
      <c r="C41" s="58"/>
      <c r="D41" s="58"/>
      <c r="E41" s="58"/>
      <c r="F41" s="59"/>
      <c r="G41" s="56"/>
      <c r="H41" s="110" t="s">
        <v>90</v>
      </c>
      <c r="I41" s="110"/>
      <c r="J41" s="66">
        <f>C14+C29+C37+J27+J32+J34+J35</f>
        <v>119</v>
      </c>
      <c r="K41" s="66">
        <f>D14+D29+D37+K27+K32+K34+K35</f>
        <v>3325</v>
      </c>
      <c r="L41" s="66">
        <f>E14+E29+E37+L27+L32+L34+L35</f>
        <v>7668</v>
      </c>
      <c r="M41" s="58"/>
    </row>
    <row r="42" spans="1:13">
      <c r="A42" s="109" t="s">
        <v>227</v>
      </c>
      <c r="B42" s="109"/>
      <c r="C42" s="58"/>
      <c r="D42" s="58"/>
      <c r="E42" s="58"/>
      <c r="F42" s="59"/>
      <c r="G42" s="56"/>
      <c r="H42" s="57"/>
      <c r="I42" s="57"/>
      <c r="J42" s="58"/>
      <c r="K42" s="58"/>
      <c r="L42" s="58"/>
      <c r="M42" s="60"/>
    </row>
    <row r="43" spans="1:13">
      <c r="A43" s="109" t="s">
        <v>88</v>
      </c>
      <c r="B43" s="109"/>
      <c r="C43" s="58"/>
      <c r="D43" s="58"/>
      <c r="E43" s="58"/>
      <c r="F43" s="59"/>
      <c r="G43" s="56"/>
      <c r="H43" s="57"/>
      <c r="I43" s="57"/>
      <c r="J43" s="60"/>
      <c r="K43" s="60"/>
      <c r="L43" s="60"/>
      <c r="M43" s="60"/>
    </row>
    <row r="44" spans="1:13">
      <c r="A44" s="110" t="s">
        <v>89</v>
      </c>
      <c r="B44" s="110"/>
      <c r="C44" s="66"/>
      <c r="D44" s="66"/>
      <c r="E44" s="66"/>
      <c r="F44" s="67"/>
      <c r="G44" s="56"/>
      <c r="H44" s="57"/>
      <c r="I44" s="57"/>
      <c r="J44" s="60"/>
      <c r="K44" s="60"/>
      <c r="L44" s="60"/>
      <c r="M44" s="60"/>
    </row>
  </sheetData>
  <sheetProtection algorithmName="SHA-512" hashValue="ShJVp7bWM4ARarEwviEC0TXpSlQ86DmfD1rkAHkEfbqeu4h0bp0gkRtCGTwlAMZvoXnGhGz7QHkYwDwgjWpJZQ==" saltValue="hXCp+L6jM2i0j18KcO8HZA==" spinCount="100000" sheet="1" objects="1" scenarios="1"/>
  <mergeCells count="72">
    <mergeCell ref="A7:B7"/>
    <mergeCell ref="H7:I7"/>
    <mergeCell ref="A8:B8"/>
    <mergeCell ref="H8:I8"/>
    <mergeCell ref="A9:B9"/>
    <mergeCell ref="H9:I9"/>
    <mergeCell ref="A10:B10"/>
    <mergeCell ref="H10:I10"/>
    <mergeCell ref="A11:B11"/>
    <mergeCell ref="H11:I11"/>
    <mergeCell ref="A12:B12"/>
    <mergeCell ref="H12:I12"/>
    <mergeCell ref="A13:B13"/>
    <mergeCell ref="H13:I13"/>
    <mergeCell ref="A14:B14"/>
    <mergeCell ref="H14:I14"/>
    <mergeCell ref="A15:B15"/>
    <mergeCell ref="H15:I15"/>
    <mergeCell ref="A16:B16"/>
    <mergeCell ref="H16:I16"/>
    <mergeCell ref="A17:B17"/>
    <mergeCell ref="H17:I17"/>
    <mergeCell ref="A18:B18"/>
    <mergeCell ref="H18:I18"/>
    <mergeCell ref="A19:B19"/>
    <mergeCell ref="H19:I19"/>
    <mergeCell ref="A20:B20"/>
    <mergeCell ref="H20:I20"/>
    <mergeCell ref="A21:B21"/>
    <mergeCell ref="H21:I21"/>
    <mergeCell ref="A22:B22"/>
    <mergeCell ref="H22:I22"/>
    <mergeCell ref="A23:B23"/>
    <mergeCell ref="H23:I23"/>
    <mergeCell ref="A24:B24"/>
    <mergeCell ref="H24:I24"/>
    <mergeCell ref="A25:B25"/>
    <mergeCell ref="H25:I25"/>
    <mergeCell ref="A26:B26"/>
    <mergeCell ref="H26:I26"/>
    <mergeCell ref="A27:B27"/>
    <mergeCell ref="H27:I27"/>
    <mergeCell ref="A28:B28"/>
    <mergeCell ref="H28:I28"/>
    <mergeCell ref="A29:B29"/>
    <mergeCell ref="H29:I29"/>
    <mergeCell ref="A30:B30"/>
    <mergeCell ref="H30:I30"/>
    <mergeCell ref="A31:B31"/>
    <mergeCell ref="H31:I31"/>
    <mergeCell ref="A32:B32"/>
    <mergeCell ref="H32:I32"/>
    <mergeCell ref="A33:B33"/>
    <mergeCell ref="H33:I33"/>
    <mergeCell ref="A34:B34"/>
    <mergeCell ref="H34:I34"/>
    <mergeCell ref="A35:B35"/>
    <mergeCell ref="H35:I35"/>
    <mergeCell ref="A36:B36"/>
    <mergeCell ref="H36:I36"/>
    <mergeCell ref="A44:B44"/>
    <mergeCell ref="A37:B37"/>
    <mergeCell ref="H37:I37"/>
    <mergeCell ref="A38:B38"/>
    <mergeCell ref="H38:I38"/>
    <mergeCell ref="A39:B39"/>
    <mergeCell ref="H39:I39"/>
    <mergeCell ref="A40:B40"/>
    <mergeCell ref="A41:B41"/>
    <mergeCell ref="H41:I41"/>
    <mergeCell ref="A42:B42"/>
    <mergeCell ref="A43:B43"/>
  </mergeCells>
  <pageMargins left="0.7" right="0.7" top="0.75" bottom="0.75" header="0.3" footer="0.3"/>
  <pageSetup paperSize="9" scale="70"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T44"/>
  <sheetViews>
    <sheetView showGridLines="0" zoomScaleNormal="100" zoomScaleSheetLayoutView="100" workbookViewId="0"/>
  </sheetViews>
  <sheetFormatPr baseColWidth="10" defaultRowHeight="15"/>
  <cols>
    <col min="1" max="1" width="21.7109375" customWidth="1"/>
    <col min="2" max="2" width="7.7109375" customWidth="1"/>
    <col min="3" max="3" width="17" customWidth="1"/>
    <col min="4" max="4" width="15.140625" customWidth="1"/>
    <col min="5" max="5" width="14" customWidth="1"/>
    <col min="8" max="8" width="21.7109375" customWidth="1"/>
    <col min="9" max="9" width="7.7109375" customWidth="1"/>
    <col min="10" max="10" width="17" customWidth="1"/>
    <col min="11" max="11" width="15.140625" customWidth="1"/>
    <col min="12" max="12" width="14" customWidth="1"/>
  </cols>
  <sheetData>
    <row r="1" spans="1:20" ht="16.5">
      <c r="A1" s="15"/>
      <c r="P1" s="9"/>
      <c r="Q1" s="9"/>
      <c r="R1" s="9"/>
      <c r="S1" s="9"/>
      <c r="T1" s="9"/>
    </row>
    <row r="2" spans="1:20" ht="16.5">
      <c r="A2" s="52" t="s">
        <v>132</v>
      </c>
    </row>
    <row r="3" spans="1:20" ht="16.5">
      <c r="A3" s="53" t="s">
        <v>133</v>
      </c>
      <c r="B3" s="54"/>
      <c r="C3" s="9"/>
      <c r="D3" s="9"/>
      <c r="E3" s="9"/>
      <c r="F3" s="9"/>
      <c r="G3" s="9"/>
      <c r="H3" s="54"/>
      <c r="I3" s="54"/>
      <c r="J3" s="9"/>
      <c r="K3" s="9"/>
      <c r="L3" s="55"/>
      <c r="M3" s="9"/>
      <c r="N3" s="9"/>
      <c r="O3" s="9"/>
      <c r="P3" s="9"/>
      <c r="Q3" s="9"/>
      <c r="R3" s="9"/>
      <c r="S3" s="9"/>
      <c r="T3" s="9"/>
    </row>
    <row r="4" spans="1:20" ht="16.5">
      <c r="A4" s="53" t="s">
        <v>134</v>
      </c>
      <c r="B4" s="54"/>
      <c r="C4" s="9"/>
      <c r="D4" s="9"/>
      <c r="E4" s="9"/>
      <c r="F4" s="9"/>
      <c r="G4" s="9"/>
      <c r="H4" s="54"/>
      <c r="I4" s="54"/>
      <c r="J4" s="9"/>
      <c r="K4" s="9"/>
      <c r="L4" s="9"/>
      <c r="M4" s="9"/>
      <c r="N4" s="9"/>
      <c r="O4" s="9"/>
      <c r="P4" s="9"/>
      <c r="Q4" s="9"/>
      <c r="R4" s="9"/>
      <c r="S4" s="9"/>
      <c r="T4" s="9"/>
    </row>
    <row r="7" spans="1:20">
      <c r="A7" s="107" t="s">
        <v>21</v>
      </c>
      <c r="B7" s="107"/>
      <c r="C7" s="63" t="s">
        <v>22</v>
      </c>
      <c r="D7" s="63" t="s">
        <v>23</v>
      </c>
      <c r="E7" s="63" t="s">
        <v>24</v>
      </c>
      <c r="F7" s="63" t="s">
        <v>25</v>
      </c>
      <c r="G7" s="56"/>
      <c r="H7" s="107" t="s">
        <v>21</v>
      </c>
      <c r="I7" s="107"/>
      <c r="J7" s="63" t="s">
        <v>22</v>
      </c>
      <c r="K7" s="63" t="s">
        <v>23</v>
      </c>
      <c r="L7" s="63" t="s">
        <v>24</v>
      </c>
      <c r="M7" s="63" t="s">
        <v>25</v>
      </c>
    </row>
    <row r="8" spans="1:20">
      <c r="A8" s="108" t="s">
        <v>26</v>
      </c>
      <c r="B8" s="108"/>
      <c r="C8" s="64" t="s">
        <v>27</v>
      </c>
      <c r="D8" s="64" t="s">
        <v>28</v>
      </c>
      <c r="E8" s="64" t="s">
        <v>29</v>
      </c>
      <c r="F8" s="64" t="s">
        <v>30</v>
      </c>
      <c r="G8" s="65"/>
      <c r="H8" s="108" t="s">
        <v>26</v>
      </c>
      <c r="I8" s="108"/>
      <c r="J8" s="64" t="s">
        <v>27</v>
      </c>
      <c r="K8" s="64" t="s">
        <v>28</v>
      </c>
      <c r="L8" s="64" t="s">
        <v>29</v>
      </c>
      <c r="M8" s="64" t="s">
        <v>30</v>
      </c>
      <c r="N8" s="9"/>
      <c r="O8" s="9"/>
      <c r="P8" s="9"/>
      <c r="Q8" s="9"/>
      <c r="R8" s="9"/>
      <c r="S8" s="9"/>
      <c r="T8" s="9"/>
    </row>
    <row r="9" spans="1:20">
      <c r="A9" s="108" t="s">
        <v>31</v>
      </c>
      <c r="B9" s="108"/>
      <c r="C9" s="64" t="s">
        <v>32</v>
      </c>
      <c r="D9" s="64" t="s">
        <v>33</v>
      </c>
      <c r="E9" s="64" t="s">
        <v>34</v>
      </c>
      <c r="F9" s="64" t="s">
        <v>35</v>
      </c>
      <c r="G9" s="65"/>
      <c r="H9" s="108" t="s">
        <v>31</v>
      </c>
      <c r="I9" s="108"/>
      <c r="J9" s="64" t="s">
        <v>32</v>
      </c>
      <c r="K9" s="64" t="s">
        <v>33</v>
      </c>
      <c r="L9" s="64" t="s">
        <v>34</v>
      </c>
      <c r="M9" s="64" t="s">
        <v>35</v>
      </c>
      <c r="N9" s="9"/>
      <c r="O9" s="9"/>
      <c r="P9" s="9"/>
      <c r="Q9" s="9"/>
      <c r="R9" s="9"/>
      <c r="S9" s="9"/>
      <c r="T9" s="9"/>
    </row>
    <row r="10" spans="1:20">
      <c r="A10" s="109" t="s">
        <v>36</v>
      </c>
      <c r="B10" s="109"/>
      <c r="C10" s="58">
        <v>62</v>
      </c>
      <c r="D10" s="58">
        <v>652</v>
      </c>
      <c r="E10" s="58">
        <v>1979</v>
      </c>
      <c r="F10" s="59">
        <f>E10/E$14</f>
        <v>0.65551507121563435</v>
      </c>
      <c r="G10" s="56"/>
      <c r="H10" s="109" t="s">
        <v>37</v>
      </c>
      <c r="I10" s="109"/>
      <c r="J10" s="58"/>
      <c r="K10" s="58"/>
      <c r="L10" s="58"/>
      <c r="M10" s="59"/>
    </row>
    <row r="11" spans="1:20">
      <c r="A11" s="109" t="s">
        <v>38</v>
      </c>
      <c r="B11" s="109"/>
      <c r="C11" s="58">
        <v>8</v>
      </c>
      <c r="D11" s="58">
        <v>293</v>
      </c>
      <c r="E11" s="58">
        <v>794</v>
      </c>
      <c r="F11" s="59">
        <f t="shared" ref="F11:F12" si="0">E11/E$14</f>
        <v>0.26300099370652535</v>
      </c>
      <c r="G11" s="56"/>
      <c r="H11" s="109" t="s">
        <v>39</v>
      </c>
      <c r="I11" s="109"/>
      <c r="J11" s="58"/>
      <c r="K11" s="58"/>
      <c r="L11" s="58"/>
      <c r="M11" s="59"/>
    </row>
    <row r="12" spans="1:20">
      <c r="A12" s="109" t="s">
        <v>40</v>
      </c>
      <c r="B12" s="109"/>
      <c r="C12" s="58">
        <v>5</v>
      </c>
      <c r="D12" s="58">
        <v>104</v>
      </c>
      <c r="E12" s="58">
        <v>246</v>
      </c>
      <c r="F12" s="59">
        <f t="shared" si="0"/>
        <v>8.1483935077840339E-2</v>
      </c>
      <c r="G12" s="56"/>
      <c r="H12" s="109" t="s">
        <v>41</v>
      </c>
      <c r="I12" s="109"/>
      <c r="J12" s="58"/>
      <c r="K12" s="58"/>
      <c r="L12" s="58"/>
      <c r="M12" s="59"/>
    </row>
    <row r="13" spans="1:20">
      <c r="A13" s="109" t="s">
        <v>44</v>
      </c>
      <c r="B13" s="109"/>
      <c r="C13" s="58"/>
      <c r="D13" s="58"/>
      <c r="E13" s="58"/>
      <c r="F13" s="59"/>
      <c r="G13" s="56"/>
      <c r="H13" s="109" t="s">
        <v>45</v>
      </c>
      <c r="I13" s="109"/>
      <c r="J13" s="58"/>
      <c r="K13" s="58"/>
      <c r="L13" s="58"/>
      <c r="M13" s="59"/>
    </row>
    <row r="14" spans="1:20">
      <c r="A14" s="110" t="s">
        <v>48</v>
      </c>
      <c r="B14" s="110"/>
      <c r="C14" s="66">
        <f>SUM(C10:C13)</f>
        <v>75</v>
      </c>
      <c r="D14" s="66">
        <f>SUM(D10:D13)</f>
        <v>1049</v>
      </c>
      <c r="E14" s="66">
        <f>SUM(E10:E13)</f>
        <v>3019</v>
      </c>
      <c r="F14" s="67">
        <v>1</v>
      </c>
      <c r="G14" s="56"/>
      <c r="H14" s="109" t="s">
        <v>49</v>
      </c>
      <c r="I14" s="109"/>
      <c r="J14" s="58"/>
      <c r="K14" s="58"/>
      <c r="L14" s="58"/>
      <c r="M14" s="59"/>
    </row>
    <row r="15" spans="1:20">
      <c r="A15" s="109"/>
      <c r="B15" s="109"/>
      <c r="C15" s="58"/>
      <c r="D15" s="58"/>
      <c r="E15" s="58"/>
      <c r="F15" s="59"/>
      <c r="G15" s="56"/>
      <c r="H15" s="110" t="s">
        <v>52</v>
      </c>
      <c r="I15" s="110"/>
      <c r="J15" s="66"/>
      <c r="K15" s="66"/>
      <c r="L15" s="66"/>
      <c r="M15" s="67"/>
    </row>
    <row r="16" spans="1:20">
      <c r="A16" s="110" t="s">
        <v>51</v>
      </c>
      <c r="B16" s="110"/>
      <c r="C16" s="66"/>
      <c r="D16" s="66"/>
      <c r="E16" s="66"/>
      <c r="F16" s="67"/>
      <c r="G16" s="56"/>
      <c r="H16" s="109"/>
      <c r="I16" s="109"/>
      <c r="J16" s="58"/>
      <c r="K16" s="58"/>
      <c r="L16" s="58"/>
      <c r="M16" s="59"/>
    </row>
    <row r="17" spans="1:13">
      <c r="A17" s="110" t="s">
        <v>53</v>
      </c>
      <c r="B17" s="110"/>
      <c r="C17" s="66"/>
      <c r="D17" s="66"/>
      <c r="E17" s="66"/>
      <c r="F17" s="67"/>
      <c r="G17" s="56"/>
      <c r="H17" s="109" t="s">
        <v>55</v>
      </c>
      <c r="I17" s="109"/>
      <c r="J17" s="58"/>
      <c r="K17" s="58"/>
      <c r="L17" s="58"/>
      <c r="M17" s="59"/>
    </row>
    <row r="18" spans="1:13">
      <c r="A18" s="110" t="s">
        <v>54</v>
      </c>
      <c r="B18" s="110"/>
      <c r="C18" s="66"/>
      <c r="D18" s="66"/>
      <c r="E18" s="66"/>
      <c r="F18" s="67"/>
      <c r="G18" s="56"/>
      <c r="H18" s="109" t="s">
        <v>57</v>
      </c>
      <c r="I18" s="109"/>
      <c r="J18" s="58"/>
      <c r="K18" s="58"/>
      <c r="L18" s="58"/>
      <c r="M18" s="59"/>
    </row>
    <row r="19" spans="1:13">
      <c r="A19" s="111"/>
      <c r="B19" s="111"/>
      <c r="C19" s="58"/>
      <c r="D19" s="58"/>
      <c r="E19" s="58"/>
      <c r="F19" s="59"/>
      <c r="G19" s="56"/>
      <c r="H19" s="109" t="s">
        <v>58</v>
      </c>
      <c r="I19" s="109"/>
      <c r="J19" s="58"/>
      <c r="K19" s="58"/>
      <c r="L19" s="58"/>
      <c r="M19" s="59"/>
    </row>
    <row r="20" spans="1:13">
      <c r="A20" s="109" t="s">
        <v>112</v>
      </c>
      <c r="B20" s="109"/>
      <c r="C20" s="58"/>
      <c r="D20" s="51"/>
      <c r="E20" s="58"/>
      <c r="F20" s="59"/>
      <c r="G20" s="56"/>
      <c r="H20" s="109" t="s">
        <v>60</v>
      </c>
      <c r="I20" s="109"/>
      <c r="J20" s="58"/>
      <c r="K20" s="58"/>
      <c r="L20" s="58"/>
      <c r="M20" s="59"/>
    </row>
    <row r="21" spans="1:13">
      <c r="A21" s="109" t="s">
        <v>113</v>
      </c>
      <c r="B21" s="109"/>
      <c r="C21" s="58"/>
      <c r="D21" s="51"/>
      <c r="E21" s="58"/>
      <c r="F21" s="59"/>
      <c r="G21" s="56"/>
      <c r="H21" s="109" t="s">
        <v>62</v>
      </c>
      <c r="I21" s="109"/>
      <c r="J21" s="58"/>
      <c r="K21" s="58"/>
      <c r="L21" s="58"/>
      <c r="M21" s="59"/>
    </row>
    <row r="22" spans="1:13">
      <c r="A22" s="109" t="s">
        <v>114</v>
      </c>
      <c r="B22" s="109"/>
      <c r="C22" s="58"/>
      <c r="D22" s="58"/>
      <c r="E22" s="58"/>
      <c r="F22" s="59"/>
      <c r="G22" s="56"/>
      <c r="H22" s="110" t="s">
        <v>64</v>
      </c>
      <c r="I22" s="110"/>
      <c r="J22" s="66"/>
      <c r="K22" s="66"/>
      <c r="L22" s="66"/>
      <c r="M22" s="68"/>
    </row>
    <row r="23" spans="1:13">
      <c r="A23" s="109" t="s">
        <v>115</v>
      </c>
      <c r="B23" s="109"/>
      <c r="C23" s="58"/>
      <c r="D23" s="58"/>
      <c r="E23" s="58"/>
      <c r="F23" s="69"/>
      <c r="G23" s="56"/>
      <c r="H23" s="109"/>
      <c r="I23" s="109"/>
      <c r="J23" s="58"/>
      <c r="K23" s="58"/>
      <c r="L23" s="58"/>
      <c r="M23" s="59"/>
    </row>
    <row r="24" spans="1:13">
      <c r="A24" s="110" t="s">
        <v>116</v>
      </c>
      <c r="B24" s="110"/>
      <c r="C24" s="66"/>
      <c r="D24" s="66"/>
      <c r="E24" s="66"/>
      <c r="F24" s="67"/>
      <c r="G24" s="56"/>
      <c r="H24" s="109" t="s">
        <v>66</v>
      </c>
      <c r="I24" s="109"/>
      <c r="J24" s="58">
        <v>12</v>
      </c>
      <c r="K24" s="58">
        <v>370</v>
      </c>
      <c r="L24" s="58">
        <v>677</v>
      </c>
      <c r="M24" s="59">
        <f>L24/L$27</f>
        <v>0.56652719665271967</v>
      </c>
    </row>
    <row r="25" spans="1:13">
      <c r="A25" s="109"/>
      <c r="B25" s="109"/>
      <c r="C25" s="58"/>
      <c r="D25" s="58"/>
      <c r="E25" s="58"/>
      <c r="F25" s="59"/>
      <c r="G25" s="56"/>
      <c r="H25" s="109" t="s">
        <v>68</v>
      </c>
      <c r="I25" s="109"/>
      <c r="J25" s="58">
        <v>4</v>
      </c>
      <c r="K25" s="58">
        <v>189</v>
      </c>
      <c r="L25" s="58">
        <v>348</v>
      </c>
      <c r="M25" s="59">
        <f t="shared" ref="M25:M26" si="1">L25/L$27</f>
        <v>0.29121338912133893</v>
      </c>
    </row>
    <row r="26" spans="1:13">
      <c r="A26" s="109" t="s">
        <v>59</v>
      </c>
      <c r="B26" s="109"/>
      <c r="C26" s="58"/>
      <c r="D26" s="58"/>
      <c r="E26" s="58"/>
      <c r="F26" s="59"/>
      <c r="G26" s="56"/>
      <c r="H26" s="109" t="s">
        <v>70</v>
      </c>
      <c r="I26" s="109"/>
      <c r="J26" s="58">
        <v>2</v>
      </c>
      <c r="K26" s="58">
        <v>86</v>
      </c>
      <c r="L26" s="58">
        <v>170</v>
      </c>
      <c r="M26" s="59">
        <f t="shared" si="1"/>
        <v>0.14225941422594143</v>
      </c>
    </row>
    <row r="27" spans="1:13">
      <c r="A27" s="109" t="s">
        <v>61</v>
      </c>
      <c r="B27" s="109"/>
      <c r="C27" s="58"/>
      <c r="D27" s="58"/>
      <c r="E27" s="58"/>
      <c r="F27" s="59"/>
      <c r="G27" s="56"/>
      <c r="H27" s="110" t="s">
        <v>72</v>
      </c>
      <c r="I27" s="110"/>
      <c r="J27" s="66">
        <f>SUM(J24:J26)</f>
        <v>18</v>
      </c>
      <c r="K27" s="66">
        <f>SUM(K24:K26)</f>
        <v>645</v>
      </c>
      <c r="L27" s="66">
        <f>SUM(L24:L26)</f>
        <v>1195</v>
      </c>
      <c r="M27" s="67">
        <v>1</v>
      </c>
    </row>
    <row r="28" spans="1:13">
      <c r="A28" s="109" t="s">
        <v>63</v>
      </c>
      <c r="B28" s="109"/>
      <c r="C28" s="58">
        <v>2</v>
      </c>
      <c r="D28" s="58">
        <v>419</v>
      </c>
      <c r="E28" s="58">
        <v>1193</v>
      </c>
      <c r="F28" s="69">
        <v>1</v>
      </c>
      <c r="G28" s="56"/>
      <c r="H28" s="109"/>
      <c r="I28" s="109"/>
      <c r="J28" s="58"/>
      <c r="K28" s="58"/>
      <c r="L28" s="58"/>
      <c r="M28" s="59"/>
    </row>
    <row r="29" spans="1:13">
      <c r="A29" s="110" t="s">
        <v>65</v>
      </c>
      <c r="B29" s="110"/>
      <c r="C29" s="66">
        <v>2</v>
      </c>
      <c r="D29" s="66">
        <v>419</v>
      </c>
      <c r="E29" s="66">
        <v>1193</v>
      </c>
      <c r="F29" s="67">
        <v>1</v>
      </c>
      <c r="G29" s="56"/>
      <c r="H29" s="109" t="s">
        <v>74</v>
      </c>
      <c r="I29" s="109"/>
      <c r="J29" s="58">
        <v>6</v>
      </c>
      <c r="K29" s="58">
        <v>145</v>
      </c>
      <c r="L29" s="58">
        <v>276</v>
      </c>
      <c r="M29" s="59">
        <f>L29/L$32</f>
        <v>0.67980295566502458</v>
      </c>
    </row>
    <row r="30" spans="1:13">
      <c r="A30" s="109"/>
      <c r="B30" s="109"/>
      <c r="C30" s="58"/>
      <c r="D30" s="58"/>
      <c r="E30" s="58"/>
      <c r="F30" s="59"/>
      <c r="G30" s="56"/>
      <c r="H30" s="109" t="s">
        <v>76</v>
      </c>
      <c r="I30" s="109"/>
      <c r="J30" s="58">
        <v>1</v>
      </c>
      <c r="K30" s="58">
        <v>10</v>
      </c>
      <c r="L30" s="58">
        <v>17</v>
      </c>
      <c r="M30" s="59">
        <f t="shared" ref="M30:M31" si="2">L30/L$32</f>
        <v>4.1871921182266007E-2</v>
      </c>
    </row>
    <row r="31" spans="1:13">
      <c r="A31" s="109" t="s">
        <v>67</v>
      </c>
      <c r="B31" s="109"/>
      <c r="C31" s="58">
        <v>3</v>
      </c>
      <c r="D31" s="58">
        <v>133</v>
      </c>
      <c r="E31" s="58">
        <v>254</v>
      </c>
      <c r="F31" s="59">
        <f>E31/E$37</f>
        <v>0.14941176470588236</v>
      </c>
      <c r="G31" s="56"/>
      <c r="H31" s="109" t="s">
        <v>78</v>
      </c>
      <c r="I31" s="109"/>
      <c r="J31" s="58">
        <v>2</v>
      </c>
      <c r="K31" s="58">
        <v>59</v>
      </c>
      <c r="L31" s="58">
        <v>113</v>
      </c>
      <c r="M31" s="59">
        <f t="shared" si="2"/>
        <v>0.27832512315270935</v>
      </c>
    </row>
    <row r="32" spans="1:13">
      <c r="A32" s="109" t="s">
        <v>69</v>
      </c>
      <c r="B32" s="109"/>
      <c r="C32" s="58"/>
      <c r="D32" s="58"/>
      <c r="E32" s="58"/>
      <c r="F32" s="59"/>
      <c r="G32" s="56"/>
      <c r="H32" s="110" t="s">
        <v>80</v>
      </c>
      <c r="I32" s="110"/>
      <c r="J32" s="66">
        <f>SUM(J29:J31)</f>
        <v>9</v>
      </c>
      <c r="K32" s="66">
        <f>SUM(K29:K31)</f>
        <v>214</v>
      </c>
      <c r="L32" s="66">
        <f>SUM(L29:L31)</f>
        <v>406</v>
      </c>
      <c r="M32" s="67">
        <v>1</v>
      </c>
    </row>
    <row r="33" spans="1:13">
      <c r="A33" s="109" t="s">
        <v>71</v>
      </c>
      <c r="B33" s="109"/>
      <c r="C33" s="58">
        <v>1</v>
      </c>
      <c r="D33" s="58">
        <v>116</v>
      </c>
      <c r="E33" s="58">
        <v>214</v>
      </c>
      <c r="F33" s="59">
        <f t="shared" ref="F32:F34" si="3">E33/E$37</f>
        <v>0.12588235294117647</v>
      </c>
      <c r="G33" s="56"/>
      <c r="H33" s="109"/>
      <c r="I33" s="109"/>
    </row>
    <row r="34" spans="1:13">
      <c r="A34" s="109" t="s">
        <v>226</v>
      </c>
      <c r="B34" s="109"/>
      <c r="C34" s="58">
        <v>2</v>
      </c>
      <c r="D34" s="58">
        <v>661</v>
      </c>
      <c r="E34" s="58">
        <v>1232</v>
      </c>
      <c r="F34" s="59">
        <f t="shared" si="3"/>
        <v>0.7247058823529412</v>
      </c>
      <c r="G34" s="56"/>
      <c r="H34" s="110" t="s">
        <v>82</v>
      </c>
      <c r="I34" s="110"/>
      <c r="J34" s="66">
        <v>8</v>
      </c>
      <c r="K34" s="66">
        <v>73</v>
      </c>
      <c r="L34" s="66">
        <v>125</v>
      </c>
      <c r="M34" s="67">
        <v>1</v>
      </c>
    </row>
    <row r="35" spans="1:13">
      <c r="A35" s="109" t="s">
        <v>77</v>
      </c>
      <c r="B35" s="109"/>
      <c r="C35" s="58"/>
      <c r="D35" s="58"/>
      <c r="E35" s="58"/>
      <c r="F35" s="59"/>
      <c r="G35" s="56"/>
      <c r="H35" s="110" t="s">
        <v>84</v>
      </c>
      <c r="I35" s="110"/>
      <c r="J35" s="66">
        <v>1</v>
      </c>
      <c r="K35" s="66">
        <v>15</v>
      </c>
      <c r="L35" s="66">
        <v>30</v>
      </c>
      <c r="M35" s="67">
        <v>1</v>
      </c>
    </row>
    <row r="36" spans="1:13">
      <c r="A36" s="109" t="s">
        <v>79</v>
      </c>
      <c r="B36" s="112"/>
      <c r="C36" s="58"/>
      <c r="D36" s="58"/>
      <c r="E36" s="58"/>
      <c r="F36" s="59"/>
      <c r="G36" s="56"/>
      <c r="H36" s="110" t="s">
        <v>86</v>
      </c>
      <c r="I36" s="110"/>
      <c r="J36" s="66"/>
      <c r="K36" s="66"/>
      <c r="L36" s="66"/>
      <c r="M36" s="67"/>
    </row>
    <row r="37" spans="1:13">
      <c r="A37" s="110" t="s">
        <v>81</v>
      </c>
      <c r="B37" s="110"/>
      <c r="C37" s="66">
        <f>SUM(C31:C36)</f>
        <v>6</v>
      </c>
      <c r="D37" s="66">
        <f>SUM(D31:D36)</f>
        <v>910</v>
      </c>
      <c r="E37" s="66">
        <f>SUM(E31:E36)</f>
        <v>1700</v>
      </c>
      <c r="F37" s="67">
        <v>1</v>
      </c>
      <c r="G37" s="56"/>
      <c r="H37" s="109"/>
      <c r="I37" s="109"/>
      <c r="J37" s="58"/>
      <c r="K37" s="58"/>
      <c r="L37" s="58"/>
      <c r="M37" s="58"/>
    </row>
    <row r="38" spans="1:13">
      <c r="A38" s="109"/>
      <c r="B38" s="109"/>
      <c r="C38" s="58"/>
      <c r="D38" s="58"/>
      <c r="E38" s="58"/>
      <c r="F38" s="59"/>
      <c r="G38" s="56"/>
      <c r="H38" s="109"/>
      <c r="I38" s="109"/>
      <c r="J38" s="58"/>
      <c r="K38" s="58"/>
      <c r="L38" s="58"/>
      <c r="M38" s="58"/>
    </row>
    <row r="39" spans="1:13">
      <c r="A39" s="109" t="s">
        <v>83</v>
      </c>
      <c r="B39" s="109"/>
      <c r="C39" s="58"/>
      <c r="D39" s="58"/>
      <c r="E39" s="58"/>
      <c r="F39" s="59"/>
      <c r="G39" s="56"/>
      <c r="H39" s="111"/>
      <c r="I39" s="111"/>
      <c r="J39" s="58"/>
      <c r="K39" s="58"/>
      <c r="L39" s="58"/>
      <c r="M39" s="58"/>
    </row>
    <row r="40" spans="1:13">
      <c r="A40" s="109" t="s">
        <v>85</v>
      </c>
      <c r="B40" s="109"/>
      <c r="C40" s="58"/>
      <c r="D40" s="58"/>
      <c r="E40" s="58"/>
      <c r="F40" s="59"/>
      <c r="G40" s="56"/>
      <c r="H40" s="57"/>
      <c r="I40" s="57"/>
      <c r="J40" s="58"/>
      <c r="K40" s="58"/>
      <c r="L40" s="58"/>
      <c r="M40" s="60"/>
    </row>
    <row r="41" spans="1:13">
      <c r="A41" s="109" t="s">
        <v>87</v>
      </c>
      <c r="B41" s="109"/>
      <c r="C41" s="58"/>
      <c r="D41" s="58"/>
      <c r="E41" s="58"/>
      <c r="F41" s="59"/>
      <c r="G41" s="56"/>
      <c r="H41" s="110" t="s">
        <v>90</v>
      </c>
      <c r="I41" s="110"/>
      <c r="J41" s="66">
        <f>C14+C29+C37+J27+J32+J34+J35</f>
        <v>119</v>
      </c>
      <c r="K41" s="66">
        <f>D14+D29+D37+K27+K32+K34+K35</f>
        <v>3325</v>
      </c>
      <c r="L41" s="66">
        <f>E14+E29+E37+L27+L32+L34+L35</f>
        <v>7668</v>
      </c>
      <c r="M41" s="58"/>
    </row>
    <row r="42" spans="1:13">
      <c r="A42" s="109" t="s">
        <v>227</v>
      </c>
      <c r="B42" s="109"/>
      <c r="C42" s="58"/>
      <c r="D42" s="58"/>
      <c r="E42" s="58"/>
      <c r="F42" s="59"/>
      <c r="G42" s="56"/>
      <c r="H42" s="57"/>
      <c r="I42" s="57"/>
      <c r="J42" s="58"/>
      <c r="K42" s="58"/>
      <c r="L42" s="58"/>
      <c r="M42" s="60"/>
    </row>
    <row r="43" spans="1:13">
      <c r="A43" s="109" t="s">
        <v>88</v>
      </c>
      <c r="B43" s="109"/>
      <c r="C43" s="58"/>
      <c r="D43" s="58"/>
      <c r="E43" s="58"/>
      <c r="F43" s="59"/>
      <c r="G43" s="56"/>
      <c r="H43" s="57"/>
      <c r="I43" s="57"/>
      <c r="J43" s="60"/>
      <c r="K43" s="60"/>
      <c r="L43" s="60"/>
      <c r="M43" s="60"/>
    </row>
    <row r="44" spans="1:13">
      <c r="A44" s="110" t="s">
        <v>89</v>
      </c>
      <c r="B44" s="110"/>
      <c r="C44" s="66"/>
      <c r="D44" s="66"/>
      <c r="E44" s="66"/>
      <c r="F44" s="67"/>
      <c r="G44" s="56"/>
      <c r="H44" s="57"/>
      <c r="I44" s="57"/>
      <c r="J44" s="60"/>
      <c r="K44" s="60"/>
      <c r="L44" s="60"/>
      <c r="M44" s="60"/>
    </row>
  </sheetData>
  <sheetProtection algorithmName="SHA-512" hashValue="bnjYABxyM695014bCTgPt1jMwp8PjcBQ0kpH6SZOYZbGC/mHbS3deQJPEClBY0PjKmnYhnItGxpozZ35+rHBkg==" saltValue="gPddQtKMm1+q+4KWphYfWA==" spinCount="100000" sheet="1" objects="1" scenarios="1"/>
  <mergeCells count="72">
    <mergeCell ref="A44:B44"/>
    <mergeCell ref="A40:B40"/>
    <mergeCell ref="A41:B41"/>
    <mergeCell ref="H41:I41"/>
    <mergeCell ref="A42:B42"/>
    <mergeCell ref="A43:B43"/>
    <mergeCell ref="A37:B37"/>
    <mergeCell ref="H37:I37"/>
    <mergeCell ref="A38:B38"/>
    <mergeCell ref="H38:I38"/>
    <mergeCell ref="A39:B39"/>
    <mergeCell ref="H39:I39"/>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scale="7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T44"/>
  <sheetViews>
    <sheetView showGridLines="0" zoomScaleNormal="100" zoomScaleSheetLayoutView="100" workbookViewId="0"/>
  </sheetViews>
  <sheetFormatPr baseColWidth="10" defaultRowHeight="12.75"/>
  <cols>
    <col min="1" max="1" width="21.7109375" style="8" customWidth="1"/>
    <col min="2" max="2" width="7.7109375" style="8" customWidth="1"/>
    <col min="3" max="3" width="17" style="16" bestFit="1" customWidth="1"/>
    <col min="4" max="4" width="15.140625" style="16" bestFit="1" customWidth="1"/>
    <col min="5" max="5" width="14" style="16" bestFit="1" customWidth="1"/>
    <col min="6" max="6" width="11.42578125" style="16"/>
    <col min="7" max="7" width="13" style="16" customWidth="1"/>
    <col min="8" max="8" width="21.7109375" style="8" customWidth="1"/>
    <col min="9" max="9" width="7.7109375" style="8" customWidth="1"/>
    <col min="10" max="10" width="17" style="16" bestFit="1" customWidth="1"/>
    <col min="11" max="11" width="15.140625" style="16" bestFit="1" customWidth="1"/>
    <col min="12" max="12" width="14" style="16" bestFit="1" customWidth="1"/>
    <col min="13" max="256" width="11.42578125" style="16"/>
    <col min="257" max="257" width="22.140625" style="16" customWidth="1"/>
    <col min="258" max="258" width="12.140625" style="16" customWidth="1"/>
    <col min="259" max="259" width="17" style="16" bestFit="1" customWidth="1"/>
    <col min="260" max="260" width="15.140625" style="16" bestFit="1" customWidth="1"/>
    <col min="261" max="261" width="14" style="16" bestFit="1" customWidth="1"/>
    <col min="262" max="263" width="11.42578125" style="16"/>
    <col min="264" max="264" width="16.5703125" style="16" customWidth="1"/>
    <col min="265" max="265" width="11.42578125" style="16"/>
    <col min="266" max="266" width="17" style="16" bestFit="1" customWidth="1"/>
    <col min="267" max="267" width="15.140625" style="16" bestFit="1" customWidth="1"/>
    <col min="268" max="268" width="14" style="16" bestFit="1" customWidth="1"/>
    <col min="269" max="512" width="11.42578125" style="16"/>
    <col min="513" max="513" width="22.140625" style="16" customWidth="1"/>
    <col min="514" max="514" width="12.140625" style="16" customWidth="1"/>
    <col min="515" max="515" width="17" style="16" bestFit="1" customWidth="1"/>
    <col min="516" max="516" width="15.140625" style="16" bestFit="1" customWidth="1"/>
    <col min="517" max="517" width="14" style="16" bestFit="1" customWidth="1"/>
    <col min="518" max="519" width="11.42578125" style="16"/>
    <col min="520" max="520" width="16.5703125" style="16" customWidth="1"/>
    <col min="521" max="521" width="11.42578125" style="16"/>
    <col min="522" max="522" width="17" style="16" bestFit="1" customWidth="1"/>
    <col min="523" max="523" width="15.140625" style="16" bestFit="1" customWidth="1"/>
    <col min="524" max="524" width="14" style="16" bestFit="1" customWidth="1"/>
    <col min="525" max="768" width="11.42578125" style="16"/>
    <col min="769" max="769" width="22.140625" style="16" customWidth="1"/>
    <col min="770" max="770" width="12.140625" style="16" customWidth="1"/>
    <col min="771" max="771" width="17" style="16" bestFit="1" customWidth="1"/>
    <col min="772" max="772" width="15.140625" style="16" bestFit="1" customWidth="1"/>
    <col min="773" max="773" width="14" style="16" bestFit="1" customWidth="1"/>
    <col min="774" max="775" width="11.42578125" style="16"/>
    <col min="776" max="776" width="16.5703125" style="16" customWidth="1"/>
    <col min="777" max="777" width="11.42578125" style="16"/>
    <col min="778" max="778" width="17" style="16" bestFit="1" customWidth="1"/>
    <col min="779" max="779" width="15.140625" style="16" bestFit="1" customWidth="1"/>
    <col min="780" max="780" width="14" style="16" bestFit="1" customWidth="1"/>
    <col min="781" max="1024" width="11.42578125" style="16"/>
    <col min="1025" max="1025" width="22.140625" style="16" customWidth="1"/>
    <col min="1026" max="1026" width="12.140625" style="16" customWidth="1"/>
    <col min="1027" max="1027" width="17" style="16" bestFit="1" customWidth="1"/>
    <col min="1028" max="1028" width="15.140625" style="16" bestFit="1" customWidth="1"/>
    <col min="1029" max="1029" width="14" style="16" bestFit="1" customWidth="1"/>
    <col min="1030" max="1031" width="11.42578125" style="16"/>
    <col min="1032" max="1032" width="16.5703125" style="16" customWidth="1"/>
    <col min="1033" max="1033" width="11.42578125" style="16"/>
    <col min="1034" max="1034" width="17" style="16" bestFit="1" customWidth="1"/>
    <col min="1035" max="1035" width="15.140625" style="16" bestFit="1" customWidth="1"/>
    <col min="1036" max="1036" width="14" style="16" bestFit="1" customWidth="1"/>
    <col min="1037" max="1280" width="11.42578125" style="16"/>
    <col min="1281" max="1281" width="22.140625" style="16" customWidth="1"/>
    <col min="1282" max="1282" width="12.140625" style="16" customWidth="1"/>
    <col min="1283" max="1283" width="17" style="16" bestFit="1" customWidth="1"/>
    <col min="1284" max="1284" width="15.140625" style="16" bestFit="1" customWidth="1"/>
    <col min="1285" max="1285" width="14" style="16" bestFit="1" customWidth="1"/>
    <col min="1286" max="1287" width="11.42578125" style="16"/>
    <col min="1288" max="1288" width="16.5703125" style="16" customWidth="1"/>
    <col min="1289" max="1289" width="11.42578125" style="16"/>
    <col min="1290" max="1290" width="17" style="16" bestFit="1" customWidth="1"/>
    <col min="1291" max="1291" width="15.140625" style="16" bestFit="1" customWidth="1"/>
    <col min="1292" max="1292" width="14" style="16" bestFit="1" customWidth="1"/>
    <col min="1293" max="1536" width="11.42578125" style="16"/>
    <col min="1537" max="1537" width="22.140625" style="16" customWidth="1"/>
    <col min="1538" max="1538" width="12.140625" style="16" customWidth="1"/>
    <col min="1539" max="1539" width="17" style="16" bestFit="1" customWidth="1"/>
    <col min="1540" max="1540" width="15.140625" style="16" bestFit="1" customWidth="1"/>
    <col min="1541" max="1541" width="14" style="16" bestFit="1" customWidth="1"/>
    <col min="1542" max="1543" width="11.42578125" style="16"/>
    <col min="1544" max="1544" width="16.5703125" style="16" customWidth="1"/>
    <col min="1545" max="1545" width="11.42578125" style="16"/>
    <col min="1546" max="1546" width="17" style="16" bestFit="1" customWidth="1"/>
    <col min="1547" max="1547" width="15.140625" style="16" bestFit="1" customWidth="1"/>
    <col min="1548" max="1548" width="14" style="16" bestFit="1" customWidth="1"/>
    <col min="1549" max="1792" width="11.42578125" style="16"/>
    <col min="1793" max="1793" width="22.140625" style="16" customWidth="1"/>
    <col min="1794" max="1794" width="12.140625" style="16" customWidth="1"/>
    <col min="1795" max="1795" width="17" style="16" bestFit="1" customWidth="1"/>
    <col min="1796" max="1796" width="15.140625" style="16" bestFit="1" customWidth="1"/>
    <col min="1797" max="1797" width="14" style="16" bestFit="1" customWidth="1"/>
    <col min="1798" max="1799" width="11.42578125" style="16"/>
    <col min="1800" max="1800" width="16.5703125" style="16" customWidth="1"/>
    <col min="1801" max="1801" width="11.42578125" style="16"/>
    <col min="1802" max="1802" width="17" style="16" bestFit="1" customWidth="1"/>
    <col min="1803" max="1803" width="15.140625" style="16" bestFit="1" customWidth="1"/>
    <col min="1804" max="1804" width="14" style="16" bestFit="1" customWidth="1"/>
    <col min="1805" max="2048" width="11.42578125" style="16"/>
    <col min="2049" max="2049" width="22.140625" style="16" customWidth="1"/>
    <col min="2050" max="2050" width="12.140625" style="16" customWidth="1"/>
    <col min="2051" max="2051" width="17" style="16" bestFit="1" customWidth="1"/>
    <col min="2052" max="2052" width="15.140625" style="16" bestFit="1" customWidth="1"/>
    <col min="2053" max="2053" width="14" style="16" bestFit="1" customWidth="1"/>
    <col min="2054" max="2055" width="11.42578125" style="16"/>
    <col min="2056" max="2056" width="16.5703125" style="16" customWidth="1"/>
    <col min="2057" max="2057" width="11.42578125" style="16"/>
    <col min="2058" max="2058" width="17" style="16" bestFit="1" customWidth="1"/>
    <col min="2059" max="2059" width="15.140625" style="16" bestFit="1" customWidth="1"/>
    <col min="2060" max="2060" width="14" style="16" bestFit="1" customWidth="1"/>
    <col min="2061" max="2304" width="11.42578125" style="16"/>
    <col min="2305" max="2305" width="22.140625" style="16" customWidth="1"/>
    <col min="2306" max="2306" width="12.140625" style="16" customWidth="1"/>
    <col min="2307" max="2307" width="17" style="16" bestFit="1" customWidth="1"/>
    <col min="2308" max="2308" width="15.140625" style="16" bestFit="1" customWidth="1"/>
    <col min="2309" max="2309" width="14" style="16" bestFit="1" customWidth="1"/>
    <col min="2310" max="2311" width="11.42578125" style="16"/>
    <col min="2312" max="2312" width="16.5703125" style="16" customWidth="1"/>
    <col min="2313" max="2313" width="11.42578125" style="16"/>
    <col min="2314" max="2314" width="17" style="16" bestFit="1" customWidth="1"/>
    <col min="2315" max="2315" width="15.140625" style="16" bestFit="1" customWidth="1"/>
    <col min="2316" max="2316" width="14" style="16" bestFit="1" customWidth="1"/>
    <col min="2317" max="2560" width="11.42578125" style="16"/>
    <col min="2561" max="2561" width="22.140625" style="16" customWidth="1"/>
    <col min="2562" max="2562" width="12.140625" style="16" customWidth="1"/>
    <col min="2563" max="2563" width="17" style="16" bestFit="1" customWidth="1"/>
    <col min="2564" max="2564" width="15.140625" style="16" bestFit="1" customWidth="1"/>
    <col min="2565" max="2565" width="14" style="16" bestFit="1" customWidth="1"/>
    <col min="2566" max="2567" width="11.42578125" style="16"/>
    <col min="2568" max="2568" width="16.5703125" style="16" customWidth="1"/>
    <col min="2569" max="2569" width="11.42578125" style="16"/>
    <col min="2570" max="2570" width="17" style="16" bestFit="1" customWidth="1"/>
    <col min="2571" max="2571" width="15.140625" style="16" bestFit="1" customWidth="1"/>
    <col min="2572" max="2572" width="14" style="16" bestFit="1" customWidth="1"/>
    <col min="2573" max="2816" width="11.42578125" style="16"/>
    <col min="2817" max="2817" width="22.140625" style="16" customWidth="1"/>
    <col min="2818" max="2818" width="12.140625" style="16" customWidth="1"/>
    <col min="2819" max="2819" width="17" style="16" bestFit="1" customWidth="1"/>
    <col min="2820" max="2820" width="15.140625" style="16" bestFit="1" customWidth="1"/>
    <col min="2821" max="2821" width="14" style="16" bestFit="1" customWidth="1"/>
    <col min="2822" max="2823" width="11.42578125" style="16"/>
    <col min="2824" max="2824" width="16.5703125" style="16" customWidth="1"/>
    <col min="2825" max="2825" width="11.42578125" style="16"/>
    <col min="2826" max="2826" width="17" style="16" bestFit="1" customWidth="1"/>
    <col min="2827" max="2827" width="15.140625" style="16" bestFit="1" customWidth="1"/>
    <col min="2828" max="2828" width="14" style="16" bestFit="1" customWidth="1"/>
    <col min="2829" max="3072" width="11.42578125" style="16"/>
    <col min="3073" max="3073" width="22.140625" style="16" customWidth="1"/>
    <col min="3074" max="3074" width="12.140625" style="16" customWidth="1"/>
    <col min="3075" max="3075" width="17" style="16" bestFit="1" customWidth="1"/>
    <col min="3076" max="3076" width="15.140625" style="16" bestFit="1" customWidth="1"/>
    <col min="3077" max="3077" width="14" style="16" bestFit="1" customWidth="1"/>
    <col min="3078" max="3079" width="11.42578125" style="16"/>
    <col min="3080" max="3080" width="16.5703125" style="16" customWidth="1"/>
    <col min="3081" max="3081" width="11.42578125" style="16"/>
    <col min="3082" max="3082" width="17" style="16" bestFit="1" customWidth="1"/>
    <col min="3083" max="3083" width="15.140625" style="16" bestFit="1" customWidth="1"/>
    <col min="3084" max="3084" width="14" style="16" bestFit="1" customWidth="1"/>
    <col min="3085" max="3328" width="11.42578125" style="16"/>
    <col min="3329" max="3329" width="22.140625" style="16" customWidth="1"/>
    <col min="3330" max="3330" width="12.140625" style="16" customWidth="1"/>
    <col min="3331" max="3331" width="17" style="16" bestFit="1" customWidth="1"/>
    <col min="3332" max="3332" width="15.140625" style="16" bestFit="1" customWidth="1"/>
    <col min="3333" max="3333" width="14" style="16" bestFit="1" customWidth="1"/>
    <col min="3334" max="3335" width="11.42578125" style="16"/>
    <col min="3336" max="3336" width="16.5703125" style="16" customWidth="1"/>
    <col min="3337" max="3337" width="11.42578125" style="16"/>
    <col min="3338" max="3338" width="17" style="16" bestFit="1" customWidth="1"/>
    <col min="3339" max="3339" width="15.140625" style="16" bestFit="1" customWidth="1"/>
    <col min="3340" max="3340" width="14" style="16" bestFit="1" customWidth="1"/>
    <col min="3341" max="3584" width="11.42578125" style="16"/>
    <col min="3585" max="3585" width="22.140625" style="16" customWidth="1"/>
    <col min="3586" max="3586" width="12.140625" style="16" customWidth="1"/>
    <col min="3587" max="3587" width="17" style="16" bestFit="1" customWidth="1"/>
    <col min="3588" max="3588" width="15.140625" style="16" bestFit="1" customWidth="1"/>
    <col min="3589" max="3589" width="14" style="16" bestFit="1" customWidth="1"/>
    <col min="3590" max="3591" width="11.42578125" style="16"/>
    <col min="3592" max="3592" width="16.5703125" style="16" customWidth="1"/>
    <col min="3593" max="3593" width="11.42578125" style="16"/>
    <col min="3594" max="3594" width="17" style="16" bestFit="1" customWidth="1"/>
    <col min="3595" max="3595" width="15.140625" style="16" bestFit="1" customWidth="1"/>
    <col min="3596" max="3596" width="14" style="16" bestFit="1" customWidth="1"/>
    <col min="3597" max="3840" width="11.42578125" style="16"/>
    <col min="3841" max="3841" width="22.140625" style="16" customWidth="1"/>
    <col min="3842" max="3842" width="12.140625" style="16" customWidth="1"/>
    <col min="3843" max="3843" width="17" style="16" bestFit="1" customWidth="1"/>
    <col min="3844" max="3844" width="15.140625" style="16" bestFit="1" customWidth="1"/>
    <col min="3845" max="3845" width="14" style="16" bestFit="1" customWidth="1"/>
    <col min="3846" max="3847" width="11.42578125" style="16"/>
    <col min="3848" max="3848" width="16.5703125" style="16" customWidth="1"/>
    <col min="3849" max="3849" width="11.42578125" style="16"/>
    <col min="3850" max="3850" width="17" style="16" bestFit="1" customWidth="1"/>
    <col min="3851" max="3851" width="15.140625" style="16" bestFit="1" customWidth="1"/>
    <col min="3852" max="3852" width="14" style="16" bestFit="1" customWidth="1"/>
    <col min="3853" max="4096" width="11.42578125" style="16"/>
    <col min="4097" max="4097" width="22.140625" style="16" customWidth="1"/>
    <col min="4098" max="4098" width="12.140625" style="16" customWidth="1"/>
    <col min="4099" max="4099" width="17" style="16" bestFit="1" customWidth="1"/>
    <col min="4100" max="4100" width="15.140625" style="16" bestFit="1" customWidth="1"/>
    <col min="4101" max="4101" width="14" style="16" bestFit="1" customWidth="1"/>
    <col min="4102" max="4103" width="11.42578125" style="16"/>
    <col min="4104" max="4104" width="16.5703125" style="16" customWidth="1"/>
    <col min="4105" max="4105" width="11.42578125" style="16"/>
    <col min="4106" max="4106" width="17" style="16" bestFit="1" customWidth="1"/>
    <col min="4107" max="4107" width="15.140625" style="16" bestFit="1" customWidth="1"/>
    <col min="4108" max="4108" width="14" style="16" bestFit="1" customWidth="1"/>
    <col min="4109" max="4352" width="11.42578125" style="16"/>
    <col min="4353" max="4353" width="22.140625" style="16" customWidth="1"/>
    <col min="4354" max="4354" width="12.140625" style="16" customWidth="1"/>
    <col min="4355" max="4355" width="17" style="16" bestFit="1" customWidth="1"/>
    <col min="4356" max="4356" width="15.140625" style="16" bestFit="1" customWidth="1"/>
    <col min="4357" max="4357" width="14" style="16" bestFit="1" customWidth="1"/>
    <col min="4358" max="4359" width="11.42578125" style="16"/>
    <col min="4360" max="4360" width="16.5703125" style="16" customWidth="1"/>
    <col min="4361" max="4361" width="11.42578125" style="16"/>
    <col min="4362" max="4362" width="17" style="16" bestFit="1" customWidth="1"/>
    <col min="4363" max="4363" width="15.140625" style="16" bestFit="1" customWidth="1"/>
    <col min="4364" max="4364" width="14" style="16" bestFit="1" customWidth="1"/>
    <col min="4365" max="4608" width="11.42578125" style="16"/>
    <col min="4609" max="4609" width="22.140625" style="16" customWidth="1"/>
    <col min="4610" max="4610" width="12.140625" style="16" customWidth="1"/>
    <col min="4611" max="4611" width="17" style="16" bestFit="1" customWidth="1"/>
    <col min="4612" max="4612" width="15.140625" style="16" bestFit="1" customWidth="1"/>
    <col min="4613" max="4613" width="14" style="16" bestFit="1" customWidth="1"/>
    <col min="4614" max="4615" width="11.42578125" style="16"/>
    <col min="4616" max="4616" width="16.5703125" style="16" customWidth="1"/>
    <col min="4617" max="4617" width="11.42578125" style="16"/>
    <col min="4618" max="4618" width="17" style="16" bestFit="1" customWidth="1"/>
    <col min="4619" max="4619" width="15.140625" style="16" bestFit="1" customWidth="1"/>
    <col min="4620" max="4620" width="14" style="16" bestFit="1" customWidth="1"/>
    <col min="4621" max="4864" width="11.42578125" style="16"/>
    <col min="4865" max="4865" width="22.140625" style="16" customWidth="1"/>
    <col min="4866" max="4866" width="12.140625" style="16" customWidth="1"/>
    <col min="4867" max="4867" width="17" style="16" bestFit="1" customWidth="1"/>
    <col min="4868" max="4868" width="15.140625" style="16" bestFit="1" customWidth="1"/>
    <col min="4869" max="4869" width="14" style="16" bestFit="1" customWidth="1"/>
    <col min="4870" max="4871" width="11.42578125" style="16"/>
    <col min="4872" max="4872" width="16.5703125" style="16" customWidth="1"/>
    <col min="4873" max="4873" width="11.42578125" style="16"/>
    <col min="4874" max="4874" width="17" style="16" bestFit="1" customWidth="1"/>
    <col min="4875" max="4875" width="15.140625" style="16" bestFit="1" customWidth="1"/>
    <col min="4876" max="4876" width="14" style="16" bestFit="1" customWidth="1"/>
    <col min="4877" max="5120" width="11.42578125" style="16"/>
    <col min="5121" max="5121" width="22.140625" style="16" customWidth="1"/>
    <col min="5122" max="5122" width="12.140625" style="16" customWidth="1"/>
    <col min="5123" max="5123" width="17" style="16" bestFit="1" customWidth="1"/>
    <col min="5124" max="5124" width="15.140625" style="16" bestFit="1" customWidth="1"/>
    <col min="5125" max="5125" width="14" style="16" bestFit="1" customWidth="1"/>
    <col min="5126" max="5127" width="11.42578125" style="16"/>
    <col min="5128" max="5128" width="16.5703125" style="16" customWidth="1"/>
    <col min="5129" max="5129" width="11.42578125" style="16"/>
    <col min="5130" max="5130" width="17" style="16" bestFit="1" customWidth="1"/>
    <col min="5131" max="5131" width="15.140625" style="16" bestFit="1" customWidth="1"/>
    <col min="5132" max="5132" width="14" style="16" bestFit="1" customWidth="1"/>
    <col min="5133" max="5376" width="11.42578125" style="16"/>
    <col min="5377" max="5377" width="22.140625" style="16" customWidth="1"/>
    <col min="5378" max="5378" width="12.140625" style="16" customWidth="1"/>
    <col min="5379" max="5379" width="17" style="16" bestFit="1" customWidth="1"/>
    <col min="5380" max="5380" width="15.140625" style="16" bestFit="1" customWidth="1"/>
    <col min="5381" max="5381" width="14" style="16" bestFit="1" customWidth="1"/>
    <col min="5382" max="5383" width="11.42578125" style="16"/>
    <col min="5384" max="5384" width="16.5703125" style="16" customWidth="1"/>
    <col min="5385" max="5385" width="11.42578125" style="16"/>
    <col min="5386" max="5386" width="17" style="16" bestFit="1" customWidth="1"/>
    <col min="5387" max="5387" width="15.140625" style="16" bestFit="1" customWidth="1"/>
    <col min="5388" max="5388" width="14" style="16" bestFit="1" customWidth="1"/>
    <col min="5389" max="5632" width="11.42578125" style="16"/>
    <col min="5633" max="5633" width="22.140625" style="16" customWidth="1"/>
    <col min="5634" max="5634" width="12.140625" style="16" customWidth="1"/>
    <col min="5635" max="5635" width="17" style="16" bestFit="1" customWidth="1"/>
    <col min="5636" max="5636" width="15.140625" style="16" bestFit="1" customWidth="1"/>
    <col min="5637" max="5637" width="14" style="16" bestFit="1" customWidth="1"/>
    <col min="5638" max="5639" width="11.42578125" style="16"/>
    <col min="5640" max="5640" width="16.5703125" style="16" customWidth="1"/>
    <col min="5641" max="5641" width="11.42578125" style="16"/>
    <col min="5642" max="5642" width="17" style="16" bestFit="1" customWidth="1"/>
    <col min="5643" max="5643" width="15.140625" style="16" bestFit="1" customWidth="1"/>
    <col min="5644" max="5644" width="14" style="16" bestFit="1" customWidth="1"/>
    <col min="5645" max="5888" width="11.42578125" style="16"/>
    <col min="5889" max="5889" width="22.140625" style="16" customWidth="1"/>
    <col min="5890" max="5890" width="12.140625" style="16" customWidth="1"/>
    <col min="5891" max="5891" width="17" style="16" bestFit="1" customWidth="1"/>
    <col min="5892" max="5892" width="15.140625" style="16" bestFit="1" customWidth="1"/>
    <col min="5893" max="5893" width="14" style="16" bestFit="1" customWidth="1"/>
    <col min="5894" max="5895" width="11.42578125" style="16"/>
    <col min="5896" max="5896" width="16.5703125" style="16" customWidth="1"/>
    <col min="5897" max="5897" width="11.42578125" style="16"/>
    <col min="5898" max="5898" width="17" style="16" bestFit="1" customWidth="1"/>
    <col min="5899" max="5899" width="15.140625" style="16" bestFit="1" customWidth="1"/>
    <col min="5900" max="5900" width="14" style="16" bestFit="1" customWidth="1"/>
    <col min="5901" max="6144" width="11.42578125" style="16"/>
    <col min="6145" max="6145" width="22.140625" style="16" customWidth="1"/>
    <col min="6146" max="6146" width="12.140625" style="16" customWidth="1"/>
    <col min="6147" max="6147" width="17" style="16" bestFit="1" customWidth="1"/>
    <col min="6148" max="6148" width="15.140625" style="16" bestFit="1" customWidth="1"/>
    <col min="6149" max="6149" width="14" style="16" bestFit="1" customWidth="1"/>
    <col min="6150" max="6151" width="11.42578125" style="16"/>
    <col min="6152" max="6152" width="16.5703125" style="16" customWidth="1"/>
    <col min="6153" max="6153" width="11.42578125" style="16"/>
    <col min="6154" max="6154" width="17" style="16" bestFit="1" customWidth="1"/>
    <col min="6155" max="6155" width="15.140625" style="16" bestFit="1" customWidth="1"/>
    <col min="6156" max="6156" width="14" style="16" bestFit="1" customWidth="1"/>
    <col min="6157" max="6400" width="11.42578125" style="16"/>
    <col min="6401" max="6401" width="22.140625" style="16" customWidth="1"/>
    <col min="6402" max="6402" width="12.140625" style="16" customWidth="1"/>
    <col min="6403" max="6403" width="17" style="16" bestFit="1" customWidth="1"/>
    <col min="6404" max="6404" width="15.140625" style="16" bestFit="1" customWidth="1"/>
    <col min="6405" max="6405" width="14" style="16" bestFit="1" customWidth="1"/>
    <col min="6406" max="6407" width="11.42578125" style="16"/>
    <col min="6408" max="6408" width="16.5703125" style="16" customWidth="1"/>
    <col min="6409" max="6409" width="11.42578125" style="16"/>
    <col min="6410" max="6410" width="17" style="16" bestFit="1" customWidth="1"/>
    <col min="6411" max="6411" width="15.140625" style="16" bestFit="1" customWidth="1"/>
    <col min="6412" max="6412" width="14" style="16" bestFit="1" customWidth="1"/>
    <col min="6413" max="6656" width="11.42578125" style="16"/>
    <col min="6657" max="6657" width="22.140625" style="16" customWidth="1"/>
    <col min="6658" max="6658" width="12.140625" style="16" customWidth="1"/>
    <col min="6659" max="6659" width="17" style="16" bestFit="1" customWidth="1"/>
    <col min="6660" max="6660" width="15.140625" style="16" bestFit="1" customWidth="1"/>
    <col min="6661" max="6661" width="14" style="16" bestFit="1" customWidth="1"/>
    <col min="6662" max="6663" width="11.42578125" style="16"/>
    <col min="6664" max="6664" width="16.5703125" style="16" customWidth="1"/>
    <col min="6665" max="6665" width="11.42578125" style="16"/>
    <col min="6666" max="6666" width="17" style="16" bestFit="1" customWidth="1"/>
    <col min="6667" max="6667" width="15.140625" style="16" bestFit="1" customWidth="1"/>
    <col min="6668" max="6668" width="14" style="16" bestFit="1" customWidth="1"/>
    <col min="6669" max="6912" width="11.42578125" style="16"/>
    <col min="6913" max="6913" width="22.140625" style="16" customWidth="1"/>
    <col min="6914" max="6914" width="12.140625" style="16" customWidth="1"/>
    <col min="6915" max="6915" width="17" style="16" bestFit="1" customWidth="1"/>
    <col min="6916" max="6916" width="15.140625" style="16" bestFit="1" customWidth="1"/>
    <col min="6917" max="6917" width="14" style="16" bestFit="1" customWidth="1"/>
    <col min="6918" max="6919" width="11.42578125" style="16"/>
    <col min="6920" max="6920" width="16.5703125" style="16" customWidth="1"/>
    <col min="6921" max="6921" width="11.42578125" style="16"/>
    <col min="6922" max="6922" width="17" style="16" bestFit="1" customWidth="1"/>
    <col min="6923" max="6923" width="15.140625" style="16" bestFit="1" customWidth="1"/>
    <col min="6924" max="6924" width="14" style="16" bestFit="1" customWidth="1"/>
    <col min="6925" max="7168" width="11.42578125" style="16"/>
    <col min="7169" max="7169" width="22.140625" style="16" customWidth="1"/>
    <col min="7170" max="7170" width="12.140625" style="16" customWidth="1"/>
    <col min="7171" max="7171" width="17" style="16" bestFit="1" customWidth="1"/>
    <col min="7172" max="7172" width="15.140625" style="16" bestFit="1" customWidth="1"/>
    <col min="7173" max="7173" width="14" style="16" bestFit="1" customWidth="1"/>
    <col min="7174" max="7175" width="11.42578125" style="16"/>
    <col min="7176" max="7176" width="16.5703125" style="16" customWidth="1"/>
    <col min="7177" max="7177" width="11.42578125" style="16"/>
    <col min="7178" max="7178" width="17" style="16" bestFit="1" customWidth="1"/>
    <col min="7179" max="7179" width="15.140625" style="16" bestFit="1" customWidth="1"/>
    <col min="7180" max="7180" width="14" style="16" bestFit="1" customWidth="1"/>
    <col min="7181" max="7424" width="11.42578125" style="16"/>
    <col min="7425" max="7425" width="22.140625" style="16" customWidth="1"/>
    <col min="7426" max="7426" width="12.140625" style="16" customWidth="1"/>
    <col min="7427" max="7427" width="17" style="16" bestFit="1" customWidth="1"/>
    <col min="7428" max="7428" width="15.140625" style="16" bestFit="1" customWidth="1"/>
    <col min="7429" max="7429" width="14" style="16" bestFit="1" customWidth="1"/>
    <col min="7430" max="7431" width="11.42578125" style="16"/>
    <col min="7432" max="7432" width="16.5703125" style="16" customWidth="1"/>
    <col min="7433" max="7433" width="11.42578125" style="16"/>
    <col min="7434" max="7434" width="17" style="16" bestFit="1" customWidth="1"/>
    <col min="7435" max="7435" width="15.140625" style="16" bestFit="1" customWidth="1"/>
    <col min="7436" max="7436" width="14" style="16" bestFit="1" customWidth="1"/>
    <col min="7437" max="7680" width="11.42578125" style="16"/>
    <col min="7681" max="7681" width="22.140625" style="16" customWidth="1"/>
    <col min="7682" max="7682" width="12.140625" style="16" customWidth="1"/>
    <col min="7683" max="7683" width="17" style="16" bestFit="1" customWidth="1"/>
    <col min="7684" max="7684" width="15.140625" style="16" bestFit="1" customWidth="1"/>
    <col min="7685" max="7685" width="14" style="16" bestFit="1" customWidth="1"/>
    <col min="7686" max="7687" width="11.42578125" style="16"/>
    <col min="7688" max="7688" width="16.5703125" style="16" customWidth="1"/>
    <col min="7689" max="7689" width="11.42578125" style="16"/>
    <col min="7690" max="7690" width="17" style="16" bestFit="1" customWidth="1"/>
    <col min="7691" max="7691" width="15.140625" style="16" bestFit="1" customWidth="1"/>
    <col min="7692" max="7692" width="14" style="16" bestFit="1" customWidth="1"/>
    <col min="7693" max="7936" width="11.42578125" style="16"/>
    <col min="7937" max="7937" width="22.140625" style="16" customWidth="1"/>
    <col min="7938" max="7938" width="12.140625" style="16" customWidth="1"/>
    <col min="7939" max="7939" width="17" style="16" bestFit="1" customWidth="1"/>
    <col min="7940" max="7940" width="15.140625" style="16" bestFit="1" customWidth="1"/>
    <col min="7941" max="7941" width="14" style="16" bestFit="1" customWidth="1"/>
    <col min="7942" max="7943" width="11.42578125" style="16"/>
    <col min="7944" max="7944" width="16.5703125" style="16" customWidth="1"/>
    <col min="7945" max="7945" width="11.42578125" style="16"/>
    <col min="7946" max="7946" width="17" style="16" bestFit="1" customWidth="1"/>
    <col min="7947" max="7947" width="15.140625" style="16" bestFit="1" customWidth="1"/>
    <col min="7948" max="7948" width="14" style="16" bestFit="1" customWidth="1"/>
    <col min="7949" max="8192" width="11.42578125" style="16"/>
    <col min="8193" max="8193" width="22.140625" style="16" customWidth="1"/>
    <col min="8194" max="8194" width="12.140625" style="16" customWidth="1"/>
    <col min="8195" max="8195" width="17" style="16" bestFit="1" customWidth="1"/>
    <col min="8196" max="8196" width="15.140625" style="16" bestFit="1" customWidth="1"/>
    <col min="8197" max="8197" width="14" style="16" bestFit="1" customWidth="1"/>
    <col min="8198" max="8199" width="11.42578125" style="16"/>
    <col min="8200" max="8200" width="16.5703125" style="16" customWidth="1"/>
    <col min="8201" max="8201" width="11.42578125" style="16"/>
    <col min="8202" max="8202" width="17" style="16" bestFit="1" customWidth="1"/>
    <col min="8203" max="8203" width="15.140625" style="16" bestFit="1" customWidth="1"/>
    <col min="8204" max="8204" width="14" style="16" bestFit="1" customWidth="1"/>
    <col min="8205" max="8448" width="11.42578125" style="16"/>
    <col min="8449" max="8449" width="22.140625" style="16" customWidth="1"/>
    <col min="8450" max="8450" width="12.140625" style="16" customWidth="1"/>
    <col min="8451" max="8451" width="17" style="16" bestFit="1" customWidth="1"/>
    <col min="8452" max="8452" width="15.140625" style="16" bestFit="1" customWidth="1"/>
    <col min="8453" max="8453" width="14" style="16" bestFit="1" customWidth="1"/>
    <col min="8454" max="8455" width="11.42578125" style="16"/>
    <col min="8456" max="8456" width="16.5703125" style="16" customWidth="1"/>
    <col min="8457" max="8457" width="11.42578125" style="16"/>
    <col min="8458" max="8458" width="17" style="16" bestFit="1" customWidth="1"/>
    <col min="8459" max="8459" width="15.140625" style="16" bestFit="1" customWidth="1"/>
    <col min="8460" max="8460" width="14" style="16" bestFit="1" customWidth="1"/>
    <col min="8461" max="8704" width="11.42578125" style="16"/>
    <col min="8705" max="8705" width="22.140625" style="16" customWidth="1"/>
    <col min="8706" max="8706" width="12.140625" style="16" customWidth="1"/>
    <col min="8707" max="8707" width="17" style="16" bestFit="1" customWidth="1"/>
    <col min="8708" max="8708" width="15.140625" style="16" bestFit="1" customWidth="1"/>
    <col min="8709" max="8709" width="14" style="16" bestFit="1" customWidth="1"/>
    <col min="8710" max="8711" width="11.42578125" style="16"/>
    <col min="8712" max="8712" width="16.5703125" style="16" customWidth="1"/>
    <col min="8713" max="8713" width="11.42578125" style="16"/>
    <col min="8714" max="8714" width="17" style="16" bestFit="1" customWidth="1"/>
    <col min="8715" max="8715" width="15.140625" style="16" bestFit="1" customWidth="1"/>
    <col min="8716" max="8716" width="14" style="16" bestFit="1" customWidth="1"/>
    <col min="8717" max="8960" width="11.42578125" style="16"/>
    <col min="8961" max="8961" width="22.140625" style="16" customWidth="1"/>
    <col min="8962" max="8962" width="12.140625" style="16" customWidth="1"/>
    <col min="8963" max="8963" width="17" style="16" bestFit="1" customWidth="1"/>
    <col min="8964" max="8964" width="15.140625" style="16" bestFit="1" customWidth="1"/>
    <col min="8965" max="8965" width="14" style="16" bestFit="1" customWidth="1"/>
    <col min="8966" max="8967" width="11.42578125" style="16"/>
    <col min="8968" max="8968" width="16.5703125" style="16" customWidth="1"/>
    <col min="8969" max="8969" width="11.42578125" style="16"/>
    <col min="8970" max="8970" width="17" style="16" bestFit="1" customWidth="1"/>
    <col min="8971" max="8971" width="15.140625" style="16" bestFit="1" customWidth="1"/>
    <col min="8972" max="8972" width="14" style="16" bestFit="1" customWidth="1"/>
    <col min="8973" max="9216" width="11.42578125" style="16"/>
    <col min="9217" max="9217" width="22.140625" style="16" customWidth="1"/>
    <col min="9218" max="9218" width="12.140625" style="16" customWidth="1"/>
    <col min="9219" max="9219" width="17" style="16" bestFit="1" customWidth="1"/>
    <col min="9220" max="9220" width="15.140625" style="16" bestFit="1" customWidth="1"/>
    <col min="9221" max="9221" width="14" style="16" bestFit="1" customWidth="1"/>
    <col min="9222" max="9223" width="11.42578125" style="16"/>
    <col min="9224" max="9224" width="16.5703125" style="16" customWidth="1"/>
    <col min="9225" max="9225" width="11.42578125" style="16"/>
    <col min="9226" max="9226" width="17" style="16" bestFit="1" customWidth="1"/>
    <col min="9227" max="9227" width="15.140625" style="16" bestFit="1" customWidth="1"/>
    <col min="9228" max="9228" width="14" style="16" bestFit="1" customWidth="1"/>
    <col min="9229" max="9472" width="11.42578125" style="16"/>
    <col min="9473" max="9473" width="22.140625" style="16" customWidth="1"/>
    <col min="9474" max="9474" width="12.140625" style="16" customWidth="1"/>
    <col min="9475" max="9475" width="17" style="16" bestFit="1" customWidth="1"/>
    <col min="9476" max="9476" width="15.140625" style="16" bestFit="1" customWidth="1"/>
    <col min="9477" max="9477" width="14" style="16" bestFit="1" customWidth="1"/>
    <col min="9478" max="9479" width="11.42578125" style="16"/>
    <col min="9480" max="9480" width="16.5703125" style="16" customWidth="1"/>
    <col min="9481" max="9481" width="11.42578125" style="16"/>
    <col min="9482" max="9482" width="17" style="16" bestFit="1" customWidth="1"/>
    <col min="9483" max="9483" width="15.140625" style="16" bestFit="1" customWidth="1"/>
    <col min="9484" max="9484" width="14" style="16" bestFit="1" customWidth="1"/>
    <col min="9485" max="9728" width="11.42578125" style="16"/>
    <col min="9729" max="9729" width="22.140625" style="16" customWidth="1"/>
    <col min="9730" max="9730" width="12.140625" style="16" customWidth="1"/>
    <col min="9731" max="9731" width="17" style="16" bestFit="1" customWidth="1"/>
    <col min="9732" max="9732" width="15.140625" style="16" bestFit="1" customWidth="1"/>
    <col min="9733" max="9733" width="14" style="16" bestFit="1" customWidth="1"/>
    <col min="9734" max="9735" width="11.42578125" style="16"/>
    <col min="9736" max="9736" width="16.5703125" style="16" customWidth="1"/>
    <col min="9737" max="9737" width="11.42578125" style="16"/>
    <col min="9738" max="9738" width="17" style="16" bestFit="1" customWidth="1"/>
    <col min="9739" max="9739" width="15.140625" style="16" bestFit="1" customWidth="1"/>
    <col min="9740" max="9740" width="14" style="16" bestFit="1" customWidth="1"/>
    <col min="9741" max="9984" width="11.42578125" style="16"/>
    <col min="9985" max="9985" width="22.140625" style="16" customWidth="1"/>
    <col min="9986" max="9986" width="12.140625" style="16" customWidth="1"/>
    <col min="9987" max="9987" width="17" style="16" bestFit="1" customWidth="1"/>
    <col min="9988" max="9988" width="15.140625" style="16" bestFit="1" customWidth="1"/>
    <col min="9989" max="9989" width="14" style="16" bestFit="1" customWidth="1"/>
    <col min="9990" max="9991" width="11.42578125" style="16"/>
    <col min="9992" max="9992" width="16.5703125" style="16" customWidth="1"/>
    <col min="9993" max="9993" width="11.42578125" style="16"/>
    <col min="9994" max="9994" width="17" style="16" bestFit="1" customWidth="1"/>
    <col min="9995" max="9995" width="15.140625" style="16" bestFit="1" customWidth="1"/>
    <col min="9996" max="9996" width="14" style="16" bestFit="1" customWidth="1"/>
    <col min="9997" max="10240" width="11.42578125" style="16"/>
    <col min="10241" max="10241" width="22.140625" style="16" customWidth="1"/>
    <col min="10242" max="10242" width="12.140625" style="16" customWidth="1"/>
    <col min="10243" max="10243" width="17" style="16" bestFit="1" customWidth="1"/>
    <col min="10244" max="10244" width="15.140625" style="16" bestFit="1" customWidth="1"/>
    <col min="10245" max="10245" width="14" style="16" bestFit="1" customWidth="1"/>
    <col min="10246" max="10247" width="11.42578125" style="16"/>
    <col min="10248" max="10248" width="16.5703125" style="16" customWidth="1"/>
    <col min="10249" max="10249" width="11.42578125" style="16"/>
    <col min="10250" max="10250" width="17" style="16" bestFit="1" customWidth="1"/>
    <col min="10251" max="10251" width="15.140625" style="16" bestFit="1" customWidth="1"/>
    <col min="10252" max="10252" width="14" style="16" bestFit="1" customWidth="1"/>
    <col min="10253" max="10496" width="11.42578125" style="16"/>
    <col min="10497" max="10497" width="22.140625" style="16" customWidth="1"/>
    <col min="10498" max="10498" width="12.140625" style="16" customWidth="1"/>
    <col min="10499" max="10499" width="17" style="16" bestFit="1" customWidth="1"/>
    <col min="10500" max="10500" width="15.140625" style="16" bestFit="1" customWidth="1"/>
    <col min="10501" max="10501" width="14" style="16" bestFit="1" customWidth="1"/>
    <col min="10502" max="10503" width="11.42578125" style="16"/>
    <col min="10504" max="10504" width="16.5703125" style="16" customWidth="1"/>
    <col min="10505" max="10505" width="11.42578125" style="16"/>
    <col min="10506" max="10506" width="17" style="16" bestFit="1" customWidth="1"/>
    <col min="10507" max="10507" width="15.140625" style="16" bestFit="1" customWidth="1"/>
    <col min="10508" max="10508" width="14" style="16" bestFit="1" customWidth="1"/>
    <col min="10509" max="10752" width="11.42578125" style="16"/>
    <col min="10753" max="10753" width="22.140625" style="16" customWidth="1"/>
    <col min="10754" max="10754" width="12.140625" style="16" customWidth="1"/>
    <col min="10755" max="10755" width="17" style="16" bestFit="1" customWidth="1"/>
    <col min="10756" max="10756" width="15.140625" style="16" bestFit="1" customWidth="1"/>
    <col min="10757" max="10757" width="14" style="16" bestFit="1" customWidth="1"/>
    <col min="10758" max="10759" width="11.42578125" style="16"/>
    <col min="10760" max="10760" width="16.5703125" style="16" customWidth="1"/>
    <col min="10761" max="10761" width="11.42578125" style="16"/>
    <col min="10762" max="10762" width="17" style="16" bestFit="1" customWidth="1"/>
    <col min="10763" max="10763" width="15.140625" style="16" bestFit="1" customWidth="1"/>
    <col min="10764" max="10764" width="14" style="16" bestFit="1" customWidth="1"/>
    <col min="10765" max="11008" width="11.42578125" style="16"/>
    <col min="11009" max="11009" width="22.140625" style="16" customWidth="1"/>
    <col min="11010" max="11010" width="12.140625" style="16" customWidth="1"/>
    <col min="11011" max="11011" width="17" style="16" bestFit="1" customWidth="1"/>
    <col min="11012" max="11012" width="15.140625" style="16" bestFit="1" customWidth="1"/>
    <col min="11013" max="11013" width="14" style="16" bestFit="1" customWidth="1"/>
    <col min="11014" max="11015" width="11.42578125" style="16"/>
    <col min="11016" max="11016" width="16.5703125" style="16" customWidth="1"/>
    <col min="11017" max="11017" width="11.42578125" style="16"/>
    <col min="11018" max="11018" width="17" style="16" bestFit="1" customWidth="1"/>
    <col min="11019" max="11019" width="15.140625" style="16" bestFit="1" customWidth="1"/>
    <col min="11020" max="11020" width="14" style="16" bestFit="1" customWidth="1"/>
    <col min="11021" max="11264" width="11.42578125" style="16"/>
    <col min="11265" max="11265" width="22.140625" style="16" customWidth="1"/>
    <col min="11266" max="11266" width="12.140625" style="16" customWidth="1"/>
    <col min="11267" max="11267" width="17" style="16" bestFit="1" customWidth="1"/>
    <col min="11268" max="11268" width="15.140625" style="16" bestFit="1" customWidth="1"/>
    <col min="11269" max="11269" width="14" style="16" bestFit="1" customWidth="1"/>
    <col min="11270" max="11271" width="11.42578125" style="16"/>
    <col min="11272" max="11272" width="16.5703125" style="16" customWidth="1"/>
    <col min="11273" max="11273" width="11.42578125" style="16"/>
    <col min="11274" max="11274" width="17" style="16" bestFit="1" customWidth="1"/>
    <col min="11275" max="11275" width="15.140625" style="16" bestFit="1" customWidth="1"/>
    <col min="11276" max="11276" width="14" style="16" bestFit="1" customWidth="1"/>
    <col min="11277" max="11520" width="11.42578125" style="16"/>
    <col min="11521" max="11521" width="22.140625" style="16" customWidth="1"/>
    <col min="11522" max="11522" width="12.140625" style="16" customWidth="1"/>
    <col min="11523" max="11523" width="17" style="16" bestFit="1" customWidth="1"/>
    <col min="11524" max="11524" width="15.140625" style="16" bestFit="1" customWidth="1"/>
    <col min="11525" max="11525" width="14" style="16" bestFit="1" customWidth="1"/>
    <col min="11526" max="11527" width="11.42578125" style="16"/>
    <col min="11528" max="11528" width="16.5703125" style="16" customWidth="1"/>
    <col min="11529" max="11529" width="11.42578125" style="16"/>
    <col min="11530" max="11530" width="17" style="16" bestFit="1" customWidth="1"/>
    <col min="11531" max="11531" width="15.140625" style="16" bestFit="1" customWidth="1"/>
    <col min="11532" max="11532" width="14" style="16" bestFit="1" customWidth="1"/>
    <col min="11533" max="11776" width="11.42578125" style="16"/>
    <col min="11777" max="11777" width="22.140625" style="16" customWidth="1"/>
    <col min="11778" max="11778" width="12.140625" style="16" customWidth="1"/>
    <col min="11779" max="11779" width="17" style="16" bestFit="1" customWidth="1"/>
    <col min="11780" max="11780" width="15.140625" style="16" bestFit="1" customWidth="1"/>
    <col min="11781" max="11781" width="14" style="16" bestFit="1" customWidth="1"/>
    <col min="11782" max="11783" width="11.42578125" style="16"/>
    <col min="11784" max="11784" width="16.5703125" style="16" customWidth="1"/>
    <col min="11785" max="11785" width="11.42578125" style="16"/>
    <col min="11786" max="11786" width="17" style="16" bestFit="1" customWidth="1"/>
    <col min="11787" max="11787" width="15.140625" style="16" bestFit="1" customWidth="1"/>
    <col min="11788" max="11788" width="14" style="16" bestFit="1" customWidth="1"/>
    <col min="11789" max="12032" width="11.42578125" style="16"/>
    <col min="12033" max="12033" width="22.140625" style="16" customWidth="1"/>
    <col min="12034" max="12034" width="12.140625" style="16" customWidth="1"/>
    <col min="12035" max="12035" width="17" style="16" bestFit="1" customWidth="1"/>
    <col min="12036" max="12036" width="15.140625" style="16" bestFit="1" customWidth="1"/>
    <col min="12037" max="12037" width="14" style="16" bestFit="1" customWidth="1"/>
    <col min="12038" max="12039" width="11.42578125" style="16"/>
    <col min="12040" max="12040" width="16.5703125" style="16" customWidth="1"/>
    <col min="12041" max="12041" width="11.42578125" style="16"/>
    <col min="12042" max="12042" width="17" style="16" bestFit="1" customWidth="1"/>
    <col min="12043" max="12043" width="15.140625" style="16" bestFit="1" customWidth="1"/>
    <col min="12044" max="12044" width="14" style="16" bestFit="1" customWidth="1"/>
    <col min="12045" max="12288" width="11.42578125" style="16"/>
    <col min="12289" max="12289" width="22.140625" style="16" customWidth="1"/>
    <col min="12290" max="12290" width="12.140625" style="16" customWidth="1"/>
    <col min="12291" max="12291" width="17" style="16" bestFit="1" customWidth="1"/>
    <col min="12292" max="12292" width="15.140625" style="16" bestFit="1" customWidth="1"/>
    <col min="12293" max="12293" width="14" style="16" bestFit="1" customWidth="1"/>
    <col min="12294" max="12295" width="11.42578125" style="16"/>
    <col min="12296" max="12296" width="16.5703125" style="16" customWidth="1"/>
    <col min="12297" max="12297" width="11.42578125" style="16"/>
    <col min="12298" max="12298" width="17" style="16" bestFit="1" customWidth="1"/>
    <col min="12299" max="12299" width="15.140625" style="16" bestFit="1" customWidth="1"/>
    <col min="12300" max="12300" width="14" style="16" bestFit="1" customWidth="1"/>
    <col min="12301" max="12544" width="11.42578125" style="16"/>
    <col min="12545" max="12545" width="22.140625" style="16" customWidth="1"/>
    <col min="12546" max="12546" width="12.140625" style="16" customWidth="1"/>
    <col min="12547" max="12547" width="17" style="16" bestFit="1" customWidth="1"/>
    <col min="12548" max="12548" width="15.140625" style="16" bestFit="1" customWidth="1"/>
    <col min="12549" max="12549" width="14" style="16" bestFit="1" customWidth="1"/>
    <col min="12550" max="12551" width="11.42578125" style="16"/>
    <col min="12552" max="12552" width="16.5703125" style="16" customWidth="1"/>
    <col min="12553" max="12553" width="11.42578125" style="16"/>
    <col min="12554" max="12554" width="17" style="16" bestFit="1" customWidth="1"/>
    <col min="12555" max="12555" width="15.140625" style="16" bestFit="1" customWidth="1"/>
    <col min="12556" max="12556" width="14" style="16" bestFit="1" customWidth="1"/>
    <col min="12557" max="12800" width="11.42578125" style="16"/>
    <col min="12801" max="12801" width="22.140625" style="16" customWidth="1"/>
    <col min="12802" max="12802" width="12.140625" style="16" customWidth="1"/>
    <col min="12803" max="12803" width="17" style="16" bestFit="1" customWidth="1"/>
    <col min="12804" max="12804" width="15.140625" style="16" bestFit="1" customWidth="1"/>
    <col min="12805" max="12805" width="14" style="16" bestFit="1" customWidth="1"/>
    <col min="12806" max="12807" width="11.42578125" style="16"/>
    <col min="12808" max="12808" width="16.5703125" style="16" customWidth="1"/>
    <col min="12809" max="12809" width="11.42578125" style="16"/>
    <col min="12810" max="12810" width="17" style="16" bestFit="1" customWidth="1"/>
    <col min="12811" max="12811" width="15.140625" style="16" bestFit="1" customWidth="1"/>
    <col min="12812" max="12812" width="14" style="16" bestFit="1" customWidth="1"/>
    <col min="12813" max="13056" width="11.42578125" style="16"/>
    <col min="13057" max="13057" width="22.140625" style="16" customWidth="1"/>
    <col min="13058" max="13058" width="12.140625" style="16" customWidth="1"/>
    <col min="13059" max="13059" width="17" style="16" bestFit="1" customWidth="1"/>
    <col min="13060" max="13060" width="15.140625" style="16" bestFit="1" customWidth="1"/>
    <col min="13061" max="13061" width="14" style="16" bestFit="1" customWidth="1"/>
    <col min="13062" max="13063" width="11.42578125" style="16"/>
    <col min="13064" max="13064" width="16.5703125" style="16" customWidth="1"/>
    <col min="13065" max="13065" width="11.42578125" style="16"/>
    <col min="13066" max="13066" width="17" style="16" bestFit="1" customWidth="1"/>
    <col min="13067" max="13067" width="15.140625" style="16" bestFit="1" customWidth="1"/>
    <col min="13068" max="13068" width="14" style="16" bestFit="1" customWidth="1"/>
    <col min="13069" max="13312" width="11.42578125" style="16"/>
    <col min="13313" max="13313" width="22.140625" style="16" customWidth="1"/>
    <col min="13314" max="13314" width="12.140625" style="16" customWidth="1"/>
    <col min="13315" max="13315" width="17" style="16" bestFit="1" customWidth="1"/>
    <col min="13316" max="13316" width="15.140625" style="16" bestFit="1" customWidth="1"/>
    <col min="13317" max="13317" width="14" style="16" bestFit="1" customWidth="1"/>
    <col min="13318" max="13319" width="11.42578125" style="16"/>
    <col min="13320" max="13320" width="16.5703125" style="16" customWidth="1"/>
    <col min="13321" max="13321" width="11.42578125" style="16"/>
    <col min="13322" max="13322" width="17" style="16" bestFit="1" customWidth="1"/>
    <col min="13323" max="13323" width="15.140625" style="16" bestFit="1" customWidth="1"/>
    <col min="13324" max="13324" width="14" style="16" bestFit="1" customWidth="1"/>
    <col min="13325" max="13568" width="11.42578125" style="16"/>
    <col min="13569" max="13569" width="22.140625" style="16" customWidth="1"/>
    <col min="13570" max="13570" width="12.140625" style="16" customWidth="1"/>
    <col min="13571" max="13571" width="17" style="16" bestFit="1" customWidth="1"/>
    <col min="13572" max="13572" width="15.140625" style="16" bestFit="1" customWidth="1"/>
    <col min="13573" max="13573" width="14" style="16" bestFit="1" customWidth="1"/>
    <col min="13574" max="13575" width="11.42578125" style="16"/>
    <col min="13576" max="13576" width="16.5703125" style="16" customWidth="1"/>
    <col min="13577" max="13577" width="11.42578125" style="16"/>
    <col min="13578" max="13578" width="17" style="16" bestFit="1" customWidth="1"/>
    <col min="13579" max="13579" width="15.140625" style="16" bestFit="1" customWidth="1"/>
    <col min="13580" max="13580" width="14" style="16" bestFit="1" customWidth="1"/>
    <col min="13581" max="13824" width="11.42578125" style="16"/>
    <col min="13825" max="13825" width="22.140625" style="16" customWidth="1"/>
    <col min="13826" max="13826" width="12.140625" style="16" customWidth="1"/>
    <col min="13827" max="13827" width="17" style="16" bestFit="1" customWidth="1"/>
    <col min="13828" max="13828" width="15.140625" style="16" bestFit="1" customWidth="1"/>
    <col min="13829" max="13829" width="14" style="16" bestFit="1" customWidth="1"/>
    <col min="13830" max="13831" width="11.42578125" style="16"/>
    <col min="13832" max="13832" width="16.5703125" style="16" customWidth="1"/>
    <col min="13833" max="13833" width="11.42578125" style="16"/>
    <col min="13834" max="13834" width="17" style="16" bestFit="1" customWidth="1"/>
    <col min="13835" max="13835" width="15.140625" style="16" bestFit="1" customWidth="1"/>
    <col min="13836" max="13836" width="14" style="16" bestFit="1" customWidth="1"/>
    <col min="13837" max="14080" width="11.42578125" style="16"/>
    <col min="14081" max="14081" width="22.140625" style="16" customWidth="1"/>
    <col min="14082" max="14082" width="12.140625" style="16" customWidth="1"/>
    <col min="14083" max="14083" width="17" style="16" bestFit="1" customWidth="1"/>
    <col min="14084" max="14084" width="15.140625" style="16" bestFit="1" customWidth="1"/>
    <col min="14085" max="14085" width="14" style="16" bestFit="1" customWidth="1"/>
    <col min="14086" max="14087" width="11.42578125" style="16"/>
    <col min="14088" max="14088" width="16.5703125" style="16" customWidth="1"/>
    <col min="14089" max="14089" width="11.42578125" style="16"/>
    <col min="14090" max="14090" width="17" style="16" bestFit="1" customWidth="1"/>
    <col min="14091" max="14091" width="15.140625" style="16" bestFit="1" customWidth="1"/>
    <col min="14092" max="14092" width="14" style="16" bestFit="1" customWidth="1"/>
    <col min="14093" max="14336" width="11.42578125" style="16"/>
    <col min="14337" max="14337" width="22.140625" style="16" customWidth="1"/>
    <col min="14338" max="14338" width="12.140625" style="16" customWidth="1"/>
    <col min="14339" max="14339" width="17" style="16" bestFit="1" customWidth="1"/>
    <col min="14340" max="14340" width="15.140625" style="16" bestFit="1" customWidth="1"/>
    <col min="14341" max="14341" width="14" style="16" bestFit="1" customWidth="1"/>
    <col min="14342" max="14343" width="11.42578125" style="16"/>
    <col min="14344" max="14344" width="16.5703125" style="16" customWidth="1"/>
    <col min="14345" max="14345" width="11.42578125" style="16"/>
    <col min="14346" max="14346" width="17" style="16" bestFit="1" customWidth="1"/>
    <col min="14347" max="14347" width="15.140625" style="16" bestFit="1" customWidth="1"/>
    <col min="14348" max="14348" width="14" style="16" bestFit="1" customWidth="1"/>
    <col min="14349" max="14592" width="11.42578125" style="16"/>
    <col min="14593" max="14593" width="22.140625" style="16" customWidth="1"/>
    <col min="14594" max="14594" width="12.140625" style="16" customWidth="1"/>
    <col min="14595" max="14595" width="17" style="16" bestFit="1" customWidth="1"/>
    <col min="14596" max="14596" width="15.140625" style="16" bestFit="1" customWidth="1"/>
    <col min="14597" max="14597" width="14" style="16" bestFit="1" customWidth="1"/>
    <col min="14598" max="14599" width="11.42578125" style="16"/>
    <col min="14600" max="14600" width="16.5703125" style="16" customWidth="1"/>
    <col min="14601" max="14601" width="11.42578125" style="16"/>
    <col min="14602" max="14602" width="17" style="16" bestFit="1" customWidth="1"/>
    <col min="14603" max="14603" width="15.140625" style="16" bestFit="1" customWidth="1"/>
    <col min="14604" max="14604" width="14" style="16" bestFit="1" customWidth="1"/>
    <col min="14605" max="14848" width="11.42578125" style="16"/>
    <col min="14849" max="14849" width="22.140625" style="16" customWidth="1"/>
    <col min="14850" max="14850" width="12.140625" style="16" customWidth="1"/>
    <col min="14851" max="14851" width="17" style="16" bestFit="1" customWidth="1"/>
    <col min="14852" max="14852" width="15.140625" style="16" bestFit="1" customWidth="1"/>
    <col min="14853" max="14853" width="14" style="16" bestFit="1" customWidth="1"/>
    <col min="14854" max="14855" width="11.42578125" style="16"/>
    <col min="14856" max="14856" width="16.5703125" style="16" customWidth="1"/>
    <col min="14857" max="14857" width="11.42578125" style="16"/>
    <col min="14858" max="14858" width="17" style="16" bestFit="1" customWidth="1"/>
    <col min="14859" max="14859" width="15.140625" style="16" bestFit="1" customWidth="1"/>
    <col min="14860" max="14860" width="14" style="16" bestFit="1" customWidth="1"/>
    <col min="14861" max="15104" width="11.42578125" style="16"/>
    <col min="15105" max="15105" width="22.140625" style="16" customWidth="1"/>
    <col min="15106" max="15106" width="12.140625" style="16" customWidth="1"/>
    <col min="15107" max="15107" width="17" style="16" bestFit="1" customWidth="1"/>
    <col min="15108" max="15108" width="15.140625" style="16" bestFit="1" customWidth="1"/>
    <col min="15109" max="15109" width="14" style="16" bestFit="1" customWidth="1"/>
    <col min="15110" max="15111" width="11.42578125" style="16"/>
    <col min="15112" max="15112" width="16.5703125" style="16" customWidth="1"/>
    <col min="15113" max="15113" width="11.42578125" style="16"/>
    <col min="15114" max="15114" width="17" style="16" bestFit="1" customWidth="1"/>
    <col min="15115" max="15115" width="15.140625" style="16" bestFit="1" customWidth="1"/>
    <col min="15116" max="15116" width="14" style="16" bestFit="1" customWidth="1"/>
    <col min="15117" max="15360" width="11.42578125" style="16"/>
    <col min="15361" max="15361" width="22.140625" style="16" customWidth="1"/>
    <col min="15362" max="15362" width="12.140625" style="16" customWidth="1"/>
    <col min="15363" max="15363" width="17" style="16" bestFit="1" customWidth="1"/>
    <col min="15364" max="15364" width="15.140625" style="16" bestFit="1" customWidth="1"/>
    <col min="15365" max="15365" width="14" style="16" bestFit="1" customWidth="1"/>
    <col min="15366" max="15367" width="11.42578125" style="16"/>
    <col min="15368" max="15368" width="16.5703125" style="16" customWidth="1"/>
    <col min="15369" max="15369" width="11.42578125" style="16"/>
    <col min="15370" max="15370" width="17" style="16" bestFit="1" customWidth="1"/>
    <col min="15371" max="15371" width="15.140625" style="16" bestFit="1" customWidth="1"/>
    <col min="15372" max="15372" width="14" style="16" bestFit="1" customWidth="1"/>
    <col min="15373" max="15616" width="11.42578125" style="16"/>
    <col min="15617" max="15617" width="22.140625" style="16" customWidth="1"/>
    <col min="15618" max="15618" width="12.140625" style="16" customWidth="1"/>
    <col min="15619" max="15619" width="17" style="16" bestFit="1" customWidth="1"/>
    <col min="15620" max="15620" width="15.140625" style="16" bestFit="1" customWidth="1"/>
    <col min="15621" max="15621" width="14" style="16" bestFit="1" customWidth="1"/>
    <col min="15622" max="15623" width="11.42578125" style="16"/>
    <col min="15624" max="15624" width="16.5703125" style="16" customWidth="1"/>
    <col min="15625" max="15625" width="11.42578125" style="16"/>
    <col min="15626" max="15626" width="17" style="16" bestFit="1" customWidth="1"/>
    <col min="15627" max="15627" width="15.140625" style="16" bestFit="1" customWidth="1"/>
    <col min="15628" max="15628" width="14" style="16" bestFit="1" customWidth="1"/>
    <col min="15629" max="15872" width="11.42578125" style="16"/>
    <col min="15873" max="15873" width="22.140625" style="16" customWidth="1"/>
    <col min="15874" max="15874" width="12.140625" style="16" customWidth="1"/>
    <col min="15875" max="15875" width="17" style="16" bestFit="1" customWidth="1"/>
    <col min="15876" max="15876" width="15.140625" style="16" bestFit="1" customWidth="1"/>
    <col min="15877" max="15877" width="14" style="16" bestFit="1" customWidth="1"/>
    <col min="15878" max="15879" width="11.42578125" style="16"/>
    <col min="15880" max="15880" width="16.5703125" style="16" customWidth="1"/>
    <col min="15881" max="15881" width="11.42578125" style="16"/>
    <col min="15882" max="15882" width="17" style="16" bestFit="1" customWidth="1"/>
    <col min="15883" max="15883" width="15.140625" style="16" bestFit="1" customWidth="1"/>
    <col min="15884" max="15884" width="14" style="16" bestFit="1" customWidth="1"/>
    <col min="15885" max="16128" width="11.42578125" style="16"/>
    <col min="16129" max="16129" width="22.140625" style="16" customWidth="1"/>
    <col min="16130" max="16130" width="12.140625" style="16" customWidth="1"/>
    <col min="16131" max="16131" width="17" style="16" bestFit="1" customWidth="1"/>
    <col min="16132" max="16132" width="15.140625" style="16" bestFit="1" customWidth="1"/>
    <col min="16133" max="16133" width="14" style="16" bestFit="1" customWidth="1"/>
    <col min="16134" max="16135" width="11.42578125" style="16"/>
    <col min="16136" max="16136" width="16.5703125" style="16" customWidth="1"/>
    <col min="16137" max="16137" width="11.42578125" style="16"/>
    <col min="16138" max="16138" width="17" style="16" bestFit="1" customWidth="1"/>
    <col min="16139" max="16139" width="15.140625" style="16" bestFit="1" customWidth="1"/>
    <col min="16140" max="16140" width="14" style="16" bestFit="1" customWidth="1"/>
    <col min="16141" max="16384" width="11.42578125" style="16"/>
  </cols>
  <sheetData>
    <row r="1" spans="1:20" ht="16.5">
      <c r="A1" s="15"/>
      <c r="P1" s="9"/>
      <c r="Q1" s="9"/>
      <c r="R1" s="9"/>
      <c r="S1" s="9"/>
      <c r="T1" s="9"/>
    </row>
    <row r="2" spans="1:20" ht="16.5">
      <c r="A2" s="52" t="s">
        <v>135</v>
      </c>
    </row>
    <row r="3" spans="1:20" s="9" customFormat="1" ht="16.5">
      <c r="A3" s="53" t="s">
        <v>136</v>
      </c>
      <c r="B3" s="54"/>
      <c r="H3" s="54"/>
      <c r="I3" s="54"/>
      <c r="L3" s="55"/>
    </row>
    <row r="4" spans="1:20" s="9" customFormat="1" ht="16.5">
      <c r="A4" s="53" t="s">
        <v>137</v>
      </c>
      <c r="B4" s="54"/>
      <c r="H4" s="54"/>
      <c r="I4" s="54"/>
    </row>
    <row r="7" spans="1:20" ht="15">
      <c r="A7" s="107" t="s">
        <v>21</v>
      </c>
      <c r="B7" s="107"/>
      <c r="C7" s="63" t="s">
        <v>22</v>
      </c>
      <c r="D7" s="63" t="s">
        <v>23</v>
      </c>
      <c r="E7" s="63" t="s">
        <v>24</v>
      </c>
      <c r="F7" s="63" t="s">
        <v>25</v>
      </c>
      <c r="G7" s="56"/>
      <c r="H7" s="107" t="s">
        <v>21</v>
      </c>
      <c r="I7" s="107"/>
      <c r="J7" s="63" t="s">
        <v>22</v>
      </c>
      <c r="K7" s="63" t="s">
        <v>23</v>
      </c>
      <c r="L7" s="63" t="s">
        <v>24</v>
      </c>
      <c r="M7" s="63" t="s">
        <v>25</v>
      </c>
    </row>
    <row r="8" spans="1:20" s="9" customFormat="1" ht="14.25">
      <c r="A8" s="108" t="s">
        <v>26</v>
      </c>
      <c r="B8" s="108"/>
      <c r="C8" s="64" t="s">
        <v>27</v>
      </c>
      <c r="D8" s="64" t="s">
        <v>28</v>
      </c>
      <c r="E8" s="64" t="s">
        <v>29</v>
      </c>
      <c r="F8" s="64" t="s">
        <v>30</v>
      </c>
      <c r="G8" s="65"/>
      <c r="H8" s="108" t="s">
        <v>26</v>
      </c>
      <c r="I8" s="108"/>
      <c r="J8" s="64" t="s">
        <v>27</v>
      </c>
      <c r="K8" s="64" t="s">
        <v>28</v>
      </c>
      <c r="L8" s="64" t="s">
        <v>29</v>
      </c>
      <c r="M8" s="64" t="s">
        <v>30</v>
      </c>
    </row>
    <row r="9" spans="1:20" s="9" customFormat="1" ht="14.25">
      <c r="A9" s="108" t="s">
        <v>31</v>
      </c>
      <c r="B9" s="108"/>
      <c r="C9" s="64" t="s">
        <v>32</v>
      </c>
      <c r="D9" s="64" t="s">
        <v>33</v>
      </c>
      <c r="E9" s="64" t="s">
        <v>34</v>
      </c>
      <c r="F9" s="64" t="s">
        <v>35</v>
      </c>
      <c r="G9" s="65"/>
      <c r="H9" s="108" t="s">
        <v>31</v>
      </c>
      <c r="I9" s="108"/>
      <c r="J9" s="64" t="s">
        <v>32</v>
      </c>
      <c r="K9" s="64" t="s">
        <v>33</v>
      </c>
      <c r="L9" s="64" t="s">
        <v>34</v>
      </c>
      <c r="M9" s="64" t="s">
        <v>35</v>
      </c>
    </row>
    <row r="10" spans="1:20" ht="15">
      <c r="A10" s="109" t="s">
        <v>36</v>
      </c>
      <c r="B10" s="109"/>
      <c r="C10" s="58">
        <v>62</v>
      </c>
      <c r="D10" s="58">
        <v>652</v>
      </c>
      <c r="E10" s="58">
        <v>1979</v>
      </c>
      <c r="F10" s="59">
        <f>E10/E$14</f>
        <v>0.65551507121563435</v>
      </c>
      <c r="G10" s="56"/>
      <c r="H10" s="109" t="s">
        <v>37</v>
      </c>
      <c r="I10" s="109"/>
      <c r="J10" s="58"/>
      <c r="K10" s="58"/>
      <c r="L10" s="58"/>
      <c r="M10" s="59"/>
    </row>
    <row r="11" spans="1:20" ht="15">
      <c r="A11" s="109" t="s">
        <v>38</v>
      </c>
      <c r="B11" s="109"/>
      <c r="C11" s="58">
        <v>8</v>
      </c>
      <c r="D11" s="58">
        <v>293</v>
      </c>
      <c r="E11" s="58">
        <v>794</v>
      </c>
      <c r="F11" s="59">
        <f t="shared" ref="F11:F12" si="0">E11/E$14</f>
        <v>0.26300099370652535</v>
      </c>
      <c r="G11" s="56"/>
      <c r="H11" s="109" t="s">
        <v>39</v>
      </c>
      <c r="I11" s="109"/>
      <c r="J11" s="58"/>
      <c r="K11" s="58"/>
      <c r="L11" s="58"/>
      <c r="M11" s="59"/>
    </row>
    <row r="12" spans="1:20" ht="15">
      <c r="A12" s="109" t="s">
        <v>40</v>
      </c>
      <c r="B12" s="109"/>
      <c r="C12" s="58">
        <v>5</v>
      </c>
      <c r="D12" s="58">
        <v>104</v>
      </c>
      <c r="E12" s="58">
        <v>246</v>
      </c>
      <c r="F12" s="59">
        <f t="shared" si="0"/>
        <v>8.1483935077840339E-2</v>
      </c>
      <c r="G12" s="56"/>
      <c r="H12" s="109" t="s">
        <v>41</v>
      </c>
      <c r="I12" s="109"/>
      <c r="J12" s="58"/>
      <c r="K12" s="58"/>
      <c r="L12" s="58"/>
      <c r="M12" s="59"/>
    </row>
    <row r="13" spans="1:20" ht="15">
      <c r="A13" s="109" t="s">
        <v>44</v>
      </c>
      <c r="B13" s="109"/>
      <c r="C13" s="58"/>
      <c r="D13" s="58"/>
      <c r="E13" s="58"/>
      <c r="F13" s="59"/>
      <c r="G13" s="56"/>
      <c r="H13" s="109" t="s">
        <v>45</v>
      </c>
      <c r="I13" s="109"/>
      <c r="J13" s="58"/>
      <c r="K13" s="58"/>
      <c r="L13" s="58"/>
      <c r="M13" s="59"/>
    </row>
    <row r="14" spans="1:20" ht="15">
      <c r="A14" s="110" t="s">
        <v>48</v>
      </c>
      <c r="B14" s="110"/>
      <c r="C14" s="66">
        <f>SUM(C10:C13)</f>
        <v>75</v>
      </c>
      <c r="D14" s="66">
        <f>SUM(D10:D13)</f>
        <v>1049</v>
      </c>
      <c r="E14" s="66">
        <f>SUM(E10:E13)</f>
        <v>3019</v>
      </c>
      <c r="F14" s="67">
        <v>1</v>
      </c>
      <c r="G14" s="56"/>
      <c r="H14" s="109" t="s">
        <v>49</v>
      </c>
      <c r="I14" s="109"/>
      <c r="J14" s="58"/>
      <c r="K14" s="58"/>
      <c r="L14" s="58"/>
      <c r="M14" s="59"/>
    </row>
    <row r="15" spans="1:20" ht="15">
      <c r="A15" s="109"/>
      <c r="B15" s="109"/>
      <c r="C15" s="58"/>
      <c r="D15" s="58"/>
      <c r="E15" s="58"/>
      <c r="F15" s="59"/>
      <c r="G15" s="56"/>
      <c r="H15" s="110" t="s">
        <v>52</v>
      </c>
      <c r="I15" s="110"/>
      <c r="J15" s="66"/>
      <c r="K15" s="66"/>
      <c r="L15" s="66"/>
      <c r="M15" s="67"/>
    </row>
    <row r="16" spans="1:20" ht="15">
      <c r="A16" s="110" t="s">
        <v>51</v>
      </c>
      <c r="B16" s="110"/>
      <c r="C16" s="66"/>
      <c r="D16" s="66"/>
      <c r="E16" s="66"/>
      <c r="F16" s="67"/>
      <c r="G16" s="56"/>
      <c r="H16" s="109"/>
      <c r="I16" s="109"/>
      <c r="J16" s="58"/>
      <c r="K16" s="58"/>
      <c r="L16" s="58"/>
      <c r="M16" s="59"/>
    </row>
    <row r="17" spans="1:13" ht="15">
      <c r="A17" s="110" t="s">
        <v>53</v>
      </c>
      <c r="B17" s="110"/>
      <c r="C17" s="66"/>
      <c r="D17" s="66"/>
      <c r="E17" s="66"/>
      <c r="F17" s="67"/>
      <c r="G17" s="56"/>
      <c r="H17" s="109" t="s">
        <v>55</v>
      </c>
      <c r="I17" s="109"/>
      <c r="J17" s="58"/>
      <c r="K17" s="58"/>
      <c r="L17" s="58"/>
      <c r="M17" s="59"/>
    </row>
    <row r="18" spans="1:13" ht="15">
      <c r="A18" s="110" t="s">
        <v>54</v>
      </c>
      <c r="B18" s="110"/>
      <c r="C18" s="66"/>
      <c r="D18" s="66"/>
      <c r="E18" s="66"/>
      <c r="F18" s="67"/>
      <c r="G18" s="56"/>
      <c r="H18" s="109" t="s">
        <v>57</v>
      </c>
      <c r="I18" s="109"/>
      <c r="J18" s="58"/>
      <c r="K18" s="58"/>
      <c r="L18" s="58"/>
      <c r="M18" s="59"/>
    </row>
    <row r="19" spans="1:13" ht="15">
      <c r="A19" s="111"/>
      <c r="B19" s="111"/>
      <c r="C19" s="58"/>
      <c r="D19" s="58"/>
      <c r="E19" s="58"/>
      <c r="F19" s="59"/>
      <c r="G19" s="56"/>
      <c r="H19" s="109" t="s">
        <v>58</v>
      </c>
      <c r="I19" s="109"/>
      <c r="J19" s="58"/>
      <c r="K19" s="58"/>
      <c r="L19" s="58"/>
      <c r="M19" s="59"/>
    </row>
    <row r="20" spans="1:13" ht="15">
      <c r="A20" s="109" t="s">
        <v>112</v>
      </c>
      <c r="B20" s="109"/>
      <c r="C20" s="58"/>
      <c r="D20" s="51"/>
      <c r="E20" s="58"/>
      <c r="F20" s="59"/>
      <c r="G20" s="56"/>
      <c r="H20" s="109" t="s">
        <v>60</v>
      </c>
      <c r="I20" s="109"/>
      <c r="J20" s="58"/>
      <c r="K20" s="58"/>
      <c r="L20" s="58"/>
      <c r="M20" s="59"/>
    </row>
    <row r="21" spans="1:13" ht="15">
      <c r="A21" s="109" t="s">
        <v>113</v>
      </c>
      <c r="B21" s="109"/>
      <c r="C21" s="58"/>
      <c r="D21" s="51"/>
      <c r="E21" s="58"/>
      <c r="F21" s="59"/>
      <c r="G21" s="56"/>
      <c r="H21" s="109" t="s">
        <v>62</v>
      </c>
      <c r="I21" s="109"/>
      <c r="J21" s="58"/>
      <c r="K21" s="58"/>
      <c r="L21" s="58"/>
      <c r="M21" s="59"/>
    </row>
    <row r="22" spans="1:13" ht="15">
      <c r="A22" s="109" t="s">
        <v>114</v>
      </c>
      <c r="B22" s="109"/>
      <c r="C22" s="58"/>
      <c r="D22" s="58"/>
      <c r="E22" s="58"/>
      <c r="F22" s="59"/>
      <c r="G22" s="56"/>
      <c r="H22" s="110" t="s">
        <v>64</v>
      </c>
      <c r="I22" s="110"/>
      <c r="J22" s="66"/>
      <c r="K22" s="66"/>
      <c r="L22" s="66"/>
      <c r="M22" s="68"/>
    </row>
    <row r="23" spans="1:13" ht="15">
      <c r="A23" s="109" t="s">
        <v>115</v>
      </c>
      <c r="B23" s="109"/>
      <c r="C23" s="58"/>
      <c r="D23" s="58"/>
      <c r="E23" s="58"/>
      <c r="F23" s="69"/>
      <c r="G23" s="56"/>
      <c r="H23" s="109"/>
      <c r="I23" s="109"/>
      <c r="J23" s="58"/>
      <c r="K23" s="58"/>
      <c r="L23" s="58"/>
      <c r="M23" s="59"/>
    </row>
    <row r="24" spans="1:13" ht="15">
      <c r="A24" s="110" t="s">
        <v>116</v>
      </c>
      <c r="B24" s="110"/>
      <c r="C24" s="66"/>
      <c r="D24" s="66"/>
      <c r="E24" s="66"/>
      <c r="F24" s="67"/>
      <c r="G24" s="56"/>
      <c r="H24" s="109" t="s">
        <v>66</v>
      </c>
      <c r="I24" s="109"/>
      <c r="J24" s="58">
        <v>12</v>
      </c>
      <c r="K24" s="58">
        <v>370</v>
      </c>
      <c r="L24" s="58">
        <v>677</v>
      </c>
      <c r="M24" s="59">
        <f>L24/L$27</f>
        <v>0.56652719665271967</v>
      </c>
    </row>
    <row r="25" spans="1:13" ht="15">
      <c r="A25" s="109"/>
      <c r="B25" s="109"/>
      <c r="C25" s="58"/>
      <c r="D25" s="58"/>
      <c r="E25" s="58"/>
      <c r="F25" s="59"/>
      <c r="G25" s="56"/>
      <c r="H25" s="109" t="s">
        <v>68</v>
      </c>
      <c r="I25" s="109"/>
      <c r="J25" s="58">
        <v>4</v>
      </c>
      <c r="K25" s="58">
        <v>189</v>
      </c>
      <c r="L25" s="58">
        <v>348</v>
      </c>
      <c r="M25" s="59">
        <f t="shared" ref="M25:M26" si="1">L25/L$27</f>
        <v>0.29121338912133893</v>
      </c>
    </row>
    <row r="26" spans="1:13" ht="15">
      <c r="A26" s="109" t="s">
        <v>59</v>
      </c>
      <c r="B26" s="109"/>
      <c r="C26" s="58"/>
      <c r="D26" s="58"/>
      <c r="E26" s="58"/>
      <c r="F26" s="59"/>
      <c r="G26" s="56"/>
      <c r="H26" s="109" t="s">
        <v>70</v>
      </c>
      <c r="I26" s="109"/>
      <c r="J26" s="58">
        <v>2</v>
      </c>
      <c r="K26" s="58">
        <v>86</v>
      </c>
      <c r="L26" s="58">
        <v>170</v>
      </c>
      <c r="M26" s="59">
        <f t="shared" si="1"/>
        <v>0.14225941422594143</v>
      </c>
    </row>
    <row r="27" spans="1:13" ht="15">
      <c r="A27" s="109" t="s">
        <v>61</v>
      </c>
      <c r="B27" s="109"/>
      <c r="C27" s="58"/>
      <c r="D27" s="58"/>
      <c r="E27" s="58"/>
      <c r="F27" s="59"/>
      <c r="G27" s="56"/>
      <c r="H27" s="110" t="s">
        <v>72</v>
      </c>
      <c r="I27" s="110"/>
      <c r="J27" s="66">
        <f>SUM(J24:J26)</f>
        <v>18</v>
      </c>
      <c r="K27" s="66">
        <f>SUM(K24:K26)</f>
        <v>645</v>
      </c>
      <c r="L27" s="66">
        <f>SUM(L24:L26)</f>
        <v>1195</v>
      </c>
      <c r="M27" s="67">
        <v>1</v>
      </c>
    </row>
    <row r="28" spans="1:13" ht="15">
      <c r="A28" s="109" t="s">
        <v>63</v>
      </c>
      <c r="B28" s="109"/>
      <c r="C28" s="58">
        <v>2</v>
      </c>
      <c r="D28" s="58">
        <v>419</v>
      </c>
      <c r="E28" s="58">
        <v>1193</v>
      </c>
      <c r="F28" s="69">
        <v>1</v>
      </c>
      <c r="G28" s="56"/>
      <c r="H28" s="109"/>
      <c r="I28" s="109"/>
      <c r="J28" s="58"/>
      <c r="K28" s="58"/>
      <c r="L28" s="58"/>
      <c r="M28" s="59"/>
    </row>
    <row r="29" spans="1:13" ht="15">
      <c r="A29" s="110" t="s">
        <v>65</v>
      </c>
      <c r="B29" s="110"/>
      <c r="C29" s="66">
        <v>2</v>
      </c>
      <c r="D29" s="66">
        <v>419</v>
      </c>
      <c r="E29" s="66">
        <v>1193</v>
      </c>
      <c r="F29" s="67">
        <v>1</v>
      </c>
      <c r="G29" s="56"/>
      <c r="H29" s="109" t="s">
        <v>74</v>
      </c>
      <c r="I29" s="109"/>
      <c r="J29" s="58">
        <v>6</v>
      </c>
      <c r="K29" s="58">
        <v>145</v>
      </c>
      <c r="L29" s="58">
        <v>276</v>
      </c>
      <c r="M29" s="59">
        <f>L29/L$32</f>
        <v>0.63594470046082952</v>
      </c>
    </row>
    <row r="30" spans="1:13" ht="15">
      <c r="A30" s="109"/>
      <c r="B30" s="109"/>
      <c r="C30" s="58"/>
      <c r="D30" s="58"/>
      <c r="E30" s="58"/>
      <c r="F30" s="59"/>
      <c r="G30" s="56"/>
      <c r="H30" s="109" t="s">
        <v>76</v>
      </c>
      <c r="I30" s="109"/>
      <c r="J30" s="58">
        <v>2</v>
      </c>
      <c r="K30" s="58">
        <v>25</v>
      </c>
      <c r="L30" s="58">
        <v>45</v>
      </c>
      <c r="M30" s="59">
        <f t="shared" ref="M30:M31" si="2">L30/L$32</f>
        <v>0.10368663594470046</v>
      </c>
    </row>
    <row r="31" spans="1:13" ht="15">
      <c r="A31" s="109" t="s">
        <v>67</v>
      </c>
      <c r="B31" s="109"/>
      <c r="C31" s="58">
        <v>3</v>
      </c>
      <c r="D31" s="58">
        <v>133</v>
      </c>
      <c r="E31" s="58">
        <v>254</v>
      </c>
      <c r="F31" s="59">
        <f>E31/E$37</f>
        <v>0.14941176470588236</v>
      </c>
      <c r="G31" s="56"/>
      <c r="H31" s="109" t="s">
        <v>78</v>
      </c>
      <c r="I31" s="109"/>
      <c r="J31" s="58">
        <v>2</v>
      </c>
      <c r="K31" s="58">
        <v>59</v>
      </c>
      <c r="L31" s="58">
        <v>113</v>
      </c>
      <c r="M31" s="59">
        <f t="shared" si="2"/>
        <v>0.26036866359447003</v>
      </c>
    </row>
    <row r="32" spans="1:13" ht="15">
      <c r="A32" s="109" t="s">
        <v>69</v>
      </c>
      <c r="B32" s="109"/>
      <c r="C32" s="58"/>
      <c r="D32" s="58"/>
      <c r="E32" s="58"/>
      <c r="F32" s="59"/>
      <c r="G32" s="56"/>
      <c r="H32" s="110" t="s">
        <v>80</v>
      </c>
      <c r="I32" s="110"/>
      <c r="J32" s="66">
        <f>SUM(J29:J31)</f>
        <v>10</v>
      </c>
      <c r="K32" s="66">
        <f>SUM(K29:K31)</f>
        <v>229</v>
      </c>
      <c r="L32" s="66">
        <f>SUM(L29:L31)</f>
        <v>434</v>
      </c>
      <c r="M32" s="67">
        <v>1</v>
      </c>
    </row>
    <row r="33" spans="1:13" ht="15">
      <c r="A33" s="109" t="s">
        <v>71</v>
      </c>
      <c r="B33" s="109"/>
      <c r="C33" s="58">
        <v>1</v>
      </c>
      <c r="D33" s="58">
        <v>116</v>
      </c>
      <c r="E33" s="58">
        <v>214</v>
      </c>
      <c r="F33" s="59">
        <f t="shared" ref="F33:F34" si="3">E33/E$37</f>
        <v>0.12588235294117647</v>
      </c>
      <c r="G33" s="56"/>
      <c r="H33" s="109"/>
      <c r="I33" s="109"/>
    </row>
    <row r="34" spans="1:13" ht="15">
      <c r="A34" s="109" t="s">
        <v>226</v>
      </c>
      <c r="B34" s="109"/>
      <c r="C34" s="58">
        <v>2</v>
      </c>
      <c r="D34" s="58">
        <v>661</v>
      </c>
      <c r="E34" s="58">
        <v>1232</v>
      </c>
      <c r="F34" s="59">
        <f t="shared" si="3"/>
        <v>0.7247058823529412</v>
      </c>
      <c r="G34" s="56"/>
      <c r="H34" s="110" t="s">
        <v>82</v>
      </c>
      <c r="I34" s="110"/>
      <c r="J34" s="66">
        <v>8</v>
      </c>
      <c r="K34" s="66">
        <v>73</v>
      </c>
      <c r="L34" s="66">
        <v>125</v>
      </c>
      <c r="M34" s="67">
        <v>1</v>
      </c>
    </row>
    <row r="35" spans="1:13" ht="15">
      <c r="A35" s="109" t="s">
        <v>77</v>
      </c>
      <c r="B35" s="109"/>
      <c r="C35" s="58"/>
      <c r="D35" s="58"/>
      <c r="E35" s="58"/>
      <c r="F35" s="59"/>
      <c r="G35" s="56"/>
      <c r="H35" s="110" t="s">
        <v>84</v>
      </c>
      <c r="I35" s="110"/>
      <c r="J35" s="66">
        <v>1</v>
      </c>
      <c r="K35" s="66">
        <v>15</v>
      </c>
      <c r="L35" s="66">
        <v>30</v>
      </c>
      <c r="M35" s="67">
        <v>1</v>
      </c>
    </row>
    <row r="36" spans="1:13" ht="15">
      <c r="A36" s="109"/>
      <c r="B36" s="112"/>
      <c r="C36" s="58"/>
      <c r="D36" s="58"/>
      <c r="E36" s="58"/>
      <c r="F36" s="59"/>
      <c r="G36" s="56"/>
      <c r="H36" s="110" t="s">
        <v>86</v>
      </c>
      <c r="I36" s="110"/>
      <c r="J36" s="66"/>
      <c r="K36" s="66"/>
      <c r="L36" s="66"/>
      <c r="M36" s="67"/>
    </row>
    <row r="37" spans="1:13" ht="15">
      <c r="A37" s="110" t="s">
        <v>81</v>
      </c>
      <c r="B37" s="110"/>
      <c r="C37" s="66">
        <f>SUM(C31:C36)</f>
        <v>6</v>
      </c>
      <c r="D37" s="66">
        <f>SUM(D31:D36)</f>
        <v>910</v>
      </c>
      <c r="E37" s="66">
        <f>SUM(E31:E36)</f>
        <v>1700</v>
      </c>
      <c r="F37" s="67">
        <v>1</v>
      </c>
      <c r="G37" s="56"/>
      <c r="H37" s="109"/>
      <c r="I37" s="109"/>
      <c r="J37" s="58"/>
      <c r="K37" s="58"/>
      <c r="L37" s="58"/>
      <c r="M37" s="58"/>
    </row>
    <row r="38" spans="1:13" ht="15">
      <c r="A38" s="109"/>
      <c r="B38" s="109"/>
      <c r="C38" s="58"/>
      <c r="D38" s="58"/>
      <c r="E38" s="58"/>
      <c r="F38" s="59"/>
      <c r="G38" s="56"/>
      <c r="H38" s="109"/>
      <c r="I38" s="109"/>
      <c r="J38" s="58"/>
      <c r="K38" s="58"/>
      <c r="L38" s="58"/>
      <c r="M38" s="58"/>
    </row>
    <row r="39" spans="1:13" ht="15">
      <c r="A39" s="109" t="s">
        <v>83</v>
      </c>
      <c r="B39" s="109"/>
      <c r="C39" s="58"/>
      <c r="D39" s="58"/>
      <c r="E39" s="58"/>
      <c r="F39" s="59"/>
      <c r="G39" s="56"/>
      <c r="H39" s="111"/>
      <c r="I39" s="111"/>
      <c r="J39" s="58"/>
      <c r="K39" s="58"/>
      <c r="L39" s="58"/>
      <c r="M39" s="58"/>
    </row>
    <row r="40" spans="1:13" ht="15">
      <c r="A40" s="109" t="s">
        <v>85</v>
      </c>
      <c r="B40" s="109"/>
      <c r="C40" s="58"/>
      <c r="D40" s="58"/>
      <c r="E40" s="58"/>
      <c r="F40" s="59"/>
      <c r="G40" s="56"/>
      <c r="H40" s="57"/>
      <c r="I40" s="57"/>
      <c r="J40" s="58"/>
      <c r="K40" s="58"/>
      <c r="L40" s="58"/>
      <c r="M40" s="60"/>
    </row>
    <row r="41" spans="1:13" ht="15">
      <c r="A41" s="109" t="s">
        <v>87</v>
      </c>
      <c r="B41" s="109"/>
      <c r="C41" s="58"/>
      <c r="D41" s="58"/>
      <c r="E41" s="58"/>
      <c r="F41" s="59"/>
      <c r="G41" s="56"/>
      <c r="H41" s="110" t="s">
        <v>90</v>
      </c>
      <c r="I41" s="110"/>
      <c r="J41" s="66">
        <f>C14+C29+C37+J27+J32+J34+J35</f>
        <v>120</v>
      </c>
      <c r="K41" s="66">
        <f>D14+D29+D37+K27+K32+K34+K35</f>
        <v>3340</v>
      </c>
      <c r="L41" s="66">
        <f>E14+E29+E37+L27+L32+L34+L35</f>
        <v>7696</v>
      </c>
      <c r="M41" s="58"/>
    </row>
    <row r="42" spans="1:13" ht="15">
      <c r="A42" s="109" t="s">
        <v>227</v>
      </c>
      <c r="B42" s="109"/>
      <c r="C42" s="58"/>
      <c r="D42" s="58"/>
      <c r="E42" s="58"/>
      <c r="F42" s="59"/>
      <c r="G42" s="56"/>
      <c r="H42" s="57"/>
      <c r="I42" s="57"/>
      <c r="J42" s="58"/>
      <c r="K42" s="58"/>
      <c r="L42" s="58"/>
      <c r="M42" s="60"/>
    </row>
    <row r="43" spans="1:13" ht="15">
      <c r="A43" s="109" t="s">
        <v>88</v>
      </c>
      <c r="B43" s="109"/>
      <c r="C43" s="58"/>
      <c r="D43" s="58"/>
      <c r="E43" s="58"/>
      <c r="F43" s="59"/>
      <c r="G43" s="56"/>
      <c r="H43" s="57"/>
      <c r="I43" s="57"/>
      <c r="J43" s="60"/>
      <c r="K43" s="60"/>
      <c r="L43" s="60"/>
      <c r="M43" s="60"/>
    </row>
    <row r="44" spans="1:13" ht="15">
      <c r="A44" s="110" t="s">
        <v>89</v>
      </c>
      <c r="B44" s="110"/>
      <c r="C44" s="66"/>
      <c r="D44" s="66"/>
      <c r="E44" s="66"/>
      <c r="F44" s="67"/>
      <c r="G44" s="56"/>
      <c r="H44" s="57"/>
      <c r="I44" s="57"/>
      <c r="J44" s="60"/>
      <c r="K44" s="60"/>
      <c r="L44" s="60"/>
      <c r="M44" s="60"/>
    </row>
  </sheetData>
  <sheetProtection algorithmName="SHA-512" hashValue="brlTdsojcMEIIx50YuokVgHEE82N/5U989e9XJ+NGqivoYZoVJBKFnAbTc8f6ATE29woybDHk/xcOUmBgGwP1w==" saltValue="BPAa9uWYUS7ReGRvxbiDyA==" spinCount="100000" sheet="1" objects="1" scenarios="1"/>
  <mergeCells count="72">
    <mergeCell ref="A44:B44"/>
    <mergeCell ref="A37:B37"/>
    <mergeCell ref="H37:I37"/>
    <mergeCell ref="A38:B38"/>
    <mergeCell ref="H38:I38"/>
    <mergeCell ref="A39:B39"/>
    <mergeCell ref="H39:I39"/>
    <mergeCell ref="A40:B40"/>
    <mergeCell ref="A41:B41"/>
    <mergeCell ref="H41:I41"/>
    <mergeCell ref="A42:B42"/>
    <mergeCell ref="A43:B43"/>
    <mergeCell ref="A34:B34"/>
    <mergeCell ref="H34:I34"/>
    <mergeCell ref="A35:B35"/>
    <mergeCell ref="H35:I35"/>
    <mergeCell ref="A36:B36"/>
    <mergeCell ref="H36:I36"/>
    <mergeCell ref="A31:B31"/>
    <mergeCell ref="H31:I31"/>
    <mergeCell ref="A32:B32"/>
    <mergeCell ref="H32:I32"/>
    <mergeCell ref="A33:B33"/>
    <mergeCell ref="H33:I33"/>
    <mergeCell ref="A28:B28"/>
    <mergeCell ref="H28:I28"/>
    <mergeCell ref="A29:B29"/>
    <mergeCell ref="H29:I29"/>
    <mergeCell ref="A30:B30"/>
    <mergeCell ref="H30:I30"/>
    <mergeCell ref="A25:B25"/>
    <mergeCell ref="H25:I25"/>
    <mergeCell ref="A26:B26"/>
    <mergeCell ref="H26:I26"/>
    <mergeCell ref="A27:B27"/>
    <mergeCell ref="H27:I27"/>
    <mergeCell ref="A22:B22"/>
    <mergeCell ref="H22:I22"/>
    <mergeCell ref="A23:B23"/>
    <mergeCell ref="H23:I23"/>
    <mergeCell ref="A24:B24"/>
    <mergeCell ref="H24:I24"/>
    <mergeCell ref="A19:B19"/>
    <mergeCell ref="H19:I19"/>
    <mergeCell ref="A20:B20"/>
    <mergeCell ref="H20:I20"/>
    <mergeCell ref="A21:B21"/>
    <mergeCell ref="H21:I21"/>
    <mergeCell ref="A16:B16"/>
    <mergeCell ref="H16:I16"/>
    <mergeCell ref="A17:B17"/>
    <mergeCell ref="H17:I17"/>
    <mergeCell ref="A18:B18"/>
    <mergeCell ref="H18:I18"/>
    <mergeCell ref="A13:B13"/>
    <mergeCell ref="H13:I13"/>
    <mergeCell ref="A14:B14"/>
    <mergeCell ref="H14:I14"/>
    <mergeCell ref="A15:B15"/>
    <mergeCell ref="H15:I15"/>
    <mergeCell ref="A10:B10"/>
    <mergeCell ref="H10:I10"/>
    <mergeCell ref="A11:B11"/>
    <mergeCell ref="H11:I11"/>
    <mergeCell ref="A12:B12"/>
    <mergeCell ref="H12:I12"/>
    <mergeCell ref="A7:B7"/>
    <mergeCell ref="H7:I7"/>
    <mergeCell ref="A8:B8"/>
    <mergeCell ref="H8:I8"/>
    <mergeCell ref="A9:B9"/>
    <mergeCell ref="H9:I9"/>
  </mergeCells>
  <pageMargins left="0.7" right="0.7" top="0.75" bottom="0.75" header="0.3" footer="0.3"/>
  <pageSetup paperSize="9" scale="70"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6982DB4E2771447817F3727A6E2AB53" ma:contentTypeVersion="0" ma:contentTypeDescription="Crear nuevo documento." ma:contentTypeScope="" ma:versionID="d6cac393eb1ec33e1b29e9776c4e451b">
  <xsd:schema xmlns:xsd="http://www.w3.org/2001/XMLSchema" xmlns:xs="http://www.w3.org/2001/XMLSchema" xmlns:p="http://schemas.microsoft.com/office/2006/metadata/properties" targetNamespace="http://schemas.microsoft.com/office/2006/metadata/properties" ma:root="true" ma:fieldsID="3f6edc329ff236629c56e3b879b320d0">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C7DF4DE-2868-46C7-A381-425C93BD15EF}">
  <ds:schemaRefs>
    <ds:schemaRef ds:uri="http://schemas.microsoft.com/sharepoint/v3/contenttype/forms"/>
  </ds:schemaRefs>
</ds:datastoreItem>
</file>

<file path=customXml/itemProps2.xml><?xml version="1.0" encoding="utf-8"?>
<ds:datastoreItem xmlns:ds="http://schemas.openxmlformats.org/officeDocument/2006/customXml" ds:itemID="{F389E9BB-DEB4-47CD-9387-FE054B8C8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5BF8708B-A9E6-4DFB-A53A-D55B066C9C22}">
  <ds:schemaRefs>
    <ds:schemaRef ds:uri="http://schemas.microsoft.com/office/infopath/2007/PartnerControls"/>
    <ds:schemaRef ds:uri="http://schemas.microsoft.com/office/2006/metadata/properties"/>
    <ds:schemaRef ds:uri="http://purl.org/dc/dcmitype/"/>
    <ds:schemaRef ds:uri="http://purl.org/dc/elements/1.1/"/>
    <ds:schemaRef ds:uri="http://schemas.microsoft.com/office/2006/documentManagement/types"/>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13</vt:i4>
      </vt:variant>
    </vt:vector>
  </HeadingPairs>
  <TitlesOfParts>
    <vt:vector size="36" baseType="lpstr">
      <vt:lpstr>Índex (1)</vt:lpstr>
      <vt:lpstr>Índice (2)</vt:lpstr>
      <vt:lpstr>Table of contents (3)</vt:lpstr>
      <vt:lpstr>TotalAllotj_23 (4)</vt:lpstr>
      <vt:lpstr>TotalAllotj_22 (5)</vt:lpstr>
      <vt:lpstr>TotalAllotj_21 (6)</vt:lpstr>
      <vt:lpstr>TotalAllotj_20 (7)</vt:lpstr>
      <vt:lpstr>TotalAllotj_19 (8)</vt:lpstr>
      <vt:lpstr>TotalAllotj_18 (9)</vt:lpstr>
      <vt:lpstr>TotalAllotj_17 (10)</vt:lpstr>
      <vt:lpstr>TotalAllotj_16 (11)</vt:lpstr>
      <vt:lpstr>TotalAllotj_15 (12)</vt:lpstr>
      <vt:lpstr>TotalAllotj_14 (13)</vt:lpstr>
      <vt:lpstr>TotalAllotj_13 (14)</vt:lpstr>
      <vt:lpstr>TotalAllotj_12 (15)</vt:lpstr>
      <vt:lpstr>TotalAllotj_11 (16)</vt:lpstr>
      <vt:lpstr>TotalAllotj_10 (17)</vt:lpstr>
      <vt:lpstr>TotalAllotj_09 (18)</vt:lpstr>
      <vt:lpstr>TotalAllotj_08 (19)</vt:lpstr>
      <vt:lpstr>TotalAllotj_07 (20)</vt:lpstr>
      <vt:lpstr>TotalAllotj_06 (21)</vt:lpstr>
      <vt:lpstr>TotalAllotj_05 (22)</vt:lpstr>
      <vt:lpstr>TotalAllotj_04 (23)</vt:lpstr>
      <vt:lpstr>'Table of contents (3)'!Área_de_impresión</vt:lpstr>
      <vt:lpstr>'TotalAllotj_10 (17)'!Área_de_impresión</vt:lpstr>
      <vt:lpstr>'TotalAllotj_11 (16)'!Área_de_impresión</vt:lpstr>
      <vt:lpstr>'TotalAllotj_14 (13)'!Área_de_impresión</vt:lpstr>
      <vt:lpstr>'TotalAllotj_15 (12)'!Área_de_impresión</vt:lpstr>
      <vt:lpstr>'TotalAllotj_16 (11)'!Área_de_impresión</vt:lpstr>
      <vt:lpstr>'TotalAllotj_17 (10)'!Área_de_impresión</vt:lpstr>
      <vt:lpstr>'TotalAllotj_18 (9)'!Área_de_impresión</vt:lpstr>
      <vt:lpstr>'TotalAllotj_19 (8)'!Área_de_impresión</vt:lpstr>
      <vt:lpstr>'TotalAllotj_20 (7)'!Área_de_impresión</vt:lpstr>
      <vt:lpstr>'TotalAllotj_21 (6)'!Área_de_impresión</vt:lpstr>
      <vt:lpstr>'TotalAllotj_22 (5)'!Área_de_impresión</vt:lpstr>
      <vt:lpstr>'TotalAllotj_23 (4)'!Área_de_impresión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Alicia Cau</dc:creator>
  <cp:lastModifiedBy>aetib\alicia.cau</cp:lastModifiedBy>
  <cp:lastPrinted>2022-07-27T12:22:25Z</cp:lastPrinted>
  <dcterms:created xsi:type="dcterms:W3CDTF">2020-06-10T08:28:38Z</dcterms:created>
  <dcterms:modified xsi:type="dcterms:W3CDTF">2024-08-09T07:49:37Z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0x01010046982DB4E2771447817F3727A6E2AB53</vt:lpwstr>
  </property>
</Properties>
</file>